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165D21ED-1B77-453F-9800-A53B2ACAD3E5}" xr6:coauthVersionLast="47" xr6:coauthVersionMax="47" xr10:uidLastSave="{00000000-0000-0000-0000-000000000000}"/>
  <bookViews>
    <workbookView xWindow="-120" yWindow="-120" windowWidth="20730" windowHeight="11160" tabRatio="772" firstSheet="1" activeTab="1" xr2:uid="{00000000-000D-0000-FFFF-FFFF00000000}"/>
  </bookViews>
  <sheets>
    <sheet name="لوحة التحكم" sheetId="1" r:id="rId1"/>
    <sheet name="المواد" sheetId="2" r:id="rId2"/>
    <sheet name="الطبخات" sheetId="3" r:id="rId3"/>
    <sheet name="الإدخالات" sheetId="4" r:id="rId4"/>
    <sheet name="سجل الإنتاج" sheetId="5" r:id="rId5"/>
    <sheet name="الصرف المباشر" sheetId="6" r:id="rId6"/>
    <sheet name="تعديل الجرد" sheetId="7" r:id="rId7"/>
    <sheet name="الرصيد الحالي" sheetId="8" r:id="rId8"/>
    <sheet name="سجل الحركات" sheetId="9" r:id="rId9"/>
    <sheet name="التعليمات" sheetId="10" r:id="rId10"/>
    <sheet name="قوائم" sheetId="11" r:id="rId11"/>
    <sheet name="بيانات الحركات" sheetId="12" r:id="rId12"/>
  </sheets>
  <definedNames>
    <definedName name="_xlnm._FilterDatabase" localSheetId="3" hidden="1">الإدخالات!$A$1:$G$501</definedName>
    <definedName name="_xlnm._FilterDatabase" localSheetId="7" hidden="1">'الرصيد الحالي'!$A$1:$F$320</definedName>
    <definedName name="_xlnm._FilterDatabase" localSheetId="5" hidden="1">'الصرف المباشر'!$A$1:$F$501</definedName>
    <definedName name="_xlnm._FilterDatabase" localSheetId="2" hidden="1">الطبخات!$A$1:$E$900</definedName>
    <definedName name="_xlnm._FilterDatabase" localSheetId="1" hidden="1">المواد!$A$1:$D$320</definedName>
    <definedName name="_xlnm._FilterDatabase" localSheetId="6" hidden="1">'تعديل الجرد'!$A$1:$H$501</definedName>
    <definedName name="_xlnm._FilterDatabase" localSheetId="4" hidden="1">'سجل الإنتاج'!$A$1:$D$501</definedName>
    <definedName name="_xlnm._FilterDatabase" localSheetId="8" hidden="1">'سجل الحركات'!$A$1:$F$2001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01" i="12" l="1"/>
  <c r="E2001" i="12"/>
  <c r="D2001" i="12"/>
  <c r="C2001" i="12"/>
  <c r="B2001" i="12"/>
  <c r="G2001" i="12" s="1"/>
  <c r="A2001" i="12"/>
  <c r="G2000" i="12"/>
  <c r="F2000" i="12"/>
  <c r="E2000" i="12"/>
  <c r="D2000" i="12"/>
  <c r="C2000" i="12"/>
  <c r="B2000" i="12"/>
  <c r="A2000" i="12"/>
  <c r="G1999" i="12"/>
  <c r="F1999" i="12"/>
  <c r="E1999" i="12"/>
  <c r="D1999" i="12"/>
  <c r="C1999" i="12"/>
  <c r="B1999" i="12"/>
  <c r="A1999" i="12"/>
  <c r="F1998" i="12"/>
  <c r="E1998" i="12"/>
  <c r="D1998" i="12"/>
  <c r="C1998" i="12"/>
  <c r="B1998" i="12"/>
  <c r="G1998" i="12" s="1"/>
  <c r="A1998" i="12"/>
  <c r="F1997" i="12"/>
  <c r="E1997" i="12"/>
  <c r="D1997" i="12"/>
  <c r="C1997" i="12"/>
  <c r="B1997" i="12"/>
  <c r="G1997" i="12" s="1"/>
  <c r="A1997" i="12"/>
  <c r="G1996" i="12"/>
  <c r="F1996" i="12"/>
  <c r="E1996" i="12"/>
  <c r="D1996" i="12"/>
  <c r="C1996" i="12"/>
  <c r="B1996" i="12"/>
  <c r="A1996" i="12"/>
  <c r="G1995" i="12"/>
  <c r="F1995" i="12"/>
  <c r="E1995" i="12"/>
  <c r="D1995" i="12"/>
  <c r="C1995" i="12"/>
  <c r="B1995" i="12"/>
  <c r="A1995" i="12"/>
  <c r="F1994" i="12"/>
  <c r="E1994" i="12"/>
  <c r="D1994" i="12"/>
  <c r="C1994" i="12"/>
  <c r="B1994" i="12"/>
  <c r="G1994" i="12" s="1"/>
  <c r="A1994" i="12"/>
  <c r="F1993" i="12"/>
  <c r="E1993" i="12"/>
  <c r="D1993" i="12"/>
  <c r="C1993" i="12"/>
  <c r="B1993" i="12"/>
  <c r="G1993" i="12" s="1"/>
  <c r="A1993" i="12"/>
  <c r="G1992" i="12"/>
  <c r="F1992" i="12"/>
  <c r="E1992" i="12"/>
  <c r="D1992" i="12"/>
  <c r="C1992" i="12"/>
  <c r="B1992" i="12"/>
  <c r="A1992" i="12"/>
  <c r="G1991" i="12"/>
  <c r="F1991" i="12"/>
  <c r="E1991" i="12"/>
  <c r="D1991" i="12"/>
  <c r="C1991" i="12"/>
  <c r="B1991" i="12"/>
  <c r="A1991" i="12"/>
  <c r="F1990" i="12"/>
  <c r="E1990" i="12"/>
  <c r="D1990" i="12"/>
  <c r="C1990" i="12"/>
  <c r="B1990" i="12"/>
  <c r="G1990" i="12" s="1"/>
  <c r="A1990" i="12"/>
  <c r="F1989" i="12"/>
  <c r="E1989" i="12"/>
  <c r="D1989" i="12"/>
  <c r="C1989" i="12"/>
  <c r="B1989" i="12"/>
  <c r="G1989" i="12" s="1"/>
  <c r="A1989" i="12"/>
  <c r="G1988" i="12"/>
  <c r="F1988" i="12"/>
  <c r="E1988" i="12"/>
  <c r="D1988" i="12"/>
  <c r="C1988" i="12"/>
  <c r="B1988" i="12"/>
  <c r="A1988" i="12"/>
  <c r="G1987" i="12"/>
  <c r="F1987" i="12"/>
  <c r="E1987" i="12"/>
  <c r="D1987" i="12"/>
  <c r="C1987" i="12"/>
  <c r="B1987" i="12"/>
  <c r="A1987" i="12"/>
  <c r="F1986" i="12"/>
  <c r="E1986" i="12"/>
  <c r="D1986" i="12"/>
  <c r="C1986" i="12"/>
  <c r="B1986" i="12"/>
  <c r="G1986" i="12" s="1"/>
  <c r="A1986" i="12"/>
  <c r="F1985" i="12"/>
  <c r="E1985" i="12"/>
  <c r="D1985" i="12"/>
  <c r="C1985" i="12"/>
  <c r="B1985" i="12"/>
  <c r="G1985" i="12" s="1"/>
  <c r="A1985" i="12"/>
  <c r="G1984" i="12"/>
  <c r="F1984" i="12"/>
  <c r="E1984" i="12"/>
  <c r="D1984" i="12"/>
  <c r="C1984" i="12"/>
  <c r="B1984" i="12"/>
  <c r="A1984" i="12"/>
  <c r="G1983" i="12"/>
  <c r="F1983" i="12"/>
  <c r="E1983" i="12"/>
  <c r="D1983" i="12"/>
  <c r="C1983" i="12"/>
  <c r="B1983" i="12"/>
  <c r="A1983" i="12"/>
  <c r="F1982" i="12"/>
  <c r="E1982" i="12"/>
  <c r="D1982" i="12"/>
  <c r="C1982" i="12"/>
  <c r="B1982" i="12"/>
  <c r="G1982" i="12" s="1"/>
  <c r="A1982" i="12"/>
  <c r="F1981" i="12"/>
  <c r="E1981" i="12"/>
  <c r="D1981" i="12"/>
  <c r="C1981" i="12"/>
  <c r="B1981" i="12"/>
  <c r="G1981" i="12" s="1"/>
  <c r="A1981" i="12"/>
  <c r="G1980" i="12"/>
  <c r="F1980" i="12"/>
  <c r="E1980" i="12"/>
  <c r="D1980" i="12"/>
  <c r="C1980" i="12"/>
  <c r="B1980" i="12"/>
  <c r="A1980" i="12"/>
  <c r="G1979" i="12"/>
  <c r="F1979" i="12"/>
  <c r="E1979" i="12"/>
  <c r="D1979" i="12"/>
  <c r="C1979" i="12"/>
  <c r="B1979" i="12"/>
  <c r="A1979" i="12"/>
  <c r="F1978" i="12"/>
  <c r="E1978" i="12"/>
  <c r="D1978" i="12"/>
  <c r="C1978" i="12"/>
  <c r="B1978" i="12"/>
  <c r="G1978" i="12" s="1"/>
  <c r="A1978" i="12"/>
  <c r="F1977" i="12"/>
  <c r="E1977" i="12"/>
  <c r="D1977" i="12"/>
  <c r="C1977" i="12"/>
  <c r="B1977" i="12"/>
  <c r="G1977" i="12" s="1"/>
  <c r="A1977" i="12"/>
  <c r="G1976" i="12"/>
  <c r="F1976" i="12"/>
  <c r="E1976" i="12"/>
  <c r="D1976" i="12"/>
  <c r="C1976" i="12"/>
  <c r="B1976" i="12"/>
  <c r="A1976" i="12"/>
  <c r="G1975" i="12"/>
  <c r="F1975" i="12"/>
  <c r="E1975" i="12"/>
  <c r="D1975" i="12"/>
  <c r="C1975" i="12"/>
  <c r="B1975" i="12"/>
  <c r="A1975" i="12"/>
  <c r="F1974" i="12"/>
  <c r="E1974" i="12"/>
  <c r="D1974" i="12"/>
  <c r="C1974" i="12"/>
  <c r="B1974" i="12"/>
  <c r="G1974" i="12" s="1"/>
  <c r="A1974" i="12"/>
  <c r="F1973" i="12"/>
  <c r="E1973" i="12"/>
  <c r="D1973" i="12"/>
  <c r="C1973" i="12"/>
  <c r="B1973" i="12"/>
  <c r="G1973" i="12" s="1"/>
  <c r="A1973" i="12"/>
  <c r="G1972" i="12"/>
  <c r="F1972" i="12"/>
  <c r="E1972" i="12"/>
  <c r="D1972" i="12"/>
  <c r="C1972" i="12"/>
  <c r="B1972" i="12"/>
  <c r="A1972" i="12"/>
  <c r="G1971" i="12"/>
  <c r="F1971" i="12"/>
  <c r="E1971" i="12"/>
  <c r="D1971" i="12"/>
  <c r="C1971" i="12"/>
  <c r="B1971" i="12"/>
  <c r="A1971" i="12"/>
  <c r="F1970" i="12"/>
  <c r="E1970" i="12"/>
  <c r="D1970" i="12"/>
  <c r="C1970" i="12"/>
  <c r="B1970" i="12"/>
  <c r="G1970" i="12" s="1"/>
  <c r="A1970" i="12"/>
  <c r="F1969" i="12"/>
  <c r="E1969" i="12"/>
  <c r="D1969" i="12"/>
  <c r="C1969" i="12"/>
  <c r="B1969" i="12"/>
  <c r="G1969" i="12" s="1"/>
  <c r="A1969" i="12"/>
  <c r="G1968" i="12"/>
  <c r="F1968" i="12"/>
  <c r="E1968" i="12"/>
  <c r="D1968" i="12"/>
  <c r="C1968" i="12"/>
  <c r="B1968" i="12"/>
  <c r="A1968" i="12"/>
  <c r="G1967" i="12"/>
  <c r="F1967" i="12"/>
  <c r="E1967" i="12"/>
  <c r="D1967" i="12"/>
  <c r="C1967" i="12"/>
  <c r="B1967" i="12"/>
  <c r="A1967" i="12"/>
  <c r="F1966" i="12"/>
  <c r="E1966" i="12"/>
  <c r="D1966" i="12"/>
  <c r="C1966" i="12"/>
  <c r="B1966" i="12"/>
  <c r="G1966" i="12" s="1"/>
  <c r="A1966" i="12"/>
  <c r="F1965" i="12"/>
  <c r="E1965" i="12"/>
  <c r="D1965" i="12"/>
  <c r="C1965" i="12"/>
  <c r="B1965" i="12"/>
  <c r="G1965" i="12" s="1"/>
  <c r="A1965" i="12"/>
  <c r="G1964" i="12"/>
  <c r="F1964" i="12"/>
  <c r="E1964" i="12"/>
  <c r="D1964" i="12"/>
  <c r="C1964" i="12"/>
  <c r="B1964" i="12"/>
  <c r="A1964" i="12"/>
  <c r="G1963" i="12"/>
  <c r="F1963" i="12"/>
  <c r="E1963" i="12"/>
  <c r="D1963" i="12"/>
  <c r="C1963" i="12"/>
  <c r="B1963" i="12"/>
  <c r="A1963" i="12"/>
  <c r="F1962" i="12"/>
  <c r="E1962" i="12"/>
  <c r="D1962" i="12"/>
  <c r="C1962" i="12"/>
  <c r="B1962" i="12"/>
  <c r="G1962" i="12" s="1"/>
  <c r="A1962" i="12"/>
  <c r="F1961" i="12"/>
  <c r="E1961" i="12"/>
  <c r="D1961" i="12"/>
  <c r="C1961" i="12"/>
  <c r="B1961" i="12"/>
  <c r="G1961" i="12" s="1"/>
  <c r="A1961" i="12"/>
  <c r="G1960" i="12"/>
  <c r="F1960" i="12"/>
  <c r="E1960" i="12"/>
  <c r="D1960" i="12"/>
  <c r="C1960" i="12"/>
  <c r="B1960" i="12"/>
  <c r="A1960" i="12"/>
  <c r="G1959" i="12"/>
  <c r="F1959" i="12"/>
  <c r="E1959" i="12"/>
  <c r="D1959" i="12"/>
  <c r="C1959" i="12"/>
  <c r="B1959" i="12"/>
  <c r="A1959" i="12"/>
  <c r="F1958" i="12"/>
  <c r="E1958" i="12"/>
  <c r="D1958" i="12"/>
  <c r="C1958" i="12"/>
  <c r="B1958" i="12"/>
  <c r="G1958" i="12" s="1"/>
  <c r="A1958" i="12"/>
  <c r="F1957" i="12"/>
  <c r="E1957" i="12"/>
  <c r="D1957" i="12"/>
  <c r="C1957" i="12"/>
  <c r="B1957" i="12"/>
  <c r="G1957" i="12" s="1"/>
  <c r="A1957" i="12"/>
  <c r="G1956" i="12"/>
  <c r="F1956" i="12"/>
  <c r="E1956" i="12"/>
  <c r="D1956" i="12"/>
  <c r="C1956" i="12"/>
  <c r="B1956" i="12"/>
  <c r="A1956" i="12"/>
  <c r="G1955" i="12"/>
  <c r="F1955" i="12"/>
  <c r="E1955" i="12"/>
  <c r="D1955" i="12"/>
  <c r="C1955" i="12"/>
  <c r="B1955" i="12"/>
  <c r="A1955" i="12"/>
  <c r="F1954" i="12"/>
  <c r="E1954" i="12"/>
  <c r="D1954" i="12"/>
  <c r="C1954" i="12"/>
  <c r="B1954" i="12"/>
  <c r="G1954" i="12" s="1"/>
  <c r="A1954" i="12"/>
  <c r="F1953" i="12"/>
  <c r="E1953" i="12"/>
  <c r="D1953" i="12"/>
  <c r="C1953" i="12"/>
  <c r="B1953" i="12"/>
  <c r="G1953" i="12" s="1"/>
  <c r="A1953" i="12"/>
  <c r="G1952" i="12"/>
  <c r="F1952" i="12"/>
  <c r="E1952" i="12"/>
  <c r="D1952" i="12"/>
  <c r="C1952" i="12"/>
  <c r="B1952" i="12"/>
  <c r="A1952" i="12"/>
  <c r="G1951" i="12"/>
  <c r="F1951" i="12"/>
  <c r="E1951" i="12"/>
  <c r="D1951" i="12"/>
  <c r="C1951" i="12"/>
  <c r="B1951" i="12"/>
  <c r="A1951" i="12"/>
  <c r="F1950" i="12"/>
  <c r="E1950" i="12"/>
  <c r="D1950" i="12"/>
  <c r="C1950" i="12"/>
  <c r="B1950" i="12"/>
  <c r="G1950" i="12" s="1"/>
  <c r="A1950" i="12"/>
  <c r="F1949" i="12"/>
  <c r="E1949" i="12"/>
  <c r="D1949" i="12"/>
  <c r="C1949" i="12"/>
  <c r="B1949" i="12"/>
  <c r="G1949" i="12" s="1"/>
  <c r="A1949" i="12"/>
  <c r="G1948" i="12"/>
  <c r="F1948" i="12"/>
  <c r="E1948" i="12"/>
  <c r="D1948" i="12"/>
  <c r="C1948" i="12"/>
  <c r="B1948" i="12"/>
  <c r="A1948" i="12"/>
  <c r="G1947" i="12"/>
  <c r="F1947" i="12"/>
  <c r="E1947" i="12"/>
  <c r="D1947" i="12"/>
  <c r="C1947" i="12"/>
  <c r="B1947" i="12"/>
  <c r="A1947" i="12"/>
  <c r="F1946" i="12"/>
  <c r="E1946" i="12"/>
  <c r="D1946" i="12"/>
  <c r="C1946" i="12"/>
  <c r="B1946" i="12"/>
  <c r="G1946" i="12" s="1"/>
  <c r="A1946" i="12"/>
  <c r="F1945" i="12"/>
  <c r="E1945" i="12"/>
  <c r="D1945" i="12"/>
  <c r="C1945" i="12"/>
  <c r="B1945" i="12"/>
  <c r="G1945" i="12" s="1"/>
  <c r="A1945" i="12"/>
  <c r="G1944" i="12"/>
  <c r="F1944" i="12"/>
  <c r="E1944" i="12"/>
  <c r="D1944" i="12"/>
  <c r="C1944" i="12"/>
  <c r="B1944" i="12"/>
  <c r="A1944" i="12"/>
  <c r="G1943" i="12"/>
  <c r="F1943" i="12"/>
  <c r="E1943" i="12"/>
  <c r="D1943" i="12"/>
  <c r="C1943" i="12"/>
  <c r="B1943" i="12"/>
  <c r="A1943" i="12"/>
  <c r="F1942" i="12"/>
  <c r="E1942" i="12"/>
  <c r="D1942" i="12"/>
  <c r="C1942" i="12"/>
  <c r="B1942" i="12"/>
  <c r="G1942" i="12" s="1"/>
  <c r="A1942" i="12"/>
  <c r="F1941" i="12"/>
  <c r="E1941" i="12"/>
  <c r="D1941" i="12"/>
  <c r="C1941" i="12"/>
  <c r="B1941" i="12"/>
  <c r="G1941" i="12" s="1"/>
  <c r="A1941" i="12"/>
  <c r="G1940" i="12"/>
  <c r="F1940" i="12"/>
  <c r="E1940" i="12"/>
  <c r="D1940" i="12"/>
  <c r="C1940" i="12"/>
  <c r="B1940" i="12"/>
  <c r="A1940" i="12"/>
  <c r="G1939" i="12"/>
  <c r="F1939" i="12"/>
  <c r="E1939" i="12"/>
  <c r="D1939" i="12"/>
  <c r="C1939" i="12"/>
  <c r="B1939" i="12"/>
  <c r="A1939" i="12"/>
  <c r="F1938" i="12"/>
  <c r="E1938" i="12"/>
  <c r="D1938" i="12"/>
  <c r="C1938" i="12"/>
  <c r="B1938" i="12"/>
  <c r="G1938" i="12" s="1"/>
  <c r="A1938" i="12"/>
  <c r="F1937" i="12"/>
  <c r="E1937" i="12"/>
  <c r="D1937" i="12"/>
  <c r="C1937" i="12"/>
  <c r="B1937" i="12"/>
  <c r="G1937" i="12" s="1"/>
  <c r="A1937" i="12"/>
  <c r="G1936" i="12"/>
  <c r="F1936" i="12"/>
  <c r="E1936" i="12"/>
  <c r="D1936" i="12"/>
  <c r="C1936" i="12"/>
  <c r="B1936" i="12"/>
  <c r="A1936" i="12"/>
  <c r="G1935" i="12"/>
  <c r="F1935" i="12"/>
  <c r="E1935" i="12"/>
  <c r="D1935" i="12"/>
  <c r="C1935" i="12"/>
  <c r="B1935" i="12"/>
  <c r="A1935" i="12"/>
  <c r="F1934" i="12"/>
  <c r="E1934" i="12"/>
  <c r="D1934" i="12"/>
  <c r="C1934" i="12"/>
  <c r="B1934" i="12"/>
  <c r="G1934" i="12" s="1"/>
  <c r="A1934" i="12"/>
  <c r="F1933" i="12"/>
  <c r="E1933" i="12"/>
  <c r="D1933" i="12"/>
  <c r="C1933" i="12"/>
  <c r="B1933" i="12"/>
  <c r="G1933" i="12" s="1"/>
  <c r="A1933" i="12"/>
  <c r="G1932" i="12"/>
  <c r="F1932" i="12"/>
  <c r="E1932" i="12"/>
  <c r="D1932" i="12"/>
  <c r="C1932" i="12"/>
  <c r="B1932" i="12"/>
  <c r="A1932" i="12"/>
  <c r="G1931" i="12"/>
  <c r="F1931" i="12"/>
  <c r="E1931" i="12"/>
  <c r="D1931" i="12"/>
  <c r="C1931" i="12"/>
  <c r="B1931" i="12"/>
  <c r="A1931" i="12"/>
  <c r="F1930" i="12"/>
  <c r="E1930" i="12"/>
  <c r="D1930" i="12"/>
  <c r="C1930" i="12"/>
  <c r="B1930" i="12"/>
  <c r="G1930" i="12" s="1"/>
  <c r="A1930" i="12"/>
  <c r="F1929" i="12"/>
  <c r="E1929" i="12"/>
  <c r="D1929" i="12"/>
  <c r="C1929" i="12"/>
  <c r="B1929" i="12"/>
  <c r="G1929" i="12" s="1"/>
  <c r="A1929" i="12"/>
  <c r="G1928" i="12"/>
  <c r="F1928" i="12"/>
  <c r="E1928" i="12"/>
  <c r="D1928" i="12"/>
  <c r="C1928" i="12"/>
  <c r="B1928" i="12"/>
  <c r="A1928" i="12"/>
  <c r="G1927" i="12"/>
  <c r="F1927" i="12"/>
  <c r="E1927" i="12"/>
  <c r="D1927" i="12"/>
  <c r="C1927" i="12"/>
  <c r="B1927" i="12"/>
  <c r="A1927" i="12"/>
  <c r="F1926" i="12"/>
  <c r="E1926" i="12"/>
  <c r="D1926" i="12"/>
  <c r="C1926" i="12"/>
  <c r="B1926" i="12"/>
  <c r="G1926" i="12" s="1"/>
  <c r="A1926" i="12"/>
  <c r="F1925" i="12"/>
  <c r="E1925" i="12"/>
  <c r="D1925" i="12"/>
  <c r="C1925" i="12"/>
  <c r="B1925" i="12"/>
  <c r="G1925" i="12" s="1"/>
  <c r="A1925" i="12"/>
  <c r="G1924" i="12"/>
  <c r="F1924" i="12"/>
  <c r="E1924" i="12"/>
  <c r="D1924" i="12"/>
  <c r="C1924" i="12"/>
  <c r="B1924" i="12"/>
  <c r="A1924" i="12"/>
  <c r="G1923" i="12"/>
  <c r="F1923" i="12"/>
  <c r="E1923" i="12"/>
  <c r="D1923" i="12"/>
  <c r="C1923" i="12"/>
  <c r="B1923" i="12"/>
  <c r="A1923" i="12"/>
  <c r="F1922" i="12"/>
  <c r="E1922" i="12"/>
  <c r="D1922" i="12"/>
  <c r="C1922" i="12"/>
  <c r="B1922" i="12"/>
  <c r="G1922" i="12" s="1"/>
  <c r="A1922" i="12"/>
  <c r="F1921" i="12"/>
  <c r="E1921" i="12"/>
  <c r="D1921" i="12"/>
  <c r="C1921" i="12"/>
  <c r="B1921" i="12"/>
  <c r="G1921" i="12" s="1"/>
  <c r="A1921" i="12"/>
  <c r="G1920" i="12"/>
  <c r="F1920" i="12"/>
  <c r="E1920" i="12"/>
  <c r="D1920" i="12"/>
  <c r="C1920" i="12"/>
  <c r="B1920" i="12"/>
  <c r="A1920" i="12"/>
  <c r="G1919" i="12"/>
  <c r="F1919" i="12"/>
  <c r="E1919" i="12"/>
  <c r="D1919" i="12"/>
  <c r="C1919" i="12"/>
  <c r="B1919" i="12"/>
  <c r="A1919" i="12"/>
  <c r="F1918" i="12"/>
  <c r="E1918" i="12"/>
  <c r="D1918" i="12"/>
  <c r="C1918" i="12"/>
  <c r="B1918" i="12"/>
  <c r="G1918" i="12" s="1"/>
  <c r="A1918" i="12"/>
  <c r="F1917" i="12"/>
  <c r="E1917" i="12"/>
  <c r="D1917" i="12"/>
  <c r="C1917" i="12"/>
  <c r="B1917" i="12"/>
  <c r="G1917" i="12" s="1"/>
  <c r="A1917" i="12"/>
  <c r="G1916" i="12"/>
  <c r="F1916" i="12"/>
  <c r="E1916" i="12"/>
  <c r="D1916" i="12"/>
  <c r="C1916" i="12"/>
  <c r="B1916" i="12"/>
  <c r="A1916" i="12"/>
  <c r="G1915" i="12"/>
  <c r="F1915" i="12"/>
  <c r="E1915" i="12"/>
  <c r="D1915" i="12"/>
  <c r="C1915" i="12"/>
  <c r="B1915" i="12"/>
  <c r="A1915" i="12"/>
  <c r="F1914" i="12"/>
  <c r="E1914" i="12"/>
  <c r="D1914" i="12"/>
  <c r="C1914" i="12"/>
  <c r="B1914" i="12"/>
  <c r="G1914" i="12" s="1"/>
  <c r="A1914" i="12"/>
  <c r="G1913" i="12"/>
  <c r="F1913" i="12"/>
  <c r="E1913" i="12"/>
  <c r="D1913" i="12"/>
  <c r="C1913" i="12"/>
  <c r="B1913" i="12"/>
  <c r="A1913" i="12"/>
  <c r="G1912" i="12"/>
  <c r="F1912" i="12"/>
  <c r="E1912" i="12"/>
  <c r="D1912" i="12"/>
  <c r="C1912" i="12"/>
  <c r="B1912" i="12"/>
  <c r="A1912" i="12"/>
  <c r="G1911" i="12"/>
  <c r="F1911" i="12"/>
  <c r="E1911" i="12"/>
  <c r="D1911" i="12"/>
  <c r="C1911" i="12"/>
  <c r="B1911" i="12"/>
  <c r="A1911" i="12"/>
  <c r="F1910" i="12"/>
  <c r="E1910" i="12"/>
  <c r="D1910" i="12"/>
  <c r="C1910" i="12"/>
  <c r="B1910" i="12"/>
  <c r="G1910" i="12" s="1"/>
  <c r="A1910" i="12"/>
  <c r="G1909" i="12"/>
  <c r="F1909" i="12"/>
  <c r="E1909" i="12"/>
  <c r="D1909" i="12"/>
  <c r="C1909" i="12"/>
  <c r="B1909" i="12"/>
  <c r="A1909" i="12"/>
  <c r="G1908" i="12"/>
  <c r="F1908" i="12"/>
  <c r="E1908" i="12"/>
  <c r="D1908" i="12"/>
  <c r="C1908" i="12"/>
  <c r="B1908" i="12"/>
  <c r="A1908" i="12"/>
  <c r="G1907" i="12"/>
  <c r="F1907" i="12"/>
  <c r="E1907" i="12"/>
  <c r="D1907" i="12"/>
  <c r="C1907" i="12"/>
  <c r="B1907" i="12"/>
  <c r="A1907" i="12"/>
  <c r="F1906" i="12"/>
  <c r="E1906" i="12"/>
  <c r="D1906" i="12"/>
  <c r="C1906" i="12"/>
  <c r="B1906" i="12"/>
  <c r="G1906" i="12" s="1"/>
  <c r="A1906" i="12"/>
  <c r="G1905" i="12"/>
  <c r="F1905" i="12"/>
  <c r="E1905" i="12"/>
  <c r="D1905" i="12"/>
  <c r="C1905" i="12"/>
  <c r="B1905" i="12"/>
  <c r="A1905" i="12"/>
  <c r="G1904" i="12"/>
  <c r="F1904" i="12"/>
  <c r="E1904" i="12"/>
  <c r="D1904" i="12"/>
  <c r="C1904" i="12"/>
  <c r="B1904" i="12"/>
  <c r="A1904" i="12"/>
  <c r="G1903" i="12"/>
  <c r="F1903" i="12"/>
  <c r="E1903" i="12"/>
  <c r="D1903" i="12"/>
  <c r="C1903" i="12"/>
  <c r="B1903" i="12"/>
  <c r="A1903" i="12"/>
  <c r="F1902" i="12"/>
  <c r="E1902" i="12"/>
  <c r="D1902" i="12"/>
  <c r="C1902" i="12"/>
  <c r="B1902" i="12"/>
  <c r="G1902" i="12" s="1"/>
  <c r="A1902" i="12"/>
  <c r="G1901" i="12"/>
  <c r="F1901" i="12"/>
  <c r="E1901" i="12"/>
  <c r="D1901" i="12"/>
  <c r="C1901" i="12"/>
  <c r="B1901" i="12"/>
  <c r="A1901" i="12"/>
  <c r="G1900" i="12"/>
  <c r="F1900" i="12"/>
  <c r="E1900" i="12"/>
  <c r="D1900" i="12"/>
  <c r="C1900" i="12"/>
  <c r="B1900" i="12"/>
  <c r="A1900" i="12"/>
  <c r="G1899" i="12"/>
  <c r="F1899" i="12"/>
  <c r="E1899" i="12"/>
  <c r="D1899" i="12"/>
  <c r="C1899" i="12"/>
  <c r="B1899" i="12"/>
  <c r="A1899" i="12"/>
  <c r="F1898" i="12"/>
  <c r="E1898" i="12"/>
  <c r="D1898" i="12"/>
  <c r="C1898" i="12"/>
  <c r="B1898" i="12"/>
  <c r="G1898" i="12" s="1"/>
  <c r="A1898" i="12"/>
  <c r="G1897" i="12"/>
  <c r="F1897" i="12"/>
  <c r="E1897" i="12"/>
  <c r="D1897" i="12"/>
  <c r="C1897" i="12"/>
  <c r="B1897" i="12"/>
  <c r="A1897" i="12"/>
  <c r="G1896" i="12"/>
  <c r="F1896" i="12"/>
  <c r="E1896" i="12"/>
  <c r="D1896" i="12"/>
  <c r="C1896" i="12"/>
  <c r="B1896" i="12"/>
  <c r="A1896" i="12"/>
  <c r="G1895" i="12"/>
  <c r="F1895" i="12"/>
  <c r="E1895" i="12"/>
  <c r="D1895" i="12"/>
  <c r="C1895" i="12"/>
  <c r="B1895" i="12"/>
  <c r="A1895" i="12"/>
  <c r="F1894" i="12"/>
  <c r="E1894" i="12"/>
  <c r="D1894" i="12"/>
  <c r="C1894" i="12"/>
  <c r="B1894" i="12"/>
  <c r="G1894" i="12" s="1"/>
  <c r="A1894" i="12"/>
  <c r="G1893" i="12"/>
  <c r="F1893" i="12"/>
  <c r="E1893" i="12"/>
  <c r="D1893" i="12"/>
  <c r="C1893" i="12"/>
  <c r="B1893" i="12"/>
  <c r="A1893" i="12"/>
  <c r="G1892" i="12"/>
  <c r="F1892" i="12"/>
  <c r="E1892" i="12"/>
  <c r="D1892" i="12"/>
  <c r="C1892" i="12"/>
  <c r="B1892" i="12"/>
  <c r="A1892" i="12"/>
  <c r="G1891" i="12"/>
  <c r="F1891" i="12"/>
  <c r="E1891" i="12"/>
  <c r="D1891" i="12"/>
  <c r="C1891" i="12"/>
  <c r="B1891" i="12"/>
  <c r="A1891" i="12"/>
  <c r="F1890" i="12"/>
  <c r="E1890" i="12"/>
  <c r="D1890" i="12"/>
  <c r="C1890" i="12"/>
  <c r="B1890" i="12"/>
  <c r="G1890" i="12" s="1"/>
  <c r="A1890" i="12"/>
  <c r="G1889" i="12"/>
  <c r="F1889" i="12"/>
  <c r="E1889" i="12"/>
  <c r="D1889" i="12"/>
  <c r="C1889" i="12"/>
  <c r="B1889" i="12"/>
  <c r="A1889" i="12"/>
  <c r="G1888" i="12"/>
  <c r="F1888" i="12"/>
  <c r="E1888" i="12"/>
  <c r="D1888" i="12"/>
  <c r="C1888" i="12"/>
  <c r="B1888" i="12"/>
  <c r="A1888" i="12"/>
  <c r="G1887" i="12"/>
  <c r="F1887" i="12"/>
  <c r="E1887" i="12"/>
  <c r="D1887" i="12"/>
  <c r="C1887" i="12"/>
  <c r="B1887" i="12"/>
  <c r="A1887" i="12"/>
  <c r="F1886" i="12"/>
  <c r="E1886" i="12"/>
  <c r="D1886" i="12"/>
  <c r="C1886" i="12"/>
  <c r="B1886" i="12"/>
  <c r="G1886" i="12" s="1"/>
  <c r="A1886" i="12"/>
  <c r="G1885" i="12"/>
  <c r="F1885" i="12"/>
  <c r="E1885" i="12"/>
  <c r="D1885" i="12"/>
  <c r="C1885" i="12"/>
  <c r="B1885" i="12"/>
  <c r="A1885" i="12"/>
  <c r="G1884" i="12"/>
  <c r="F1884" i="12"/>
  <c r="E1884" i="12"/>
  <c r="D1884" i="12"/>
  <c r="C1884" i="12"/>
  <c r="B1884" i="12"/>
  <c r="A1884" i="12"/>
  <c r="G1883" i="12"/>
  <c r="F1883" i="12"/>
  <c r="E1883" i="12"/>
  <c r="D1883" i="12"/>
  <c r="C1883" i="12"/>
  <c r="B1883" i="12"/>
  <c r="A1883" i="12"/>
  <c r="F1882" i="12"/>
  <c r="E1882" i="12"/>
  <c r="D1882" i="12"/>
  <c r="C1882" i="12"/>
  <c r="B1882" i="12"/>
  <c r="G1882" i="12" s="1"/>
  <c r="A1882" i="12"/>
  <c r="G1881" i="12"/>
  <c r="F1881" i="12"/>
  <c r="E1881" i="12"/>
  <c r="D1881" i="12"/>
  <c r="C1881" i="12"/>
  <c r="B1881" i="12"/>
  <c r="A1881" i="12"/>
  <c r="G1880" i="12"/>
  <c r="F1880" i="12"/>
  <c r="E1880" i="12"/>
  <c r="D1880" i="12"/>
  <c r="C1880" i="12"/>
  <c r="B1880" i="12"/>
  <c r="A1880" i="12"/>
  <c r="G1879" i="12"/>
  <c r="F1879" i="12"/>
  <c r="E1879" i="12"/>
  <c r="D1879" i="12"/>
  <c r="C1879" i="12"/>
  <c r="B1879" i="12"/>
  <c r="A1879" i="12"/>
  <c r="F1878" i="12"/>
  <c r="E1878" i="12"/>
  <c r="D1878" i="12"/>
  <c r="C1878" i="12"/>
  <c r="B1878" i="12"/>
  <c r="G1878" i="12" s="1"/>
  <c r="A1878" i="12"/>
  <c r="G1877" i="12"/>
  <c r="F1877" i="12"/>
  <c r="E1877" i="12"/>
  <c r="D1877" i="12"/>
  <c r="C1877" i="12"/>
  <c r="B1877" i="12"/>
  <c r="A1877" i="12"/>
  <c r="G1876" i="12"/>
  <c r="F1876" i="12"/>
  <c r="E1876" i="12"/>
  <c r="D1876" i="12"/>
  <c r="C1876" i="12"/>
  <c r="B1876" i="12"/>
  <c r="A1876" i="12"/>
  <c r="G1875" i="12"/>
  <c r="F1875" i="12"/>
  <c r="E1875" i="12"/>
  <c r="D1875" i="12"/>
  <c r="C1875" i="12"/>
  <c r="B1875" i="12"/>
  <c r="A1875" i="12"/>
  <c r="F1874" i="12"/>
  <c r="E1874" i="12"/>
  <c r="D1874" i="12"/>
  <c r="C1874" i="12"/>
  <c r="B1874" i="12"/>
  <c r="G1874" i="12" s="1"/>
  <c r="A1874" i="12"/>
  <c r="G1873" i="12"/>
  <c r="F1873" i="12"/>
  <c r="E1873" i="12"/>
  <c r="D1873" i="12"/>
  <c r="C1873" i="12"/>
  <c r="B1873" i="12"/>
  <c r="A1873" i="12"/>
  <c r="G1872" i="12"/>
  <c r="F1872" i="12"/>
  <c r="E1872" i="12"/>
  <c r="D1872" i="12"/>
  <c r="C1872" i="12"/>
  <c r="B1872" i="12"/>
  <c r="A1872" i="12"/>
  <c r="G1871" i="12"/>
  <c r="F1871" i="12"/>
  <c r="E1871" i="12"/>
  <c r="D1871" i="12"/>
  <c r="C1871" i="12"/>
  <c r="B1871" i="12"/>
  <c r="A1871" i="12"/>
  <c r="F1870" i="12"/>
  <c r="E1870" i="12"/>
  <c r="D1870" i="12"/>
  <c r="C1870" i="12"/>
  <c r="B1870" i="12"/>
  <c r="G1870" i="12" s="1"/>
  <c r="A1870" i="12"/>
  <c r="G1869" i="12"/>
  <c r="F1869" i="12"/>
  <c r="E1869" i="12"/>
  <c r="D1869" i="12"/>
  <c r="C1869" i="12"/>
  <c r="B1869" i="12"/>
  <c r="A1869" i="12"/>
  <c r="G1868" i="12"/>
  <c r="F1868" i="12"/>
  <c r="E1868" i="12"/>
  <c r="D1868" i="12"/>
  <c r="C1868" i="12"/>
  <c r="B1868" i="12"/>
  <c r="A1868" i="12"/>
  <c r="G1867" i="12"/>
  <c r="F1867" i="12"/>
  <c r="E1867" i="12"/>
  <c r="D1867" i="12"/>
  <c r="C1867" i="12"/>
  <c r="B1867" i="12"/>
  <c r="A1867" i="12"/>
  <c r="F1866" i="12"/>
  <c r="E1866" i="12"/>
  <c r="D1866" i="12"/>
  <c r="C1866" i="12"/>
  <c r="B1866" i="12"/>
  <c r="G1866" i="12" s="1"/>
  <c r="A1866" i="12"/>
  <c r="G1865" i="12"/>
  <c r="F1865" i="12"/>
  <c r="E1865" i="12"/>
  <c r="D1865" i="12"/>
  <c r="C1865" i="12"/>
  <c r="B1865" i="12"/>
  <c r="A1865" i="12"/>
  <c r="G1864" i="12"/>
  <c r="F1864" i="12"/>
  <c r="E1864" i="12"/>
  <c r="D1864" i="12"/>
  <c r="C1864" i="12"/>
  <c r="B1864" i="12"/>
  <c r="A1864" i="12"/>
  <c r="G1863" i="12"/>
  <c r="F1863" i="12"/>
  <c r="E1863" i="12"/>
  <c r="D1863" i="12"/>
  <c r="C1863" i="12"/>
  <c r="B1863" i="12"/>
  <c r="A1863" i="12"/>
  <c r="F1862" i="12"/>
  <c r="E1862" i="12"/>
  <c r="D1862" i="12"/>
  <c r="C1862" i="12"/>
  <c r="B1862" i="12"/>
  <c r="G1862" i="12" s="1"/>
  <c r="A1862" i="12"/>
  <c r="G1861" i="12"/>
  <c r="F1861" i="12"/>
  <c r="E1861" i="12"/>
  <c r="D1861" i="12"/>
  <c r="C1861" i="12"/>
  <c r="B1861" i="12"/>
  <c r="A1861" i="12"/>
  <c r="G1860" i="12"/>
  <c r="F1860" i="12"/>
  <c r="E1860" i="12"/>
  <c r="D1860" i="12"/>
  <c r="C1860" i="12"/>
  <c r="B1860" i="12"/>
  <c r="A1860" i="12"/>
  <c r="G1859" i="12"/>
  <c r="F1859" i="12"/>
  <c r="E1859" i="12"/>
  <c r="D1859" i="12"/>
  <c r="C1859" i="12"/>
  <c r="B1859" i="12"/>
  <c r="A1859" i="12"/>
  <c r="F1858" i="12"/>
  <c r="E1858" i="12"/>
  <c r="D1858" i="12"/>
  <c r="C1858" i="12"/>
  <c r="B1858" i="12"/>
  <c r="G1858" i="12" s="1"/>
  <c r="A1858" i="12"/>
  <c r="G1857" i="12"/>
  <c r="F1857" i="12"/>
  <c r="E1857" i="12"/>
  <c r="D1857" i="12"/>
  <c r="C1857" i="12"/>
  <c r="B1857" i="12"/>
  <c r="A1857" i="12"/>
  <c r="G1856" i="12"/>
  <c r="F1856" i="12"/>
  <c r="E1856" i="12"/>
  <c r="D1856" i="12"/>
  <c r="C1856" i="12"/>
  <c r="B1856" i="12"/>
  <c r="A1856" i="12"/>
  <c r="G1855" i="12"/>
  <c r="F1855" i="12"/>
  <c r="E1855" i="12"/>
  <c r="D1855" i="12"/>
  <c r="C1855" i="12"/>
  <c r="B1855" i="12"/>
  <c r="A1855" i="12"/>
  <c r="F1854" i="12"/>
  <c r="E1854" i="12"/>
  <c r="D1854" i="12"/>
  <c r="C1854" i="12"/>
  <c r="B1854" i="12"/>
  <c r="G1854" i="12" s="1"/>
  <c r="A1854" i="12"/>
  <c r="G1853" i="12"/>
  <c r="F1853" i="12"/>
  <c r="E1853" i="12"/>
  <c r="D1853" i="12"/>
  <c r="C1853" i="12"/>
  <c r="B1853" i="12"/>
  <c r="A1853" i="12"/>
  <c r="G1852" i="12"/>
  <c r="F1852" i="12"/>
  <c r="E1852" i="12"/>
  <c r="D1852" i="12"/>
  <c r="C1852" i="12"/>
  <c r="B1852" i="12"/>
  <c r="A1852" i="12"/>
  <c r="G1851" i="12"/>
  <c r="F1851" i="12"/>
  <c r="E1851" i="12"/>
  <c r="D1851" i="12"/>
  <c r="C1851" i="12"/>
  <c r="B1851" i="12"/>
  <c r="A1851" i="12"/>
  <c r="F1850" i="12"/>
  <c r="E1850" i="12"/>
  <c r="D1850" i="12"/>
  <c r="C1850" i="12"/>
  <c r="B1850" i="12"/>
  <c r="G1850" i="12" s="1"/>
  <c r="A1850" i="12"/>
  <c r="G1849" i="12"/>
  <c r="F1849" i="12"/>
  <c r="E1849" i="12"/>
  <c r="D1849" i="12"/>
  <c r="C1849" i="12"/>
  <c r="B1849" i="12"/>
  <c r="A1849" i="12"/>
  <c r="G1848" i="12"/>
  <c r="F1848" i="12"/>
  <c r="E1848" i="12"/>
  <c r="D1848" i="12"/>
  <c r="C1848" i="12"/>
  <c r="B1848" i="12"/>
  <c r="A1848" i="12"/>
  <c r="G1847" i="12"/>
  <c r="F1847" i="12"/>
  <c r="E1847" i="12"/>
  <c r="D1847" i="12"/>
  <c r="C1847" i="12"/>
  <c r="B1847" i="12"/>
  <c r="A1847" i="12"/>
  <c r="F1846" i="12"/>
  <c r="E1846" i="12"/>
  <c r="D1846" i="12"/>
  <c r="C1846" i="12"/>
  <c r="B1846" i="12"/>
  <c r="G1846" i="12" s="1"/>
  <c r="A1846" i="12"/>
  <c r="G1845" i="12"/>
  <c r="F1845" i="12"/>
  <c r="E1845" i="12"/>
  <c r="D1845" i="12"/>
  <c r="C1845" i="12"/>
  <c r="B1845" i="12"/>
  <c r="A1845" i="12"/>
  <c r="G1844" i="12"/>
  <c r="F1844" i="12"/>
  <c r="E1844" i="12"/>
  <c r="D1844" i="12"/>
  <c r="C1844" i="12"/>
  <c r="B1844" i="12"/>
  <c r="A1844" i="12"/>
  <c r="G1843" i="12"/>
  <c r="F1843" i="12"/>
  <c r="E1843" i="12"/>
  <c r="D1843" i="12"/>
  <c r="C1843" i="12"/>
  <c r="B1843" i="12"/>
  <c r="A1843" i="12"/>
  <c r="F1842" i="12"/>
  <c r="E1842" i="12"/>
  <c r="D1842" i="12"/>
  <c r="C1842" i="12"/>
  <c r="B1842" i="12"/>
  <c r="G1842" i="12" s="1"/>
  <c r="A1842" i="12"/>
  <c r="G1841" i="12"/>
  <c r="F1841" i="12"/>
  <c r="E1841" i="12"/>
  <c r="D1841" i="12"/>
  <c r="C1841" i="12"/>
  <c r="B1841" i="12"/>
  <c r="A1841" i="12"/>
  <c r="G1840" i="12"/>
  <c r="F1840" i="12"/>
  <c r="E1840" i="12"/>
  <c r="D1840" i="12"/>
  <c r="C1840" i="12"/>
  <c r="B1840" i="12"/>
  <c r="A1840" i="12"/>
  <c r="G1839" i="12"/>
  <c r="F1839" i="12"/>
  <c r="E1839" i="12"/>
  <c r="D1839" i="12"/>
  <c r="C1839" i="12"/>
  <c r="B1839" i="12"/>
  <c r="A1839" i="12"/>
  <c r="F1838" i="12"/>
  <c r="E1838" i="12"/>
  <c r="D1838" i="12"/>
  <c r="C1838" i="12"/>
  <c r="B1838" i="12"/>
  <c r="G1838" i="12" s="1"/>
  <c r="A1838" i="12"/>
  <c r="G1837" i="12"/>
  <c r="F1837" i="12"/>
  <c r="E1837" i="12"/>
  <c r="D1837" i="12"/>
  <c r="C1837" i="12"/>
  <c r="B1837" i="12"/>
  <c r="A1837" i="12"/>
  <c r="G1836" i="12"/>
  <c r="F1836" i="12"/>
  <c r="E1836" i="12"/>
  <c r="D1836" i="12"/>
  <c r="C1836" i="12"/>
  <c r="B1836" i="12"/>
  <c r="A1836" i="12"/>
  <c r="G1835" i="12"/>
  <c r="F1835" i="12"/>
  <c r="E1835" i="12"/>
  <c r="D1835" i="12"/>
  <c r="C1835" i="12"/>
  <c r="B1835" i="12"/>
  <c r="A1835" i="12"/>
  <c r="F1834" i="12"/>
  <c r="E1834" i="12"/>
  <c r="D1834" i="12"/>
  <c r="C1834" i="12"/>
  <c r="B1834" i="12"/>
  <c r="G1834" i="12" s="1"/>
  <c r="A1834" i="12"/>
  <c r="G1833" i="12"/>
  <c r="F1833" i="12"/>
  <c r="E1833" i="12"/>
  <c r="D1833" i="12"/>
  <c r="C1833" i="12"/>
  <c r="B1833" i="12"/>
  <c r="A1833" i="12"/>
  <c r="G1832" i="12"/>
  <c r="F1832" i="12"/>
  <c r="E1832" i="12"/>
  <c r="D1832" i="12"/>
  <c r="C1832" i="12"/>
  <c r="B1832" i="12"/>
  <c r="A1832" i="12"/>
  <c r="F1831" i="12"/>
  <c r="E1831" i="12"/>
  <c r="D1831" i="12"/>
  <c r="C1831" i="12"/>
  <c r="B1831" i="12"/>
  <c r="G1831" i="12" s="1"/>
  <c r="A1831" i="12"/>
  <c r="F1830" i="12"/>
  <c r="E1830" i="12"/>
  <c r="D1830" i="12"/>
  <c r="C1830" i="12"/>
  <c r="B1830" i="12"/>
  <c r="G1830" i="12" s="1"/>
  <c r="A1830" i="12"/>
  <c r="G1829" i="12"/>
  <c r="F1829" i="12"/>
  <c r="E1829" i="12"/>
  <c r="D1829" i="12"/>
  <c r="C1829" i="12"/>
  <c r="B1829" i="12"/>
  <c r="A1829" i="12"/>
  <c r="G1828" i="12"/>
  <c r="F1828" i="12"/>
  <c r="E1828" i="12"/>
  <c r="D1828" i="12"/>
  <c r="C1828" i="12"/>
  <c r="B1828" i="12"/>
  <c r="A1828" i="12"/>
  <c r="F1827" i="12"/>
  <c r="E1827" i="12"/>
  <c r="D1827" i="12"/>
  <c r="C1827" i="12"/>
  <c r="B1827" i="12"/>
  <c r="G1827" i="12" s="1"/>
  <c r="A1827" i="12"/>
  <c r="F1826" i="12"/>
  <c r="E1826" i="12"/>
  <c r="D1826" i="12"/>
  <c r="C1826" i="12"/>
  <c r="B1826" i="12"/>
  <c r="G1826" i="12" s="1"/>
  <c r="A1826" i="12"/>
  <c r="G1825" i="12"/>
  <c r="F1825" i="12"/>
  <c r="E1825" i="12"/>
  <c r="D1825" i="12"/>
  <c r="C1825" i="12"/>
  <c r="B1825" i="12"/>
  <c r="A1825" i="12"/>
  <c r="G1824" i="12"/>
  <c r="F1824" i="12"/>
  <c r="E1824" i="12"/>
  <c r="D1824" i="12"/>
  <c r="C1824" i="12"/>
  <c r="B1824" i="12"/>
  <c r="A1824" i="12"/>
  <c r="F1823" i="12"/>
  <c r="E1823" i="12"/>
  <c r="D1823" i="12"/>
  <c r="C1823" i="12"/>
  <c r="B1823" i="12"/>
  <c r="G1823" i="12" s="1"/>
  <c r="A1823" i="12"/>
  <c r="F1822" i="12"/>
  <c r="E1822" i="12"/>
  <c r="D1822" i="12"/>
  <c r="C1822" i="12"/>
  <c r="B1822" i="12"/>
  <c r="G1822" i="12" s="1"/>
  <c r="A1822" i="12"/>
  <c r="G1821" i="12"/>
  <c r="F1821" i="12"/>
  <c r="E1821" i="12"/>
  <c r="D1821" i="12"/>
  <c r="C1821" i="12"/>
  <c r="B1821" i="12"/>
  <c r="A1821" i="12"/>
  <c r="G1820" i="12"/>
  <c r="F1820" i="12"/>
  <c r="E1820" i="12"/>
  <c r="D1820" i="12"/>
  <c r="C1820" i="12"/>
  <c r="B1820" i="12"/>
  <c r="A1820" i="12"/>
  <c r="G1819" i="12"/>
  <c r="F1819" i="12"/>
  <c r="E1819" i="12"/>
  <c r="D1819" i="12"/>
  <c r="C1819" i="12"/>
  <c r="B1819" i="12"/>
  <c r="A1819" i="12"/>
  <c r="F1818" i="12"/>
  <c r="E1818" i="12"/>
  <c r="D1818" i="12"/>
  <c r="C1818" i="12"/>
  <c r="B1818" i="12"/>
  <c r="G1818" i="12" s="1"/>
  <c r="A1818" i="12"/>
  <c r="G1817" i="12"/>
  <c r="F1817" i="12"/>
  <c r="E1817" i="12"/>
  <c r="D1817" i="12"/>
  <c r="C1817" i="12"/>
  <c r="B1817" i="12"/>
  <c r="A1817" i="12"/>
  <c r="G1816" i="12"/>
  <c r="F1816" i="12"/>
  <c r="E1816" i="12"/>
  <c r="D1816" i="12"/>
  <c r="C1816" i="12"/>
  <c r="B1816" i="12"/>
  <c r="A1816" i="12"/>
  <c r="F1815" i="12"/>
  <c r="E1815" i="12"/>
  <c r="D1815" i="12"/>
  <c r="C1815" i="12"/>
  <c r="B1815" i="12"/>
  <c r="G1815" i="12" s="1"/>
  <c r="A1815" i="12"/>
  <c r="F1814" i="12"/>
  <c r="E1814" i="12"/>
  <c r="D1814" i="12"/>
  <c r="C1814" i="12"/>
  <c r="B1814" i="12"/>
  <c r="G1814" i="12" s="1"/>
  <c r="A1814" i="12"/>
  <c r="G1813" i="12"/>
  <c r="F1813" i="12"/>
  <c r="E1813" i="12"/>
  <c r="D1813" i="12"/>
  <c r="C1813" i="12"/>
  <c r="B1813" i="12"/>
  <c r="A1813" i="12"/>
  <c r="G1812" i="12"/>
  <c r="F1812" i="12"/>
  <c r="E1812" i="12"/>
  <c r="D1812" i="12"/>
  <c r="C1812" i="12"/>
  <c r="B1812" i="12"/>
  <c r="A1812" i="12"/>
  <c r="F1811" i="12"/>
  <c r="E1811" i="12"/>
  <c r="D1811" i="12"/>
  <c r="C1811" i="12"/>
  <c r="B1811" i="12"/>
  <c r="G1811" i="12" s="1"/>
  <c r="A1811" i="12"/>
  <c r="F1810" i="12"/>
  <c r="E1810" i="12"/>
  <c r="D1810" i="12"/>
  <c r="C1810" i="12"/>
  <c r="B1810" i="12"/>
  <c r="G1810" i="12" s="1"/>
  <c r="A1810" i="12"/>
  <c r="G1809" i="12"/>
  <c r="F1809" i="12"/>
  <c r="E1809" i="12"/>
  <c r="D1809" i="12"/>
  <c r="C1809" i="12"/>
  <c r="B1809" i="12"/>
  <c r="A1809" i="12"/>
  <c r="G1808" i="12"/>
  <c r="F1808" i="12"/>
  <c r="E1808" i="12"/>
  <c r="D1808" i="12"/>
  <c r="C1808" i="12"/>
  <c r="B1808" i="12"/>
  <c r="A1808" i="12"/>
  <c r="F1807" i="12"/>
  <c r="E1807" i="12"/>
  <c r="D1807" i="12"/>
  <c r="C1807" i="12"/>
  <c r="B1807" i="12"/>
  <c r="G1807" i="12" s="1"/>
  <c r="A1807" i="12"/>
  <c r="F1806" i="12"/>
  <c r="E1806" i="12"/>
  <c r="D1806" i="12"/>
  <c r="C1806" i="12"/>
  <c r="B1806" i="12"/>
  <c r="G1806" i="12" s="1"/>
  <c r="A1806" i="12"/>
  <c r="G1805" i="12"/>
  <c r="F1805" i="12"/>
  <c r="E1805" i="12"/>
  <c r="D1805" i="12"/>
  <c r="C1805" i="12"/>
  <c r="B1805" i="12"/>
  <c r="A1805" i="12"/>
  <c r="G1804" i="12"/>
  <c r="F1804" i="12"/>
  <c r="E1804" i="12"/>
  <c r="D1804" i="12"/>
  <c r="C1804" i="12"/>
  <c r="B1804" i="12"/>
  <c r="A1804" i="12"/>
  <c r="G1803" i="12"/>
  <c r="F1803" i="12"/>
  <c r="E1803" i="12"/>
  <c r="D1803" i="12"/>
  <c r="C1803" i="12"/>
  <c r="B1803" i="12"/>
  <c r="A1803" i="12"/>
  <c r="F1802" i="12"/>
  <c r="E1802" i="12"/>
  <c r="D1802" i="12"/>
  <c r="C1802" i="12"/>
  <c r="B1802" i="12"/>
  <c r="G1802" i="12" s="1"/>
  <c r="A1802" i="12"/>
  <c r="G1801" i="12"/>
  <c r="F1801" i="12"/>
  <c r="E1801" i="12"/>
  <c r="D1801" i="12"/>
  <c r="C1801" i="12"/>
  <c r="B1801" i="12"/>
  <c r="A1801" i="12"/>
  <c r="G1800" i="12"/>
  <c r="F1800" i="12"/>
  <c r="E1800" i="12"/>
  <c r="D1800" i="12"/>
  <c r="C1800" i="12"/>
  <c r="B1800" i="12"/>
  <c r="A1800" i="12"/>
  <c r="F1799" i="12"/>
  <c r="E1799" i="12"/>
  <c r="D1799" i="12"/>
  <c r="C1799" i="12"/>
  <c r="B1799" i="12"/>
  <c r="G1799" i="12" s="1"/>
  <c r="A1799" i="12"/>
  <c r="F1798" i="12"/>
  <c r="E1798" i="12"/>
  <c r="D1798" i="12"/>
  <c r="C1798" i="12"/>
  <c r="B1798" i="12"/>
  <c r="G1798" i="12" s="1"/>
  <c r="A1798" i="12"/>
  <c r="G1797" i="12"/>
  <c r="F1797" i="12"/>
  <c r="E1797" i="12"/>
  <c r="D1797" i="12"/>
  <c r="C1797" i="12"/>
  <c r="B1797" i="12"/>
  <c r="A1797" i="12"/>
  <c r="G1796" i="12"/>
  <c r="F1796" i="12"/>
  <c r="E1796" i="12"/>
  <c r="D1796" i="12"/>
  <c r="C1796" i="12"/>
  <c r="B1796" i="12"/>
  <c r="A1796" i="12"/>
  <c r="F1795" i="12"/>
  <c r="E1795" i="12"/>
  <c r="D1795" i="12"/>
  <c r="C1795" i="12"/>
  <c r="B1795" i="12"/>
  <c r="G1795" i="12" s="1"/>
  <c r="A1795" i="12"/>
  <c r="F1794" i="12"/>
  <c r="E1794" i="12"/>
  <c r="D1794" i="12"/>
  <c r="C1794" i="12"/>
  <c r="B1794" i="12"/>
  <c r="G1794" i="12" s="1"/>
  <c r="A1794" i="12"/>
  <c r="G1793" i="12"/>
  <c r="F1793" i="12"/>
  <c r="E1793" i="12"/>
  <c r="D1793" i="12"/>
  <c r="C1793" i="12"/>
  <c r="B1793" i="12"/>
  <c r="A1793" i="12"/>
  <c r="G1792" i="12"/>
  <c r="F1792" i="12"/>
  <c r="E1792" i="12"/>
  <c r="D1792" i="12"/>
  <c r="C1792" i="12"/>
  <c r="B1792" i="12"/>
  <c r="A1792" i="12"/>
  <c r="F1791" i="12"/>
  <c r="E1791" i="12"/>
  <c r="D1791" i="12"/>
  <c r="C1791" i="12"/>
  <c r="B1791" i="12"/>
  <c r="G1791" i="12" s="1"/>
  <c r="A1791" i="12"/>
  <c r="F1790" i="12"/>
  <c r="E1790" i="12"/>
  <c r="D1790" i="12"/>
  <c r="C1790" i="12"/>
  <c r="B1790" i="12"/>
  <c r="G1790" i="12" s="1"/>
  <c r="A1790" i="12"/>
  <c r="G1789" i="12"/>
  <c r="F1789" i="12"/>
  <c r="E1789" i="12"/>
  <c r="D1789" i="12"/>
  <c r="C1789" i="12"/>
  <c r="B1789" i="12"/>
  <c r="A1789" i="12"/>
  <c r="G1788" i="12"/>
  <c r="F1788" i="12"/>
  <c r="E1788" i="12"/>
  <c r="D1788" i="12"/>
  <c r="C1788" i="12"/>
  <c r="B1788" i="12"/>
  <c r="A1788" i="12"/>
  <c r="G1787" i="12"/>
  <c r="F1787" i="12"/>
  <c r="E1787" i="12"/>
  <c r="D1787" i="12"/>
  <c r="C1787" i="12"/>
  <c r="B1787" i="12"/>
  <c r="A1787" i="12"/>
  <c r="F1786" i="12"/>
  <c r="E1786" i="12"/>
  <c r="D1786" i="12"/>
  <c r="C1786" i="12"/>
  <c r="B1786" i="12"/>
  <c r="G1786" i="12" s="1"/>
  <c r="A1786" i="12"/>
  <c r="G1785" i="12"/>
  <c r="F1785" i="12"/>
  <c r="E1785" i="12"/>
  <c r="D1785" i="12"/>
  <c r="C1785" i="12"/>
  <c r="B1785" i="12"/>
  <c r="A1785" i="12"/>
  <c r="G1784" i="12"/>
  <c r="F1784" i="12"/>
  <c r="E1784" i="12"/>
  <c r="D1784" i="12"/>
  <c r="C1784" i="12"/>
  <c r="B1784" i="12"/>
  <c r="A1784" i="12"/>
  <c r="F1783" i="12"/>
  <c r="E1783" i="12"/>
  <c r="D1783" i="12"/>
  <c r="C1783" i="12"/>
  <c r="B1783" i="12"/>
  <c r="G1783" i="12" s="1"/>
  <c r="A1783" i="12"/>
  <c r="F1782" i="12"/>
  <c r="E1782" i="12"/>
  <c r="D1782" i="12"/>
  <c r="C1782" i="12"/>
  <c r="B1782" i="12"/>
  <c r="G1782" i="12" s="1"/>
  <c r="A1782" i="12"/>
  <c r="G1781" i="12"/>
  <c r="F1781" i="12"/>
  <c r="E1781" i="12"/>
  <c r="D1781" i="12"/>
  <c r="C1781" i="12"/>
  <c r="B1781" i="12"/>
  <c r="A1781" i="12"/>
  <c r="G1780" i="12"/>
  <c r="F1780" i="12"/>
  <c r="E1780" i="12"/>
  <c r="D1780" i="12"/>
  <c r="C1780" i="12"/>
  <c r="B1780" i="12"/>
  <c r="A1780" i="12"/>
  <c r="F1779" i="12"/>
  <c r="E1779" i="12"/>
  <c r="D1779" i="12"/>
  <c r="C1779" i="12"/>
  <c r="B1779" i="12"/>
  <c r="G1779" i="12" s="1"/>
  <c r="A1779" i="12"/>
  <c r="F1778" i="12"/>
  <c r="E1778" i="12"/>
  <c r="D1778" i="12"/>
  <c r="C1778" i="12"/>
  <c r="B1778" i="12"/>
  <c r="G1778" i="12" s="1"/>
  <c r="A1778" i="12"/>
  <c r="G1777" i="12"/>
  <c r="F1777" i="12"/>
  <c r="E1777" i="12"/>
  <c r="D1777" i="12"/>
  <c r="C1777" i="12"/>
  <c r="B1777" i="12"/>
  <c r="A1777" i="12"/>
  <c r="F1776" i="12"/>
  <c r="E1776" i="12"/>
  <c r="D1776" i="12"/>
  <c r="C1776" i="12"/>
  <c r="B1776" i="12"/>
  <c r="G1776" i="12" s="1"/>
  <c r="A1776" i="12"/>
  <c r="F1775" i="12"/>
  <c r="E1775" i="12"/>
  <c r="D1775" i="12"/>
  <c r="C1775" i="12"/>
  <c r="B1775" i="12"/>
  <c r="G1775" i="12" s="1"/>
  <c r="A1775" i="12"/>
  <c r="F1774" i="12"/>
  <c r="E1774" i="12"/>
  <c r="D1774" i="12"/>
  <c r="C1774" i="12"/>
  <c r="B1774" i="12"/>
  <c r="G1774" i="12" s="1"/>
  <c r="A1774" i="12"/>
  <c r="G1773" i="12"/>
  <c r="F1773" i="12"/>
  <c r="E1773" i="12"/>
  <c r="D1773" i="12"/>
  <c r="C1773" i="12"/>
  <c r="B1773" i="12"/>
  <c r="A1773" i="12"/>
  <c r="F1772" i="12"/>
  <c r="E1772" i="12"/>
  <c r="D1772" i="12"/>
  <c r="C1772" i="12"/>
  <c r="B1772" i="12"/>
  <c r="G1772" i="12" s="1"/>
  <c r="A1772" i="12"/>
  <c r="G1771" i="12"/>
  <c r="F1771" i="12"/>
  <c r="E1771" i="12"/>
  <c r="D1771" i="12"/>
  <c r="C1771" i="12"/>
  <c r="B1771" i="12"/>
  <c r="A1771" i="12"/>
  <c r="F1770" i="12"/>
  <c r="E1770" i="12"/>
  <c r="D1770" i="12"/>
  <c r="C1770" i="12"/>
  <c r="B1770" i="12"/>
  <c r="G1770" i="12" s="1"/>
  <c r="A1770" i="12"/>
  <c r="G1769" i="12"/>
  <c r="F1769" i="12"/>
  <c r="E1769" i="12"/>
  <c r="D1769" i="12"/>
  <c r="C1769" i="12"/>
  <c r="B1769" i="12"/>
  <c r="A1769" i="12"/>
  <c r="G1768" i="12"/>
  <c r="F1768" i="12"/>
  <c r="E1768" i="12"/>
  <c r="D1768" i="12"/>
  <c r="C1768" i="12"/>
  <c r="B1768" i="12"/>
  <c r="A1768" i="12"/>
  <c r="F1767" i="12"/>
  <c r="E1767" i="12"/>
  <c r="D1767" i="12"/>
  <c r="C1767" i="12"/>
  <c r="B1767" i="12"/>
  <c r="G1767" i="12" s="1"/>
  <c r="A1767" i="12"/>
  <c r="F1766" i="12"/>
  <c r="E1766" i="12"/>
  <c r="D1766" i="12"/>
  <c r="C1766" i="12"/>
  <c r="B1766" i="12"/>
  <c r="G1766" i="12" s="1"/>
  <c r="A1766" i="12"/>
  <c r="G1765" i="12"/>
  <c r="F1765" i="12"/>
  <c r="E1765" i="12"/>
  <c r="D1765" i="12"/>
  <c r="C1765" i="12"/>
  <c r="B1765" i="12"/>
  <c r="A1765" i="12"/>
  <c r="F1764" i="12"/>
  <c r="E1764" i="12"/>
  <c r="D1764" i="12"/>
  <c r="C1764" i="12"/>
  <c r="B1764" i="12"/>
  <c r="G1764" i="12" s="1"/>
  <c r="A1764" i="12"/>
  <c r="F1763" i="12"/>
  <c r="E1763" i="12"/>
  <c r="D1763" i="12"/>
  <c r="C1763" i="12"/>
  <c r="B1763" i="12"/>
  <c r="G1763" i="12" s="1"/>
  <c r="A1763" i="12"/>
  <c r="F1762" i="12"/>
  <c r="E1762" i="12"/>
  <c r="D1762" i="12"/>
  <c r="C1762" i="12"/>
  <c r="B1762" i="12"/>
  <c r="G1762" i="12" s="1"/>
  <c r="A1762" i="12"/>
  <c r="G1761" i="12"/>
  <c r="F1761" i="12"/>
  <c r="E1761" i="12"/>
  <c r="D1761" i="12"/>
  <c r="C1761" i="12"/>
  <c r="B1761" i="12"/>
  <c r="A1761" i="12"/>
  <c r="F1760" i="12"/>
  <c r="E1760" i="12"/>
  <c r="D1760" i="12"/>
  <c r="C1760" i="12"/>
  <c r="B1760" i="12"/>
  <c r="G1760" i="12" s="1"/>
  <c r="A1760" i="12"/>
  <c r="F1759" i="12"/>
  <c r="E1759" i="12"/>
  <c r="D1759" i="12"/>
  <c r="C1759" i="12"/>
  <c r="B1759" i="12"/>
  <c r="G1759" i="12" s="1"/>
  <c r="A1759" i="12"/>
  <c r="F1758" i="12"/>
  <c r="E1758" i="12"/>
  <c r="D1758" i="12"/>
  <c r="C1758" i="12"/>
  <c r="B1758" i="12"/>
  <c r="G1758" i="12" s="1"/>
  <c r="A1758" i="12"/>
  <c r="G1757" i="12"/>
  <c r="F1757" i="12"/>
  <c r="E1757" i="12"/>
  <c r="D1757" i="12"/>
  <c r="C1757" i="12"/>
  <c r="B1757" i="12"/>
  <c r="A1757" i="12"/>
  <c r="F1756" i="12"/>
  <c r="E1756" i="12"/>
  <c r="D1756" i="12"/>
  <c r="C1756" i="12"/>
  <c r="B1756" i="12"/>
  <c r="G1756" i="12" s="1"/>
  <c r="A1756" i="12"/>
  <c r="G1755" i="12"/>
  <c r="F1755" i="12"/>
  <c r="E1755" i="12"/>
  <c r="D1755" i="12"/>
  <c r="C1755" i="12"/>
  <c r="B1755" i="12"/>
  <c r="A1755" i="12"/>
  <c r="F1754" i="12"/>
  <c r="E1754" i="12"/>
  <c r="D1754" i="12"/>
  <c r="C1754" i="12"/>
  <c r="B1754" i="12"/>
  <c r="G1754" i="12" s="1"/>
  <c r="A1754" i="12"/>
  <c r="G1753" i="12"/>
  <c r="F1753" i="12"/>
  <c r="E1753" i="12"/>
  <c r="D1753" i="12"/>
  <c r="C1753" i="12"/>
  <c r="B1753" i="12"/>
  <c r="A1753" i="12"/>
  <c r="G1752" i="12"/>
  <c r="F1752" i="12"/>
  <c r="E1752" i="12"/>
  <c r="D1752" i="12"/>
  <c r="C1752" i="12"/>
  <c r="B1752" i="12"/>
  <c r="A1752" i="12"/>
  <c r="F1751" i="12"/>
  <c r="E1751" i="12"/>
  <c r="D1751" i="12"/>
  <c r="C1751" i="12"/>
  <c r="B1751" i="12"/>
  <c r="G1751" i="12" s="1"/>
  <c r="A1751" i="12"/>
  <c r="F1750" i="12"/>
  <c r="E1750" i="12"/>
  <c r="D1750" i="12"/>
  <c r="C1750" i="12"/>
  <c r="B1750" i="12"/>
  <c r="G1750" i="12" s="1"/>
  <c r="A1750" i="12"/>
  <c r="G1749" i="12"/>
  <c r="F1749" i="12"/>
  <c r="E1749" i="12"/>
  <c r="D1749" i="12"/>
  <c r="C1749" i="12"/>
  <c r="B1749" i="12"/>
  <c r="A1749" i="12"/>
  <c r="F1748" i="12"/>
  <c r="E1748" i="12"/>
  <c r="D1748" i="12"/>
  <c r="C1748" i="12"/>
  <c r="B1748" i="12"/>
  <c r="G1748" i="12" s="1"/>
  <c r="A1748" i="12"/>
  <c r="F1747" i="12"/>
  <c r="E1747" i="12"/>
  <c r="D1747" i="12"/>
  <c r="C1747" i="12"/>
  <c r="B1747" i="12"/>
  <c r="G1747" i="12" s="1"/>
  <c r="A1747" i="12"/>
  <c r="F1746" i="12"/>
  <c r="E1746" i="12"/>
  <c r="D1746" i="12"/>
  <c r="C1746" i="12"/>
  <c r="B1746" i="12"/>
  <c r="G1746" i="12" s="1"/>
  <c r="A1746" i="12"/>
  <c r="G1745" i="12"/>
  <c r="F1745" i="12"/>
  <c r="E1745" i="12"/>
  <c r="D1745" i="12"/>
  <c r="C1745" i="12"/>
  <c r="B1745" i="12"/>
  <c r="A1745" i="12"/>
  <c r="F1744" i="12"/>
  <c r="E1744" i="12"/>
  <c r="D1744" i="12"/>
  <c r="C1744" i="12"/>
  <c r="B1744" i="12"/>
  <c r="G1744" i="12" s="1"/>
  <c r="A1744" i="12"/>
  <c r="F1743" i="12"/>
  <c r="E1743" i="12"/>
  <c r="D1743" i="12"/>
  <c r="C1743" i="12"/>
  <c r="B1743" i="12"/>
  <c r="G1743" i="12" s="1"/>
  <c r="A1743" i="12"/>
  <c r="F1742" i="12"/>
  <c r="E1742" i="12"/>
  <c r="D1742" i="12"/>
  <c r="C1742" i="12"/>
  <c r="B1742" i="12"/>
  <c r="G1742" i="12" s="1"/>
  <c r="A1742" i="12"/>
  <c r="G1741" i="12"/>
  <c r="F1741" i="12"/>
  <c r="E1741" i="12"/>
  <c r="D1741" i="12"/>
  <c r="C1741" i="12"/>
  <c r="B1741" i="12"/>
  <c r="A1741" i="12"/>
  <c r="F1740" i="12"/>
  <c r="E1740" i="12"/>
  <c r="D1740" i="12"/>
  <c r="C1740" i="12"/>
  <c r="B1740" i="12"/>
  <c r="G1740" i="12" s="1"/>
  <c r="A1740" i="12"/>
  <c r="G1739" i="12"/>
  <c r="F1739" i="12"/>
  <c r="E1739" i="12"/>
  <c r="D1739" i="12"/>
  <c r="C1739" i="12"/>
  <c r="B1739" i="12"/>
  <c r="A1739" i="12"/>
  <c r="F1738" i="12"/>
  <c r="E1738" i="12"/>
  <c r="D1738" i="12"/>
  <c r="C1738" i="12"/>
  <c r="B1738" i="12"/>
  <c r="G1738" i="12" s="1"/>
  <c r="A1738" i="12"/>
  <c r="G1737" i="12"/>
  <c r="F1737" i="12"/>
  <c r="E1737" i="12"/>
  <c r="D1737" i="12"/>
  <c r="C1737" i="12"/>
  <c r="B1737" i="12"/>
  <c r="A1737" i="12"/>
  <c r="G1736" i="12"/>
  <c r="F1736" i="12"/>
  <c r="E1736" i="12"/>
  <c r="D1736" i="12"/>
  <c r="C1736" i="12"/>
  <c r="B1736" i="12"/>
  <c r="A1736" i="12"/>
  <c r="F1735" i="12"/>
  <c r="E1735" i="12"/>
  <c r="D1735" i="12"/>
  <c r="C1735" i="12"/>
  <c r="B1735" i="12"/>
  <c r="G1735" i="12" s="1"/>
  <c r="A1735" i="12"/>
  <c r="F1734" i="12"/>
  <c r="E1734" i="12"/>
  <c r="D1734" i="12"/>
  <c r="C1734" i="12"/>
  <c r="B1734" i="12"/>
  <c r="G1734" i="12" s="1"/>
  <c r="A1734" i="12"/>
  <c r="G1733" i="12"/>
  <c r="F1733" i="12"/>
  <c r="E1733" i="12"/>
  <c r="D1733" i="12"/>
  <c r="C1733" i="12"/>
  <c r="B1733" i="12"/>
  <c r="A1733" i="12"/>
  <c r="F1732" i="12"/>
  <c r="E1732" i="12"/>
  <c r="D1732" i="12"/>
  <c r="C1732" i="12"/>
  <c r="B1732" i="12"/>
  <c r="G1732" i="12" s="1"/>
  <c r="A1732" i="12"/>
  <c r="F1731" i="12"/>
  <c r="E1731" i="12"/>
  <c r="D1731" i="12"/>
  <c r="C1731" i="12"/>
  <c r="B1731" i="12"/>
  <c r="G1731" i="12" s="1"/>
  <c r="A1731" i="12"/>
  <c r="F1730" i="12"/>
  <c r="E1730" i="12"/>
  <c r="D1730" i="12"/>
  <c r="C1730" i="12"/>
  <c r="B1730" i="12"/>
  <c r="G1730" i="12" s="1"/>
  <c r="A1730" i="12"/>
  <c r="G1729" i="12"/>
  <c r="F1729" i="12"/>
  <c r="E1729" i="12"/>
  <c r="D1729" i="12"/>
  <c r="C1729" i="12"/>
  <c r="B1729" i="12"/>
  <c r="A1729" i="12"/>
  <c r="F1728" i="12"/>
  <c r="E1728" i="12"/>
  <c r="D1728" i="12"/>
  <c r="C1728" i="12"/>
  <c r="B1728" i="12"/>
  <c r="G1728" i="12" s="1"/>
  <c r="A1728" i="12"/>
  <c r="F1727" i="12"/>
  <c r="E1727" i="12"/>
  <c r="D1727" i="12"/>
  <c r="C1727" i="12"/>
  <c r="B1727" i="12"/>
  <c r="G1727" i="12" s="1"/>
  <c r="A1727" i="12"/>
  <c r="F1726" i="12"/>
  <c r="E1726" i="12"/>
  <c r="D1726" i="12"/>
  <c r="C1726" i="12"/>
  <c r="B1726" i="12"/>
  <c r="G1726" i="12" s="1"/>
  <c r="A1726" i="12"/>
  <c r="G1725" i="12"/>
  <c r="F1725" i="12"/>
  <c r="E1725" i="12"/>
  <c r="D1725" i="12"/>
  <c r="C1725" i="12"/>
  <c r="B1725" i="12"/>
  <c r="A1725" i="12"/>
  <c r="F1724" i="12"/>
  <c r="E1724" i="12"/>
  <c r="D1724" i="12"/>
  <c r="C1724" i="12"/>
  <c r="B1724" i="12"/>
  <c r="G1724" i="12" s="1"/>
  <c r="A1724" i="12"/>
  <c r="G1723" i="12"/>
  <c r="F1723" i="12"/>
  <c r="E1723" i="12"/>
  <c r="D1723" i="12"/>
  <c r="C1723" i="12"/>
  <c r="B1723" i="12"/>
  <c r="A1723" i="12"/>
  <c r="F1722" i="12"/>
  <c r="E1722" i="12"/>
  <c r="D1722" i="12"/>
  <c r="C1722" i="12"/>
  <c r="B1722" i="12"/>
  <c r="G1722" i="12" s="1"/>
  <c r="A1722" i="12"/>
  <c r="G1721" i="12"/>
  <c r="F1721" i="12"/>
  <c r="E1721" i="12"/>
  <c r="D1721" i="12"/>
  <c r="C1721" i="12"/>
  <c r="B1721" i="12"/>
  <c r="A1721" i="12"/>
  <c r="G1720" i="12"/>
  <c r="F1720" i="12"/>
  <c r="E1720" i="12"/>
  <c r="D1720" i="12"/>
  <c r="C1720" i="12"/>
  <c r="B1720" i="12"/>
  <c r="A1720" i="12"/>
  <c r="F1719" i="12"/>
  <c r="E1719" i="12"/>
  <c r="D1719" i="12"/>
  <c r="C1719" i="12"/>
  <c r="B1719" i="12"/>
  <c r="G1719" i="12" s="1"/>
  <c r="A1719" i="12"/>
  <c r="F1718" i="12"/>
  <c r="E1718" i="12"/>
  <c r="D1718" i="12"/>
  <c r="C1718" i="12"/>
  <c r="B1718" i="12"/>
  <c r="G1718" i="12" s="1"/>
  <c r="A1718" i="12"/>
  <c r="G1717" i="12"/>
  <c r="F1717" i="12"/>
  <c r="E1717" i="12"/>
  <c r="D1717" i="12"/>
  <c r="C1717" i="12"/>
  <c r="B1717" i="12"/>
  <c r="A1717" i="12"/>
  <c r="F1716" i="12"/>
  <c r="E1716" i="12"/>
  <c r="D1716" i="12"/>
  <c r="C1716" i="12"/>
  <c r="B1716" i="12"/>
  <c r="G1716" i="12" s="1"/>
  <c r="A1716" i="12"/>
  <c r="F1715" i="12"/>
  <c r="E1715" i="12"/>
  <c r="D1715" i="12"/>
  <c r="C1715" i="12"/>
  <c r="B1715" i="12"/>
  <c r="G1715" i="12" s="1"/>
  <c r="A1715" i="12"/>
  <c r="F1714" i="12"/>
  <c r="E1714" i="12"/>
  <c r="D1714" i="12"/>
  <c r="C1714" i="12"/>
  <c r="B1714" i="12"/>
  <c r="G1714" i="12" s="1"/>
  <c r="A1714" i="12"/>
  <c r="G1713" i="12"/>
  <c r="F1713" i="12"/>
  <c r="E1713" i="12"/>
  <c r="D1713" i="12"/>
  <c r="C1713" i="12"/>
  <c r="B1713" i="12"/>
  <c r="A1713" i="12"/>
  <c r="F1712" i="12"/>
  <c r="E1712" i="12"/>
  <c r="D1712" i="12"/>
  <c r="C1712" i="12"/>
  <c r="B1712" i="12"/>
  <c r="G1712" i="12" s="1"/>
  <c r="A1712" i="12"/>
  <c r="F1711" i="12"/>
  <c r="E1711" i="12"/>
  <c r="D1711" i="12"/>
  <c r="C1711" i="12"/>
  <c r="B1711" i="12"/>
  <c r="G1711" i="12" s="1"/>
  <c r="A1711" i="12"/>
  <c r="F1710" i="12"/>
  <c r="E1710" i="12"/>
  <c r="D1710" i="12"/>
  <c r="C1710" i="12"/>
  <c r="B1710" i="12"/>
  <c r="G1710" i="12" s="1"/>
  <c r="A1710" i="12"/>
  <c r="G1709" i="12"/>
  <c r="F1709" i="12"/>
  <c r="E1709" i="12"/>
  <c r="D1709" i="12"/>
  <c r="C1709" i="12"/>
  <c r="B1709" i="12"/>
  <c r="A1709" i="12"/>
  <c r="F1708" i="12"/>
  <c r="E1708" i="12"/>
  <c r="D1708" i="12"/>
  <c r="C1708" i="12"/>
  <c r="B1708" i="12"/>
  <c r="G1708" i="12" s="1"/>
  <c r="A1708" i="12"/>
  <c r="G1707" i="12"/>
  <c r="F1707" i="12"/>
  <c r="E1707" i="12"/>
  <c r="D1707" i="12"/>
  <c r="C1707" i="12"/>
  <c r="B1707" i="12"/>
  <c r="A1707" i="12"/>
  <c r="F1706" i="12"/>
  <c r="E1706" i="12"/>
  <c r="D1706" i="12"/>
  <c r="C1706" i="12"/>
  <c r="B1706" i="12"/>
  <c r="G1706" i="12" s="1"/>
  <c r="A1706" i="12"/>
  <c r="G1705" i="12"/>
  <c r="F1705" i="12"/>
  <c r="E1705" i="12"/>
  <c r="D1705" i="12"/>
  <c r="C1705" i="12"/>
  <c r="B1705" i="12"/>
  <c r="A1705" i="12"/>
  <c r="G1704" i="12"/>
  <c r="F1704" i="12"/>
  <c r="E1704" i="12"/>
  <c r="D1704" i="12"/>
  <c r="C1704" i="12"/>
  <c r="B1704" i="12"/>
  <c r="A1704" i="12"/>
  <c r="F1703" i="12"/>
  <c r="E1703" i="12"/>
  <c r="D1703" i="12"/>
  <c r="C1703" i="12"/>
  <c r="B1703" i="12"/>
  <c r="G1703" i="12" s="1"/>
  <c r="A1703" i="12"/>
  <c r="F1702" i="12"/>
  <c r="E1702" i="12"/>
  <c r="D1702" i="12"/>
  <c r="C1702" i="12"/>
  <c r="B1702" i="12"/>
  <c r="G1702" i="12" s="1"/>
  <c r="A1702" i="12"/>
  <c r="G1701" i="12"/>
  <c r="F1701" i="12"/>
  <c r="E1701" i="12"/>
  <c r="D1701" i="12"/>
  <c r="C1701" i="12"/>
  <c r="B1701" i="12"/>
  <c r="A1701" i="12"/>
  <c r="F1700" i="12"/>
  <c r="E1700" i="12"/>
  <c r="D1700" i="12"/>
  <c r="C1700" i="12"/>
  <c r="B1700" i="12"/>
  <c r="G1700" i="12" s="1"/>
  <c r="A1700" i="12"/>
  <c r="F1699" i="12"/>
  <c r="E1699" i="12"/>
  <c r="D1699" i="12"/>
  <c r="C1699" i="12"/>
  <c r="B1699" i="12"/>
  <c r="G1699" i="12" s="1"/>
  <c r="A1699" i="12"/>
  <c r="F1698" i="12"/>
  <c r="E1698" i="12"/>
  <c r="D1698" i="12"/>
  <c r="C1698" i="12"/>
  <c r="B1698" i="12"/>
  <c r="G1698" i="12" s="1"/>
  <c r="A1698" i="12"/>
  <c r="G1697" i="12"/>
  <c r="F1697" i="12"/>
  <c r="E1697" i="12"/>
  <c r="D1697" i="12"/>
  <c r="C1697" i="12"/>
  <c r="B1697" i="12"/>
  <c r="A1697" i="12"/>
  <c r="F1696" i="12"/>
  <c r="E1696" i="12"/>
  <c r="D1696" i="12"/>
  <c r="C1696" i="12"/>
  <c r="B1696" i="12"/>
  <c r="G1696" i="12" s="1"/>
  <c r="A1696" i="12"/>
  <c r="F1695" i="12"/>
  <c r="E1695" i="12"/>
  <c r="D1695" i="12"/>
  <c r="C1695" i="12"/>
  <c r="B1695" i="12"/>
  <c r="G1695" i="12" s="1"/>
  <c r="A1695" i="12"/>
  <c r="F1694" i="12"/>
  <c r="E1694" i="12"/>
  <c r="D1694" i="12"/>
  <c r="C1694" i="12"/>
  <c r="B1694" i="12"/>
  <c r="G1694" i="12" s="1"/>
  <c r="A1694" i="12"/>
  <c r="G1693" i="12"/>
  <c r="F1693" i="12"/>
  <c r="E1693" i="12"/>
  <c r="D1693" i="12"/>
  <c r="C1693" i="12"/>
  <c r="B1693" i="12"/>
  <c r="A1693" i="12"/>
  <c r="F1692" i="12"/>
  <c r="E1692" i="12"/>
  <c r="D1692" i="12"/>
  <c r="C1692" i="12"/>
  <c r="B1692" i="12"/>
  <c r="G1692" i="12" s="1"/>
  <c r="A1692" i="12"/>
  <c r="G1691" i="12"/>
  <c r="F1691" i="12"/>
  <c r="E1691" i="12"/>
  <c r="D1691" i="12"/>
  <c r="C1691" i="12"/>
  <c r="B1691" i="12"/>
  <c r="A1691" i="12"/>
  <c r="F1690" i="12"/>
  <c r="E1690" i="12"/>
  <c r="D1690" i="12"/>
  <c r="C1690" i="12"/>
  <c r="B1690" i="12"/>
  <c r="G1690" i="12" s="1"/>
  <c r="A1690" i="12"/>
  <c r="G1689" i="12"/>
  <c r="F1689" i="12"/>
  <c r="E1689" i="12"/>
  <c r="D1689" i="12"/>
  <c r="C1689" i="12"/>
  <c r="B1689" i="12"/>
  <c r="A1689" i="12"/>
  <c r="G1688" i="12"/>
  <c r="F1688" i="12"/>
  <c r="E1688" i="12"/>
  <c r="D1688" i="12"/>
  <c r="C1688" i="12"/>
  <c r="B1688" i="12"/>
  <c r="A1688" i="12"/>
  <c r="F1687" i="12"/>
  <c r="E1687" i="12"/>
  <c r="D1687" i="12"/>
  <c r="C1687" i="12"/>
  <c r="B1687" i="12"/>
  <c r="G1687" i="12" s="1"/>
  <c r="A1687" i="12"/>
  <c r="F1686" i="12"/>
  <c r="E1686" i="12"/>
  <c r="D1686" i="12"/>
  <c r="C1686" i="12"/>
  <c r="B1686" i="12"/>
  <c r="G1686" i="12" s="1"/>
  <c r="A1686" i="12"/>
  <c r="G1685" i="12"/>
  <c r="F1685" i="12"/>
  <c r="E1685" i="12"/>
  <c r="D1685" i="12"/>
  <c r="C1685" i="12"/>
  <c r="B1685" i="12"/>
  <c r="A1685" i="12"/>
  <c r="F1684" i="12"/>
  <c r="E1684" i="12"/>
  <c r="D1684" i="12"/>
  <c r="C1684" i="12"/>
  <c r="B1684" i="12"/>
  <c r="G1684" i="12" s="1"/>
  <c r="A1684" i="12"/>
  <c r="F1683" i="12"/>
  <c r="E1683" i="12"/>
  <c r="D1683" i="12"/>
  <c r="C1683" i="12"/>
  <c r="B1683" i="12"/>
  <c r="G1683" i="12" s="1"/>
  <c r="A1683" i="12"/>
  <c r="F1682" i="12"/>
  <c r="E1682" i="12"/>
  <c r="D1682" i="12"/>
  <c r="C1682" i="12"/>
  <c r="B1682" i="12"/>
  <c r="G1682" i="12" s="1"/>
  <c r="A1682" i="12"/>
  <c r="G1681" i="12"/>
  <c r="F1681" i="12"/>
  <c r="E1681" i="12"/>
  <c r="D1681" i="12"/>
  <c r="C1681" i="12"/>
  <c r="B1681" i="12"/>
  <c r="A1681" i="12"/>
  <c r="F1680" i="12"/>
  <c r="E1680" i="12"/>
  <c r="D1680" i="12"/>
  <c r="C1680" i="12"/>
  <c r="B1680" i="12"/>
  <c r="G1680" i="12" s="1"/>
  <c r="A1680" i="12"/>
  <c r="F1679" i="12"/>
  <c r="E1679" i="12"/>
  <c r="D1679" i="12"/>
  <c r="C1679" i="12"/>
  <c r="B1679" i="12"/>
  <c r="G1679" i="12" s="1"/>
  <c r="A1679" i="12"/>
  <c r="F1678" i="12"/>
  <c r="E1678" i="12"/>
  <c r="D1678" i="12"/>
  <c r="C1678" i="12"/>
  <c r="B1678" i="12"/>
  <c r="G1678" i="12" s="1"/>
  <c r="A1678" i="12"/>
  <c r="G1677" i="12"/>
  <c r="F1677" i="12"/>
  <c r="E1677" i="12"/>
  <c r="D1677" i="12"/>
  <c r="C1677" i="12"/>
  <c r="B1677" i="12"/>
  <c r="A1677" i="12"/>
  <c r="F1676" i="12"/>
  <c r="E1676" i="12"/>
  <c r="D1676" i="12"/>
  <c r="C1676" i="12"/>
  <c r="B1676" i="12"/>
  <c r="G1676" i="12" s="1"/>
  <c r="A1676" i="12"/>
  <c r="G1675" i="12"/>
  <c r="F1675" i="12"/>
  <c r="E1675" i="12"/>
  <c r="D1675" i="12"/>
  <c r="C1675" i="12"/>
  <c r="B1675" i="12"/>
  <c r="A1675" i="12"/>
  <c r="F1674" i="12"/>
  <c r="E1674" i="12"/>
  <c r="D1674" i="12"/>
  <c r="C1674" i="12"/>
  <c r="B1674" i="12"/>
  <c r="G1674" i="12" s="1"/>
  <c r="A1674" i="12"/>
  <c r="G1673" i="12"/>
  <c r="F1673" i="12"/>
  <c r="E1673" i="12"/>
  <c r="D1673" i="12"/>
  <c r="C1673" i="12"/>
  <c r="B1673" i="12"/>
  <c r="A1673" i="12"/>
  <c r="G1672" i="12"/>
  <c r="F1672" i="12"/>
  <c r="E1672" i="12"/>
  <c r="D1672" i="12"/>
  <c r="C1672" i="12"/>
  <c r="B1672" i="12"/>
  <c r="A1672" i="12"/>
  <c r="F1671" i="12"/>
  <c r="E1671" i="12"/>
  <c r="D1671" i="12"/>
  <c r="C1671" i="12"/>
  <c r="B1671" i="12"/>
  <c r="G1671" i="12" s="1"/>
  <c r="A1671" i="12"/>
  <c r="F1670" i="12"/>
  <c r="E1670" i="12"/>
  <c r="D1670" i="12"/>
  <c r="C1670" i="12"/>
  <c r="B1670" i="12"/>
  <c r="G1670" i="12" s="1"/>
  <c r="A1670" i="12"/>
  <c r="G1669" i="12"/>
  <c r="F1669" i="12"/>
  <c r="E1669" i="12"/>
  <c r="D1669" i="12"/>
  <c r="C1669" i="12"/>
  <c r="B1669" i="12"/>
  <c r="A1669" i="12"/>
  <c r="F1668" i="12"/>
  <c r="E1668" i="12"/>
  <c r="D1668" i="12"/>
  <c r="C1668" i="12"/>
  <c r="B1668" i="12"/>
  <c r="G1668" i="12" s="1"/>
  <c r="A1668" i="12"/>
  <c r="F1667" i="12"/>
  <c r="E1667" i="12"/>
  <c r="D1667" i="12"/>
  <c r="C1667" i="12"/>
  <c r="B1667" i="12"/>
  <c r="G1667" i="12" s="1"/>
  <c r="A1667" i="12"/>
  <c r="F1666" i="12"/>
  <c r="E1666" i="12"/>
  <c r="D1666" i="12"/>
  <c r="C1666" i="12"/>
  <c r="B1666" i="12"/>
  <c r="G1666" i="12" s="1"/>
  <c r="A1666" i="12"/>
  <c r="G1665" i="12"/>
  <c r="F1665" i="12"/>
  <c r="E1665" i="12"/>
  <c r="D1665" i="12"/>
  <c r="C1665" i="12"/>
  <c r="B1665" i="12"/>
  <c r="A1665" i="12"/>
  <c r="F1664" i="12"/>
  <c r="E1664" i="12"/>
  <c r="D1664" i="12"/>
  <c r="C1664" i="12"/>
  <c r="B1664" i="12"/>
  <c r="G1664" i="12" s="1"/>
  <c r="A1664" i="12"/>
  <c r="F1663" i="12"/>
  <c r="E1663" i="12"/>
  <c r="D1663" i="12"/>
  <c r="C1663" i="12"/>
  <c r="B1663" i="12"/>
  <c r="G1663" i="12" s="1"/>
  <c r="A1663" i="12"/>
  <c r="F1662" i="12"/>
  <c r="E1662" i="12"/>
  <c r="D1662" i="12"/>
  <c r="C1662" i="12"/>
  <c r="B1662" i="12"/>
  <c r="G1662" i="12" s="1"/>
  <c r="A1662" i="12"/>
  <c r="F1661" i="12"/>
  <c r="E1661" i="12"/>
  <c r="D1661" i="12"/>
  <c r="C1661" i="12"/>
  <c r="B1661" i="12"/>
  <c r="G1661" i="12" s="1"/>
  <c r="A1661" i="12"/>
  <c r="F1660" i="12"/>
  <c r="E1660" i="12"/>
  <c r="D1660" i="12"/>
  <c r="C1660" i="12"/>
  <c r="B1660" i="12"/>
  <c r="G1660" i="12" s="1"/>
  <c r="A1660" i="12"/>
  <c r="G1659" i="12"/>
  <c r="F1659" i="12"/>
  <c r="E1659" i="12"/>
  <c r="D1659" i="12"/>
  <c r="C1659" i="12"/>
  <c r="B1659" i="12"/>
  <c r="A1659" i="12"/>
  <c r="G1658" i="12"/>
  <c r="F1658" i="12"/>
  <c r="E1658" i="12"/>
  <c r="D1658" i="12"/>
  <c r="C1658" i="12"/>
  <c r="B1658" i="12"/>
  <c r="A1658" i="12"/>
  <c r="F1657" i="12"/>
  <c r="E1657" i="12"/>
  <c r="D1657" i="12"/>
  <c r="C1657" i="12"/>
  <c r="B1657" i="12"/>
  <c r="G1657" i="12" s="1"/>
  <c r="A1657" i="12"/>
  <c r="F1656" i="12"/>
  <c r="E1656" i="12"/>
  <c r="D1656" i="12"/>
  <c r="C1656" i="12"/>
  <c r="B1656" i="12"/>
  <c r="G1656" i="12" s="1"/>
  <c r="A1656" i="12"/>
  <c r="G1655" i="12"/>
  <c r="F1655" i="12"/>
  <c r="E1655" i="12"/>
  <c r="D1655" i="12"/>
  <c r="C1655" i="12"/>
  <c r="B1655" i="12"/>
  <c r="A1655" i="12"/>
  <c r="F1654" i="12"/>
  <c r="E1654" i="12"/>
  <c r="D1654" i="12"/>
  <c r="C1654" i="12"/>
  <c r="B1654" i="12"/>
  <c r="G1654" i="12" s="1"/>
  <c r="A1654" i="12"/>
  <c r="F1653" i="12"/>
  <c r="E1653" i="12"/>
  <c r="D1653" i="12"/>
  <c r="C1653" i="12"/>
  <c r="B1653" i="12"/>
  <c r="G1653" i="12" s="1"/>
  <c r="A1653" i="12"/>
  <c r="F1652" i="12"/>
  <c r="E1652" i="12"/>
  <c r="D1652" i="12"/>
  <c r="C1652" i="12"/>
  <c r="B1652" i="12"/>
  <c r="G1652" i="12" s="1"/>
  <c r="A1652" i="12"/>
  <c r="G1651" i="12"/>
  <c r="F1651" i="12"/>
  <c r="E1651" i="12"/>
  <c r="D1651" i="12"/>
  <c r="C1651" i="12"/>
  <c r="B1651" i="12"/>
  <c r="A1651" i="12"/>
  <c r="G1650" i="12"/>
  <c r="F1650" i="12"/>
  <c r="E1650" i="12"/>
  <c r="D1650" i="12"/>
  <c r="C1650" i="12"/>
  <c r="B1650" i="12"/>
  <c r="A1650" i="12"/>
  <c r="F1649" i="12"/>
  <c r="E1649" i="12"/>
  <c r="D1649" i="12"/>
  <c r="C1649" i="12"/>
  <c r="B1649" i="12"/>
  <c r="G1649" i="12" s="1"/>
  <c r="A1649" i="12"/>
  <c r="F1648" i="12"/>
  <c r="E1648" i="12"/>
  <c r="D1648" i="12"/>
  <c r="C1648" i="12"/>
  <c r="B1648" i="12"/>
  <c r="G1648" i="12" s="1"/>
  <c r="A1648" i="12"/>
  <c r="G1647" i="12"/>
  <c r="F1647" i="12"/>
  <c r="E1647" i="12"/>
  <c r="D1647" i="12"/>
  <c r="C1647" i="12"/>
  <c r="B1647" i="12"/>
  <c r="A1647" i="12"/>
  <c r="F1646" i="12"/>
  <c r="E1646" i="12"/>
  <c r="D1646" i="12"/>
  <c r="C1646" i="12"/>
  <c r="B1646" i="12"/>
  <c r="G1646" i="12" s="1"/>
  <c r="A1646" i="12"/>
  <c r="F1645" i="12"/>
  <c r="E1645" i="12"/>
  <c r="D1645" i="12"/>
  <c r="C1645" i="12"/>
  <c r="B1645" i="12"/>
  <c r="G1645" i="12" s="1"/>
  <c r="A1645" i="12"/>
  <c r="F1644" i="12"/>
  <c r="E1644" i="12"/>
  <c r="D1644" i="12"/>
  <c r="C1644" i="12"/>
  <c r="B1644" i="12"/>
  <c r="G1644" i="12" s="1"/>
  <c r="A1644" i="12"/>
  <c r="G1643" i="12"/>
  <c r="F1643" i="12"/>
  <c r="E1643" i="12"/>
  <c r="D1643" i="12"/>
  <c r="C1643" i="12"/>
  <c r="B1643" i="12"/>
  <c r="A1643" i="12"/>
  <c r="G1642" i="12"/>
  <c r="F1642" i="12"/>
  <c r="E1642" i="12"/>
  <c r="D1642" i="12"/>
  <c r="C1642" i="12"/>
  <c r="B1642" i="12"/>
  <c r="A1642" i="12"/>
  <c r="F1641" i="12"/>
  <c r="E1641" i="12"/>
  <c r="D1641" i="12"/>
  <c r="C1641" i="12"/>
  <c r="B1641" i="12"/>
  <c r="G1641" i="12" s="1"/>
  <c r="A1641" i="12"/>
  <c r="F1640" i="12"/>
  <c r="E1640" i="12"/>
  <c r="D1640" i="12"/>
  <c r="C1640" i="12"/>
  <c r="B1640" i="12"/>
  <c r="G1640" i="12" s="1"/>
  <c r="A1640" i="12"/>
  <c r="G1639" i="12"/>
  <c r="F1639" i="12"/>
  <c r="E1639" i="12"/>
  <c r="D1639" i="12"/>
  <c r="C1639" i="12"/>
  <c r="B1639" i="12"/>
  <c r="A1639" i="12"/>
  <c r="F1638" i="12"/>
  <c r="E1638" i="12"/>
  <c r="D1638" i="12"/>
  <c r="C1638" i="12"/>
  <c r="B1638" i="12"/>
  <c r="G1638" i="12" s="1"/>
  <c r="A1638" i="12"/>
  <c r="F1637" i="12"/>
  <c r="E1637" i="12"/>
  <c r="D1637" i="12"/>
  <c r="C1637" i="12"/>
  <c r="B1637" i="12"/>
  <c r="G1637" i="12" s="1"/>
  <c r="A1637" i="12"/>
  <c r="F1636" i="12"/>
  <c r="E1636" i="12"/>
  <c r="D1636" i="12"/>
  <c r="C1636" i="12"/>
  <c r="B1636" i="12"/>
  <c r="G1636" i="12" s="1"/>
  <c r="A1636" i="12"/>
  <c r="G1635" i="12"/>
  <c r="F1635" i="12"/>
  <c r="E1635" i="12"/>
  <c r="D1635" i="12"/>
  <c r="C1635" i="12"/>
  <c r="B1635" i="12"/>
  <c r="A1635" i="12"/>
  <c r="G1634" i="12"/>
  <c r="F1634" i="12"/>
  <c r="E1634" i="12"/>
  <c r="D1634" i="12"/>
  <c r="C1634" i="12"/>
  <c r="B1634" i="12"/>
  <c r="A1634" i="12"/>
  <c r="F1633" i="12"/>
  <c r="E1633" i="12"/>
  <c r="D1633" i="12"/>
  <c r="C1633" i="12"/>
  <c r="B1633" i="12"/>
  <c r="G1633" i="12" s="1"/>
  <c r="A1633" i="12"/>
  <c r="F1632" i="12"/>
  <c r="E1632" i="12"/>
  <c r="D1632" i="12"/>
  <c r="C1632" i="12"/>
  <c r="B1632" i="12"/>
  <c r="G1632" i="12" s="1"/>
  <c r="A1632" i="12"/>
  <c r="G1631" i="12"/>
  <c r="F1631" i="12"/>
  <c r="E1631" i="12"/>
  <c r="D1631" i="12"/>
  <c r="C1631" i="12"/>
  <c r="B1631" i="12"/>
  <c r="A1631" i="12"/>
  <c r="F1630" i="12"/>
  <c r="E1630" i="12"/>
  <c r="D1630" i="12"/>
  <c r="C1630" i="12"/>
  <c r="B1630" i="12"/>
  <c r="G1630" i="12" s="1"/>
  <c r="A1630" i="12"/>
  <c r="F1629" i="12"/>
  <c r="E1629" i="12"/>
  <c r="D1629" i="12"/>
  <c r="C1629" i="12"/>
  <c r="B1629" i="12"/>
  <c r="G1629" i="12" s="1"/>
  <c r="A1629" i="12"/>
  <c r="F1628" i="12"/>
  <c r="E1628" i="12"/>
  <c r="D1628" i="12"/>
  <c r="C1628" i="12"/>
  <c r="B1628" i="12"/>
  <c r="G1628" i="12" s="1"/>
  <c r="A1628" i="12"/>
  <c r="G1627" i="12"/>
  <c r="F1627" i="12"/>
  <c r="E1627" i="12"/>
  <c r="D1627" i="12"/>
  <c r="C1627" i="12"/>
  <c r="B1627" i="12"/>
  <c r="A1627" i="12"/>
  <c r="G1626" i="12"/>
  <c r="F1626" i="12"/>
  <c r="E1626" i="12"/>
  <c r="D1626" i="12"/>
  <c r="C1626" i="12"/>
  <c r="B1626" i="12"/>
  <c r="A1626" i="12"/>
  <c r="F1625" i="12"/>
  <c r="E1625" i="12"/>
  <c r="D1625" i="12"/>
  <c r="C1625" i="12"/>
  <c r="B1625" i="12"/>
  <c r="G1625" i="12" s="1"/>
  <c r="A1625" i="12"/>
  <c r="F1624" i="12"/>
  <c r="E1624" i="12"/>
  <c r="D1624" i="12"/>
  <c r="C1624" i="12"/>
  <c r="B1624" i="12"/>
  <c r="G1624" i="12" s="1"/>
  <c r="A1624" i="12"/>
  <c r="G1623" i="12"/>
  <c r="F1623" i="12"/>
  <c r="E1623" i="12"/>
  <c r="D1623" i="12"/>
  <c r="C1623" i="12"/>
  <c r="B1623" i="12"/>
  <c r="A1623" i="12"/>
  <c r="F1622" i="12"/>
  <c r="E1622" i="12"/>
  <c r="D1622" i="12"/>
  <c r="C1622" i="12"/>
  <c r="B1622" i="12"/>
  <c r="G1622" i="12" s="1"/>
  <c r="A1622" i="12"/>
  <c r="F1621" i="12"/>
  <c r="E1621" i="12"/>
  <c r="D1621" i="12"/>
  <c r="C1621" i="12"/>
  <c r="B1621" i="12"/>
  <c r="G1621" i="12" s="1"/>
  <c r="A1621" i="12"/>
  <c r="F1620" i="12"/>
  <c r="E1620" i="12"/>
  <c r="D1620" i="12"/>
  <c r="C1620" i="12"/>
  <c r="B1620" i="12"/>
  <c r="G1620" i="12" s="1"/>
  <c r="A1620" i="12"/>
  <c r="G1619" i="12"/>
  <c r="F1619" i="12"/>
  <c r="E1619" i="12"/>
  <c r="D1619" i="12"/>
  <c r="C1619" i="12"/>
  <c r="B1619" i="12"/>
  <c r="A1619" i="12"/>
  <c r="G1618" i="12"/>
  <c r="F1618" i="12"/>
  <c r="E1618" i="12"/>
  <c r="D1618" i="12"/>
  <c r="C1618" i="12"/>
  <c r="B1618" i="12"/>
  <c r="A1618" i="12"/>
  <c r="F1617" i="12"/>
  <c r="E1617" i="12"/>
  <c r="D1617" i="12"/>
  <c r="C1617" i="12"/>
  <c r="B1617" i="12"/>
  <c r="G1617" i="12" s="1"/>
  <c r="A1617" i="12"/>
  <c r="F1616" i="12"/>
  <c r="E1616" i="12"/>
  <c r="D1616" i="12"/>
  <c r="C1616" i="12"/>
  <c r="B1616" i="12"/>
  <c r="G1616" i="12" s="1"/>
  <c r="A1616" i="12"/>
  <c r="G1615" i="12"/>
  <c r="F1615" i="12"/>
  <c r="E1615" i="12"/>
  <c r="D1615" i="12"/>
  <c r="C1615" i="12"/>
  <c r="B1615" i="12"/>
  <c r="A1615" i="12"/>
  <c r="F1614" i="12"/>
  <c r="E1614" i="12"/>
  <c r="D1614" i="12"/>
  <c r="C1614" i="12"/>
  <c r="B1614" i="12"/>
  <c r="G1614" i="12" s="1"/>
  <c r="A1614" i="12"/>
  <c r="F1613" i="12"/>
  <c r="E1613" i="12"/>
  <c r="D1613" i="12"/>
  <c r="C1613" i="12"/>
  <c r="B1613" i="12"/>
  <c r="G1613" i="12" s="1"/>
  <c r="A1613" i="12"/>
  <c r="F1612" i="12"/>
  <c r="E1612" i="12"/>
  <c r="D1612" i="12"/>
  <c r="C1612" i="12"/>
  <c r="B1612" i="12"/>
  <c r="G1612" i="12" s="1"/>
  <c r="A1612" i="12"/>
  <c r="G1611" i="12"/>
  <c r="F1611" i="12"/>
  <c r="E1611" i="12"/>
  <c r="D1611" i="12"/>
  <c r="C1611" i="12"/>
  <c r="B1611" i="12"/>
  <c r="A1611" i="12"/>
  <c r="G1610" i="12"/>
  <c r="F1610" i="12"/>
  <c r="E1610" i="12"/>
  <c r="D1610" i="12"/>
  <c r="C1610" i="12"/>
  <c r="B1610" i="12"/>
  <c r="A1610" i="12"/>
  <c r="F1609" i="12"/>
  <c r="E1609" i="12"/>
  <c r="D1609" i="12"/>
  <c r="C1609" i="12"/>
  <c r="B1609" i="12"/>
  <c r="G1609" i="12" s="1"/>
  <c r="A1609" i="12"/>
  <c r="F1608" i="12"/>
  <c r="E1608" i="12"/>
  <c r="D1608" i="12"/>
  <c r="C1608" i="12"/>
  <c r="B1608" i="12"/>
  <c r="G1608" i="12" s="1"/>
  <c r="A1608" i="12"/>
  <c r="G1607" i="12"/>
  <c r="F1607" i="12"/>
  <c r="E1607" i="12"/>
  <c r="D1607" i="12"/>
  <c r="C1607" i="12"/>
  <c r="B1607" i="12"/>
  <c r="A1607" i="12"/>
  <c r="F1606" i="12"/>
  <c r="E1606" i="12"/>
  <c r="D1606" i="12"/>
  <c r="C1606" i="12"/>
  <c r="B1606" i="12"/>
  <c r="G1606" i="12" s="1"/>
  <c r="A1606" i="12"/>
  <c r="F1605" i="12"/>
  <c r="E1605" i="12"/>
  <c r="D1605" i="12"/>
  <c r="C1605" i="12"/>
  <c r="B1605" i="12"/>
  <c r="G1605" i="12" s="1"/>
  <c r="A1605" i="12"/>
  <c r="F1604" i="12"/>
  <c r="E1604" i="12"/>
  <c r="D1604" i="12"/>
  <c r="C1604" i="12"/>
  <c r="B1604" i="12"/>
  <c r="G1604" i="12" s="1"/>
  <c r="A1604" i="12"/>
  <c r="G1603" i="12"/>
  <c r="F1603" i="12"/>
  <c r="E1603" i="12"/>
  <c r="D1603" i="12"/>
  <c r="C1603" i="12"/>
  <c r="B1603" i="12"/>
  <c r="A1603" i="12"/>
  <c r="G1602" i="12"/>
  <c r="F1602" i="12"/>
  <c r="E1602" i="12"/>
  <c r="D1602" i="12"/>
  <c r="C1602" i="12"/>
  <c r="B1602" i="12"/>
  <c r="A1602" i="12"/>
  <c r="F1601" i="12"/>
  <c r="E1601" i="12"/>
  <c r="D1601" i="12"/>
  <c r="C1601" i="12"/>
  <c r="B1601" i="12"/>
  <c r="G1601" i="12" s="1"/>
  <c r="A1601" i="12"/>
  <c r="F1600" i="12"/>
  <c r="E1600" i="12"/>
  <c r="D1600" i="12"/>
  <c r="C1600" i="12"/>
  <c r="B1600" i="12"/>
  <c r="G1600" i="12" s="1"/>
  <c r="A1600" i="12"/>
  <c r="G1599" i="12"/>
  <c r="F1599" i="12"/>
  <c r="E1599" i="12"/>
  <c r="D1599" i="12"/>
  <c r="C1599" i="12"/>
  <c r="B1599" i="12"/>
  <c r="A1599" i="12"/>
  <c r="F1598" i="12"/>
  <c r="E1598" i="12"/>
  <c r="D1598" i="12"/>
  <c r="C1598" i="12"/>
  <c r="B1598" i="12"/>
  <c r="G1598" i="12" s="1"/>
  <c r="A1598" i="12"/>
  <c r="F1597" i="12"/>
  <c r="E1597" i="12"/>
  <c r="D1597" i="12"/>
  <c r="C1597" i="12"/>
  <c r="B1597" i="12"/>
  <c r="G1597" i="12" s="1"/>
  <c r="A1597" i="12"/>
  <c r="F1596" i="12"/>
  <c r="E1596" i="12"/>
  <c r="D1596" i="12"/>
  <c r="C1596" i="12"/>
  <c r="B1596" i="12"/>
  <c r="G1596" i="12" s="1"/>
  <c r="A1596" i="12"/>
  <c r="G1595" i="12"/>
  <c r="F1595" i="12"/>
  <c r="E1595" i="12"/>
  <c r="D1595" i="12"/>
  <c r="C1595" i="12"/>
  <c r="B1595" i="12"/>
  <c r="A1595" i="12"/>
  <c r="G1594" i="12"/>
  <c r="F1594" i="12"/>
  <c r="E1594" i="12"/>
  <c r="D1594" i="12"/>
  <c r="C1594" i="12"/>
  <c r="B1594" i="12"/>
  <c r="A1594" i="12"/>
  <c r="F1593" i="12"/>
  <c r="E1593" i="12"/>
  <c r="D1593" i="12"/>
  <c r="C1593" i="12"/>
  <c r="B1593" i="12"/>
  <c r="G1593" i="12" s="1"/>
  <c r="A1593" i="12"/>
  <c r="F1592" i="12"/>
  <c r="E1592" i="12"/>
  <c r="D1592" i="12"/>
  <c r="C1592" i="12"/>
  <c r="B1592" i="12"/>
  <c r="G1592" i="12" s="1"/>
  <c r="A1592" i="12"/>
  <c r="G1591" i="12"/>
  <c r="F1591" i="12"/>
  <c r="E1591" i="12"/>
  <c r="D1591" i="12"/>
  <c r="C1591" i="12"/>
  <c r="B1591" i="12"/>
  <c r="A1591" i="12"/>
  <c r="F1590" i="12"/>
  <c r="E1590" i="12"/>
  <c r="D1590" i="12"/>
  <c r="C1590" i="12"/>
  <c r="B1590" i="12"/>
  <c r="G1590" i="12" s="1"/>
  <c r="A1590" i="12"/>
  <c r="F1589" i="12"/>
  <c r="E1589" i="12"/>
  <c r="D1589" i="12"/>
  <c r="C1589" i="12"/>
  <c r="B1589" i="12"/>
  <c r="G1589" i="12" s="1"/>
  <c r="A1589" i="12"/>
  <c r="F1588" i="12"/>
  <c r="E1588" i="12"/>
  <c r="D1588" i="12"/>
  <c r="C1588" i="12"/>
  <c r="B1588" i="12"/>
  <c r="G1588" i="12" s="1"/>
  <c r="A1588" i="12"/>
  <c r="G1587" i="12"/>
  <c r="F1587" i="12"/>
  <c r="E1587" i="12"/>
  <c r="D1587" i="12"/>
  <c r="C1587" i="12"/>
  <c r="B1587" i="12"/>
  <c r="A1587" i="12"/>
  <c r="G1586" i="12"/>
  <c r="F1586" i="12"/>
  <c r="E1586" i="12"/>
  <c r="D1586" i="12"/>
  <c r="C1586" i="12"/>
  <c r="B1586" i="12"/>
  <c r="A1586" i="12"/>
  <c r="F1585" i="12"/>
  <c r="E1585" i="12"/>
  <c r="D1585" i="12"/>
  <c r="C1585" i="12"/>
  <c r="B1585" i="12"/>
  <c r="G1585" i="12" s="1"/>
  <c r="A1585" i="12"/>
  <c r="F1584" i="12"/>
  <c r="E1584" i="12"/>
  <c r="D1584" i="12"/>
  <c r="C1584" i="12"/>
  <c r="B1584" i="12"/>
  <c r="G1584" i="12" s="1"/>
  <c r="A1584" i="12"/>
  <c r="G1583" i="12"/>
  <c r="F1583" i="12"/>
  <c r="E1583" i="12"/>
  <c r="D1583" i="12"/>
  <c r="C1583" i="12"/>
  <c r="B1583" i="12"/>
  <c r="A1583" i="12"/>
  <c r="F1582" i="12"/>
  <c r="E1582" i="12"/>
  <c r="D1582" i="12"/>
  <c r="C1582" i="12"/>
  <c r="B1582" i="12"/>
  <c r="G1582" i="12" s="1"/>
  <c r="A1582" i="12"/>
  <c r="F1581" i="12"/>
  <c r="E1581" i="12"/>
  <c r="D1581" i="12"/>
  <c r="C1581" i="12"/>
  <c r="B1581" i="12"/>
  <c r="G1581" i="12" s="1"/>
  <c r="A1581" i="12"/>
  <c r="F1580" i="12"/>
  <c r="E1580" i="12"/>
  <c r="D1580" i="12"/>
  <c r="C1580" i="12"/>
  <c r="B1580" i="12"/>
  <c r="G1580" i="12" s="1"/>
  <c r="A1580" i="12"/>
  <c r="G1579" i="12"/>
  <c r="F1579" i="12"/>
  <c r="E1579" i="12"/>
  <c r="D1579" i="12"/>
  <c r="C1579" i="12"/>
  <c r="B1579" i="12"/>
  <c r="A1579" i="12"/>
  <c r="G1578" i="12"/>
  <c r="F1578" i="12"/>
  <c r="E1578" i="12"/>
  <c r="D1578" i="12"/>
  <c r="C1578" i="12"/>
  <c r="B1578" i="12"/>
  <c r="A1578" i="12"/>
  <c r="F1577" i="12"/>
  <c r="E1577" i="12"/>
  <c r="D1577" i="12"/>
  <c r="C1577" i="12"/>
  <c r="B1577" i="12"/>
  <c r="G1577" i="12" s="1"/>
  <c r="A1577" i="12"/>
  <c r="F1576" i="12"/>
  <c r="E1576" i="12"/>
  <c r="D1576" i="12"/>
  <c r="C1576" i="12"/>
  <c r="B1576" i="12"/>
  <c r="G1576" i="12" s="1"/>
  <c r="A1576" i="12"/>
  <c r="G1575" i="12"/>
  <c r="F1575" i="12"/>
  <c r="E1575" i="12"/>
  <c r="D1575" i="12"/>
  <c r="C1575" i="12"/>
  <c r="B1575" i="12"/>
  <c r="A1575" i="12"/>
  <c r="F1574" i="12"/>
  <c r="E1574" i="12"/>
  <c r="D1574" i="12"/>
  <c r="C1574" i="12"/>
  <c r="B1574" i="12"/>
  <c r="G1574" i="12" s="1"/>
  <c r="A1574" i="12"/>
  <c r="F1573" i="12"/>
  <c r="E1573" i="12"/>
  <c r="D1573" i="12"/>
  <c r="C1573" i="12"/>
  <c r="B1573" i="12"/>
  <c r="G1573" i="12" s="1"/>
  <c r="A1573" i="12"/>
  <c r="F1572" i="12"/>
  <c r="E1572" i="12"/>
  <c r="D1572" i="12"/>
  <c r="C1572" i="12"/>
  <c r="B1572" i="12"/>
  <c r="G1572" i="12" s="1"/>
  <c r="A1572" i="12"/>
  <c r="G1571" i="12"/>
  <c r="F1571" i="12"/>
  <c r="E1571" i="12"/>
  <c r="D1571" i="12"/>
  <c r="C1571" i="12"/>
  <c r="B1571" i="12"/>
  <c r="A1571" i="12"/>
  <c r="G1570" i="12"/>
  <c r="F1570" i="12"/>
  <c r="E1570" i="12"/>
  <c r="D1570" i="12"/>
  <c r="C1570" i="12"/>
  <c r="B1570" i="12"/>
  <c r="A1570" i="12"/>
  <c r="F1569" i="12"/>
  <c r="E1569" i="12"/>
  <c r="D1569" i="12"/>
  <c r="C1569" i="12"/>
  <c r="B1569" i="12"/>
  <c r="G1569" i="12" s="1"/>
  <c r="A1569" i="12"/>
  <c r="F1568" i="12"/>
  <c r="E1568" i="12"/>
  <c r="D1568" i="12"/>
  <c r="C1568" i="12"/>
  <c r="B1568" i="12"/>
  <c r="G1568" i="12" s="1"/>
  <c r="A1568" i="12"/>
  <c r="G1567" i="12"/>
  <c r="F1567" i="12"/>
  <c r="E1567" i="12"/>
  <c r="D1567" i="12"/>
  <c r="C1567" i="12"/>
  <c r="B1567" i="12"/>
  <c r="A1567" i="12"/>
  <c r="F1566" i="12"/>
  <c r="E1566" i="12"/>
  <c r="D1566" i="12"/>
  <c r="C1566" i="12"/>
  <c r="B1566" i="12"/>
  <c r="G1566" i="12" s="1"/>
  <c r="A1566" i="12"/>
  <c r="F1565" i="12"/>
  <c r="E1565" i="12"/>
  <c r="D1565" i="12"/>
  <c r="C1565" i="12"/>
  <c r="B1565" i="12"/>
  <c r="G1565" i="12" s="1"/>
  <c r="A1565" i="12"/>
  <c r="F1564" i="12"/>
  <c r="E1564" i="12"/>
  <c r="D1564" i="12"/>
  <c r="C1564" i="12"/>
  <c r="B1564" i="12"/>
  <c r="G1564" i="12" s="1"/>
  <c r="A1564" i="12"/>
  <c r="G1563" i="12"/>
  <c r="F1563" i="12"/>
  <c r="E1563" i="12"/>
  <c r="D1563" i="12"/>
  <c r="C1563" i="12"/>
  <c r="B1563" i="12"/>
  <c r="A1563" i="12"/>
  <c r="G1562" i="12"/>
  <c r="F1562" i="12"/>
  <c r="E1562" i="12"/>
  <c r="D1562" i="12"/>
  <c r="C1562" i="12"/>
  <c r="B1562" i="12"/>
  <c r="A1562" i="12"/>
  <c r="F1561" i="12"/>
  <c r="E1561" i="12"/>
  <c r="D1561" i="12"/>
  <c r="C1561" i="12"/>
  <c r="B1561" i="12"/>
  <c r="G1561" i="12" s="1"/>
  <c r="A1561" i="12"/>
  <c r="F1560" i="12"/>
  <c r="E1560" i="12"/>
  <c r="D1560" i="12"/>
  <c r="C1560" i="12"/>
  <c r="B1560" i="12"/>
  <c r="G1560" i="12" s="1"/>
  <c r="A1560" i="12"/>
  <c r="G1559" i="12"/>
  <c r="F1559" i="12"/>
  <c r="E1559" i="12"/>
  <c r="D1559" i="12"/>
  <c r="C1559" i="12"/>
  <c r="B1559" i="12"/>
  <c r="A1559" i="12"/>
  <c r="F1558" i="12"/>
  <c r="E1558" i="12"/>
  <c r="D1558" i="12"/>
  <c r="C1558" i="12"/>
  <c r="B1558" i="12"/>
  <c r="G1558" i="12" s="1"/>
  <c r="A1558" i="12"/>
  <c r="F1557" i="12"/>
  <c r="E1557" i="12"/>
  <c r="D1557" i="12"/>
  <c r="C1557" i="12"/>
  <c r="B1557" i="12"/>
  <c r="G1557" i="12" s="1"/>
  <c r="A1557" i="12"/>
  <c r="F1556" i="12"/>
  <c r="E1556" i="12"/>
  <c r="D1556" i="12"/>
  <c r="C1556" i="12"/>
  <c r="B1556" i="12"/>
  <c r="G1556" i="12" s="1"/>
  <c r="A1556" i="12"/>
  <c r="G1555" i="12"/>
  <c r="F1555" i="12"/>
  <c r="E1555" i="12"/>
  <c r="D1555" i="12"/>
  <c r="C1555" i="12"/>
  <c r="B1555" i="12"/>
  <c r="A1555" i="12"/>
  <c r="G1554" i="12"/>
  <c r="F1554" i="12"/>
  <c r="E1554" i="12"/>
  <c r="D1554" i="12"/>
  <c r="C1554" i="12"/>
  <c r="B1554" i="12"/>
  <c r="A1554" i="12"/>
  <c r="F1553" i="12"/>
  <c r="E1553" i="12"/>
  <c r="D1553" i="12"/>
  <c r="C1553" i="12"/>
  <c r="B1553" i="12"/>
  <c r="G1553" i="12" s="1"/>
  <c r="A1553" i="12"/>
  <c r="F1552" i="12"/>
  <c r="E1552" i="12"/>
  <c r="D1552" i="12"/>
  <c r="C1552" i="12"/>
  <c r="B1552" i="12"/>
  <c r="G1552" i="12" s="1"/>
  <c r="A1552" i="12"/>
  <c r="G1551" i="12"/>
  <c r="F1551" i="12"/>
  <c r="E1551" i="12"/>
  <c r="D1551" i="12"/>
  <c r="C1551" i="12"/>
  <c r="B1551" i="12"/>
  <c r="A1551" i="12"/>
  <c r="F1550" i="12"/>
  <c r="E1550" i="12"/>
  <c r="D1550" i="12"/>
  <c r="C1550" i="12"/>
  <c r="B1550" i="12"/>
  <c r="G1550" i="12" s="1"/>
  <c r="A1550" i="12"/>
  <c r="F1549" i="12"/>
  <c r="E1549" i="12"/>
  <c r="D1549" i="12"/>
  <c r="C1549" i="12"/>
  <c r="B1549" i="12"/>
  <c r="G1549" i="12" s="1"/>
  <c r="A1549" i="12"/>
  <c r="F1548" i="12"/>
  <c r="E1548" i="12"/>
  <c r="D1548" i="12"/>
  <c r="C1548" i="12"/>
  <c r="B1548" i="12"/>
  <c r="G1548" i="12" s="1"/>
  <c r="A1548" i="12"/>
  <c r="G1547" i="12"/>
  <c r="F1547" i="12"/>
  <c r="E1547" i="12"/>
  <c r="D1547" i="12"/>
  <c r="C1547" i="12"/>
  <c r="B1547" i="12"/>
  <c r="A1547" i="12"/>
  <c r="G1546" i="12"/>
  <c r="F1546" i="12"/>
  <c r="E1546" i="12"/>
  <c r="D1546" i="12"/>
  <c r="C1546" i="12"/>
  <c r="B1546" i="12"/>
  <c r="A1546" i="12"/>
  <c r="F1545" i="12"/>
  <c r="E1545" i="12"/>
  <c r="D1545" i="12"/>
  <c r="C1545" i="12"/>
  <c r="B1545" i="12"/>
  <c r="G1545" i="12" s="1"/>
  <c r="A1545" i="12"/>
  <c r="F1544" i="12"/>
  <c r="E1544" i="12"/>
  <c r="D1544" i="12"/>
  <c r="C1544" i="12"/>
  <c r="B1544" i="12"/>
  <c r="G1544" i="12" s="1"/>
  <c r="A1544" i="12"/>
  <c r="G1543" i="12"/>
  <c r="F1543" i="12"/>
  <c r="E1543" i="12"/>
  <c r="D1543" i="12"/>
  <c r="C1543" i="12"/>
  <c r="B1543" i="12"/>
  <c r="A1543" i="12"/>
  <c r="F1542" i="12"/>
  <c r="E1542" i="12"/>
  <c r="D1542" i="12"/>
  <c r="C1542" i="12"/>
  <c r="B1542" i="12"/>
  <c r="G1542" i="12" s="1"/>
  <c r="A1542" i="12"/>
  <c r="F1541" i="12"/>
  <c r="E1541" i="12"/>
  <c r="D1541" i="12"/>
  <c r="C1541" i="12"/>
  <c r="B1541" i="12"/>
  <c r="G1541" i="12" s="1"/>
  <c r="A1541" i="12"/>
  <c r="F1540" i="12"/>
  <c r="E1540" i="12"/>
  <c r="D1540" i="12"/>
  <c r="C1540" i="12"/>
  <c r="B1540" i="12"/>
  <c r="G1540" i="12" s="1"/>
  <c r="A1540" i="12"/>
  <c r="G1539" i="12"/>
  <c r="F1539" i="12"/>
  <c r="E1539" i="12"/>
  <c r="D1539" i="12"/>
  <c r="C1539" i="12"/>
  <c r="B1539" i="12"/>
  <c r="A1539" i="12"/>
  <c r="G1538" i="12"/>
  <c r="F1538" i="12"/>
  <c r="E1538" i="12"/>
  <c r="D1538" i="12"/>
  <c r="C1538" i="12"/>
  <c r="B1538" i="12"/>
  <c r="A1538" i="12"/>
  <c r="F1537" i="12"/>
  <c r="E1537" i="12"/>
  <c r="D1537" i="12"/>
  <c r="C1537" i="12"/>
  <c r="B1537" i="12"/>
  <c r="G1537" i="12" s="1"/>
  <c r="A1537" i="12"/>
  <c r="F1536" i="12"/>
  <c r="E1536" i="12"/>
  <c r="D1536" i="12"/>
  <c r="C1536" i="12"/>
  <c r="B1536" i="12"/>
  <c r="G1536" i="12" s="1"/>
  <c r="A1536" i="12"/>
  <c r="G1535" i="12"/>
  <c r="F1535" i="12"/>
  <c r="E1535" i="12"/>
  <c r="D1535" i="12"/>
  <c r="C1535" i="12"/>
  <c r="B1535" i="12"/>
  <c r="A1535" i="12"/>
  <c r="F1534" i="12"/>
  <c r="E1534" i="12"/>
  <c r="D1534" i="12"/>
  <c r="C1534" i="12"/>
  <c r="B1534" i="12"/>
  <c r="G1534" i="12" s="1"/>
  <c r="A1534" i="12"/>
  <c r="F1533" i="12"/>
  <c r="E1533" i="12"/>
  <c r="D1533" i="12"/>
  <c r="C1533" i="12"/>
  <c r="B1533" i="12"/>
  <c r="G1533" i="12" s="1"/>
  <c r="A1533" i="12"/>
  <c r="F1532" i="12"/>
  <c r="E1532" i="12"/>
  <c r="D1532" i="12"/>
  <c r="C1532" i="12"/>
  <c r="B1532" i="12"/>
  <c r="G1532" i="12" s="1"/>
  <c r="A1532" i="12"/>
  <c r="G1531" i="12"/>
  <c r="F1531" i="12"/>
  <c r="E1531" i="12"/>
  <c r="D1531" i="12"/>
  <c r="C1531" i="12"/>
  <c r="B1531" i="12"/>
  <c r="A1531" i="12"/>
  <c r="G1530" i="12"/>
  <c r="F1530" i="12"/>
  <c r="E1530" i="12"/>
  <c r="D1530" i="12"/>
  <c r="C1530" i="12"/>
  <c r="B1530" i="12"/>
  <c r="A1530" i="12"/>
  <c r="F1529" i="12"/>
  <c r="E1529" i="12"/>
  <c r="D1529" i="12"/>
  <c r="C1529" i="12"/>
  <c r="B1529" i="12"/>
  <c r="G1529" i="12" s="1"/>
  <c r="A1529" i="12"/>
  <c r="F1528" i="12"/>
  <c r="E1528" i="12"/>
  <c r="D1528" i="12"/>
  <c r="C1528" i="12"/>
  <c r="B1528" i="12"/>
  <c r="G1528" i="12" s="1"/>
  <c r="A1528" i="12"/>
  <c r="G1527" i="12"/>
  <c r="F1527" i="12"/>
  <c r="E1527" i="12"/>
  <c r="D1527" i="12"/>
  <c r="C1527" i="12"/>
  <c r="B1527" i="12"/>
  <c r="A1527" i="12"/>
  <c r="F1526" i="12"/>
  <c r="E1526" i="12"/>
  <c r="D1526" i="12"/>
  <c r="C1526" i="12"/>
  <c r="B1526" i="12"/>
  <c r="G1526" i="12" s="1"/>
  <c r="A1526" i="12"/>
  <c r="F1525" i="12"/>
  <c r="E1525" i="12"/>
  <c r="D1525" i="12"/>
  <c r="C1525" i="12"/>
  <c r="B1525" i="12"/>
  <c r="G1525" i="12" s="1"/>
  <c r="A1525" i="12"/>
  <c r="F1524" i="12"/>
  <c r="E1524" i="12"/>
  <c r="D1524" i="12"/>
  <c r="C1524" i="12"/>
  <c r="B1524" i="12"/>
  <c r="G1524" i="12" s="1"/>
  <c r="A1524" i="12"/>
  <c r="G1523" i="12"/>
  <c r="F1523" i="12"/>
  <c r="E1523" i="12"/>
  <c r="D1523" i="12"/>
  <c r="C1523" i="12"/>
  <c r="B1523" i="12"/>
  <c r="A1523" i="12"/>
  <c r="G1522" i="12"/>
  <c r="F1522" i="12"/>
  <c r="E1522" i="12"/>
  <c r="D1522" i="12"/>
  <c r="C1522" i="12"/>
  <c r="B1522" i="12"/>
  <c r="A1522" i="12"/>
  <c r="F1521" i="12"/>
  <c r="E1521" i="12"/>
  <c r="D1521" i="12"/>
  <c r="C1521" i="12"/>
  <c r="B1521" i="12"/>
  <c r="G1521" i="12" s="1"/>
  <c r="A1521" i="12"/>
  <c r="F1520" i="12"/>
  <c r="E1520" i="12"/>
  <c r="D1520" i="12"/>
  <c r="C1520" i="12"/>
  <c r="B1520" i="12"/>
  <c r="G1520" i="12" s="1"/>
  <c r="A1520" i="12"/>
  <c r="G1519" i="12"/>
  <c r="F1519" i="12"/>
  <c r="E1519" i="12"/>
  <c r="D1519" i="12"/>
  <c r="C1519" i="12"/>
  <c r="B1519" i="12"/>
  <c r="A1519" i="12"/>
  <c r="F1518" i="12"/>
  <c r="E1518" i="12"/>
  <c r="D1518" i="12"/>
  <c r="C1518" i="12"/>
  <c r="B1518" i="12"/>
  <c r="G1518" i="12" s="1"/>
  <c r="A1518" i="12"/>
  <c r="F1517" i="12"/>
  <c r="E1517" i="12"/>
  <c r="D1517" i="12"/>
  <c r="C1517" i="12"/>
  <c r="B1517" i="12"/>
  <c r="G1517" i="12" s="1"/>
  <c r="A1517" i="12"/>
  <c r="F1516" i="12"/>
  <c r="E1516" i="12"/>
  <c r="D1516" i="12"/>
  <c r="C1516" i="12"/>
  <c r="B1516" i="12"/>
  <c r="G1516" i="12" s="1"/>
  <c r="A1516" i="12"/>
  <c r="G1515" i="12"/>
  <c r="F1515" i="12"/>
  <c r="E1515" i="12"/>
  <c r="D1515" i="12"/>
  <c r="C1515" i="12"/>
  <c r="B1515" i="12"/>
  <c r="A1515" i="12"/>
  <c r="G1514" i="12"/>
  <c r="F1514" i="12"/>
  <c r="E1514" i="12"/>
  <c r="D1514" i="12"/>
  <c r="C1514" i="12"/>
  <c r="B1514" i="12"/>
  <c r="A1514" i="12"/>
  <c r="F1513" i="12"/>
  <c r="E1513" i="12"/>
  <c r="D1513" i="12"/>
  <c r="C1513" i="12"/>
  <c r="B1513" i="12"/>
  <c r="G1513" i="12" s="1"/>
  <c r="A1513" i="12"/>
  <c r="F1512" i="12"/>
  <c r="E1512" i="12"/>
  <c r="D1512" i="12"/>
  <c r="C1512" i="12"/>
  <c r="B1512" i="12"/>
  <c r="G1512" i="12" s="1"/>
  <c r="A1512" i="12"/>
  <c r="G1511" i="12"/>
  <c r="F1511" i="12"/>
  <c r="E1511" i="12"/>
  <c r="D1511" i="12"/>
  <c r="C1511" i="12"/>
  <c r="B1511" i="12"/>
  <c r="A1511" i="12"/>
  <c r="F1510" i="12"/>
  <c r="E1510" i="12"/>
  <c r="D1510" i="12"/>
  <c r="C1510" i="12"/>
  <c r="B1510" i="12"/>
  <c r="G1510" i="12" s="1"/>
  <c r="A1510" i="12"/>
  <c r="F1509" i="12"/>
  <c r="E1509" i="12"/>
  <c r="D1509" i="12"/>
  <c r="C1509" i="12"/>
  <c r="B1509" i="12"/>
  <c r="G1509" i="12" s="1"/>
  <c r="A1509" i="12"/>
  <c r="F1508" i="12"/>
  <c r="E1508" i="12"/>
  <c r="D1508" i="12"/>
  <c r="C1508" i="12"/>
  <c r="B1508" i="12"/>
  <c r="G1508" i="12" s="1"/>
  <c r="A1508" i="12"/>
  <c r="G1507" i="12"/>
  <c r="F1507" i="12"/>
  <c r="E1507" i="12"/>
  <c r="D1507" i="12"/>
  <c r="C1507" i="12"/>
  <c r="B1507" i="12"/>
  <c r="A1507" i="12"/>
  <c r="G1506" i="12"/>
  <c r="F1506" i="12"/>
  <c r="E1506" i="12"/>
  <c r="D1506" i="12"/>
  <c r="C1506" i="12"/>
  <c r="B1506" i="12"/>
  <c r="A1506" i="12"/>
  <c r="F1505" i="12"/>
  <c r="E1505" i="12"/>
  <c r="D1505" i="12"/>
  <c r="C1505" i="12"/>
  <c r="B1505" i="12"/>
  <c r="G1505" i="12" s="1"/>
  <c r="A1505" i="12"/>
  <c r="F1504" i="12"/>
  <c r="E1504" i="12"/>
  <c r="D1504" i="12"/>
  <c r="C1504" i="12"/>
  <c r="B1504" i="12"/>
  <c r="G1504" i="12" s="1"/>
  <c r="A1504" i="12"/>
  <c r="G1503" i="12"/>
  <c r="F1503" i="12"/>
  <c r="E1503" i="12"/>
  <c r="D1503" i="12"/>
  <c r="C1503" i="12"/>
  <c r="B1503" i="12"/>
  <c r="A1503" i="12"/>
  <c r="F1502" i="12"/>
  <c r="D1502" i="12"/>
  <c r="C1502" i="12"/>
  <c r="B1502" i="12"/>
  <c r="A1502" i="12"/>
  <c r="F1501" i="12"/>
  <c r="D1501" i="12"/>
  <c r="C1501" i="12"/>
  <c r="B1501" i="12"/>
  <c r="G1501" i="12" s="1"/>
  <c r="A1501" i="12"/>
  <c r="F1500" i="12"/>
  <c r="D1500" i="12"/>
  <c r="C1500" i="12"/>
  <c r="B1500" i="12"/>
  <c r="G1500" i="12" s="1"/>
  <c r="A1500" i="12"/>
  <c r="F1499" i="12"/>
  <c r="D1499" i="12"/>
  <c r="C1499" i="12"/>
  <c r="B1499" i="12"/>
  <c r="G1499" i="12" s="1"/>
  <c r="A1499" i="12"/>
  <c r="F1498" i="12"/>
  <c r="D1498" i="12"/>
  <c r="C1498" i="12"/>
  <c r="B1498" i="12"/>
  <c r="G1498" i="12" s="1"/>
  <c r="A1498" i="12"/>
  <c r="F1497" i="12"/>
  <c r="D1497" i="12"/>
  <c r="C1497" i="12"/>
  <c r="B1497" i="12"/>
  <c r="G1497" i="12" s="1"/>
  <c r="A1497" i="12"/>
  <c r="F1496" i="12"/>
  <c r="D1496" i="12"/>
  <c r="C1496" i="12"/>
  <c r="B1496" i="12"/>
  <c r="G1496" i="12" s="1"/>
  <c r="A1496" i="12"/>
  <c r="F1495" i="12"/>
  <c r="D1495" i="12"/>
  <c r="C1495" i="12"/>
  <c r="B1495" i="12"/>
  <c r="G1495" i="12" s="1"/>
  <c r="A1495" i="12"/>
  <c r="F1494" i="12"/>
  <c r="D1494" i="12"/>
  <c r="C1494" i="12"/>
  <c r="B1494" i="12"/>
  <c r="G1494" i="12" s="1"/>
  <c r="A1494" i="12"/>
  <c r="F1493" i="12"/>
  <c r="D1493" i="12"/>
  <c r="C1493" i="12"/>
  <c r="B1493" i="12"/>
  <c r="G1493" i="12" s="1"/>
  <c r="A1493" i="12"/>
  <c r="F1492" i="12"/>
  <c r="D1492" i="12"/>
  <c r="C1492" i="12"/>
  <c r="B1492" i="12"/>
  <c r="G1492" i="12" s="1"/>
  <c r="A1492" i="12"/>
  <c r="F1491" i="12"/>
  <c r="D1491" i="12"/>
  <c r="C1491" i="12"/>
  <c r="B1491" i="12"/>
  <c r="G1491" i="12" s="1"/>
  <c r="A1491" i="12"/>
  <c r="F1490" i="12"/>
  <c r="D1490" i="12"/>
  <c r="C1490" i="12"/>
  <c r="B1490" i="12"/>
  <c r="G1490" i="12" s="1"/>
  <c r="A1490" i="12"/>
  <c r="F1489" i="12"/>
  <c r="D1489" i="12"/>
  <c r="C1489" i="12"/>
  <c r="B1489" i="12"/>
  <c r="G1489" i="12" s="1"/>
  <c r="A1489" i="12"/>
  <c r="F1488" i="12"/>
  <c r="D1488" i="12"/>
  <c r="C1488" i="12"/>
  <c r="B1488" i="12"/>
  <c r="G1488" i="12" s="1"/>
  <c r="A1488" i="12"/>
  <c r="F1487" i="12"/>
  <c r="D1487" i="12"/>
  <c r="C1487" i="12"/>
  <c r="B1487" i="12"/>
  <c r="G1487" i="12" s="1"/>
  <c r="A1487" i="12"/>
  <c r="F1486" i="12"/>
  <c r="D1486" i="12"/>
  <c r="C1486" i="12"/>
  <c r="B1486" i="12"/>
  <c r="G1486" i="12" s="1"/>
  <c r="A1486" i="12"/>
  <c r="F1485" i="12"/>
  <c r="D1485" i="12"/>
  <c r="C1485" i="12"/>
  <c r="B1485" i="12"/>
  <c r="G1485" i="12" s="1"/>
  <c r="A1485" i="12"/>
  <c r="F1484" i="12"/>
  <c r="D1484" i="12"/>
  <c r="C1484" i="12"/>
  <c r="B1484" i="12"/>
  <c r="G1484" i="12" s="1"/>
  <c r="A1484" i="12"/>
  <c r="F1483" i="12"/>
  <c r="D1483" i="12"/>
  <c r="C1483" i="12"/>
  <c r="B1483" i="12"/>
  <c r="G1483" i="12" s="1"/>
  <c r="A1483" i="12"/>
  <c r="F1482" i="12"/>
  <c r="D1482" i="12"/>
  <c r="C1482" i="12"/>
  <c r="B1482" i="12"/>
  <c r="G1482" i="12" s="1"/>
  <c r="A1482" i="12"/>
  <c r="F1481" i="12"/>
  <c r="D1481" i="12"/>
  <c r="C1481" i="12"/>
  <c r="B1481" i="12"/>
  <c r="G1481" i="12" s="1"/>
  <c r="A1481" i="12"/>
  <c r="F1480" i="12"/>
  <c r="D1480" i="12"/>
  <c r="C1480" i="12"/>
  <c r="B1480" i="12"/>
  <c r="G1480" i="12" s="1"/>
  <c r="A1480" i="12"/>
  <c r="F1479" i="12"/>
  <c r="D1479" i="12"/>
  <c r="C1479" i="12"/>
  <c r="B1479" i="12"/>
  <c r="G1479" i="12" s="1"/>
  <c r="A1479" i="12"/>
  <c r="F1478" i="12"/>
  <c r="D1478" i="12"/>
  <c r="C1478" i="12"/>
  <c r="B1478" i="12"/>
  <c r="G1478" i="12" s="1"/>
  <c r="A1478" i="12"/>
  <c r="F1477" i="12"/>
  <c r="D1477" i="12"/>
  <c r="C1477" i="12"/>
  <c r="B1477" i="12"/>
  <c r="G1477" i="12" s="1"/>
  <c r="A1477" i="12"/>
  <c r="F1476" i="12"/>
  <c r="D1476" i="12"/>
  <c r="C1476" i="12"/>
  <c r="B1476" i="12"/>
  <c r="G1476" i="12" s="1"/>
  <c r="A1476" i="12"/>
  <c r="F1475" i="12"/>
  <c r="D1475" i="12"/>
  <c r="C1475" i="12"/>
  <c r="B1475" i="12"/>
  <c r="G1475" i="12" s="1"/>
  <c r="A1475" i="12"/>
  <c r="F1474" i="12"/>
  <c r="D1474" i="12"/>
  <c r="C1474" i="12"/>
  <c r="B1474" i="12"/>
  <c r="G1474" i="12" s="1"/>
  <c r="A1474" i="12"/>
  <c r="F1473" i="12"/>
  <c r="D1473" i="12"/>
  <c r="C1473" i="12"/>
  <c r="B1473" i="12"/>
  <c r="G1473" i="12" s="1"/>
  <c r="A1473" i="12"/>
  <c r="F1472" i="12"/>
  <c r="D1472" i="12"/>
  <c r="C1472" i="12"/>
  <c r="B1472" i="12"/>
  <c r="G1472" i="12" s="1"/>
  <c r="A1472" i="12"/>
  <c r="F1471" i="12"/>
  <c r="D1471" i="12"/>
  <c r="C1471" i="12"/>
  <c r="B1471" i="12"/>
  <c r="G1471" i="12" s="1"/>
  <c r="A1471" i="12"/>
  <c r="F1470" i="12"/>
  <c r="D1470" i="12"/>
  <c r="C1470" i="12"/>
  <c r="B1470" i="12"/>
  <c r="G1470" i="12" s="1"/>
  <c r="A1470" i="12"/>
  <c r="F1469" i="12"/>
  <c r="D1469" i="12"/>
  <c r="C1469" i="12"/>
  <c r="B1469" i="12"/>
  <c r="G1469" i="12" s="1"/>
  <c r="A1469" i="12"/>
  <c r="F1468" i="12"/>
  <c r="D1468" i="12"/>
  <c r="C1468" i="12"/>
  <c r="B1468" i="12"/>
  <c r="G1468" i="12" s="1"/>
  <c r="A1468" i="12"/>
  <c r="F1467" i="12"/>
  <c r="D1467" i="12"/>
  <c r="C1467" i="12"/>
  <c r="B1467" i="12"/>
  <c r="G1467" i="12" s="1"/>
  <c r="A1467" i="12"/>
  <c r="F1466" i="12"/>
  <c r="D1466" i="12"/>
  <c r="C1466" i="12"/>
  <c r="B1466" i="12"/>
  <c r="G1466" i="12" s="1"/>
  <c r="A1466" i="12"/>
  <c r="F1465" i="12"/>
  <c r="D1465" i="12"/>
  <c r="C1465" i="12"/>
  <c r="B1465" i="12"/>
  <c r="G1465" i="12" s="1"/>
  <c r="A1465" i="12"/>
  <c r="F1464" i="12"/>
  <c r="D1464" i="12"/>
  <c r="C1464" i="12"/>
  <c r="B1464" i="12"/>
  <c r="G1464" i="12" s="1"/>
  <c r="A1464" i="12"/>
  <c r="F1463" i="12"/>
  <c r="D1463" i="12"/>
  <c r="C1463" i="12"/>
  <c r="B1463" i="12"/>
  <c r="G1463" i="12" s="1"/>
  <c r="A1463" i="12"/>
  <c r="F1462" i="12"/>
  <c r="D1462" i="12"/>
  <c r="C1462" i="12"/>
  <c r="B1462" i="12"/>
  <c r="G1462" i="12" s="1"/>
  <c r="A1462" i="12"/>
  <c r="F1461" i="12"/>
  <c r="D1461" i="12"/>
  <c r="C1461" i="12"/>
  <c r="B1461" i="12"/>
  <c r="G1461" i="12" s="1"/>
  <c r="A1461" i="12"/>
  <c r="F1460" i="12"/>
  <c r="D1460" i="12"/>
  <c r="C1460" i="12"/>
  <c r="B1460" i="12"/>
  <c r="G1460" i="12" s="1"/>
  <c r="A1460" i="12"/>
  <c r="F1459" i="12"/>
  <c r="D1459" i="12"/>
  <c r="C1459" i="12"/>
  <c r="B1459" i="12"/>
  <c r="G1459" i="12" s="1"/>
  <c r="A1459" i="12"/>
  <c r="F1458" i="12"/>
  <c r="D1458" i="12"/>
  <c r="C1458" i="12"/>
  <c r="B1458" i="12"/>
  <c r="G1458" i="12" s="1"/>
  <c r="A1458" i="12"/>
  <c r="F1457" i="12"/>
  <c r="D1457" i="12"/>
  <c r="C1457" i="12"/>
  <c r="B1457" i="12"/>
  <c r="G1457" i="12" s="1"/>
  <c r="A1457" i="12"/>
  <c r="F1456" i="12"/>
  <c r="D1456" i="12"/>
  <c r="C1456" i="12"/>
  <c r="B1456" i="12"/>
  <c r="G1456" i="12" s="1"/>
  <c r="A1456" i="12"/>
  <c r="F1455" i="12"/>
  <c r="D1455" i="12"/>
  <c r="C1455" i="12"/>
  <c r="B1455" i="12"/>
  <c r="G1455" i="12" s="1"/>
  <c r="A1455" i="12"/>
  <c r="F1454" i="12"/>
  <c r="D1454" i="12"/>
  <c r="C1454" i="12"/>
  <c r="B1454" i="12"/>
  <c r="G1454" i="12" s="1"/>
  <c r="A1454" i="12"/>
  <c r="F1453" i="12"/>
  <c r="D1453" i="12"/>
  <c r="C1453" i="12"/>
  <c r="B1453" i="12"/>
  <c r="G1453" i="12" s="1"/>
  <c r="A1453" i="12"/>
  <c r="F1452" i="12"/>
  <c r="D1452" i="12"/>
  <c r="C1452" i="12"/>
  <c r="B1452" i="12"/>
  <c r="G1452" i="12" s="1"/>
  <c r="A1452" i="12"/>
  <c r="F1451" i="12"/>
  <c r="D1451" i="12"/>
  <c r="C1451" i="12"/>
  <c r="B1451" i="12"/>
  <c r="G1451" i="12" s="1"/>
  <c r="A1451" i="12"/>
  <c r="F1450" i="12"/>
  <c r="D1450" i="12"/>
  <c r="C1450" i="12"/>
  <c r="B1450" i="12"/>
  <c r="G1450" i="12" s="1"/>
  <c r="A1450" i="12"/>
  <c r="F1449" i="12"/>
  <c r="D1449" i="12"/>
  <c r="C1449" i="12"/>
  <c r="B1449" i="12"/>
  <c r="G1449" i="12" s="1"/>
  <c r="A1449" i="12"/>
  <c r="F1448" i="12"/>
  <c r="D1448" i="12"/>
  <c r="C1448" i="12"/>
  <c r="B1448" i="12"/>
  <c r="G1448" i="12" s="1"/>
  <c r="A1448" i="12"/>
  <c r="F1447" i="12"/>
  <c r="D1447" i="12"/>
  <c r="C1447" i="12"/>
  <c r="B1447" i="12"/>
  <c r="G1447" i="12" s="1"/>
  <c r="A1447" i="12"/>
  <c r="F1446" i="12"/>
  <c r="D1446" i="12"/>
  <c r="C1446" i="12"/>
  <c r="B1446" i="12"/>
  <c r="G1446" i="12" s="1"/>
  <c r="A1446" i="12"/>
  <c r="F1445" i="12"/>
  <c r="D1445" i="12"/>
  <c r="C1445" i="12"/>
  <c r="B1445" i="12"/>
  <c r="G1445" i="12" s="1"/>
  <c r="A1445" i="12"/>
  <c r="F1444" i="12"/>
  <c r="D1444" i="12"/>
  <c r="C1444" i="12"/>
  <c r="B1444" i="12"/>
  <c r="G1444" i="12" s="1"/>
  <c r="A1444" i="12"/>
  <c r="F1443" i="12"/>
  <c r="D1443" i="12"/>
  <c r="C1443" i="12"/>
  <c r="B1443" i="12"/>
  <c r="G1443" i="12" s="1"/>
  <c r="A1443" i="12"/>
  <c r="F1442" i="12"/>
  <c r="D1442" i="12"/>
  <c r="C1442" i="12"/>
  <c r="B1442" i="12"/>
  <c r="G1442" i="12" s="1"/>
  <c r="A1442" i="12"/>
  <c r="F1441" i="12"/>
  <c r="D1441" i="12"/>
  <c r="C1441" i="12"/>
  <c r="B1441" i="12"/>
  <c r="G1441" i="12" s="1"/>
  <c r="A1441" i="12"/>
  <c r="F1440" i="12"/>
  <c r="D1440" i="12"/>
  <c r="C1440" i="12"/>
  <c r="B1440" i="12"/>
  <c r="G1440" i="12" s="1"/>
  <c r="A1440" i="12"/>
  <c r="F1439" i="12"/>
  <c r="D1439" i="12"/>
  <c r="C1439" i="12"/>
  <c r="B1439" i="12"/>
  <c r="G1439" i="12" s="1"/>
  <c r="A1439" i="12"/>
  <c r="F1438" i="12"/>
  <c r="D1438" i="12"/>
  <c r="C1438" i="12"/>
  <c r="B1438" i="12"/>
  <c r="G1438" i="12" s="1"/>
  <c r="A1438" i="12"/>
  <c r="F1437" i="12"/>
  <c r="D1437" i="12"/>
  <c r="C1437" i="12"/>
  <c r="B1437" i="12"/>
  <c r="G1437" i="12" s="1"/>
  <c r="A1437" i="12"/>
  <c r="F1436" i="12"/>
  <c r="D1436" i="12"/>
  <c r="C1436" i="12"/>
  <c r="B1436" i="12"/>
  <c r="G1436" i="12" s="1"/>
  <c r="A1436" i="12"/>
  <c r="F1435" i="12"/>
  <c r="D1435" i="12"/>
  <c r="C1435" i="12"/>
  <c r="B1435" i="12"/>
  <c r="G1435" i="12" s="1"/>
  <c r="A1435" i="12"/>
  <c r="F1434" i="12"/>
  <c r="D1434" i="12"/>
  <c r="C1434" i="12"/>
  <c r="B1434" i="12"/>
  <c r="G1434" i="12" s="1"/>
  <c r="A1434" i="12"/>
  <c r="F1433" i="12"/>
  <c r="D1433" i="12"/>
  <c r="C1433" i="12"/>
  <c r="B1433" i="12"/>
  <c r="G1433" i="12" s="1"/>
  <c r="A1433" i="12"/>
  <c r="F1432" i="12"/>
  <c r="D1432" i="12"/>
  <c r="C1432" i="12"/>
  <c r="B1432" i="12"/>
  <c r="G1432" i="12" s="1"/>
  <c r="A1432" i="12"/>
  <c r="F1431" i="12"/>
  <c r="D1431" i="12"/>
  <c r="C1431" i="12"/>
  <c r="B1431" i="12"/>
  <c r="G1431" i="12" s="1"/>
  <c r="A1431" i="12"/>
  <c r="F1430" i="12"/>
  <c r="D1430" i="12"/>
  <c r="C1430" i="12"/>
  <c r="B1430" i="12"/>
  <c r="G1430" i="12" s="1"/>
  <c r="A1430" i="12"/>
  <c r="F1429" i="12"/>
  <c r="D1429" i="12"/>
  <c r="C1429" i="12"/>
  <c r="B1429" i="12"/>
  <c r="G1429" i="12" s="1"/>
  <c r="A1429" i="12"/>
  <c r="F1428" i="12"/>
  <c r="D1428" i="12"/>
  <c r="C1428" i="12"/>
  <c r="B1428" i="12"/>
  <c r="G1428" i="12" s="1"/>
  <c r="A1428" i="12"/>
  <c r="F1427" i="12"/>
  <c r="D1427" i="12"/>
  <c r="C1427" i="12"/>
  <c r="B1427" i="12"/>
  <c r="G1427" i="12" s="1"/>
  <c r="A1427" i="12"/>
  <c r="F1426" i="12"/>
  <c r="D1426" i="12"/>
  <c r="C1426" i="12"/>
  <c r="B1426" i="12"/>
  <c r="G1426" i="12" s="1"/>
  <c r="A1426" i="12"/>
  <c r="F1425" i="12"/>
  <c r="D1425" i="12"/>
  <c r="C1425" i="12"/>
  <c r="B1425" i="12"/>
  <c r="G1425" i="12" s="1"/>
  <c r="A1425" i="12"/>
  <c r="F1424" i="12"/>
  <c r="D1424" i="12"/>
  <c r="C1424" i="12"/>
  <c r="B1424" i="12"/>
  <c r="G1424" i="12" s="1"/>
  <c r="A1424" i="12"/>
  <c r="F1423" i="12"/>
  <c r="D1423" i="12"/>
  <c r="C1423" i="12"/>
  <c r="B1423" i="12"/>
  <c r="G1423" i="12" s="1"/>
  <c r="A1423" i="12"/>
  <c r="F1422" i="12"/>
  <c r="D1422" i="12"/>
  <c r="C1422" i="12"/>
  <c r="B1422" i="12"/>
  <c r="G1422" i="12" s="1"/>
  <c r="A1422" i="12"/>
  <c r="F1421" i="12"/>
  <c r="D1421" i="12"/>
  <c r="C1421" i="12"/>
  <c r="B1421" i="12"/>
  <c r="G1421" i="12" s="1"/>
  <c r="A1421" i="12"/>
  <c r="F1420" i="12"/>
  <c r="D1420" i="12"/>
  <c r="C1420" i="12"/>
  <c r="B1420" i="12"/>
  <c r="G1420" i="12" s="1"/>
  <c r="A1420" i="12"/>
  <c r="F1419" i="12"/>
  <c r="D1419" i="12"/>
  <c r="C1419" i="12"/>
  <c r="B1419" i="12"/>
  <c r="G1419" i="12" s="1"/>
  <c r="A1419" i="12"/>
  <c r="F1418" i="12"/>
  <c r="D1418" i="12"/>
  <c r="C1418" i="12"/>
  <c r="B1418" i="12"/>
  <c r="G1418" i="12" s="1"/>
  <c r="A1418" i="12"/>
  <c r="F1417" i="12"/>
  <c r="D1417" i="12"/>
  <c r="C1417" i="12"/>
  <c r="B1417" i="12"/>
  <c r="G1417" i="12" s="1"/>
  <c r="A1417" i="12"/>
  <c r="F1416" i="12"/>
  <c r="D1416" i="12"/>
  <c r="C1416" i="12"/>
  <c r="B1416" i="12"/>
  <c r="G1416" i="12" s="1"/>
  <c r="A1416" i="12"/>
  <c r="F1415" i="12"/>
  <c r="D1415" i="12"/>
  <c r="C1415" i="12"/>
  <c r="B1415" i="12"/>
  <c r="G1415" i="12" s="1"/>
  <c r="A1415" i="12"/>
  <c r="F1414" i="12"/>
  <c r="D1414" i="12"/>
  <c r="C1414" i="12"/>
  <c r="B1414" i="12"/>
  <c r="G1414" i="12" s="1"/>
  <c r="A1414" i="12"/>
  <c r="F1413" i="12"/>
  <c r="D1413" i="12"/>
  <c r="C1413" i="12"/>
  <c r="B1413" i="12"/>
  <c r="G1413" i="12" s="1"/>
  <c r="A1413" i="12"/>
  <c r="F1412" i="12"/>
  <c r="D1412" i="12"/>
  <c r="C1412" i="12"/>
  <c r="B1412" i="12"/>
  <c r="G1412" i="12" s="1"/>
  <c r="A1412" i="12"/>
  <c r="F1411" i="12"/>
  <c r="D1411" i="12"/>
  <c r="C1411" i="12"/>
  <c r="B1411" i="12"/>
  <c r="G1411" i="12" s="1"/>
  <c r="A1411" i="12"/>
  <c r="F1410" i="12"/>
  <c r="D1410" i="12"/>
  <c r="C1410" i="12"/>
  <c r="B1410" i="12"/>
  <c r="G1410" i="12" s="1"/>
  <c r="A1410" i="12"/>
  <c r="F1409" i="12"/>
  <c r="D1409" i="12"/>
  <c r="C1409" i="12"/>
  <c r="B1409" i="12"/>
  <c r="G1409" i="12" s="1"/>
  <c r="A1409" i="12"/>
  <c r="F1408" i="12"/>
  <c r="D1408" i="12"/>
  <c r="C1408" i="12"/>
  <c r="B1408" i="12"/>
  <c r="G1408" i="12" s="1"/>
  <c r="A1408" i="12"/>
  <c r="F1407" i="12"/>
  <c r="D1407" i="12"/>
  <c r="C1407" i="12"/>
  <c r="B1407" i="12"/>
  <c r="G1407" i="12" s="1"/>
  <c r="A1407" i="12"/>
  <c r="F1406" i="12"/>
  <c r="D1406" i="12"/>
  <c r="C1406" i="12"/>
  <c r="B1406" i="12"/>
  <c r="G1406" i="12" s="1"/>
  <c r="A1406" i="12"/>
  <c r="F1405" i="12"/>
  <c r="D1405" i="12"/>
  <c r="C1405" i="12"/>
  <c r="B1405" i="12"/>
  <c r="G1405" i="12" s="1"/>
  <c r="A1405" i="12"/>
  <c r="F1404" i="12"/>
  <c r="D1404" i="12"/>
  <c r="C1404" i="12"/>
  <c r="B1404" i="12"/>
  <c r="G1404" i="12" s="1"/>
  <c r="A1404" i="12"/>
  <c r="F1403" i="12"/>
  <c r="D1403" i="12"/>
  <c r="C1403" i="12"/>
  <c r="B1403" i="12"/>
  <c r="G1403" i="12" s="1"/>
  <c r="A1403" i="12"/>
  <c r="F1402" i="12"/>
  <c r="D1402" i="12"/>
  <c r="C1402" i="12"/>
  <c r="B1402" i="12"/>
  <c r="G1402" i="12" s="1"/>
  <c r="A1402" i="12"/>
  <c r="F1401" i="12"/>
  <c r="D1401" i="12"/>
  <c r="C1401" i="12"/>
  <c r="B1401" i="12"/>
  <c r="G1401" i="12" s="1"/>
  <c r="A1401" i="12"/>
  <c r="F1400" i="12"/>
  <c r="D1400" i="12"/>
  <c r="C1400" i="12"/>
  <c r="B1400" i="12"/>
  <c r="G1400" i="12" s="1"/>
  <c r="A1400" i="12"/>
  <c r="F1399" i="12"/>
  <c r="D1399" i="12"/>
  <c r="C1399" i="12"/>
  <c r="B1399" i="12"/>
  <c r="G1399" i="12" s="1"/>
  <c r="A1399" i="12"/>
  <c r="F1398" i="12"/>
  <c r="D1398" i="12"/>
  <c r="C1398" i="12"/>
  <c r="B1398" i="12"/>
  <c r="G1398" i="12" s="1"/>
  <c r="A1398" i="12"/>
  <c r="F1397" i="12"/>
  <c r="D1397" i="12"/>
  <c r="C1397" i="12"/>
  <c r="B1397" i="12"/>
  <c r="G1397" i="12" s="1"/>
  <c r="A1397" i="12"/>
  <c r="F1396" i="12"/>
  <c r="D1396" i="12"/>
  <c r="C1396" i="12"/>
  <c r="B1396" i="12"/>
  <c r="G1396" i="12" s="1"/>
  <c r="A1396" i="12"/>
  <c r="F1395" i="12"/>
  <c r="D1395" i="12"/>
  <c r="C1395" i="12"/>
  <c r="B1395" i="12"/>
  <c r="G1395" i="12" s="1"/>
  <c r="A1395" i="12"/>
  <c r="F1394" i="12"/>
  <c r="D1394" i="12"/>
  <c r="C1394" i="12"/>
  <c r="B1394" i="12"/>
  <c r="G1394" i="12" s="1"/>
  <c r="A1394" i="12"/>
  <c r="F1393" i="12"/>
  <c r="D1393" i="12"/>
  <c r="C1393" i="12"/>
  <c r="B1393" i="12"/>
  <c r="G1393" i="12" s="1"/>
  <c r="A1393" i="12"/>
  <c r="F1392" i="12"/>
  <c r="D1392" i="12"/>
  <c r="C1392" i="12"/>
  <c r="B1392" i="12"/>
  <c r="G1392" i="12" s="1"/>
  <c r="A1392" i="12"/>
  <c r="F1391" i="12"/>
  <c r="D1391" i="12"/>
  <c r="C1391" i="12"/>
  <c r="B1391" i="12"/>
  <c r="G1391" i="12" s="1"/>
  <c r="A1391" i="12"/>
  <c r="F1390" i="12"/>
  <c r="D1390" i="12"/>
  <c r="C1390" i="12"/>
  <c r="B1390" i="12"/>
  <c r="G1390" i="12" s="1"/>
  <c r="A1390" i="12"/>
  <c r="F1389" i="12"/>
  <c r="D1389" i="12"/>
  <c r="C1389" i="12"/>
  <c r="B1389" i="12"/>
  <c r="G1389" i="12" s="1"/>
  <c r="A1389" i="12"/>
  <c r="F1388" i="12"/>
  <c r="D1388" i="12"/>
  <c r="C1388" i="12"/>
  <c r="B1388" i="12"/>
  <c r="G1388" i="12" s="1"/>
  <c r="A1388" i="12"/>
  <c r="F1387" i="12"/>
  <c r="D1387" i="12"/>
  <c r="C1387" i="12"/>
  <c r="B1387" i="12"/>
  <c r="G1387" i="12" s="1"/>
  <c r="A1387" i="12"/>
  <c r="F1386" i="12"/>
  <c r="D1386" i="12"/>
  <c r="C1386" i="12"/>
  <c r="B1386" i="12"/>
  <c r="G1386" i="12" s="1"/>
  <c r="A1386" i="12"/>
  <c r="F1385" i="12"/>
  <c r="D1385" i="12"/>
  <c r="C1385" i="12"/>
  <c r="B1385" i="12"/>
  <c r="G1385" i="12" s="1"/>
  <c r="A1385" i="12"/>
  <c r="F1384" i="12"/>
  <c r="D1384" i="12"/>
  <c r="C1384" i="12"/>
  <c r="B1384" i="12"/>
  <c r="G1384" i="12" s="1"/>
  <c r="A1384" i="12"/>
  <c r="F1383" i="12"/>
  <c r="D1383" i="12"/>
  <c r="C1383" i="12"/>
  <c r="B1383" i="12"/>
  <c r="G1383" i="12" s="1"/>
  <c r="A1383" i="12"/>
  <c r="F1382" i="12"/>
  <c r="D1382" i="12"/>
  <c r="C1382" i="12"/>
  <c r="B1382" i="12"/>
  <c r="G1382" i="12" s="1"/>
  <c r="A1382" i="12"/>
  <c r="F1381" i="12"/>
  <c r="D1381" i="12"/>
  <c r="C1381" i="12"/>
  <c r="B1381" i="12"/>
  <c r="G1381" i="12" s="1"/>
  <c r="A1381" i="12"/>
  <c r="F1380" i="12"/>
  <c r="D1380" i="12"/>
  <c r="C1380" i="12"/>
  <c r="B1380" i="12"/>
  <c r="G1380" i="12" s="1"/>
  <c r="A1380" i="12"/>
  <c r="F1379" i="12"/>
  <c r="D1379" i="12"/>
  <c r="C1379" i="12"/>
  <c r="B1379" i="12"/>
  <c r="G1379" i="12" s="1"/>
  <c r="A1379" i="12"/>
  <c r="F1378" i="12"/>
  <c r="D1378" i="12"/>
  <c r="C1378" i="12"/>
  <c r="B1378" i="12"/>
  <c r="G1378" i="12" s="1"/>
  <c r="A1378" i="12"/>
  <c r="F1377" i="12"/>
  <c r="D1377" i="12"/>
  <c r="C1377" i="12"/>
  <c r="B1377" i="12"/>
  <c r="G1377" i="12" s="1"/>
  <c r="A1377" i="12"/>
  <c r="F1376" i="12"/>
  <c r="D1376" i="12"/>
  <c r="C1376" i="12"/>
  <c r="B1376" i="12"/>
  <c r="G1376" i="12" s="1"/>
  <c r="A1376" i="12"/>
  <c r="F1375" i="12"/>
  <c r="D1375" i="12"/>
  <c r="C1375" i="12"/>
  <c r="B1375" i="12"/>
  <c r="G1375" i="12" s="1"/>
  <c r="A1375" i="12"/>
  <c r="F1374" i="12"/>
  <c r="D1374" i="12"/>
  <c r="C1374" i="12"/>
  <c r="B1374" i="12"/>
  <c r="G1374" i="12" s="1"/>
  <c r="A1374" i="12"/>
  <c r="F1373" i="12"/>
  <c r="D1373" i="12"/>
  <c r="C1373" i="12"/>
  <c r="B1373" i="12"/>
  <c r="G1373" i="12" s="1"/>
  <c r="A1373" i="12"/>
  <c r="F1372" i="12"/>
  <c r="D1372" i="12"/>
  <c r="C1372" i="12"/>
  <c r="B1372" i="12"/>
  <c r="G1372" i="12" s="1"/>
  <c r="A1372" i="12"/>
  <c r="F1371" i="12"/>
  <c r="D1371" i="12"/>
  <c r="C1371" i="12"/>
  <c r="B1371" i="12"/>
  <c r="G1371" i="12" s="1"/>
  <c r="A1371" i="12"/>
  <c r="F1370" i="12"/>
  <c r="D1370" i="12"/>
  <c r="C1370" i="12"/>
  <c r="B1370" i="12"/>
  <c r="G1370" i="12" s="1"/>
  <c r="A1370" i="12"/>
  <c r="F1369" i="12"/>
  <c r="D1369" i="12"/>
  <c r="C1369" i="12"/>
  <c r="B1369" i="12"/>
  <c r="G1369" i="12" s="1"/>
  <c r="A1369" i="12"/>
  <c r="F1368" i="12"/>
  <c r="D1368" i="12"/>
  <c r="C1368" i="12"/>
  <c r="B1368" i="12"/>
  <c r="G1368" i="12" s="1"/>
  <c r="A1368" i="12"/>
  <c r="F1367" i="12"/>
  <c r="D1367" i="12"/>
  <c r="C1367" i="12"/>
  <c r="B1367" i="12"/>
  <c r="G1367" i="12" s="1"/>
  <c r="A1367" i="12"/>
  <c r="F1366" i="12"/>
  <c r="D1366" i="12"/>
  <c r="C1366" i="12"/>
  <c r="B1366" i="12"/>
  <c r="G1366" i="12" s="1"/>
  <c r="A1366" i="12"/>
  <c r="F1365" i="12"/>
  <c r="D1365" i="12"/>
  <c r="C1365" i="12"/>
  <c r="B1365" i="12"/>
  <c r="G1365" i="12" s="1"/>
  <c r="A1365" i="12"/>
  <c r="F1364" i="12"/>
  <c r="D1364" i="12"/>
  <c r="C1364" i="12"/>
  <c r="B1364" i="12"/>
  <c r="G1364" i="12" s="1"/>
  <c r="A1364" i="12"/>
  <c r="F1363" i="12"/>
  <c r="D1363" i="12"/>
  <c r="C1363" i="12"/>
  <c r="B1363" i="12"/>
  <c r="G1363" i="12" s="1"/>
  <c r="A1363" i="12"/>
  <c r="F1362" i="12"/>
  <c r="D1362" i="12"/>
  <c r="C1362" i="12"/>
  <c r="B1362" i="12"/>
  <c r="G1362" i="12" s="1"/>
  <c r="A1362" i="12"/>
  <c r="F1361" i="12"/>
  <c r="D1361" i="12"/>
  <c r="C1361" i="12"/>
  <c r="B1361" i="12"/>
  <c r="G1361" i="12" s="1"/>
  <c r="A1361" i="12"/>
  <c r="F1360" i="12"/>
  <c r="D1360" i="12"/>
  <c r="C1360" i="12"/>
  <c r="B1360" i="12"/>
  <c r="G1360" i="12" s="1"/>
  <c r="A1360" i="12"/>
  <c r="F1359" i="12"/>
  <c r="D1359" i="12"/>
  <c r="C1359" i="12"/>
  <c r="B1359" i="12"/>
  <c r="G1359" i="12" s="1"/>
  <c r="A1359" i="12"/>
  <c r="F1358" i="12"/>
  <c r="D1358" i="12"/>
  <c r="C1358" i="12"/>
  <c r="B1358" i="12"/>
  <c r="G1358" i="12" s="1"/>
  <c r="A1358" i="12"/>
  <c r="F1357" i="12"/>
  <c r="D1357" i="12"/>
  <c r="C1357" i="12"/>
  <c r="B1357" i="12"/>
  <c r="G1357" i="12" s="1"/>
  <c r="A1357" i="12"/>
  <c r="F1356" i="12"/>
  <c r="D1356" i="12"/>
  <c r="C1356" i="12"/>
  <c r="B1356" i="12"/>
  <c r="G1356" i="12" s="1"/>
  <c r="A1356" i="12"/>
  <c r="F1355" i="12"/>
  <c r="D1355" i="12"/>
  <c r="C1355" i="12"/>
  <c r="B1355" i="12"/>
  <c r="G1355" i="12" s="1"/>
  <c r="A1355" i="12"/>
  <c r="F1354" i="12"/>
  <c r="D1354" i="12"/>
  <c r="C1354" i="12"/>
  <c r="B1354" i="12"/>
  <c r="G1354" i="12" s="1"/>
  <c r="A1354" i="12"/>
  <c r="F1353" i="12"/>
  <c r="D1353" i="12"/>
  <c r="C1353" i="12"/>
  <c r="B1353" i="12"/>
  <c r="G1353" i="12" s="1"/>
  <c r="A1353" i="12"/>
  <c r="F1352" i="12"/>
  <c r="D1352" i="12"/>
  <c r="C1352" i="12"/>
  <c r="B1352" i="12"/>
  <c r="G1352" i="12" s="1"/>
  <c r="A1352" i="12"/>
  <c r="F1351" i="12"/>
  <c r="D1351" i="12"/>
  <c r="C1351" i="12"/>
  <c r="B1351" i="12"/>
  <c r="G1351" i="12" s="1"/>
  <c r="A1351" i="12"/>
  <c r="F1350" i="12"/>
  <c r="D1350" i="12"/>
  <c r="C1350" i="12"/>
  <c r="B1350" i="12"/>
  <c r="G1350" i="12" s="1"/>
  <c r="A1350" i="12"/>
  <c r="F1349" i="12"/>
  <c r="D1349" i="12"/>
  <c r="C1349" i="12"/>
  <c r="B1349" i="12"/>
  <c r="G1349" i="12" s="1"/>
  <c r="A1349" i="12"/>
  <c r="F1348" i="12"/>
  <c r="D1348" i="12"/>
  <c r="C1348" i="12"/>
  <c r="B1348" i="12"/>
  <c r="G1348" i="12" s="1"/>
  <c r="A1348" i="12"/>
  <c r="F1347" i="12"/>
  <c r="D1347" i="12"/>
  <c r="C1347" i="12"/>
  <c r="B1347" i="12"/>
  <c r="G1347" i="12" s="1"/>
  <c r="A1347" i="12"/>
  <c r="F1346" i="12"/>
  <c r="D1346" i="12"/>
  <c r="C1346" i="12"/>
  <c r="B1346" i="12"/>
  <c r="G1346" i="12" s="1"/>
  <c r="A1346" i="12"/>
  <c r="F1345" i="12"/>
  <c r="D1345" i="12"/>
  <c r="C1345" i="12"/>
  <c r="B1345" i="12"/>
  <c r="G1345" i="12" s="1"/>
  <c r="A1345" i="12"/>
  <c r="F1344" i="12"/>
  <c r="D1344" i="12"/>
  <c r="C1344" i="12"/>
  <c r="B1344" i="12"/>
  <c r="G1344" i="12" s="1"/>
  <c r="A1344" i="12"/>
  <c r="F1343" i="12"/>
  <c r="D1343" i="12"/>
  <c r="C1343" i="12"/>
  <c r="B1343" i="12"/>
  <c r="G1343" i="12" s="1"/>
  <c r="A1343" i="12"/>
  <c r="F1342" i="12"/>
  <c r="D1342" i="12"/>
  <c r="C1342" i="12"/>
  <c r="B1342" i="12"/>
  <c r="G1342" i="12" s="1"/>
  <c r="A1342" i="12"/>
  <c r="F1341" i="12"/>
  <c r="D1341" i="12"/>
  <c r="C1341" i="12"/>
  <c r="B1341" i="12"/>
  <c r="G1341" i="12" s="1"/>
  <c r="A1341" i="12"/>
  <c r="F1340" i="12"/>
  <c r="D1340" i="12"/>
  <c r="C1340" i="12"/>
  <c r="B1340" i="12"/>
  <c r="G1340" i="12" s="1"/>
  <c r="A1340" i="12"/>
  <c r="F1339" i="12"/>
  <c r="D1339" i="12"/>
  <c r="C1339" i="12"/>
  <c r="B1339" i="12"/>
  <c r="G1339" i="12" s="1"/>
  <c r="A1339" i="12"/>
  <c r="F1338" i="12"/>
  <c r="D1338" i="12"/>
  <c r="C1338" i="12"/>
  <c r="B1338" i="12"/>
  <c r="G1338" i="12" s="1"/>
  <c r="A1338" i="12"/>
  <c r="F1337" i="12"/>
  <c r="D1337" i="12"/>
  <c r="C1337" i="12"/>
  <c r="B1337" i="12"/>
  <c r="G1337" i="12" s="1"/>
  <c r="A1337" i="12"/>
  <c r="F1336" i="12"/>
  <c r="D1336" i="12"/>
  <c r="C1336" i="12"/>
  <c r="B1336" i="12"/>
  <c r="G1336" i="12" s="1"/>
  <c r="A1336" i="12"/>
  <c r="F1335" i="12"/>
  <c r="D1335" i="12"/>
  <c r="C1335" i="12"/>
  <c r="B1335" i="12"/>
  <c r="G1335" i="12" s="1"/>
  <c r="A1335" i="12"/>
  <c r="F1334" i="12"/>
  <c r="D1334" i="12"/>
  <c r="C1334" i="12"/>
  <c r="B1334" i="12"/>
  <c r="G1334" i="12" s="1"/>
  <c r="A1334" i="12"/>
  <c r="F1333" i="12"/>
  <c r="D1333" i="12"/>
  <c r="C1333" i="12"/>
  <c r="B1333" i="12"/>
  <c r="G1333" i="12" s="1"/>
  <c r="A1333" i="12"/>
  <c r="F1332" i="12"/>
  <c r="D1332" i="12"/>
  <c r="C1332" i="12"/>
  <c r="B1332" i="12"/>
  <c r="G1332" i="12" s="1"/>
  <c r="A1332" i="12"/>
  <c r="F1331" i="12"/>
  <c r="D1331" i="12"/>
  <c r="C1331" i="12"/>
  <c r="B1331" i="12"/>
  <c r="G1331" i="12" s="1"/>
  <c r="A1331" i="12"/>
  <c r="F1330" i="12"/>
  <c r="D1330" i="12"/>
  <c r="C1330" i="12"/>
  <c r="B1330" i="12"/>
  <c r="G1330" i="12" s="1"/>
  <c r="A1330" i="12"/>
  <c r="F1329" i="12"/>
  <c r="D1329" i="12"/>
  <c r="C1329" i="12"/>
  <c r="B1329" i="12"/>
  <c r="G1329" i="12" s="1"/>
  <c r="A1329" i="12"/>
  <c r="F1328" i="12"/>
  <c r="D1328" i="12"/>
  <c r="C1328" i="12"/>
  <c r="B1328" i="12"/>
  <c r="G1328" i="12" s="1"/>
  <c r="A1328" i="12"/>
  <c r="F1327" i="12"/>
  <c r="D1327" i="12"/>
  <c r="C1327" i="12"/>
  <c r="B1327" i="12"/>
  <c r="G1327" i="12" s="1"/>
  <c r="A1327" i="12"/>
  <c r="F1326" i="12"/>
  <c r="D1326" i="12"/>
  <c r="C1326" i="12"/>
  <c r="B1326" i="12"/>
  <c r="G1326" i="12" s="1"/>
  <c r="A1326" i="12"/>
  <c r="F1325" i="12"/>
  <c r="D1325" i="12"/>
  <c r="C1325" i="12"/>
  <c r="B1325" i="12"/>
  <c r="G1325" i="12" s="1"/>
  <c r="A1325" i="12"/>
  <c r="F1324" i="12"/>
  <c r="D1324" i="12"/>
  <c r="C1324" i="12"/>
  <c r="B1324" i="12"/>
  <c r="G1324" i="12" s="1"/>
  <c r="A1324" i="12"/>
  <c r="F1323" i="12"/>
  <c r="D1323" i="12"/>
  <c r="C1323" i="12"/>
  <c r="B1323" i="12"/>
  <c r="G1323" i="12" s="1"/>
  <c r="A1323" i="12"/>
  <c r="F1322" i="12"/>
  <c r="D1322" i="12"/>
  <c r="C1322" i="12"/>
  <c r="B1322" i="12"/>
  <c r="G1322" i="12" s="1"/>
  <c r="A1322" i="12"/>
  <c r="F1321" i="12"/>
  <c r="D1321" i="12"/>
  <c r="C1321" i="12"/>
  <c r="B1321" i="12"/>
  <c r="G1321" i="12" s="1"/>
  <c r="A1321" i="12"/>
  <c r="F1320" i="12"/>
  <c r="D1320" i="12"/>
  <c r="C1320" i="12"/>
  <c r="B1320" i="12"/>
  <c r="G1320" i="12" s="1"/>
  <c r="A1320" i="12"/>
  <c r="F1319" i="12"/>
  <c r="D1319" i="12"/>
  <c r="C1319" i="12"/>
  <c r="B1319" i="12"/>
  <c r="G1319" i="12" s="1"/>
  <c r="A1319" i="12"/>
  <c r="F1318" i="12"/>
  <c r="D1318" i="12"/>
  <c r="C1318" i="12"/>
  <c r="B1318" i="12"/>
  <c r="G1318" i="12" s="1"/>
  <c r="A1318" i="12"/>
  <c r="F1317" i="12"/>
  <c r="D1317" i="12"/>
  <c r="C1317" i="12"/>
  <c r="B1317" i="12"/>
  <c r="G1317" i="12" s="1"/>
  <c r="A1317" i="12"/>
  <c r="F1316" i="12"/>
  <c r="D1316" i="12"/>
  <c r="C1316" i="12"/>
  <c r="B1316" i="12"/>
  <c r="G1316" i="12" s="1"/>
  <c r="A1316" i="12"/>
  <c r="F1315" i="12"/>
  <c r="D1315" i="12"/>
  <c r="C1315" i="12"/>
  <c r="B1315" i="12"/>
  <c r="G1315" i="12" s="1"/>
  <c r="A1315" i="12"/>
  <c r="F1314" i="12"/>
  <c r="D1314" i="12"/>
  <c r="C1314" i="12"/>
  <c r="B1314" i="12"/>
  <c r="G1314" i="12" s="1"/>
  <c r="A1314" i="12"/>
  <c r="F1313" i="12"/>
  <c r="D1313" i="12"/>
  <c r="C1313" i="12"/>
  <c r="B1313" i="12"/>
  <c r="G1313" i="12" s="1"/>
  <c r="A1313" i="12"/>
  <c r="F1312" i="12"/>
  <c r="D1312" i="12"/>
  <c r="C1312" i="12"/>
  <c r="B1312" i="12"/>
  <c r="G1312" i="12" s="1"/>
  <c r="A1312" i="12"/>
  <c r="F1311" i="12"/>
  <c r="D1311" i="12"/>
  <c r="C1311" i="12"/>
  <c r="B1311" i="12"/>
  <c r="G1311" i="12" s="1"/>
  <c r="A1311" i="12"/>
  <c r="F1310" i="12"/>
  <c r="D1310" i="12"/>
  <c r="C1310" i="12"/>
  <c r="B1310" i="12"/>
  <c r="G1310" i="12" s="1"/>
  <c r="A1310" i="12"/>
  <c r="F1309" i="12"/>
  <c r="D1309" i="12"/>
  <c r="C1309" i="12"/>
  <c r="B1309" i="12"/>
  <c r="G1309" i="12" s="1"/>
  <c r="A1309" i="12"/>
  <c r="F1308" i="12"/>
  <c r="D1308" i="12"/>
  <c r="C1308" i="12"/>
  <c r="B1308" i="12"/>
  <c r="G1308" i="12" s="1"/>
  <c r="A1308" i="12"/>
  <c r="F1307" i="12"/>
  <c r="D1307" i="12"/>
  <c r="C1307" i="12"/>
  <c r="B1307" i="12"/>
  <c r="G1307" i="12" s="1"/>
  <c r="A1307" i="12"/>
  <c r="F1306" i="12"/>
  <c r="D1306" i="12"/>
  <c r="C1306" i="12"/>
  <c r="B1306" i="12"/>
  <c r="G1306" i="12" s="1"/>
  <c r="A1306" i="12"/>
  <c r="F1305" i="12"/>
  <c r="D1305" i="12"/>
  <c r="C1305" i="12"/>
  <c r="B1305" i="12"/>
  <c r="G1305" i="12" s="1"/>
  <c r="A1305" i="12"/>
  <c r="F1304" i="12"/>
  <c r="D1304" i="12"/>
  <c r="C1304" i="12"/>
  <c r="B1304" i="12"/>
  <c r="G1304" i="12" s="1"/>
  <c r="A1304" i="12"/>
  <c r="F1303" i="12"/>
  <c r="D1303" i="12"/>
  <c r="C1303" i="12"/>
  <c r="B1303" i="12"/>
  <c r="G1303" i="12" s="1"/>
  <c r="A1303" i="12"/>
  <c r="F1302" i="12"/>
  <c r="D1302" i="12"/>
  <c r="C1302" i="12"/>
  <c r="B1302" i="12"/>
  <c r="G1302" i="12" s="1"/>
  <c r="A1302" i="12"/>
  <c r="F1301" i="12"/>
  <c r="D1301" i="12"/>
  <c r="C1301" i="12"/>
  <c r="B1301" i="12"/>
  <c r="G1301" i="12" s="1"/>
  <c r="A1301" i="12"/>
  <c r="F1300" i="12"/>
  <c r="D1300" i="12"/>
  <c r="C1300" i="12"/>
  <c r="B1300" i="12"/>
  <c r="G1300" i="12" s="1"/>
  <c r="A1300" i="12"/>
  <c r="F1299" i="12"/>
  <c r="D1299" i="12"/>
  <c r="C1299" i="12"/>
  <c r="B1299" i="12"/>
  <c r="G1299" i="12" s="1"/>
  <c r="A1299" i="12"/>
  <c r="F1298" i="12"/>
  <c r="D1298" i="12"/>
  <c r="C1298" i="12"/>
  <c r="B1298" i="12"/>
  <c r="G1298" i="12" s="1"/>
  <c r="A1298" i="12"/>
  <c r="F1297" i="12"/>
  <c r="D1297" i="12"/>
  <c r="C1297" i="12"/>
  <c r="B1297" i="12"/>
  <c r="G1297" i="12" s="1"/>
  <c r="A1297" i="12"/>
  <c r="F1296" i="12"/>
  <c r="D1296" i="12"/>
  <c r="C1296" i="12"/>
  <c r="B1296" i="12"/>
  <c r="G1296" i="12" s="1"/>
  <c r="A1296" i="12"/>
  <c r="F1295" i="12"/>
  <c r="D1295" i="12"/>
  <c r="C1295" i="12"/>
  <c r="B1295" i="12"/>
  <c r="G1295" i="12" s="1"/>
  <c r="A1295" i="12"/>
  <c r="F1294" i="12"/>
  <c r="D1294" i="12"/>
  <c r="C1294" i="12"/>
  <c r="B1294" i="12"/>
  <c r="G1294" i="12" s="1"/>
  <c r="A1294" i="12"/>
  <c r="F1293" i="12"/>
  <c r="D1293" i="12"/>
  <c r="C1293" i="12"/>
  <c r="B1293" i="12"/>
  <c r="G1293" i="12" s="1"/>
  <c r="A1293" i="12"/>
  <c r="F1292" i="12"/>
  <c r="D1292" i="12"/>
  <c r="C1292" i="12"/>
  <c r="B1292" i="12"/>
  <c r="G1292" i="12" s="1"/>
  <c r="A1292" i="12"/>
  <c r="F1291" i="12"/>
  <c r="D1291" i="12"/>
  <c r="C1291" i="12"/>
  <c r="B1291" i="12"/>
  <c r="G1291" i="12" s="1"/>
  <c r="A1291" i="12"/>
  <c r="F1290" i="12"/>
  <c r="D1290" i="12"/>
  <c r="C1290" i="12"/>
  <c r="B1290" i="12"/>
  <c r="G1290" i="12" s="1"/>
  <c r="A1290" i="12"/>
  <c r="F1289" i="12"/>
  <c r="D1289" i="12"/>
  <c r="C1289" i="12"/>
  <c r="B1289" i="12"/>
  <c r="G1289" i="12" s="1"/>
  <c r="A1289" i="12"/>
  <c r="F1288" i="12"/>
  <c r="D1288" i="12"/>
  <c r="C1288" i="12"/>
  <c r="B1288" i="12"/>
  <c r="G1288" i="12" s="1"/>
  <c r="A1288" i="12"/>
  <c r="F1287" i="12"/>
  <c r="D1287" i="12"/>
  <c r="C1287" i="12"/>
  <c r="B1287" i="12"/>
  <c r="G1287" i="12" s="1"/>
  <c r="A1287" i="12"/>
  <c r="F1286" i="12"/>
  <c r="D1286" i="12"/>
  <c r="C1286" i="12"/>
  <c r="B1286" i="12"/>
  <c r="G1286" i="12" s="1"/>
  <c r="A1286" i="12"/>
  <c r="F1285" i="12"/>
  <c r="D1285" i="12"/>
  <c r="C1285" i="12"/>
  <c r="B1285" i="12"/>
  <c r="G1285" i="12" s="1"/>
  <c r="A1285" i="12"/>
  <c r="F1284" i="12"/>
  <c r="D1284" i="12"/>
  <c r="C1284" i="12"/>
  <c r="B1284" i="12"/>
  <c r="G1284" i="12" s="1"/>
  <c r="A1284" i="12"/>
  <c r="F1283" i="12"/>
  <c r="D1283" i="12"/>
  <c r="C1283" i="12"/>
  <c r="B1283" i="12"/>
  <c r="G1283" i="12" s="1"/>
  <c r="A1283" i="12"/>
  <c r="F1282" i="12"/>
  <c r="D1282" i="12"/>
  <c r="C1282" i="12"/>
  <c r="B1282" i="12"/>
  <c r="G1282" i="12" s="1"/>
  <c r="A1282" i="12"/>
  <c r="F1281" i="12"/>
  <c r="D1281" i="12"/>
  <c r="C1281" i="12"/>
  <c r="B1281" i="12"/>
  <c r="G1281" i="12" s="1"/>
  <c r="A1281" i="12"/>
  <c r="F1280" i="12"/>
  <c r="D1280" i="12"/>
  <c r="C1280" i="12"/>
  <c r="B1280" i="12"/>
  <c r="G1280" i="12" s="1"/>
  <c r="A1280" i="12"/>
  <c r="F1279" i="12"/>
  <c r="D1279" i="12"/>
  <c r="C1279" i="12"/>
  <c r="B1279" i="12"/>
  <c r="G1279" i="12" s="1"/>
  <c r="A1279" i="12"/>
  <c r="F1278" i="12"/>
  <c r="D1278" i="12"/>
  <c r="C1278" i="12"/>
  <c r="B1278" i="12"/>
  <c r="G1278" i="12" s="1"/>
  <c r="A1278" i="12"/>
  <c r="F1277" i="12"/>
  <c r="D1277" i="12"/>
  <c r="C1277" i="12"/>
  <c r="B1277" i="12"/>
  <c r="G1277" i="12" s="1"/>
  <c r="A1277" i="12"/>
  <c r="F1276" i="12"/>
  <c r="D1276" i="12"/>
  <c r="C1276" i="12"/>
  <c r="B1276" i="12"/>
  <c r="G1276" i="12" s="1"/>
  <c r="A1276" i="12"/>
  <c r="F1275" i="12"/>
  <c r="D1275" i="12"/>
  <c r="C1275" i="12"/>
  <c r="B1275" i="12"/>
  <c r="G1275" i="12" s="1"/>
  <c r="A1275" i="12"/>
  <c r="F1274" i="12"/>
  <c r="D1274" i="12"/>
  <c r="C1274" i="12"/>
  <c r="B1274" i="12"/>
  <c r="G1274" i="12" s="1"/>
  <c r="A1274" i="12"/>
  <c r="F1273" i="12"/>
  <c r="D1273" i="12"/>
  <c r="C1273" i="12"/>
  <c r="B1273" i="12"/>
  <c r="G1273" i="12" s="1"/>
  <c r="A1273" i="12"/>
  <c r="F1272" i="12"/>
  <c r="D1272" i="12"/>
  <c r="C1272" i="12"/>
  <c r="B1272" i="12"/>
  <c r="G1272" i="12" s="1"/>
  <c r="A1272" i="12"/>
  <c r="F1271" i="12"/>
  <c r="D1271" i="12"/>
  <c r="C1271" i="12"/>
  <c r="B1271" i="12"/>
  <c r="G1271" i="12" s="1"/>
  <c r="A1271" i="12"/>
  <c r="F1270" i="12"/>
  <c r="D1270" i="12"/>
  <c r="C1270" i="12"/>
  <c r="B1270" i="12"/>
  <c r="G1270" i="12" s="1"/>
  <c r="A1270" i="12"/>
  <c r="F1269" i="12"/>
  <c r="D1269" i="12"/>
  <c r="C1269" i="12"/>
  <c r="B1269" i="12"/>
  <c r="G1269" i="12" s="1"/>
  <c r="A1269" i="12"/>
  <c r="F1268" i="12"/>
  <c r="D1268" i="12"/>
  <c r="C1268" i="12"/>
  <c r="B1268" i="12"/>
  <c r="G1268" i="12" s="1"/>
  <c r="A1268" i="12"/>
  <c r="F1267" i="12"/>
  <c r="D1267" i="12"/>
  <c r="C1267" i="12"/>
  <c r="B1267" i="12"/>
  <c r="G1267" i="12" s="1"/>
  <c r="A1267" i="12"/>
  <c r="F1266" i="12"/>
  <c r="D1266" i="12"/>
  <c r="C1266" i="12"/>
  <c r="B1266" i="12"/>
  <c r="G1266" i="12" s="1"/>
  <c r="A1266" i="12"/>
  <c r="F1265" i="12"/>
  <c r="D1265" i="12"/>
  <c r="C1265" i="12"/>
  <c r="B1265" i="12"/>
  <c r="G1265" i="12" s="1"/>
  <c r="A1265" i="12"/>
  <c r="F1264" i="12"/>
  <c r="D1264" i="12"/>
  <c r="C1264" i="12"/>
  <c r="B1264" i="12"/>
  <c r="G1264" i="12" s="1"/>
  <c r="A1264" i="12"/>
  <c r="F1263" i="12"/>
  <c r="D1263" i="12"/>
  <c r="C1263" i="12"/>
  <c r="B1263" i="12"/>
  <c r="G1263" i="12" s="1"/>
  <c r="A1263" i="12"/>
  <c r="F1262" i="12"/>
  <c r="D1262" i="12"/>
  <c r="C1262" i="12"/>
  <c r="B1262" i="12"/>
  <c r="G1262" i="12" s="1"/>
  <c r="A1262" i="12"/>
  <c r="F1261" i="12"/>
  <c r="D1261" i="12"/>
  <c r="C1261" i="12"/>
  <c r="B1261" i="12"/>
  <c r="G1261" i="12" s="1"/>
  <c r="A1261" i="12"/>
  <c r="F1260" i="12"/>
  <c r="D1260" i="12"/>
  <c r="C1260" i="12"/>
  <c r="B1260" i="12"/>
  <c r="G1260" i="12" s="1"/>
  <c r="A1260" i="12"/>
  <c r="F1259" i="12"/>
  <c r="D1259" i="12"/>
  <c r="C1259" i="12"/>
  <c r="B1259" i="12"/>
  <c r="G1259" i="12" s="1"/>
  <c r="A1259" i="12"/>
  <c r="F1258" i="12"/>
  <c r="D1258" i="12"/>
  <c r="C1258" i="12"/>
  <c r="B1258" i="12"/>
  <c r="G1258" i="12" s="1"/>
  <c r="A1258" i="12"/>
  <c r="F1257" i="12"/>
  <c r="D1257" i="12"/>
  <c r="C1257" i="12"/>
  <c r="B1257" i="12"/>
  <c r="G1257" i="12" s="1"/>
  <c r="A1257" i="12"/>
  <c r="F1256" i="12"/>
  <c r="D1256" i="12"/>
  <c r="C1256" i="12"/>
  <c r="B1256" i="12"/>
  <c r="G1256" i="12" s="1"/>
  <c r="A1256" i="12"/>
  <c r="F1255" i="12"/>
  <c r="D1255" i="12"/>
  <c r="C1255" i="12"/>
  <c r="B1255" i="12"/>
  <c r="G1255" i="12" s="1"/>
  <c r="A1255" i="12"/>
  <c r="F1254" i="12"/>
  <c r="D1254" i="12"/>
  <c r="C1254" i="12"/>
  <c r="B1254" i="12"/>
  <c r="G1254" i="12" s="1"/>
  <c r="A1254" i="12"/>
  <c r="F1253" i="12"/>
  <c r="D1253" i="12"/>
  <c r="C1253" i="12"/>
  <c r="B1253" i="12"/>
  <c r="G1253" i="12" s="1"/>
  <c r="A1253" i="12"/>
  <c r="F1252" i="12"/>
  <c r="D1252" i="12"/>
  <c r="C1252" i="12"/>
  <c r="B1252" i="12"/>
  <c r="G1252" i="12" s="1"/>
  <c r="A1252" i="12"/>
  <c r="F1251" i="12"/>
  <c r="D1251" i="12"/>
  <c r="C1251" i="12"/>
  <c r="B1251" i="12"/>
  <c r="G1251" i="12" s="1"/>
  <c r="A1251" i="12"/>
  <c r="F1250" i="12"/>
  <c r="D1250" i="12"/>
  <c r="C1250" i="12"/>
  <c r="B1250" i="12"/>
  <c r="G1250" i="12" s="1"/>
  <c r="A1250" i="12"/>
  <c r="F1249" i="12"/>
  <c r="D1249" i="12"/>
  <c r="C1249" i="12"/>
  <c r="B1249" i="12"/>
  <c r="G1249" i="12" s="1"/>
  <c r="A1249" i="12"/>
  <c r="F1248" i="12"/>
  <c r="D1248" i="12"/>
  <c r="C1248" i="12"/>
  <c r="B1248" i="12"/>
  <c r="G1248" i="12" s="1"/>
  <c r="A1248" i="12"/>
  <c r="F1247" i="12"/>
  <c r="D1247" i="12"/>
  <c r="C1247" i="12"/>
  <c r="B1247" i="12"/>
  <c r="G1247" i="12" s="1"/>
  <c r="A1247" i="12"/>
  <c r="F1246" i="12"/>
  <c r="D1246" i="12"/>
  <c r="C1246" i="12"/>
  <c r="B1246" i="12"/>
  <c r="G1246" i="12" s="1"/>
  <c r="A1246" i="12"/>
  <c r="F1245" i="12"/>
  <c r="D1245" i="12"/>
  <c r="C1245" i="12"/>
  <c r="B1245" i="12"/>
  <c r="G1245" i="12" s="1"/>
  <c r="A1245" i="12"/>
  <c r="F1244" i="12"/>
  <c r="D1244" i="12"/>
  <c r="C1244" i="12"/>
  <c r="B1244" i="12"/>
  <c r="G1244" i="12" s="1"/>
  <c r="A1244" i="12"/>
  <c r="F1243" i="12"/>
  <c r="D1243" i="12"/>
  <c r="C1243" i="12"/>
  <c r="B1243" i="12"/>
  <c r="G1243" i="12" s="1"/>
  <c r="A1243" i="12"/>
  <c r="F1242" i="12"/>
  <c r="D1242" i="12"/>
  <c r="C1242" i="12"/>
  <c r="B1242" i="12"/>
  <c r="G1242" i="12" s="1"/>
  <c r="A1242" i="12"/>
  <c r="F1241" i="12"/>
  <c r="D1241" i="12"/>
  <c r="C1241" i="12"/>
  <c r="B1241" i="12"/>
  <c r="G1241" i="12" s="1"/>
  <c r="A1241" i="12"/>
  <c r="F1240" i="12"/>
  <c r="D1240" i="12"/>
  <c r="C1240" i="12"/>
  <c r="B1240" i="12"/>
  <c r="G1240" i="12" s="1"/>
  <c r="A1240" i="12"/>
  <c r="F1239" i="12"/>
  <c r="D1239" i="12"/>
  <c r="C1239" i="12"/>
  <c r="B1239" i="12"/>
  <c r="G1239" i="12" s="1"/>
  <c r="A1239" i="12"/>
  <c r="F1238" i="12"/>
  <c r="D1238" i="12"/>
  <c r="C1238" i="12"/>
  <c r="B1238" i="12"/>
  <c r="G1238" i="12" s="1"/>
  <c r="A1238" i="12"/>
  <c r="F1237" i="12"/>
  <c r="D1237" i="12"/>
  <c r="C1237" i="12"/>
  <c r="B1237" i="12"/>
  <c r="G1237" i="12" s="1"/>
  <c r="A1237" i="12"/>
  <c r="F1236" i="12"/>
  <c r="D1236" i="12"/>
  <c r="C1236" i="12"/>
  <c r="B1236" i="12"/>
  <c r="G1236" i="12" s="1"/>
  <c r="A1236" i="12"/>
  <c r="F1235" i="12"/>
  <c r="D1235" i="12"/>
  <c r="C1235" i="12"/>
  <c r="B1235" i="12"/>
  <c r="G1235" i="12" s="1"/>
  <c r="A1235" i="12"/>
  <c r="F1234" i="12"/>
  <c r="D1234" i="12"/>
  <c r="C1234" i="12"/>
  <c r="B1234" i="12"/>
  <c r="G1234" i="12" s="1"/>
  <c r="A1234" i="12"/>
  <c r="F1233" i="12"/>
  <c r="D1233" i="12"/>
  <c r="C1233" i="12"/>
  <c r="B1233" i="12"/>
  <c r="G1233" i="12" s="1"/>
  <c r="A1233" i="12"/>
  <c r="F1232" i="12"/>
  <c r="D1232" i="12"/>
  <c r="C1232" i="12"/>
  <c r="B1232" i="12"/>
  <c r="G1232" i="12" s="1"/>
  <c r="A1232" i="12"/>
  <c r="F1231" i="12"/>
  <c r="D1231" i="12"/>
  <c r="C1231" i="12"/>
  <c r="B1231" i="12"/>
  <c r="G1231" i="12" s="1"/>
  <c r="A1231" i="12"/>
  <c r="F1230" i="12"/>
  <c r="D1230" i="12"/>
  <c r="C1230" i="12"/>
  <c r="B1230" i="12"/>
  <c r="G1230" i="12" s="1"/>
  <c r="A1230" i="12"/>
  <c r="F1229" i="12"/>
  <c r="D1229" i="12"/>
  <c r="C1229" i="12"/>
  <c r="B1229" i="12"/>
  <c r="G1229" i="12" s="1"/>
  <c r="A1229" i="12"/>
  <c r="F1228" i="12"/>
  <c r="D1228" i="12"/>
  <c r="C1228" i="12"/>
  <c r="B1228" i="12"/>
  <c r="G1228" i="12" s="1"/>
  <c r="A1228" i="12"/>
  <c r="F1227" i="12"/>
  <c r="D1227" i="12"/>
  <c r="C1227" i="12"/>
  <c r="B1227" i="12"/>
  <c r="G1227" i="12" s="1"/>
  <c r="A1227" i="12"/>
  <c r="F1226" i="12"/>
  <c r="D1226" i="12"/>
  <c r="C1226" i="12"/>
  <c r="B1226" i="12"/>
  <c r="G1226" i="12" s="1"/>
  <c r="A1226" i="12"/>
  <c r="F1225" i="12"/>
  <c r="D1225" i="12"/>
  <c r="C1225" i="12"/>
  <c r="B1225" i="12"/>
  <c r="G1225" i="12" s="1"/>
  <c r="A1225" i="12"/>
  <c r="F1224" i="12"/>
  <c r="D1224" i="12"/>
  <c r="C1224" i="12"/>
  <c r="B1224" i="12"/>
  <c r="G1224" i="12" s="1"/>
  <c r="A1224" i="12"/>
  <c r="F1223" i="12"/>
  <c r="D1223" i="12"/>
  <c r="C1223" i="12"/>
  <c r="B1223" i="12"/>
  <c r="G1223" i="12" s="1"/>
  <c r="A1223" i="12"/>
  <c r="F1222" i="12"/>
  <c r="D1222" i="12"/>
  <c r="C1222" i="12"/>
  <c r="B1222" i="12"/>
  <c r="G1222" i="12" s="1"/>
  <c r="A1222" i="12"/>
  <c r="F1221" i="12"/>
  <c r="D1221" i="12"/>
  <c r="C1221" i="12"/>
  <c r="B1221" i="12"/>
  <c r="G1221" i="12" s="1"/>
  <c r="A1221" i="12"/>
  <c r="F1220" i="12"/>
  <c r="D1220" i="12"/>
  <c r="C1220" i="12"/>
  <c r="B1220" i="12"/>
  <c r="G1220" i="12" s="1"/>
  <c r="A1220" i="12"/>
  <c r="F1219" i="12"/>
  <c r="D1219" i="12"/>
  <c r="C1219" i="12"/>
  <c r="B1219" i="12"/>
  <c r="G1219" i="12" s="1"/>
  <c r="A1219" i="12"/>
  <c r="F1218" i="12"/>
  <c r="D1218" i="12"/>
  <c r="C1218" i="12"/>
  <c r="B1218" i="12"/>
  <c r="G1218" i="12" s="1"/>
  <c r="A1218" i="12"/>
  <c r="F1217" i="12"/>
  <c r="D1217" i="12"/>
  <c r="C1217" i="12"/>
  <c r="B1217" i="12"/>
  <c r="G1217" i="12" s="1"/>
  <c r="A1217" i="12"/>
  <c r="F1216" i="12"/>
  <c r="D1216" i="12"/>
  <c r="C1216" i="12"/>
  <c r="B1216" i="12"/>
  <c r="G1216" i="12" s="1"/>
  <c r="A1216" i="12"/>
  <c r="F1215" i="12"/>
  <c r="D1215" i="12"/>
  <c r="C1215" i="12"/>
  <c r="B1215" i="12"/>
  <c r="G1215" i="12" s="1"/>
  <c r="A1215" i="12"/>
  <c r="F1214" i="12"/>
  <c r="D1214" i="12"/>
  <c r="C1214" i="12"/>
  <c r="B1214" i="12"/>
  <c r="G1214" i="12" s="1"/>
  <c r="A1214" i="12"/>
  <c r="F1213" i="12"/>
  <c r="D1213" i="12"/>
  <c r="C1213" i="12"/>
  <c r="B1213" i="12"/>
  <c r="G1213" i="12" s="1"/>
  <c r="A1213" i="12"/>
  <c r="F1212" i="12"/>
  <c r="D1212" i="12"/>
  <c r="C1212" i="12"/>
  <c r="B1212" i="12"/>
  <c r="G1212" i="12" s="1"/>
  <c r="A1212" i="12"/>
  <c r="F1211" i="12"/>
  <c r="D1211" i="12"/>
  <c r="C1211" i="12"/>
  <c r="B1211" i="12"/>
  <c r="G1211" i="12" s="1"/>
  <c r="A1211" i="12"/>
  <c r="F1210" i="12"/>
  <c r="D1210" i="12"/>
  <c r="C1210" i="12"/>
  <c r="B1210" i="12"/>
  <c r="G1210" i="12" s="1"/>
  <c r="A1210" i="12"/>
  <c r="F1209" i="12"/>
  <c r="D1209" i="12"/>
  <c r="C1209" i="12"/>
  <c r="B1209" i="12"/>
  <c r="G1209" i="12" s="1"/>
  <c r="A1209" i="12"/>
  <c r="F1208" i="12"/>
  <c r="D1208" i="12"/>
  <c r="C1208" i="12"/>
  <c r="B1208" i="12"/>
  <c r="G1208" i="12" s="1"/>
  <c r="A1208" i="12"/>
  <c r="F1207" i="12"/>
  <c r="D1207" i="12"/>
  <c r="C1207" i="12"/>
  <c r="B1207" i="12"/>
  <c r="G1207" i="12" s="1"/>
  <c r="A1207" i="12"/>
  <c r="F1206" i="12"/>
  <c r="D1206" i="12"/>
  <c r="C1206" i="12"/>
  <c r="B1206" i="12"/>
  <c r="G1206" i="12" s="1"/>
  <c r="A1206" i="12"/>
  <c r="F1205" i="12"/>
  <c r="D1205" i="12"/>
  <c r="C1205" i="12"/>
  <c r="B1205" i="12"/>
  <c r="G1205" i="12" s="1"/>
  <c r="A1205" i="12"/>
  <c r="F1204" i="12"/>
  <c r="D1204" i="12"/>
  <c r="C1204" i="12"/>
  <c r="B1204" i="12"/>
  <c r="G1204" i="12" s="1"/>
  <c r="A1204" i="12"/>
  <c r="F1203" i="12"/>
  <c r="D1203" i="12"/>
  <c r="C1203" i="12"/>
  <c r="B1203" i="12"/>
  <c r="G1203" i="12" s="1"/>
  <c r="A1203" i="12"/>
  <c r="F1202" i="12"/>
  <c r="D1202" i="12"/>
  <c r="C1202" i="12"/>
  <c r="B1202" i="12"/>
  <c r="G1202" i="12" s="1"/>
  <c r="A1202" i="12"/>
  <c r="F1201" i="12"/>
  <c r="D1201" i="12"/>
  <c r="C1201" i="12"/>
  <c r="B1201" i="12"/>
  <c r="G1201" i="12" s="1"/>
  <c r="A1201" i="12"/>
  <c r="F1200" i="12"/>
  <c r="D1200" i="12"/>
  <c r="C1200" i="12"/>
  <c r="B1200" i="12"/>
  <c r="G1200" i="12" s="1"/>
  <c r="A1200" i="12"/>
  <c r="F1199" i="12"/>
  <c r="D1199" i="12"/>
  <c r="C1199" i="12"/>
  <c r="B1199" i="12"/>
  <c r="G1199" i="12" s="1"/>
  <c r="A1199" i="12"/>
  <c r="F1198" i="12"/>
  <c r="D1198" i="12"/>
  <c r="C1198" i="12"/>
  <c r="B1198" i="12"/>
  <c r="G1198" i="12" s="1"/>
  <c r="A1198" i="12"/>
  <c r="F1197" i="12"/>
  <c r="D1197" i="12"/>
  <c r="C1197" i="12"/>
  <c r="B1197" i="12"/>
  <c r="G1197" i="12" s="1"/>
  <c r="A1197" i="12"/>
  <c r="F1196" i="12"/>
  <c r="D1196" i="12"/>
  <c r="C1196" i="12"/>
  <c r="B1196" i="12"/>
  <c r="G1196" i="12" s="1"/>
  <c r="A1196" i="12"/>
  <c r="F1195" i="12"/>
  <c r="D1195" i="12"/>
  <c r="C1195" i="12"/>
  <c r="B1195" i="12"/>
  <c r="G1195" i="12" s="1"/>
  <c r="A1195" i="12"/>
  <c r="F1194" i="12"/>
  <c r="D1194" i="12"/>
  <c r="C1194" i="12"/>
  <c r="B1194" i="12"/>
  <c r="G1194" i="12" s="1"/>
  <c r="A1194" i="12"/>
  <c r="F1193" i="12"/>
  <c r="D1193" i="12"/>
  <c r="C1193" i="12"/>
  <c r="B1193" i="12"/>
  <c r="G1193" i="12" s="1"/>
  <c r="A1193" i="12"/>
  <c r="F1192" i="12"/>
  <c r="D1192" i="12"/>
  <c r="C1192" i="12"/>
  <c r="B1192" i="12"/>
  <c r="G1192" i="12" s="1"/>
  <c r="A1192" i="12"/>
  <c r="F1191" i="12"/>
  <c r="D1191" i="12"/>
  <c r="C1191" i="12"/>
  <c r="B1191" i="12"/>
  <c r="G1191" i="12" s="1"/>
  <c r="A1191" i="12"/>
  <c r="F1190" i="12"/>
  <c r="D1190" i="12"/>
  <c r="C1190" i="12"/>
  <c r="B1190" i="12"/>
  <c r="G1190" i="12" s="1"/>
  <c r="A1190" i="12"/>
  <c r="F1189" i="12"/>
  <c r="D1189" i="12"/>
  <c r="C1189" i="12"/>
  <c r="B1189" i="12"/>
  <c r="G1189" i="12" s="1"/>
  <c r="A1189" i="12"/>
  <c r="F1188" i="12"/>
  <c r="D1188" i="12"/>
  <c r="C1188" i="12"/>
  <c r="B1188" i="12"/>
  <c r="G1188" i="12" s="1"/>
  <c r="A1188" i="12"/>
  <c r="F1187" i="12"/>
  <c r="D1187" i="12"/>
  <c r="C1187" i="12"/>
  <c r="B1187" i="12"/>
  <c r="G1187" i="12" s="1"/>
  <c r="A1187" i="12"/>
  <c r="F1186" i="12"/>
  <c r="D1186" i="12"/>
  <c r="C1186" i="12"/>
  <c r="B1186" i="12"/>
  <c r="G1186" i="12" s="1"/>
  <c r="A1186" i="12"/>
  <c r="F1185" i="12"/>
  <c r="D1185" i="12"/>
  <c r="C1185" i="12"/>
  <c r="B1185" i="12"/>
  <c r="G1185" i="12" s="1"/>
  <c r="A1185" i="12"/>
  <c r="F1184" i="12"/>
  <c r="D1184" i="12"/>
  <c r="C1184" i="12"/>
  <c r="B1184" i="12"/>
  <c r="G1184" i="12" s="1"/>
  <c r="A1184" i="12"/>
  <c r="F1183" i="12"/>
  <c r="D1183" i="12"/>
  <c r="C1183" i="12"/>
  <c r="B1183" i="12"/>
  <c r="G1183" i="12" s="1"/>
  <c r="A1183" i="12"/>
  <c r="F1182" i="12"/>
  <c r="D1182" i="12"/>
  <c r="C1182" i="12"/>
  <c r="B1182" i="12"/>
  <c r="G1182" i="12" s="1"/>
  <c r="A1182" i="12"/>
  <c r="F1181" i="12"/>
  <c r="D1181" i="12"/>
  <c r="C1181" i="12"/>
  <c r="B1181" i="12"/>
  <c r="G1181" i="12" s="1"/>
  <c r="A1181" i="12"/>
  <c r="F1180" i="12"/>
  <c r="D1180" i="12"/>
  <c r="C1180" i="12"/>
  <c r="B1180" i="12"/>
  <c r="G1180" i="12" s="1"/>
  <c r="A1180" i="12"/>
  <c r="F1179" i="12"/>
  <c r="D1179" i="12"/>
  <c r="C1179" i="12"/>
  <c r="B1179" i="12"/>
  <c r="G1179" i="12" s="1"/>
  <c r="A1179" i="12"/>
  <c r="F1178" i="12"/>
  <c r="D1178" i="12"/>
  <c r="C1178" i="12"/>
  <c r="B1178" i="12"/>
  <c r="G1178" i="12" s="1"/>
  <c r="A1178" i="12"/>
  <c r="F1177" i="12"/>
  <c r="D1177" i="12"/>
  <c r="C1177" i="12"/>
  <c r="B1177" i="12"/>
  <c r="G1177" i="12" s="1"/>
  <c r="A1177" i="12"/>
  <c r="F1176" i="12"/>
  <c r="D1176" i="12"/>
  <c r="C1176" i="12"/>
  <c r="B1176" i="12"/>
  <c r="G1176" i="12" s="1"/>
  <c r="A1176" i="12"/>
  <c r="F1175" i="12"/>
  <c r="D1175" i="12"/>
  <c r="C1175" i="12"/>
  <c r="B1175" i="12"/>
  <c r="G1175" i="12" s="1"/>
  <c r="A1175" i="12"/>
  <c r="F1174" i="12"/>
  <c r="D1174" i="12"/>
  <c r="C1174" i="12"/>
  <c r="B1174" i="12"/>
  <c r="G1174" i="12" s="1"/>
  <c r="A1174" i="12"/>
  <c r="F1173" i="12"/>
  <c r="D1173" i="12"/>
  <c r="C1173" i="12"/>
  <c r="B1173" i="12"/>
  <c r="G1173" i="12" s="1"/>
  <c r="A1173" i="12"/>
  <c r="F1172" i="12"/>
  <c r="D1172" i="12"/>
  <c r="C1172" i="12"/>
  <c r="B1172" i="12"/>
  <c r="G1172" i="12" s="1"/>
  <c r="A1172" i="12"/>
  <c r="F1171" i="12"/>
  <c r="D1171" i="12"/>
  <c r="C1171" i="12"/>
  <c r="B1171" i="12"/>
  <c r="G1171" i="12" s="1"/>
  <c r="A1171" i="12"/>
  <c r="F1170" i="12"/>
  <c r="D1170" i="12"/>
  <c r="C1170" i="12"/>
  <c r="B1170" i="12"/>
  <c r="G1170" i="12" s="1"/>
  <c r="A1170" i="12"/>
  <c r="F1169" i="12"/>
  <c r="D1169" i="12"/>
  <c r="C1169" i="12"/>
  <c r="B1169" i="12"/>
  <c r="G1169" i="12" s="1"/>
  <c r="A1169" i="12"/>
  <c r="F1168" i="12"/>
  <c r="D1168" i="12"/>
  <c r="C1168" i="12"/>
  <c r="B1168" i="12"/>
  <c r="G1168" i="12" s="1"/>
  <c r="A1168" i="12"/>
  <c r="F1167" i="12"/>
  <c r="D1167" i="12"/>
  <c r="C1167" i="12"/>
  <c r="B1167" i="12"/>
  <c r="G1167" i="12" s="1"/>
  <c r="A1167" i="12"/>
  <c r="F1166" i="12"/>
  <c r="D1166" i="12"/>
  <c r="C1166" i="12"/>
  <c r="B1166" i="12"/>
  <c r="G1166" i="12" s="1"/>
  <c r="A1166" i="12"/>
  <c r="F1165" i="12"/>
  <c r="D1165" i="12"/>
  <c r="C1165" i="12"/>
  <c r="B1165" i="12"/>
  <c r="G1165" i="12" s="1"/>
  <c r="A1165" i="12"/>
  <c r="F1164" i="12"/>
  <c r="D1164" i="12"/>
  <c r="C1164" i="12"/>
  <c r="B1164" i="12"/>
  <c r="G1164" i="12" s="1"/>
  <c r="A1164" i="12"/>
  <c r="F1163" i="12"/>
  <c r="D1163" i="12"/>
  <c r="C1163" i="12"/>
  <c r="B1163" i="12"/>
  <c r="G1163" i="12" s="1"/>
  <c r="A1163" i="12"/>
  <c r="F1162" i="12"/>
  <c r="D1162" i="12"/>
  <c r="C1162" i="12"/>
  <c r="B1162" i="12"/>
  <c r="G1162" i="12" s="1"/>
  <c r="A1162" i="12"/>
  <c r="F1161" i="12"/>
  <c r="D1161" i="12"/>
  <c r="C1161" i="12"/>
  <c r="B1161" i="12"/>
  <c r="G1161" i="12" s="1"/>
  <c r="A1161" i="12"/>
  <c r="F1160" i="12"/>
  <c r="D1160" i="12"/>
  <c r="C1160" i="12"/>
  <c r="B1160" i="12"/>
  <c r="G1160" i="12" s="1"/>
  <c r="A1160" i="12"/>
  <c r="F1159" i="12"/>
  <c r="D1159" i="12"/>
  <c r="C1159" i="12"/>
  <c r="B1159" i="12"/>
  <c r="G1159" i="12" s="1"/>
  <c r="A1159" i="12"/>
  <c r="F1158" i="12"/>
  <c r="D1158" i="12"/>
  <c r="C1158" i="12"/>
  <c r="B1158" i="12"/>
  <c r="G1158" i="12" s="1"/>
  <c r="A1158" i="12"/>
  <c r="F1157" i="12"/>
  <c r="D1157" i="12"/>
  <c r="C1157" i="12"/>
  <c r="B1157" i="12"/>
  <c r="G1157" i="12" s="1"/>
  <c r="A1157" i="12"/>
  <c r="F1156" i="12"/>
  <c r="D1156" i="12"/>
  <c r="C1156" i="12"/>
  <c r="B1156" i="12"/>
  <c r="G1156" i="12" s="1"/>
  <c r="A1156" i="12"/>
  <c r="F1155" i="12"/>
  <c r="D1155" i="12"/>
  <c r="C1155" i="12"/>
  <c r="B1155" i="12"/>
  <c r="G1155" i="12" s="1"/>
  <c r="A1155" i="12"/>
  <c r="F1154" i="12"/>
  <c r="D1154" i="12"/>
  <c r="C1154" i="12"/>
  <c r="B1154" i="12"/>
  <c r="G1154" i="12" s="1"/>
  <c r="A1154" i="12"/>
  <c r="F1153" i="12"/>
  <c r="D1153" i="12"/>
  <c r="C1153" i="12"/>
  <c r="B1153" i="12"/>
  <c r="G1153" i="12" s="1"/>
  <c r="A1153" i="12"/>
  <c r="F1152" i="12"/>
  <c r="D1152" i="12"/>
  <c r="C1152" i="12"/>
  <c r="B1152" i="12"/>
  <c r="G1152" i="12" s="1"/>
  <c r="A1152" i="12"/>
  <c r="F1151" i="12"/>
  <c r="D1151" i="12"/>
  <c r="C1151" i="12"/>
  <c r="B1151" i="12"/>
  <c r="G1151" i="12" s="1"/>
  <c r="A1151" i="12"/>
  <c r="F1150" i="12"/>
  <c r="D1150" i="12"/>
  <c r="C1150" i="12"/>
  <c r="B1150" i="12"/>
  <c r="G1150" i="12" s="1"/>
  <c r="A1150" i="12"/>
  <c r="F1149" i="12"/>
  <c r="D1149" i="12"/>
  <c r="C1149" i="12"/>
  <c r="B1149" i="12"/>
  <c r="G1149" i="12" s="1"/>
  <c r="A1149" i="12"/>
  <c r="F1148" i="12"/>
  <c r="D1148" i="12"/>
  <c r="C1148" i="12"/>
  <c r="B1148" i="12"/>
  <c r="G1148" i="12" s="1"/>
  <c r="A1148" i="12"/>
  <c r="F1147" i="12"/>
  <c r="D1147" i="12"/>
  <c r="C1147" i="12"/>
  <c r="B1147" i="12"/>
  <c r="G1147" i="12" s="1"/>
  <c r="A1147" i="12"/>
  <c r="F1146" i="12"/>
  <c r="D1146" i="12"/>
  <c r="C1146" i="12"/>
  <c r="B1146" i="12"/>
  <c r="G1146" i="12" s="1"/>
  <c r="A1146" i="12"/>
  <c r="F1145" i="12"/>
  <c r="D1145" i="12"/>
  <c r="C1145" i="12"/>
  <c r="B1145" i="12"/>
  <c r="G1145" i="12" s="1"/>
  <c r="A1145" i="12"/>
  <c r="F1144" i="12"/>
  <c r="D1144" i="12"/>
  <c r="C1144" i="12"/>
  <c r="B1144" i="12"/>
  <c r="G1144" i="12" s="1"/>
  <c r="A1144" i="12"/>
  <c r="F1143" i="12"/>
  <c r="D1143" i="12"/>
  <c r="C1143" i="12"/>
  <c r="B1143" i="12"/>
  <c r="G1143" i="12" s="1"/>
  <c r="A1143" i="12"/>
  <c r="F1142" i="12"/>
  <c r="D1142" i="12"/>
  <c r="C1142" i="12"/>
  <c r="B1142" i="12"/>
  <c r="G1142" i="12" s="1"/>
  <c r="A1142" i="12"/>
  <c r="F1141" i="12"/>
  <c r="D1141" i="12"/>
  <c r="C1141" i="12"/>
  <c r="B1141" i="12"/>
  <c r="G1141" i="12" s="1"/>
  <c r="A1141" i="12"/>
  <c r="F1140" i="12"/>
  <c r="D1140" i="12"/>
  <c r="C1140" i="12"/>
  <c r="B1140" i="12"/>
  <c r="G1140" i="12" s="1"/>
  <c r="A1140" i="12"/>
  <c r="F1139" i="12"/>
  <c r="D1139" i="12"/>
  <c r="C1139" i="12"/>
  <c r="B1139" i="12"/>
  <c r="G1139" i="12" s="1"/>
  <c r="A1139" i="12"/>
  <c r="F1138" i="12"/>
  <c r="D1138" i="12"/>
  <c r="C1138" i="12"/>
  <c r="B1138" i="12"/>
  <c r="G1138" i="12" s="1"/>
  <c r="A1138" i="12"/>
  <c r="F1137" i="12"/>
  <c r="D1137" i="12"/>
  <c r="C1137" i="12"/>
  <c r="B1137" i="12"/>
  <c r="G1137" i="12" s="1"/>
  <c r="A1137" i="12"/>
  <c r="F1136" i="12"/>
  <c r="D1136" i="12"/>
  <c r="C1136" i="12"/>
  <c r="B1136" i="12"/>
  <c r="G1136" i="12" s="1"/>
  <c r="A1136" i="12"/>
  <c r="F1135" i="12"/>
  <c r="D1135" i="12"/>
  <c r="C1135" i="12"/>
  <c r="B1135" i="12"/>
  <c r="G1135" i="12" s="1"/>
  <c r="A1135" i="12"/>
  <c r="F1134" i="12"/>
  <c r="D1134" i="12"/>
  <c r="C1134" i="12"/>
  <c r="B1134" i="12"/>
  <c r="G1134" i="12" s="1"/>
  <c r="A1134" i="12"/>
  <c r="F1133" i="12"/>
  <c r="D1133" i="12"/>
  <c r="C1133" i="12"/>
  <c r="B1133" i="12"/>
  <c r="G1133" i="12" s="1"/>
  <c r="A1133" i="12"/>
  <c r="F1132" i="12"/>
  <c r="D1132" i="12"/>
  <c r="C1132" i="12"/>
  <c r="B1132" i="12"/>
  <c r="G1132" i="12" s="1"/>
  <c r="A1132" i="12"/>
  <c r="F1131" i="12"/>
  <c r="D1131" i="12"/>
  <c r="C1131" i="12"/>
  <c r="B1131" i="12"/>
  <c r="G1131" i="12" s="1"/>
  <c r="A1131" i="12"/>
  <c r="F1130" i="12"/>
  <c r="D1130" i="12"/>
  <c r="C1130" i="12"/>
  <c r="B1130" i="12"/>
  <c r="G1130" i="12" s="1"/>
  <c r="A1130" i="12"/>
  <c r="F1129" i="12"/>
  <c r="D1129" i="12"/>
  <c r="C1129" i="12"/>
  <c r="B1129" i="12"/>
  <c r="G1129" i="12" s="1"/>
  <c r="A1129" i="12"/>
  <c r="F1128" i="12"/>
  <c r="D1128" i="12"/>
  <c r="C1128" i="12"/>
  <c r="B1128" i="12"/>
  <c r="G1128" i="12" s="1"/>
  <c r="A1128" i="12"/>
  <c r="F1127" i="12"/>
  <c r="D1127" i="12"/>
  <c r="C1127" i="12"/>
  <c r="B1127" i="12"/>
  <c r="G1127" i="12" s="1"/>
  <c r="A1127" i="12"/>
  <c r="F1126" i="12"/>
  <c r="D1126" i="12"/>
  <c r="C1126" i="12"/>
  <c r="B1126" i="12"/>
  <c r="G1126" i="12" s="1"/>
  <c r="A1126" i="12"/>
  <c r="F1125" i="12"/>
  <c r="D1125" i="12"/>
  <c r="C1125" i="12"/>
  <c r="B1125" i="12"/>
  <c r="G1125" i="12" s="1"/>
  <c r="A1125" i="12"/>
  <c r="F1124" i="12"/>
  <c r="D1124" i="12"/>
  <c r="C1124" i="12"/>
  <c r="B1124" i="12"/>
  <c r="G1124" i="12" s="1"/>
  <c r="A1124" i="12"/>
  <c r="F1123" i="12"/>
  <c r="D1123" i="12"/>
  <c r="C1123" i="12"/>
  <c r="B1123" i="12"/>
  <c r="G1123" i="12" s="1"/>
  <c r="A1123" i="12"/>
  <c r="F1122" i="12"/>
  <c r="D1122" i="12"/>
  <c r="C1122" i="12"/>
  <c r="B1122" i="12"/>
  <c r="G1122" i="12" s="1"/>
  <c r="A1122" i="12"/>
  <c r="F1121" i="12"/>
  <c r="D1121" i="12"/>
  <c r="C1121" i="12"/>
  <c r="B1121" i="12"/>
  <c r="G1121" i="12" s="1"/>
  <c r="A1121" i="12"/>
  <c r="F1120" i="12"/>
  <c r="D1120" i="12"/>
  <c r="C1120" i="12"/>
  <c r="B1120" i="12"/>
  <c r="G1120" i="12" s="1"/>
  <c r="A1120" i="12"/>
  <c r="F1119" i="12"/>
  <c r="D1119" i="12"/>
  <c r="C1119" i="12"/>
  <c r="B1119" i="12"/>
  <c r="G1119" i="12" s="1"/>
  <c r="A1119" i="12"/>
  <c r="F1118" i="12"/>
  <c r="D1118" i="12"/>
  <c r="C1118" i="12"/>
  <c r="B1118" i="12"/>
  <c r="G1118" i="12" s="1"/>
  <c r="A1118" i="12"/>
  <c r="F1117" i="12"/>
  <c r="D1117" i="12"/>
  <c r="C1117" i="12"/>
  <c r="B1117" i="12"/>
  <c r="G1117" i="12" s="1"/>
  <c r="A1117" i="12"/>
  <c r="F1116" i="12"/>
  <c r="D1116" i="12"/>
  <c r="C1116" i="12"/>
  <c r="B1116" i="12"/>
  <c r="G1116" i="12" s="1"/>
  <c r="A1116" i="12"/>
  <c r="F1115" i="12"/>
  <c r="D1115" i="12"/>
  <c r="C1115" i="12"/>
  <c r="B1115" i="12"/>
  <c r="G1115" i="12" s="1"/>
  <c r="A1115" i="12"/>
  <c r="F1114" i="12"/>
  <c r="D1114" i="12"/>
  <c r="C1114" i="12"/>
  <c r="B1114" i="12"/>
  <c r="G1114" i="12" s="1"/>
  <c r="A1114" i="12"/>
  <c r="F1113" i="12"/>
  <c r="D1113" i="12"/>
  <c r="C1113" i="12"/>
  <c r="B1113" i="12"/>
  <c r="G1113" i="12" s="1"/>
  <c r="A1113" i="12"/>
  <c r="F1112" i="12"/>
  <c r="D1112" i="12"/>
  <c r="C1112" i="12"/>
  <c r="B1112" i="12"/>
  <c r="G1112" i="12" s="1"/>
  <c r="A1112" i="12"/>
  <c r="F1111" i="12"/>
  <c r="D1111" i="12"/>
  <c r="C1111" i="12"/>
  <c r="B1111" i="12"/>
  <c r="G1111" i="12" s="1"/>
  <c r="A1111" i="12"/>
  <c r="F1110" i="12"/>
  <c r="D1110" i="12"/>
  <c r="C1110" i="12"/>
  <c r="B1110" i="12"/>
  <c r="G1110" i="12" s="1"/>
  <c r="A1110" i="12"/>
  <c r="F1109" i="12"/>
  <c r="D1109" i="12"/>
  <c r="C1109" i="12"/>
  <c r="B1109" i="12"/>
  <c r="G1109" i="12" s="1"/>
  <c r="A1109" i="12"/>
  <c r="F1108" i="12"/>
  <c r="D1108" i="12"/>
  <c r="C1108" i="12"/>
  <c r="B1108" i="12"/>
  <c r="G1108" i="12" s="1"/>
  <c r="A1108" i="12"/>
  <c r="F1107" i="12"/>
  <c r="D1107" i="12"/>
  <c r="C1107" i="12"/>
  <c r="B1107" i="12"/>
  <c r="G1107" i="12" s="1"/>
  <c r="A1107" i="12"/>
  <c r="F1106" i="12"/>
  <c r="D1106" i="12"/>
  <c r="C1106" i="12"/>
  <c r="B1106" i="12"/>
  <c r="G1106" i="12" s="1"/>
  <c r="A1106" i="12"/>
  <c r="F1105" i="12"/>
  <c r="D1105" i="12"/>
  <c r="C1105" i="12"/>
  <c r="B1105" i="12"/>
  <c r="G1105" i="12" s="1"/>
  <c r="A1105" i="12"/>
  <c r="F1104" i="12"/>
  <c r="D1104" i="12"/>
  <c r="C1104" i="12"/>
  <c r="B1104" i="12"/>
  <c r="G1104" i="12" s="1"/>
  <c r="A1104" i="12"/>
  <c r="F1103" i="12"/>
  <c r="D1103" i="12"/>
  <c r="C1103" i="12"/>
  <c r="B1103" i="12"/>
  <c r="G1103" i="12" s="1"/>
  <c r="A1103" i="12"/>
  <c r="F1102" i="12"/>
  <c r="D1102" i="12"/>
  <c r="C1102" i="12"/>
  <c r="B1102" i="12"/>
  <c r="G1102" i="12" s="1"/>
  <c r="A1102" i="12"/>
  <c r="F1101" i="12"/>
  <c r="D1101" i="12"/>
  <c r="C1101" i="12"/>
  <c r="B1101" i="12"/>
  <c r="G1101" i="12" s="1"/>
  <c r="A1101" i="12"/>
  <c r="F1100" i="12"/>
  <c r="D1100" i="12"/>
  <c r="C1100" i="12"/>
  <c r="B1100" i="12"/>
  <c r="G1100" i="12" s="1"/>
  <c r="A1100" i="12"/>
  <c r="F1099" i="12"/>
  <c r="D1099" i="12"/>
  <c r="C1099" i="12"/>
  <c r="B1099" i="12"/>
  <c r="G1099" i="12" s="1"/>
  <c r="A1099" i="12"/>
  <c r="F1098" i="12"/>
  <c r="D1098" i="12"/>
  <c r="C1098" i="12"/>
  <c r="B1098" i="12"/>
  <c r="G1098" i="12" s="1"/>
  <c r="A1098" i="12"/>
  <c r="F1097" i="12"/>
  <c r="D1097" i="12"/>
  <c r="C1097" i="12"/>
  <c r="B1097" i="12"/>
  <c r="G1097" i="12" s="1"/>
  <c r="A1097" i="12"/>
  <c r="F1096" i="12"/>
  <c r="D1096" i="12"/>
  <c r="C1096" i="12"/>
  <c r="B1096" i="12"/>
  <c r="G1096" i="12" s="1"/>
  <c r="A1096" i="12"/>
  <c r="F1095" i="12"/>
  <c r="D1095" i="12"/>
  <c r="C1095" i="12"/>
  <c r="B1095" i="12"/>
  <c r="G1095" i="12" s="1"/>
  <c r="A1095" i="12"/>
  <c r="F1094" i="12"/>
  <c r="D1094" i="12"/>
  <c r="C1094" i="12"/>
  <c r="B1094" i="12"/>
  <c r="G1094" i="12" s="1"/>
  <c r="A1094" i="12"/>
  <c r="F1093" i="12"/>
  <c r="D1093" i="12"/>
  <c r="C1093" i="12"/>
  <c r="B1093" i="12"/>
  <c r="G1093" i="12" s="1"/>
  <c r="A1093" i="12"/>
  <c r="F1092" i="12"/>
  <c r="D1092" i="12"/>
  <c r="C1092" i="12"/>
  <c r="B1092" i="12"/>
  <c r="G1092" i="12" s="1"/>
  <c r="A1092" i="12"/>
  <c r="F1091" i="12"/>
  <c r="D1091" i="12"/>
  <c r="C1091" i="12"/>
  <c r="B1091" i="12"/>
  <c r="G1091" i="12" s="1"/>
  <c r="A1091" i="12"/>
  <c r="F1090" i="12"/>
  <c r="D1090" i="12"/>
  <c r="C1090" i="12"/>
  <c r="B1090" i="12"/>
  <c r="G1090" i="12" s="1"/>
  <c r="A1090" i="12"/>
  <c r="F1089" i="12"/>
  <c r="D1089" i="12"/>
  <c r="C1089" i="12"/>
  <c r="B1089" i="12"/>
  <c r="G1089" i="12" s="1"/>
  <c r="A1089" i="12"/>
  <c r="F1088" i="12"/>
  <c r="D1088" i="12"/>
  <c r="C1088" i="12"/>
  <c r="B1088" i="12"/>
  <c r="G1088" i="12" s="1"/>
  <c r="A1088" i="12"/>
  <c r="F1087" i="12"/>
  <c r="D1087" i="12"/>
  <c r="C1087" i="12"/>
  <c r="B1087" i="12"/>
  <c r="G1087" i="12" s="1"/>
  <c r="A1087" i="12"/>
  <c r="F1086" i="12"/>
  <c r="D1086" i="12"/>
  <c r="C1086" i="12"/>
  <c r="B1086" i="12"/>
  <c r="G1086" i="12" s="1"/>
  <c r="A1086" i="12"/>
  <c r="F1085" i="12"/>
  <c r="D1085" i="12"/>
  <c r="C1085" i="12"/>
  <c r="B1085" i="12"/>
  <c r="G1085" i="12" s="1"/>
  <c r="A1085" i="12"/>
  <c r="F1084" i="12"/>
  <c r="D1084" i="12"/>
  <c r="C1084" i="12"/>
  <c r="B1084" i="12"/>
  <c r="G1084" i="12" s="1"/>
  <c r="A1084" i="12"/>
  <c r="F1083" i="12"/>
  <c r="D1083" i="12"/>
  <c r="C1083" i="12"/>
  <c r="B1083" i="12"/>
  <c r="G1083" i="12" s="1"/>
  <c r="A1083" i="12"/>
  <c r="F1082" i="12"/>
  <c r="D1082" i="12"/>
  <c r="C1082" i="12"/>
  <c r="B1082" i="12"/>
  <c r="G1082" i="12" s="1"/>
  <c r="A1082" i="12"/>
  <c r="F1081" i="12"/>
  <c r="D1081" i="12"/>
  <c r="C1081" i="12"/>
  <c r="B1081" i="12"/>
  <c r="G1081" i="12" s="1"/>
  <c r="A1081" i="12"/>
  <c r="F1080" i="12"/>
  <c r="D1080" i="12"/>
  <c r="C1080" i="12"/>
  <c r="B1080" i="12"/>
  <c r="G1080" i="12" s="1"/>
  <c r="A1080" i="12"/>
  <c r="F1079" i="12"/>
  <c r="D1079" i="12"/>
  <c r="C1079" i="12"/>
  <c r="B1079" i="12"/>
  <c r="G1079" i="12" s="1"/>
  <c r="A1079" i="12"/>
  <c r="F1078" i="12"/>
  <c r="D1078" i="12"/>
  <c r="C1078" i="12"/>
  <c r="B1078" i="12"/>
  <c r="G1078" i="12" s="1"/>
  <c r="A1078" i="12"/>
  <c r="F1077" i="12"/>
  <c r="D1077" i="12"/>
  <c r="C1077" i="12"/>
  <c r="B1077" i="12"/>
  <c r="G1077" i="12" s="1"/>
  <c r="A1077" i="12"/>
  <c r="F1076" i="12"/>
  <c r="D1076" i="12"/>
  <c r="C1076" i="12"/>
  <c r="B1076" i="12"/>
  <c r="G1076" i="12" s="1"/>
  <c r="A1076" i="12"/>
  <c r="F1075" i="12"/>
  <c r="D1075" i="12"/>
  <c r="C1075" i="12"/>
  <c r="B1075" i="12"/>
  <c r="G1075" i="12" s="1"/>
  <c r="A1075" i="12"/>
  <c r="F1074" i="12"/>
  <c r="D1074" i="12"/>
  <c r="C1074" i="12"/>
  <c r="B1074" i="12"/>
  <c r="G1074" i="12" s="1"/>
  <c r="A1074" i="12"/>
  <c r="F1073" i="12"/>
  <c r="D1073" i="12"/>
  <c r="C1073" i="12"/>
  <c r="B1073" i="12"/>
  <c r="G1073" i="12" s="1"/>
  <c r="A1073" i="12"/>
  <c r="F1072" i="12"/>
  <c r="D1072" i="12"/>
  <c r="C1072" i="12"/>
  <c r="B1072" i="12"/>
  <c r="G1072" i="12" s="1"/>
  <c r="A1072" i="12"/>
  <c r="F1071" i="12"/>
  <c r="D1071" i="12"/>
  <c r="C1071" i="12"/>
  <c r="B1071" i="12"/>
  <c r="G1071" i="12" s="1"/>
  <c r="A1071" i="12"/>
  <c r="F1070" i="12"/>
  <c r="D1070" i="12"/>
  <c r="C1070" i="12"/>
  <c r="B1070" i="12"/>
  <c r="G1070" i="12" s="1"/>
  <c r="A1070" i="12"/>
  <c r="F1069" i="12"/>
  <c r="D1069" i="12"/>
  <c r="C1069" i="12"/>
  <c r="B1069" i="12"/>
  <c r="G1069" i="12" s="1"/>
  <c r="A1069" i="12"/>
  <c r="F1068" i="12"/>
  <c r="D1068" i="12"/>
  <c r="C1068" i="12"/>
  <c r="B1068" i="12"/>
  <c r="G1068" i="12" s="1"/>
  <c r="A1068" i="12"/>
  <c r="F1067" i="12"/>
  <c r="D1067" i="12"/>
  <c r="C1067" i="12"/>
  <c r="B1067" i="12"/>
  <c r="G1067" i="12" s="1"/>
  <c r="A1067" i="12"/>
  <c r="F1066" i="12"/>
  <c r="D1066" i="12"/>
  <c r="C1066" i="12"/>
  <c r="B1066" i="12"/>
  <c r="G1066" i="12" s="1"/>
  <c r="A1066" i="12"/>
  <c r="F1065" i="12"/>
  <c r="D1065" i="12"/>
  <c r="C1065" i="12"/>
  <c r="B1065" i="12"/>
  <c r="G1065" i="12" s="1"/>
  <c r="A1065" i="12"/>
  <c r="F1064" i="12"/>
  <c r="D1064" i="12"/>
  <c r="C1064" i="12"/>
  <c r="B1064" i="12"/>
  <c r="G1064" i="12" s="1"/>
  <c r="A1064" i="12"/>
  <c r="F1063" i="12"/>
  <c r="D1063" i="12"/>
  <c r="C1063" i="12"/>
  <c r="B1063" i="12"/>
  <c r="G1063" i="12" s="1"/>
  <c r="A1063" i="12"/>
  <c r="F1062" i="12"/>
  <c r="D1062" i="12"/>
  <c r="C1062" i="12"/>
  <c r="B1062" i="12"/>
  <c r="G1062" i="12" s="1"/>
  <c r="A1062" i="12"/>
  <c r="F1061" i="12"/>
  <c r="D1061" i="12"/>
  <c r="C1061" i="12"/>
  <c r="B1061" i="12"/>
  <c r="G1061" i="12" s="1"/>
  <c r="A1061" i="12"/>
  <c r="F1060" i="12"/>
  <c r="D1060" i="12"/>
  <c r="C1060" i="12"/>
  <c r="B1060" i="12"/>
  <c r="G1060" i="12" s="1"/>
  <c r="A1060" i="12"/>
  <c r="F1059" i="12"/>
  <c r="D1059" i="12"/>
  <c r="C1059" i="12"/>
  <c r="B1059" i="12"/>
  <c r="G1059" i="12" s="1"/>
  <c r="A1059" i="12"/>
  <c r="F1058" i="12"/>
  <c r="D1058" i="12"/>
  <c r="C1058" i="12"/>
  <c r="B1058" i="12"/>
  <c r="G1058" i="12" s="1"/>
  <c r="A1058" i="12"/>
  <c r="F1057" i="12"/>
  <c r="D1057" i="12"/>
  <c r="C1057" i="12"/>
  <c r="B1057" i="12"/>
  <c r="G1057" i="12" s="1"/>
  <c r="A1057" i="12"/>
  <c r="F1056" i="12"/>
  <c r="D1056" i="12"/>
  <c r="C1056" i="12"/>
  <c r="B1056" i="12"/>
  <c r="G1056" i="12" s="1"/>
  <c r="A1056" i="12"/>
  <c r="F1055" i="12"/>
  <c r="D1055" i="12"/>
  <c r="C1055" i="12"/>
  <c r="B1055" i="12"/>
  <c r="G1055" i="12" s="1"/>
  <c r="A1055" i="12"/>
  <c r="F1054" i="12"/>
  <c r="D1054" i="12"/>
  <c r="C1054" i="12"/>
  <c r="B1054" i="12"/>
  <c r="G1054" i="12" s="1"/>
  <c r="A1054" i="12"/>
  <c r="F1053" i="12"/>
  <c r="D1053" i="12"/>
  <c r="C1053" i="12"/>
  <c r="B1053" i="12"/>
  <c r="G1053" i="12" s="1"/>
  <c r="A1053" i="12"/>
  <c r="F1052" i="12"/>
  <c r="D1052" i="12"/>
  <c r="C1052" i="12"/>
  <c r="B1052" i="12"/>
  <c r="G1052" i="12" s="1"/>
  <c r="A1052" i="12"/>
  <c r="F1051" i="12"/>
  <c r="D1051" i="12"/>
  <c r="C1051" i="12"/>
  <c r="B1051" i="12"/>
  <c r="G1051" i="12" s="1"/>
  <c r="A1051" i="12"/>
  <c r="F1050" i="12"/>
  <c r="D1050" i="12"/>
  <c r="C1050" i="12"/>
  <c r="B1050" i="12"/>
  <c r="G1050" i="12" s="1"/>
  <c r="A1050" i="12"/>
  <c r="F1049" i="12"/>
  <c r="D1049" i="12"/>
  <c r="C1049" i="12"/>
  <c r="B1049" i="12"/>
  <c r="G1049" i="12" s="1"/>
  <c r="A1049" i="12"/>
  <c r="F1048" i="12"/>
  <c r="D1048" i="12"/>
  <c r="C1048" i="12"/>
  <c r="B1048" i="12"/>
  <c r="G1048" i="12" s="1"/>
  <c r="A1048" i="12"/>
  <c r="F1047" i="12"/>
  <c r="D1047" i="12"/>
  <c r="C1047" i="12"/>
  <c r="B1047" i="12"/>
  <c r="G1047" i="12" s="1"/>
  <c r="A1047" i="12"/>
  <c r="F1046" i="12"/>
  <c r="D1046" i="12"/>
  <c r="C1046" i="12"/>
  <c r="B1046" i="12"/>
  <c r="G1046" i="12" s="1"/>
  <c r="A1046" i="12"/>
  <c r="F1045" i="12"/>
  <c r="D1045" i="12"/>
  <c r="C1045" i="12"/>
  <c r="B1045" i="12"/>
  <c r="G1045" i="12" s="1"/>
  <c r="A1045" i="12"/>
  <c r="F1044" i="12"/>
  <c r="D1044" i="12"/>
  <c r="C1044" i="12"/>
  <c r="B1044" i="12"/>
  <c r="G1044" i="12" s="1"/>
  <c r="A1044" i="12"/>
  <c r="F1043" i="12"/>
  <c r="D1043" i="12"/>
  <c r="C1043" i="12"/>
  <c r="B1043" i="12"/>
  <c r="G1043" i="12" s="1"/>
  <c r="A1043" i="12"/>
  <c r="F1042" i="12"/>
  <c r="D1042" i="12"/>
  <c r="C1042" i="12"/>
  <c r="B1042" i="12"/>
  <c r="G1042" i="12" s="1"/>
  <c r="A1042" i="12"/>
  <c r="F1041" i="12"/>
  <c r="D1041" i="12"/>
  <c r="C1041" i="12"/>
  <c r="B1041" i="12"/>
  <c r="G1041" i="12" s="1"/>
  <c r="A1041" i="12"/>
  <c r="F1040" i="12"/>
  <c r="D1040" i="12"/>
  <c r="C1040" i="12"/>
  <c r="B1040" i="12"/>
  <c r="G1040" i="12" s="1"/>
  <c r="A1040" i="12"/>
  <c r="F1039" i="12"/>
  <c r="D1039" i="12"/>
  <c r="C1039" i="12"/>
  <c r="B1039" i="12"/>
  <c r="G1039" i="12" s="1"/>
  <c r="A1039" i="12"/>
  <c r="F1038" i="12"/>
  <c r="D1038" i="12"/>
  <c r="C1038" i="12"/>
  <c r="B1038" i="12"/>
  <c r="G1038" i="12" s="1"/>
  <c r="A1038" i="12"/>
  <c r="F1037" i="12"/>
  <c r="D1037" i="12"/>
  <c r="C1037" i="12"/>
  <c r="B1037" i="12"/>
  <c r="G1037" i="12" s="1"/>
  <c r="A1037" i="12"/>
  <c r="F1036" i="12"/>
  <c r="D1036" i="12"/>
  <c r="C1036" i="12"/>
  <c r="B1036" i="12"/>
  <c r="G1036" i="12" s="1"/>
  <c r="A1036" i="12"/>
  <c r="F1035" i="12"/>
  <c r="D1035" i="12"/>
  <c r="C1035" i="12"/>
  <c r="B1035" i="12"/>
  <c r="G1035" i="12" s="1"/>
  <c r="A1035" i="12"/>
  <c r="F1034" i="12"/>
  <c r="D1034" i="12"/>
  <c r="C1034" i="12"/>
  <c r="B1034" i="12"/>
  <c r="G1034" i="12" s="1"/>
  <c r="A1034" i="12"/>
  <c r="F1033" i="12"/>
  <c r="D1033" i="12"/>
  <c r="C1033" i="12"/>
  <c r="B1033" i="12"/>
  <c r="G1033" i="12" s="1"/>
  <c r="A1033" i="12"/>
  <c r="F1032" i="12"/>
  <c r="D1032" i="12"/>
  <c r="C1032" i="12"/>
  <c r="B1032" i="12"/>
  <c r="G1032" i="12" s="1"/>
  <c r="A1032" i="12"/>
  <c r="F1031" i="12"/>
  <c r="D1031" i="12"/>
  <c r="C1031" i="12"/>
  <c r="B1031" i="12"/>
  <c r="G1031" i="12" s="1"/>
  <c r="A1031" i="12"/>
  <c r="F1030" i="12"/>
  <c r="D1030" i="12"/>
  <c r="C1030" i="12"/>
  <c r="B1030" i="12"/>
  <c r="G1030" i="12" s="1"/>
  <c r="A1030" i="12"/>
  <c r="F1029" i="12"/>
  <c r="D1029" i="12"/>
  <c r="C1029" i="12"/>
  <c r="B1029" i="12"/>
  <c r="G1029" i="12" s="1"/>
  <c r="A1029" i="12"/>
  <c r="F1028" i="12"/>
  <c r="D1028" i="12"/>
  <c r="C1028" i="12"/>
  <c r="B1028" i="12"/>
  <c r="G1028" i="12" s="1"/>
  <c r="A1028" i="12"/>
  <c r="F1027" i="12"/>
  <c r="D1027" i="12"/>
  <c r="C1027" i="12"/>
  <c r="B1027" i="12"/>
  <c r="G1027" i="12" s="1"/>
  <c r="A1027" i="12"/>
  <c r="F1026" i="12"/>
  <c r="D1026" i="12"/>
  <c r="C1026" i="12"/>
  <c r="B1026" i="12"/>
  <c r="G1026" i="12" s="1"/>
  <c r="A1026" i="12"/>
  <c r="F1025" i="12"/>
  <c r="D1025" i="12"/>
  <c r="C1025" i="12"/>
  <c r="B1025" i="12"/>
  <c r="G1025" i="12" s="1"/>
  <c r="A1025" i="12"/>
  <c r="F1024" i="12"/>
  <c r="D1024" i="12"/>
  <c r="C1024" i="12"/>
  <c r="B1024" i="12"/>
  <c r="G1024" i="12" s="1"/>
  <c r="A1024" i="12"/>
  <c r="F1023" i="12"/>
  <c r="D1023" i="12"/>
  <c r="C1023" i="12"/>
  <c r="B1023" i="12"/>
  <c r="G1023" i="12" s="1"/>
  <c r="A1023" i="12"/>
  <c r="F1022" i="12"/>
  <c r="D1022" i="12"/>
  <c r="C1022" i="12"/>
  <c r="B1022" i="12"/>
  <c r="G1022" i="12" s="1"/>
  <c r="A1022" i="12"/>
  <c r="F1021" i="12"/>
  <c r="D1021" i="12"/>
  <c r="C1021" i="12"/>
  <c r="B1021" i="12"/>
  <c r="G1021" i="12" s="1"/>
  <c r="A1021" i="12"/>
  <c r="F1020" i="12"/>
  <c r="D1020" i="12"/>
  <c r="C1020" i="12"/>
  <c r="B1020" i="12"/>
  <c r="G1020" i="12" s="1"/>
  <c r="A1020" i="12"/>
  <c r="F1019" i="12"/>
  <c r="D1019" i="12"/>
  <c r="C1019" i="12"/>
  <c r="B1019" i="12"/>
  <c r="G1019" i="12" s="1"/>
  <c r="A1019" i="12"/>
  <c r="F1018" i="12"/>
  <c r="D1018" i="12"/>
  <c r="C1018" i="12"/>
  <c r="B1018" i="12"/>
  <c r="G1018" i="12" s="1"/>
  <c r="A1018" i="12"/>
  <c r="F1017" i="12"/>
  <c r="D1017" i="12"/>
  <c r="C1017" i="12"/>
  <c r="B1017" i="12"/>
  <c r="G1017" i="12" s="1"/>
  <c r="A1017" i="12"/>
  <c r="F1016" i="12"/>
  <c r="D1016" i="12"/>
  <c r="C1016" i="12"/>
  <c r="B1016" i="12"/>
  <c r="G1016" i="12" s="1"/>
  <c r="A1016" i="12"/>
  <c r="F1015" i="12"/>
  <c r="D1015" i="12"/>
  <c r="C1015" i="12"/>
  <c r="B1015" i="12"/>
  <c r="G1015" i="12" s="1"/>
  <c r="A1015" i="12"/>
  <c r="F1014" i="12"/>
  <c r="D1014" i="12"/>
  <c r="C1014" i="12"/>
  <c r="B1014" i="12"/>
  <c r="G1014" i="12" s="1"/>
  <c r="A1014" i="12"/>
  <c r="F1013" i="12"/>
  <c r="D1013" i="12"/>
  <c r="C1013" i="12"/>
  <c r="B1013" i="12"/>
  <c r="G1013" i="12" s="1"/>
  <c r="A1013" i="12"/>
  <c r="F1012" i="12"/>
  <c r="D1012" i="12"/>
  <c r="C1012" i="12"/>
  <c r="B1012" i="12"/>
  <c r="G1012" i="12" s="1"/>
  <c r="A1012" i="12"/>
  <c r="F1011" i="12"/>
  <c r="D1011" i="12"/>
  <c r="C1011" i="12"/>
  <c r="B1011" i="12"/>
  <c r="G1011" i="12" s="1"/>
  <c r="A1011" i="12"/>
  <c r="F1010" i="12"/>
  <c r="D1010" i="12"/>
  <c r="C1010" i="12"/>
  <c r="B1010" i="12"/>
  <c r="G1010" i="12" s="1"/>
  <c r="A1010" i="12"/>
  <c r="F1009" i="12"/>
  <c r="D1009" i="12"/>
  <c r="C1009" i="12"/>
  <c r="B1009" i="12"/>
  <c r="G1009" i="12" s="1"/>
  <c r="A1009" i="12"/>
  <c r="F1008" i="12"/>
  <c r="D1008" i="12"/>
  <c r="C1008" i="12"/>
  <c r="B1008" i="12"/>
  <c r="G1008" i="12" s="1"/>
  <c r="A1008" i="12"/>
  <c r="F1007" i="12"/>
  <c r="D1007" i="12"/>
  <c r="C1007" i="12"/>
  <c r="B1007" i="12"/>
  <c r="G1007" i="12" s="1"/>
  <c r="A1007" i="12"/>
  <c r="F1006" i="12"/>
  <c r="D1006" i="12"/>
  <c r="C1006" i="12"/>
  <c r="B1006" i="12"/>
  <c r="G1006" i="12" s="1"/>
  <c r="A1006" i="12"/>
  <c r="F1005" i="12"/>
  <c r="D1005" i="12"/>
  <c r="C1005" i="12"/>
  <c r="B1005" i="12"/>
  <c r="G1005" i="12" s="1"/>
  <c r="A1005" i="12"/>
  <c r="F1004" i="12"/>
  <c r="D1004" i="12"/>
  <c r="C1004" i="12"/>
  <c r="B1004" i="12"/>
  <c r="G1004" i="12" s="1"/>
  <c r="A1004" i="12"/>
  <c r="F1003" i="12"/>
  <c r="D1003" i="12"/>
  <c r="C1003" i="12"/>
  <c r="B1003" i="12"/>
  <c r="G1003" i="12" s="1"/>
  <c r="A1003" i="12"/>
  <c r="F1002" i="12"/>
  <c r="D1002" i="12"/>
  <c r="C1002" i="12"/>
  <c r="B1002" i="12"/>
  <c r="A1002" i="12"/>
  <c r="G1001" i="12"/>
  <c r="F1001" i="12"/>
  <c r="E1001" i="12"/>
  <c r="D1001" i="12"/>
  <c r="C1001" i="12"/>
  <c r="B1001" i="12"/>
  <c r="A1001" i="12"/>
  <c r="G1000" i="12"/>
  <c r="F1000" i="12"/>
  <c r="E1000" i="12"/>
  <c r="D1000" i="12"/>
  <c r="C1000" i="12"/>
  <c r="B1000" i="12"/>
  <c r="A1000" i="12"/>
  <c r="F999" i="12"/>
  <c r="E999" i="12"/>
  <c r="D999" i="12"/>
  <c r="C999" i="12"/>
  <c r="B999" i="12"/>
  <c r="G999" i="12" s="1"/>
  <c r="A999" i="12"/>
  <c r="G998" i="12"/>
  <c r="F998" i="12"/>
  <c r="E998" i="12"/>
  <c r="D998" i="12"/>
  <c r="C998" i="12"/>
  <c r="B998" i="12"/>
  <c r="A998" i="12"/>
  <c r="G997" i="12"/>
  <c r="F997" i="12"/>
  <c r="E997" i="12"/>
  <c r="D997" i="12"/>
  <c r="C997" i="12"/>
  <c r="B997" i="12"/>
  <c r="A997" i="12"/>
  <c r="F996" i="12"/>
  <c r="E996" i="12"/>
  <c r="D996" i="12"/>
  <c r="C996" i="12"/>
  <c r="B996" i="12"/>
  <c r="G996" i="12" s="1"/>
  <c r="A996" i="12"/>
  <c r="F995" i="12"/>
  <c r="E995" i="12"/>
  <c r="D995" i="12"/>
  <c r="C995" i="12"/>
  <c r="B995" i="12"/>
  <c r="G995" i="12" s="1"/>
  <c r="A995" i="12"/>
  <c r="G994" i="12"/>
  <c r="F994" i="12"/>
  <c r="E994" i="12"/>
  <c r="D994" i="12"/>
  <c r="C994" i="12"/>
  <c r="B994" i="12"/>
  <c r="A994" i="12"/>
  <c r="F993" i="12"/>
  <c r="E993" i="12"/>
  <c r="D993" i="12"/>
  <c r="C993" i="12"/>
  <c r="B993" i="12"/>
  <c r="G993" i="12" s="1"/>
  <c r="A993" i="12"/>
  <c r="F992" i="12"/>
  <c r="E992" i="12"/>
  <c r="D992" i="12"/>
  <c r="C992" i="12"/>
  <c r="B992" i="12"/>
  <c r="G992" i="12" s="1"/>
  <c r="A992" i="12"/>
  <c r="F991" i="12"/>
  <c r="E991" i="12"/>
  <c r="D991" i="12"/>
  <c r="C991" i="12"/>
  <c r="B991" i="12"/>
  <c r="G991" i="12" s="1"/>
  <c r="A991" i="12"/>
  <c r="F990" i="12"/>
  <c r="E990" i="12"/>
  <c r="D990" i="12"/>
  <c r="C990" i="12"/>
  <c r="B990" i="12"/>
  <c r="G990" i="12" s="1"/>
  <c r="A990" i="12"/>
  <c r="F989" i="12"/>
  <c r="E989" i="12"/>
  <c r="D989" i="12"/>
  <c r="C989" i="12"/>
  <c r="B989" i="12"/>
  <c r="G989" i="12" s="1"/>
  <c r="A989" i="12"/>
  <c r="G988" i="12"/>
  <c r="F988" i="12"/>
  <c r="E988" i="12"/>
  <c r="D988" i="12"/>
  <c r="C988" i="12"/>
  <c r="B988" i="12"/>
  <c r="A988" i="12"/>
  <c r="G987" i="12"/>
  <c r="F987" i="12"/>
  <c r="E987" i="12"/>
  <c r="D987" i="12"/>
  <c r="C987" i="12"/>
  <c r="B987" i="12"/>
  <c r="A987" i="12"/>
  <c r="F986" i="12"/>
  <c r="E986" i="12"/>
  <c r="D986" i="12"/>
  <c r="C986" i="12"/>
  <c r="B986" i="12"/>
  <c r="G986" i="12" s="1"/>
  <c r="A986" i="12"/>
  <c r="F985" i="12"/>
  <c r="E985" i="12"/>
  <c r="D985" i="12"/>
  <c r="C985" i="12"/>
  <c r="B985" i="12"/>
  <c r="G985" i="12" s="1"/>
  <c r="A985" i="12"/>
  <c r="G984" i="12"/>
  <c r="F984" i="12"/>
  <c r="E984" i="12"/>
  <c r="D984" i="12"/>
  <c r="C984" i="12"/>
  <c r="B984" i="12"/>
  <c r="A984" i="12"/>
  <c r="G983" i="12"/>
  <c r="F983" i="12"/>
  <c r="E983" i="12"/>
  <c r="D983" i="12"/>
  <c r="C983" i="12"/>
  <c r="B983" i="12"/>
  <c r="A983" i="12"/>
  <c r="F982" i="12"/>
  <c r="E982" i="12"/>
  <c r="D982" i="12"/>
  <c r="C982" i="12"/>
  <c r="B982" i="12"/>
  <c r="G982" i="12" s="1"/>
  <c r="A982" i="12"/>
  <c r="F981" i="12"/>
  <c r="E981" i="12"/>
  <c r="D981" i="12"/>
  <c r="C981" i="12"/>
  <c r="B981" i="12"/>
  <c r="G981" i="12" s="1"/>
  <c r="A981" i="12"/>
  <c r="G980" i="12"/>
  <c r="F980" i="12"/>
  <c r="E980" i="12"/>
  <c r="D980" i="12"/>
  <c r="C980" i="12"/>
  <c r="B980" i="12"/>
  <c r="A980" i="12"/>
  <c r="G979" i="12"/>
  <c r="F979" i="12"/>
  <c r="E979" i="12"/>
  <c r="D979" i="12"/>
  <c r="C979" i="12"/>
  <c r="B979" i="12"/>
  <c r="A979" i="12"/>
  <c r="F978" i="12"/>
  <c r="E978" i="12"/>
  <c r="D978" i="12"/>
  <c r="C978" i="12"/>
  <c r="B978" i="12"/>
  <c r="G978" i="12" s="1"/>
  <c r="A978" i="12"/>
  <c r="F977" i="12"/>
  <c r="E977" i="12"/>
  <c r="D977" i="12"/>
  <c r="C977" i="12"/>
  <c r="B977" i="12"/>
  <c r="G977" i="12" s="1"/>
  <c r="A977" i="12"/>
  <c r="G976" i="12"/>
  <c r="F976" i="12"/>
  <c r="E976" i="12"/>
  <c r="D976" i="12"/>
  <c r="C976" i="12"/>
  <c r="B976" i="12"/>
  <c r="A976" i="12"/>
  <c r="G975" i="12"/>
  <c r="F975" i="12"/>
  <c r="E975" i="12"/>
  <c r="D975" i="12"/>
  <c r="C975" i="12"/>
  <c r="B975" i="12"/>
  <c r="A975" i="12"/>
  <c r="F974" i="12"/>
  <c r="E974" i="12"/>
  <c r="D974" i="12"/>
  <c r="C974" i="12"/>
  <c r="B974" i="12"/>
  <c r="G974" i="12" s="1"/>
  <c r="A974" i="12"/>
  <c r="F973" i="12"/>
  <c r="E973" i="12"/>
  <c r="D973" i="12"/>
  <c r="C973" i="12"/>
  <c r="B973" i="12"/>
  <c r="G973" i="12" s="1"/>
  <c r="A973" i="12"/>
  <c r="G972" i="12"/>
  <c r="F972" i="12"/>
  <c r="E972" i="12"/>
  <c r="D972" i="12"/>
  <c r="C972" i="12"/>
  <c r="B972" i="12"/>
  <c r="A972" i="12"/>
  <c r="G971" i="12"/>
  <c r="F971" i="12"/>
  <c r="E971" i="12"/>
  <c r="D971" i="12"/>
  <c r="C971" i="12"/>
  <c r="B971" i="12"/>
  <c r="A971" i="12"/>
  <c r="F970" i="12"/>
  <c r="E970" i="12"/>
  <c r="D970" i="12"/>
  <c r="C970" i="12"/>
  <c r="B970" i="12"/>
  <c r="G970" i="12" s="1"/>
  <c r="A970" i="12"/>
  <c r="F969" i="12"/>
  <c r="E969" i="12"/>
  <c r="D969" i="12"/>
  <c r="C969" i="12"/>
  <c r="B969" i="12"/>
  <c r="G969" i="12" s="1"/>
  <c r="A969" i="12"/>
  <c r="G968" i="12"/>
  <c r="F968" i="12"/>
  <c r="E968" i="12"/>
  <c r="D968" i="12"/>
  <c r="C968" i="12"/>
  <c r="B968" i="12"/>
  <c r="A968" i="12"/>
  <c r="G967" i="12"/>
  <c r="F967" i="12"/>
  <c r="E967" i="12"/>
  <c r="D967" i="12"/>
  <c r="C967" i="12"/>
  <c r="B967" i="12"/>
  <c r="A967" i="12"/>
  <c r="F966" i="12"/>
  <c r="E966" i="12"/>
  <c r="D966" i="12"/>
  <c r="C966" i="12"/>
  <c r="B966" i="12"/>
  <c r="G966" i="12" s="1"/>
  <c r="A966" i="12"/>
  <c r="F965" i="12"/>
  <c r="E965" i="12"/>
  <c r="D965" i="12"/>
  <c r="C965" i="12"/>
  <c r="B965" i="12"/>
  <c r="G965" i="12" s="1"/>
  <c r="A965" i="12"/>
  <c r="G964" i="12"/>
  <c r="F964" i="12"/>
  <c r="E964" i="12"/>
  <c r="D964" i="12"/>
  <c r="C964" i="12"/>
  <c r="B964" i="12"/>
  <c r="A964" i="12"/>
  <c r="G963" i="12"/>
  <c r="F963" i="12"/>
  <c r="E963" i="12"/>
  <c r="D963" i="12"/>
  <c r="C963" i="12"/>
  <c r="B963" i="12"/>
  <c r="A963" i="12"/>
  <c r="F962" i="12"/>
  <c r="E962" i="12"/>
  <c r="D962" i="12"/>
  <c r="C962" i="12"/>
  <c r="B962" i="12"/>
  <c r="G962" i="12" s="1"/>
  <c r="A962" i="12"/>
  <c r="F961" i="12"/>
  <c r="E961" i="12"/>
  <c r="D961" i="12"/>
  <c r="C961" i="12"/>
  <c r="B961" i="12"/>
  <c r="G961" i="12" s="1"/>
  <c r="A961" i="12"/>
  <c r="G960" i="12"/>
  <c r="F960" i="12"/>
  <c r="E960" i="12"/>
  <c r="D960" i="12"/>
  <c r="C960" i="12"/>
  <c r="B960" i="12"/>
  <c r="A960" i="12"/>
  <c r="G959" i="12"/>
  <c r="F959" i="12"/>
  <c r="E959" i="12"/>
  <c r="D959" i="12"/>
  <c r="C959" i="12"/>
  <c r="B959" i="12"/>
  <c r="A959" i="12"/>
  <c r="F958" i="12"/>
  <c r="E958" i="12"/>
  <c r="D958" i="12"/>
  <c r="C958" i="12"/>
  <c r="B958" i="12"/>
  <c r="G958" i="12" s="1"/>
  <c r="A958" i="12"/>
  <c r="F957" i="12"/>
  <c r="E957" i="12"/>
  <c r="D957" i="12"/>
  <c r="C957" i="12"/>
  <c r="B957" i="12"/>
  <c r="G957" i="12" s="1"/>
  <c r="A957" i="12"/>
  <c r="G956" i="12"/>
  <c r="F956" i="12"/>
  <c r="E956" i="12"/>
  <c r="D956" i="12"/>
  <c r="C956" i="12"/>
  <c r="B956" i="12"/>
  <c r="A956" i="12"/>
  <c r="G955" i="12"/>
  <c r="F955" i="12"/>
  <c r="E955" i="12"/>
  <c r="D955" i="12"/>
  <c r="C955" i="12"/>
  <c r="B955" i="12"/>
  <c r="A955" i="12"/>
  <c r="F954" i="12"/>
  <c r="E954" i="12"/>
  <c r="D954" i="12"/>
  <c r="C954" i="12"/>
  <c r="B954" i="12"/>
  <c r="G954" i="12" s="1"/>
  <c r="A954" i="12"/>
  <c r="F953" i="12"/>
  <c r="E953" i="12"/>
  <c r="D953" i="12"/>
  <c r="C953" i="12"/>
  <c r="B953" i="12"/>
  <c r="G953" i="12" s="1"/>
  <c r="A953" i="12"/>
  <c r="G952" i="12"/>
  <c r="F952" i="12"/>
  <c r="E952" i="12"/>
  <c r="D952" i="12"/>
  <c r="C952" i="12"/>
  <c r="B952" i="12"/>
  <c r="A952" i="12"/>
  <c r="G951" i="12"/>
  <c r="F951" i="12"/>
  <c r="E951" i="12"/>
  <c r="D951" i="12"/>
  <c r="C951" i="12"/>
  <c r="B951" i="12"/>
  <c r="A951" i="12"/>
  <c r="F950" i="12"/>
  <c r="E950" i="12"/>
  <c r="D950" i="12"/>
  <c r="C950" i="12"/>
  <c r="B950" i="12"/>
  <c r="G950" i="12" s="1"/>
  <c r="A950" i="12"/>
  <c r="F949" i="12"/>
  <c r="E949" i="12"/>
  <c r="D949" i="12"/>
  <c r="C949" i="12"/>
  <c r="B949" i="12"/>
  <c r="G949" i="12" s="1"/>
  <c r="A949" i="12"/>
  <c r="G948" i="12"/>
  <c r="F948" i="12"/>
  <c r="E948" i="12"/>
  <c r="D948" i="12"/>
  <c r="C948" i="12"/>
  <c r="B948" i="12"/>
  <c r="A948" i="12"/>
  <c r="G947" i="12"/>
  <c r="F947" i="12"/>
  <c r="E947" i="12"/>
  <c r="D947" i="12"/>
  <c r="C947" i="12"/>
  <c r="B947" i="12"/>
  <c r="A947" i="12"/>
  <c r="F946" i="12"/>
  <c r="E946" i="12"/>
  <c r="D946" i="12"/>
  <c r="C946" i="12"/>
  <c r="B946" i="12"/>
  <c r="G946" i="12" s="1"/>
  <c r="A946" i="12"/>
  <c r="F945" i="12"/>
  <c r="E945" i="12"/>
  <c r="D945" i="12"/>
  <c r="C945" i="12"/>
  <c r="B945" i="12"/>
  <c r="G945" i="12" s="1"/>
  <c r="A945" i="12"/>
  <c r="G944" i="12"/>
  <c r="F944" i="12"/>
  <c r="E944" i="12"/>
  <c r="D944" i="12"/>
  <c r="C944" i="12"/>
  <c r="B944" i="12"/>
  <c r="A944" i="12"/>
  <c r="G943" i="12"/>
  <c r="F943" i="12"/>
  <c r="E943" i="12"/>
  <c r="D943" i="12"/>
  <c r="C943" i="12"/>
  <c r="B943" i="12"/>
  <c r="A943" i="12"/>
  <c r="F942" i="12"/>
  <c r="E942" i="12"/>
  <c r="D942" i="12"/>
  <c r="C942" i="12"/>
  <c r="B942" i="12"/>
  <c r="G942" i="12" s="1"/>
  <c r="A942" i="12"/>
  <c r="F941" i="12"/>
  <c r="E941" i="12"/>
  <c r="D941" i="12"/>
  <c r="C941" i="12"/>
  <c r="B941" i="12"/>
  <c r="G941" i="12" s="1"/>
  <c r="A941" i="12"/>
  <c r="G940" i="12"/>
  <c r="F940" i="12"/>
  <c r="E940" i="12"/>
  <c r="D940" i="12"/>
  <c r="C940" i="12"/>
  <c r="B940" i="12"/>
  <c r="A940" i="12"/>
  <c r="G939" i="12"/>
  <c r="F939" i="12"/>
  <c r="E939" i="12"/>
  <c r="D939" i="12"/>
  <c r="C939" i="12"/>
  <c r="B939" i="12"/>
  <c r="A939" i="12"/>
  <c r="F938" i="12"/>
  <c r="E938" i="12"/>
  <c r="D938" i="12"/>
  <c r="C938" i="12"/>
  <c r="B938" i="12"/>
  <c r="G938" i="12" s="1"/>
  <c r="A938" i="12"/>
  <c r="F937" i="12"/>
  <c r="E937" i="12"/>
  <c r="D937" i="12"/>
  <c r="C937" i="12"/>
  <c r="B937" i="12"/>
  <c r="G937" i="12" s="1"/>
  <c r="A937" i="12"/>
  <c r="G936" i="12"/>
  <c r="F936" i="12"/>
  <c r="E936" i="12"/>
  <c r="D936" i="12"/>
  <c r="C936" i="12"/>
  <c r="B936" i="12"/>
  <c r="A936" i="12"/>
  <c r="G935" i="12"/>
  <c r="F935" i="12"/>
  <c r="E935" i="12"/>
  <c r="D935" i="12"/>
  <c r="C935" i="12"/>
  <c r="B935" i="12"/>
  <c r="A935" i="12"/>
  <c r="F934" i="12"/>
  <c r="E934" i="12"/>
  <c r="D934" i="12"/>
  <c r="C934" i="12"/>
  <c r="B934" i="12"/>
  <c r="G934" i="12" s="1"/>
  <c r="A934" i="12"/>
  <c r="F933" i="12"/>
  <c r="E933" i="12"/>
  <c r="D933" i="12"/>
  <c r="C933" i="12"/>
  <c r="B933" i="12"/>
  <c r="G933" i="12" s="1"/>
  <c r="A933" i="12"/>
  <c r="G932" i="12"/>
  <c r="F932" i="12"/>
  <c r="E932" i="12"/>
  <c r="D932" i="12"/>
  <c r="C932" i="12"/>
  <c r="B932" i="12"/>
  <c r="A932" i="12"/>
  <c r="G931" i="12"/>
  <c r="F931" i="12"/>
  <c r="E931" i="12"/>
  <c r="D931" i="12"/>
  <c r="C931" i="12"/>
  <c r="B931" i="12"/>
  <c r="A931" i="12"/>
  <c r="F930" i="12"/>
  <c r="E930" i="12"/>
  <c r="D930" i="12"/>
  <c r="C930" i="12"/>
  <c r="B930" i="12"/>
  <c r="G930" i="12" s="1"/>
  <c r="A930" i="12"/>
  <c r="F929" i="12"/>
  <c r="E929" i="12"/>
  <c r="D929" i="12"/>
  <c r="C929" i="12"/>
  <c r="B929" i="12"/>
  <c r="G929" i="12" s="1"/>
  <c r="A929" i="12"/>
  <c r="G928" i="12"/>
  <c r="F928" i="12"/>
  <c r="E928" i="12"/>
  <c r="D928" i="12"/>
  <c r="C928" i="12"/>
  <c r="B928" i="12"/>
  <c r="A928" i="12"/>
  <c r="G927" i="12"/>
  <c r="F927" i="12"/>
  <c r="E927" i="12"/>
  <c r="D927" i="12"/>
  <c r="C927" i="12"/>
  <c r="B927" i="12"/>
  <c r="A927" i="12"/>
  <c r="F926" i="12"/>
  <c r="E926" i="12"/>
  <c r="D926" i="12"/>
  <c r="C926" i="12"/>
  <c r="B926" i="12"/>
  <c r="G926" i="12" s="1"/>
  <c r="A926" i="12"/>
  <c r="F925" i="12"/>
  <c r="E925" i="12"/>
  <c r="D925" i="12"/>
  <c r="C925" i="12"/>
  <c r="B925" i="12"/>
  <c r="G925" i="12" s="1"/>
  <c r="A925" i="12"/>
  <c r="G924" i="12"/>
  <c r="F924" i="12"/>
  <c r="E924" i="12"/>
  <c r="D924" i="12"/>
  <c r="C924" i="12"/>
  <c r="B924" i="12"/>
  <c r="A924" i="12"/>
  <c r="G923" i="12"/>
  <c r="F923" i="12"/>
  <c r="E923" i="12"/>
  <c r="D923" i="12"/>
  <c r="C923" i="12"/>
  <c r="B923" i="12"/>
  <c r="A923" i="12"/>
  <c r="F922" i="12"/>
  <c r="E922" i="12"/>
  <c r="D922" i="12"/>
  <c r="C922" i="12"/>
  <c r="B922" i="12"/>
  <c r="G922" i="12" s="1"/>
  <c r="A922" i="12"/>
  <c r="F921" i="12"/>
  <c r="E921" i="12"/>
  <c r="D921" i="12"/>
  <c r="C921" i="12"/>
  <c r="B921" i="12"/>
  <c r="G921" i="12" s="1"/>
  <c r="A921" i="12"/>
  <c r="G920" i="12"/>
  <c r="F920" i="12"/>
  <c r="E920" i="12"/>
  <c r="D920" i="12"/>
  <c r="C920" i="12"/>
  <c r="B920" i="12"/>
  <c r="A920" i="12"/>
  <c r="G919" i="12"/>
  <c r="F919" i="12"/>
  <c r="E919" i="12"/>
  <c r="D919" i="12"/>
  <c r="C919" i="12"/>
  <c r="B919" i="12"/>
  <c r="A919" i="12"/>
  <c r="F918" i="12"/>
  <c r="E918" i="12"/>
  <c r="D918" i="12"/>
  <c r="C918" i="12"/>
  <c r="B918" i="12"/>
  <c r="G918" i="12" s="1"/>
  <c r="A918" i="12"/>
  <c r="F917" i="12"/>
  <c r="E917" i="12"/>
  <c r="D917" i="12"/>
  <c r="C917" i="12"/>
  <c r="B917" i="12"/>
  <c r="G917" i="12" s="1"/>
  <c r="A917" i="12"/>
  <c r="G916" i="12"/>
  <c r="F916" i="12"/>
  <c r="E916" i="12"/>
  <c r="D916" i="12"/>
  <c r="C916" i="12"/>
  <c r="B916" i="12"/>
  <c r="A916" i="12"/>
  <c r="G915" i="12"/>
  <c r="F915" i="12"/>
  <c r="E915" i="12"/>
  <c r="D915" i="12"/>
  <c r="C915" i="12"/>
  <c r="B915" i="12"/>
  <c r="A915" i="12"/>
  <c r="F914" i="12"/>
  <c r="E914" i="12"/>
  <c r="D914" i="12"/>
  <c r="C914" i="12"/>
  <c r="B914" i="12"/>
  <c r="G914" i="12" s="1"/>
  <c r="A914" i="12"/>
  <c r="F913" i="12"/>
  <c r="E913" i="12"/>
  <c r="D913" i="12"/>
  <c r="C913" i="12"/>
  <c r="B913" i="12"/>
  <c r="G913" i="12" s="1"/>
  <c r="A913" i="12"/>
  <c r="G912" i="12"/>
  <c r="F912" i="12"/>
  <c r="E912" i="12"/>
  <c r="D912" i="12"/>
  <c r="C912" i="12"/>
  <c r="B912" i="12"/>
  <c r="A912" i="12"/>
  <c r="G911" i="12"/>
  <c r="F911" i="12"/>
  <c r="E911" i="12"/>
  <c r="D911" i="12"/>
  <c r="C911" i="12"/>
  <c r="B911" i="12"/>
  <c r="A911" i="12"/>
  <c r="F910" i="12"/>
  <c r="E910" i="12"/>
  <c r="D910" i="12"/>
  <c r="C910" i="12"/>
  <c r="B910" i="12"/>
  <c r="G910" i="12" s="1"/>
  <c r="A910" i="12"/>
  <c r="F909" i="12"/>
  <c r="E909" i="12"/>
  <c r="D909" i="12"/>
  <c r="C909" i="12"/>
  <c r="B909" i="12"/>
  <c r="G909" i="12" s="1"/>
  <c r="A909" i="12"/>
  <c r="G908" i="12"/>
  <c r="F908" i="12"/>
  <c r="E908" i="12"/>
  <c r="D908" i="12"/>
  <c r="C908" i="12"/>
  <c r="B908" i="12"/>
  <c r="A908" i="12"/>
  <c r="G907" i="12"/>
  <c r="F907" i="12"/>
  <c r="E907" i="12"/>
  <c r="D907" i="12"/>
  <c r="C907" i="12"/>
  <c r="B907" i="12"/>
  <c r="A907" i="12"/>
  <c r="F906" i="12"/>
  <c r="E906" i="12"/>
  <c r="D906" i="12"/>
  <c r="C906" i="12"/>
  <c r="B906" i="12"/>
  <c r="G906" i="12" s="1"/>
  <c r="A906" i="12"/>
  <c r="F905" i="12"/>
  <c r="E905" i="12"/>
  <c r="D905" i="12"/>
  <c r="C905" i="12"/>
  <c r="B905" i="12"/>
  <c r="G905" i="12" s="1"/>
  <c r="A905" i="12"/>
  <c r="G904" i="12"/>
  <c r="F904" i="12"/>
  <c r="E904" i="12"/>
  <c r="D904" i="12"/>
  <c r="C904" i="12"/>
  <c r="B904" i="12"/>
  <c r="A904" i="12"/>
  <c r="G903" i="12"/>
  <c r="F903" i="12"/>
  <c r="E903" i="12"/>
  <c r="D903" i="12"/>
  <c r="C903" i="12"/>
  <c r="B903" i="12"/>
  <c r="A903" i="12"/>
  <c r="F902" i="12"/>
  <c r="E902" i="12"/>
  <c r="D902" i="12"/>
  <c r="C902" i="12"/>
  <c r="B902" i="12"/>
  <c r="G902" i="12" s="1"/>
  <c r="A902" i="12"/>
  <c r="F901" i="12"/>
  <c r="E901" i="12"/>
  <c r="D901" i="12"/>
  <c r="C901" i="12"/>
  <c r="B901" i="12"/>
  <c r="G901" i="12" s="1"/>
  <c r="A901" i="12"/>
  <c r="G900" i="12"/>
  <c r="F900" i="12"/>
  <c r="E900" i="12"/>
  <c r="D900" i="12"/>
  <c r="C900" i="12"/>
  <c r="B900" i="12"/>
  <c r="A900" i="12"/>
  <c r="G899" i="12"/>
  <c r="F899" i="12"/>
  <c r="E899" i="12"/>
  <c r="D899" i="12"/>
  <c r="C899" i="12"/>
  <c r="B899" i="12"/>
  <c r="A899" i="12"/>
  <c r="F898" i="12"/>
  <c r="E898" i="12"/>
  <c r="D898" i="12"/>
  <c r="C898" i="12"/>
  <c r="B898" i="12"/>
  <c r="G898" i="12" s="1"/>
  <c r="A898" i="12"/>
  <c r="F897" i="12"/>
  <c r="E897" i="12"/>
  <c r="D897" i="12"/>
  <c r="C897" i="12"/>
  <c r="B897" i="12"/>
  <c r="G897" i="12" s="1"/>
  <c r="A897" i="12"/>
  <c r="G896" i="12"/>
  <c r="F896" i="12"/>
  <c r="E896" i="12"/>
  <c r="D896" i="12"/>
  <c r="C896" i="12"/>
  <c r="B896" i="12"/>
  <c r="A896" i="12"/>
  <c r="G895" i="12"/>
  <c r="F895" i="12"/>
  <c r="E895" i="12"/>
  <c r="D895" i="12"/>
  <c r="C895" i="12"/>
  <c r="B895" i="12"/>
  <c r="A895" i="12"/>
  <c r="F894" i="12"/>
  <c r="E894" i="12"/>
  <c r="D894" i="12"/>
  <c r="C894" i="12"/>
  <c r="B894" i="12"/>
  <c r="G894" i="12" s="1"/>
  <c r="A894" i="12"/>
  <c r="F893" i="12"/>
  <c r="E893" i="12"/>
  <c r="D893" i="12"/>
  <c r="C893" i="12"/>
  <c r="B893" i="12"/>
  <c r="G893" i="12" s="1"/>
  <c r="A893" i="12"/>
  <c r="G892" i="12"/>
  <c r="F892" i="12"/>
  <c r="E892" i="12"/>
  <c r="D892" i="12"/>
  <c r="C892" i="12"/>
  <c r="B892" i="12"/>
  <c r="A892" i="12"/>
  <c r="G891" i="12"/>
  <c r="F891" i="12"/>
  <c r="E891" i="12"/>
  <c r="D891" i="12"/>
  <c r="C891" i="12"/>
  <c r="B891" i="12"/>
  <c r="A891" i="12"/>
  <c r="F890" i="12"/>
  <c r="E890" i="12"/>
  <c r="D890" i="12"/>
  <c r="C890" i="12"/>
  <c r="B890" i="12"/>
  <c r="G890" i="12" s="1"/>
  <c r="A890" i="12"/>
  <c r="F889" i="12"/>
  <c r="E889" i="12"/>
  <c r="D889" i="12"/>
  <c r="C889" i="12"/>
  <c r="B889" i="12"/>
  <c r="G889" i="12" s="1"/>
  <c r="A889" i="12"/>
  <c r="G888" i="12"/>
  <c r="F888" i="12"/>
  <c r="E888" i="12"/>
  <c r="D888" i="12"/>
  <c r="C888" i="12"/>
  <c r="B888" i="12"/>
  <c r="A888" i="12"/>
  <c r="G887" i="12"/>
  <c r="F887" i="12"/>
  <c r="E887" i="12"/>
  <c r="D887" i="12"/>
  <c r="C887" i="12"/>
  <c r="B887" i="12"/>
  <c r="A887" i="12"/>
  <c r="F886" i="12"/>
  <c r="E886" i="12"/>
  <c r="D886" i="12"/>
  <c r="C886" i="12"/>
  <c r="B886" i="12"/>
  <c r="G886" i="12" s="1"/>
  <c r="A886" i="12"/>
  <c r="F885" i="12"/>
  <c r="E885" i="12"/>
  <c r="D885" i="12"/>
  <c r="C885" i="12"/>
  <c r="B885" i="12"/>
  <c r="G885" i="12" s="1"/>
  <c r="A885" i="12"/>
  <c r="G884" i="12"/>
  <c r="F884" i="12"/>
  <c r="E884" i="12"/>
  <c r="D884" i="12"/>
  <c r="C884" i="12"/>
  <c r="B884" i="12"/>
  <c r="A884" i="12"/>
  <c r="G883" i="12"/>
  <c r="F883" i="12"/>
  <c r="E883" i="12"/>
  <c r="D883" i="12"/>
  <c r="C883" i="12"/>
  <c r="B883" i="12"/>
  <c r="A883" i="12"/>
  <c r="F882" i="12"/>
  <c r="E882" i="12"/>
  <c r="D882" i="12"/>
  <c r="C882" i="12"/>
  <c r="B882" i="12"/>
  <c r="G882" i="12" s="1"/>
  <c r="A882" i="12"/>
  <c r="F881" i="12"/>
  <c r="E881" i="12"/>
  <c r="D881" i="12"/>
  <c r="C881" i="12"/>
  <c r="B881" i="12"/>
  <c r="G881" i="12" s="1"/>
  <c r="A881" i="12"/>
  <c r="G880" i="12"/>
  <c r="F880" i="12"/>
  <c r="E880" i="12"/>
  <c r="D880" i="12"/>
  <c r="C880" i="12"/>
  <c r="B880" i="12"/>
  <c r="A880" i="12"/>
  <c r="G879" i="12"/>
  <c r="F879" i="12"/>
  <c r="E879" i="12"/>
  <c r="D879" i="12"/>
  <c r="C879" i="12"/>
  <c r="B879" i="12"/>
  <c r="A879" i="12"/>
  <c r="F878" i="12"/>
  <c r="E878" i="12"/>
  <c r="D878" i="12"/>
  <c r="C878" i="12"/>
  <c r="B878" i="12"/>
  <c r="G878" i="12" s="1"/>
  <c r="A878" i="12"/>
  <c r="F877" i="12"/>
  <c r="E877" i="12"/>
  <c r="D877" i="12"/>
  <c r="C877" i="12"/>
  <c r="B877" i="12"/>
  <c r="G877" i="12" s="1"/>
  <c r="A877" i="12"/>
  <c r="G876" i="12"/>
  <c r="F876" i="12"/>
  <c r="E876" i="12"/>
  <c r="D876" i="12"/>
  <c r="C876" i="12"/>
  <c r="B876" i="12"/>
  <c r="A876" i="12"/>
  <c r="G875" i="12"/>
  <c r="F875" i="12"/>
  <c r="E875" i="12"/>
  <c r="D875" i="12"/>
  <c r="C875" i="12"/>
  <c r="B875" i="12"/>
  <c r="A875" i="12"/>
  <c r="F874" i="12"/>
  <c r="E874" i="12"/>
  <c r="D874" i="12"/>
  <c r="C874" i="12"/>
  <c r="B874" i="12"/>
  <c r="G874" i="12" s="1"/>
  <c r="A874" i="12"/>
  <c r="F873" i="12"/>
  <c r="E873" i="12"/>
  <c r="D873" i="12"/>
  <c r="C873" i="12"/>
  <c r="B873" i="12"/>
  <c r="G873" i="12" s="1"/>
  <c r="A873" i="12"/>
  <c r="G872" i="12"/>
  <c r="F872" i="12"/>
  <c r="E872" i="12"/>
  <c r="D872" i="12"/>
  <c r="C872" i="12"/>
  <c r="B872" i="12"/>
  <c r="A872" i="12"/>
  <c r="G871" i="12"/>
  <c r="F871" i="12"/>
  <c r="E871" i="12"/>
  <c r="D871" i="12"/>
  <c r="C871" i="12"/>
  <c r="B871" i="12"/>
  <c r="A871" i="12"/>
  <c r="F870" i="12"/>
  <c r="E870" i="12"/>
  <c r="D870" i="12"/>
  <c r="C870" i="12"/>
  <c r="B870" i="12"/>
  <c r="G870" i="12" s="1"/>
  <c r="A870" i="12"/>
  <c r="F869" i="12"/>
  <c r="E869" i="12"/>
  <c r="D869" i="12"/>
  <c r="C869" i="12"/>
  <c r="B869" i="12"/>
  <c r="G869" i="12" s="1"/>
  <c r="A869" i="12"/>
  <c r="G868" i="12"/>
  <c r="F868" i="12"/>
  <c r="E868" i="12"/>
  <c r="D868" i="12"/>
  <c r="C868" i="12"/>
  <c r="B868" i="12"/>
  <c r="A868" i="12"/>
  <c r="G867" i="12"/>
  <c r="F867" i="12"/>
  <c r="E867" i="12"/>
  <c r="D867" i="12"/>
  <c r="C867" i="12"/>
  <c r="B867" i="12"/>
  <c r="A867" i="12"/>
  <c r="F866" i="12"/>
  <c r="E866" i="12"/>
  <c r="D866" i="12"/>
  <c r="C866" i="12"/>
  <c r="B866" i="12"/>
  <c r="G866" i="12" s="1"/>
  <c r="A866" i="12"/>
  <c r="F865" i="12"/>
  <c r="E865" i="12"/>
  <c r="D865" i="12"/>
  <c r="C865" i="12"/>
  <c r="B865" i="12"/>
  <c r="G865" i="12" s="1"/>
  <c r="A865" i="12"/>
  <c r="G864" i="12"/>
  <c r="F864" i="12"/>
  <c r="E864" i="12"/>
  <c r="D864" i="12"/>
  <c r="C864" i="12"/>
  <c r="B864" i="12"/>
  <c r="A864" i="12"/>
  <c r="G863" i="12"/>
  <c r="F863" i="12"/>
  <c r="E863" i="12"/>
  <c r="D863" i="12"/>
  <c r="C863" i="12"/>
  <c r="B863" i="12"/>
  <c r="A863" i="12"/>
  <c r="F862" i="12"/>
  <c r="E862" i="12"/>
  <c r="D862" i="12"/>
  <c r="C862" i="12"/>
  <c r="B862" i="12"/>
  <c r="G862" i="12" s="1"/>
  <c r="A862" i="12"/>
  <c r="F861" i="12"/>
  <c r="E861" i="12"/>
  <c r="D861" i="12"/>
  <c r="C861" i="12"/>
  <c r="B861" i="12"/>
  <c r="G861" i="12" s="1"/>
  <c r="A861" i="12"/>
  <c r="G860" i="12"/>
  <c r="F860" i="12"/>
  <c r="E860" i="12"/>
  <c r="D860" i="12"/>
  <c r="C860" i="12"/>
  <c r="B860" i="12"/>
  <c r="A860" i="12"/>
  <c r="G859" i="12"/>
  <c r="F859" i="12"/>
  <c r="E859" i="12"/>
  <c r="D859" i="12"/>
  <c r="C859" i="12"/>
  <c r="B859" i="12"/>
  <c r="A859" i="12"/>
  <c r="F858" i="12"/>
  <c r="E858" i="12"/>
  <c r="D858" i="12"/>
  <c r="C858" i="12"/>
  <c r="B858" i="12"/>
  <c r="G858" i="12" s="1"/>
  <c r="A858" i="12"/>
  <c r="F857" i="12"/>
  <c r="E857" i="12"/>
  <c r="D857" i="12"/>
  <c r="C857" i="12"/>
  <c r="B857" i="12"/>
  <c r="G857" i="12" s="1"/>
  <c r="A857" i="12"/>
  <c r="G856" i="12"/>
  <c r="F856" i="12"/>
  <c r="E856" i="12"/>
  <c r="D856" i="12"/>
  <c r="C856" i="12"/>
  <c r="B856" i="12"/>
  <c r="A856" i="12"/>
  <c r="G855" i="12"/>
  <c r="F855" i="12"/>
  <c r="E855" i="12"/>
  <c r="D855" i="12"/>
  <c r="C855" i="12"/>
  <c r="B855" i="12"/>
  <c r="A855" i="12"/>
  <c r="F854" i="12"/>
  <c r="E854" i="12"/>
  <c r="D854" i="12"/>
  <c r="C854" i="12"/>
  <c r="B854" i="12"/>
  <c r="G854" i="12" s="1"/>
  <c r="A854" i="12"/>
  <c r="F853" i="12"/>
  <c r="E853" i="12"/>
  <c r="D853" i="12"/>
  <c r="C853" i="12"/>
  <c r="B853" i="12"/>
  <c r="G853" i="12" s="1"/>
  <c r="A853" i="12"/>
  <c r="G852" i="12"/>
  <c r="F852" i="12"/>
  <c r="E852" i="12"/>
  <c r="D852" i="12"/>
  <c r="C852" i="12"/>
  <c r="B852" i="12"/>
  <c r="A852" i="12"/>
  <c r="G851" i="12"/>
  <c r="F851" i="12"/>
  <c r="E851" i="12"/>
  <c r="D851" i="12"/>
  <c r="C851" i="12"/>
  <c r="B851" i="12"/>
  <c r="A851" i="12"/>
  <c r="F850" i="12"/>
  <c r="E850" i="12"/>
  <c r="D850" i="12"/>
  <c r="C850" i="12"/>
  <c r="B850" i="12"/>
  <c r="G850" i="12" s="1"/>
  <c r="A850" i="12"/>
  <c r="F849" i="12"/>
  <c r="E849" i="12"/>
  <c r="D849" i="12"/>
  <c r="C849" i="12"/>
  <c r="B849" i="12"/>
  <c r="G849" i="12" s="1"/>
  <c r="A849" i="12"/>
  <c r="G848" i="12"/>
  <c r="F848" i="12"/>
  <c r="E848" i="12"/>
  <c r="D848" i="12"/>
  <c r="C848" i="12"/>
  <c r="B848" i="12"/>
  <c r="A848" i="12"/>
  <c r="G847" i="12"/>
  <c r="F847" i="12"/>
  <c r="E847" i="12"/>
  <c r="D847" i="12"/>
  <c r="C847" i="12"/>
  <c r="B847" i="12"/>
  <c r="A847" i="12"/>
  <c r="F846" i="12"/>
  <c r="E846" i="12"/>
  <c r="D846" i="12"/>
  <c r="C846" i="12"/>
  <c r="B846" i="12"/>
  <c r="G846" i="12" s="1"/>
  <c r="A846" i="12"/>
  <c r="F845" i="12"/>
  <c r="E845" i="12"/>
  <c r="D845" i="12"/>
  <c r="C845" i="12"/>
  <c r="B845" i="12"/>
  <c r="G845" i="12" s="1"/>
  <c r="A845" i="12"/>
  <c r="G844" i="12"/>
  <c r="F844" i="12"/>
  <c r="E844" i="12"/>
  <c r="D844" i="12"/>
  <c r="C844" i="12"/>
  <c r="B844" i="12"/>
  <c r="A844" i="12"/>
  <c r="G843" i="12"/>
  <c r="F843" i="12"/>
  <c r="E843" i="12"/>
  <c r="D843" i="12"/>
  <c r="C843" i="12"/>
  <c r="B843" i="12"/>
  <c r="A843" i="12"/>
  <c r="F842" i="12"/>
  <c r="E842" i="12"/>
  <c r="D842" i="12"/>
  <c r="C842" i="12"/>
  <c r="B842" i="12"/>
  <c r="G842" i="12" s="1"/>
  <c r="A842" i="12"/>
  <c r="F841" i="12"/>
  <c r="E841" i="12"/>
  <c r="D841" i="12"/>
  <c r="C841" i="12"/>
  <c r="B841" i="12"/>
  <c r="G841" i="12" s="1"/>
  <c r="A841" i="12"/>
  <c r="G840" i="12"/>
  <c r="F840" i="12"/>
  <c r="E840" i="12"/>
  <c r="D840" i="12"/>
  <c r="C840" i="12"/>
  <c r="B840" i="12"/>
  <c r="A840" i="12"/>
  <c r="G839" i="12"/>
  <c r="F839" i="12"/>
  <c r="E839" i="12"/>
  <c r="D839" i="12"/>
  <c r="C839" i="12"/>
  <c r="B839" i="12"/>
  <c r="A839" i="12"/>
  <c r="F838" i="12"/>
  <c r="E838" i="12"/>
  <c r="D838" i="12"/>
  <c r="C838" i="12"/>
  <c r="B838" i="12"/>
  <c r="G838" i="12" s="1"/>
  <c r="A838" i="12"/>
  <c r="F837" i="12"/>
  <c r="E837" i="12"/>
  <c r="D837" i="12"/>
  <c r="C837" i="12"/>
  <c r="B837" i="12"/>
  <c r="G837" i="12" s="1"/>
  <c r="A837" i="12"/>
  <c r="G836" i="12"/>
  <c r="F836" i="12"/>
  <c r="E836" i="12"/>
  <c r="D836" i="12"/>
  <c r="C836" i="12"/>
  <c r="B836" i="12"/>
  <c r="A836" i="12"/>
  <c r="G835" i="12"/>
  <c r="F835" i="12"/>
  <c r="E835" i="12"/>
  <c r="D835" i="12"/>
  <c r="C835" i="12"/>
  <c r="B835" i="12"/>
  <c r="A835" i="12"/>
  <c r="F834" i="12"/>
  <c r="E834" i="12"/>
  <c r="D834" i="12"/>
  <c r="C834" i="12"/>
  <c r="B834" i="12"/>
  <c r="G834" i="12" s="1"/>
  <c r="A834" i="12"/>
  <c r="F833" i="12"/>
  <c r="E833" i="12"/>
  <c r="D833" i="12"/>
  <c r="C833" i="12"/>
  <c r="B833" i="12"/>
  <c r="G833" i="12" s="1"/>
  <c r="A833" i="12"/>
  <c r="G832" i="12"/>
  <c r="F832" i="12"/>
  <c r="E832" i="12"/>
  <c r="D832" i="12"/>
  <c r="C832" i="12"/>
  <c r="B832" i="12"/>
  <c r="A832" i="12"/>
  <c r="G831" i="12"/>
  <c r="F831" i="12"/>
  <c r="E831" i="12"/>
  <c r="D831" i="12"/>
  <c r="C831" i="12"/>
  <c r="B831" i="12"/>
  <c r="A831" i="12"/>
  <c r="F830" i="12"/>
  <c r="E830" i="12"/>
  <c r="D830" i="12"/>
  <c r="C830" i="12"/>
  <c r="B830" i="12"/>
  <c r="G830" i="12" s="1"/>
  <c r="A830" i="12"/>
  <c r="F829" i="12"/>
  <c r="E829" i="12"/>
  <c r="D829" i="12"/>
  <c r="C829" i="12"/>
  <c r="B829" i="12"/>
  <c r="G829" i="12" s="1"/>
  <c r="A829" i="12"/>
  <c r="G828" i="12"/>
  <c r="F828" i="12"/>
  <c r="E828" i="12"/>
  <c r="D828" i="12"/>
  <c r="C828" i="12"/>
  <c r="B828" i="12"/>
  <c r="A828" i="12"/>
  <c r="G827" i="12"/>
  <c r="F827" i="12"/>
  <c r="E827" i="12"/>
  <c r="D827" i="12"/>
  <c r="C827" i="12"/>
  <c r="B827" i="12"/>
  <c r="A827" i="12"/>
  <c r="F826" i="12"/>
  <c r="E826" i="12"/>
  <c r="D826" i="12"/>
  <c r="C826" i="12"/>
  <c r="B826" i="12"/>
  <c r="G826" i="12" s="1"/>
  <c r="A826" i="12"/>
  <c r="F825" i="12"/>
  <c r="E825" i="12"/>
  <c r="D825" i="12"/>
  <c r="C825" i="12"/>
  <c r="B825" i="12"/>
  <c r="G825" i="12" s="1"/>
  <c r="A825" i="12"/>
  <c r="G824" i="12"/>
  <c r="F824" i="12"/>
  <c r="E824" i="12"/>
  <c r="D824" i="12"/>
  <c r="C824" i="12"/>
  <c r="B824" i="12"/>
  <c r="A824" i="12"/>
  <c r="G823" i="12"/>
  <c r="F823" i="12"/>
  <c r="E823" i="12"/>
  <c r="D823" i="12"/>
  <c r="C823" i="12"/>
  <c r="B823" i="12"/>
  <c r="A823" i="12"/>
  <c r="F822" i="12"/>
  <c r="E822" i="12"/>
  <c r="D822" i="12"/>
  <c r="C822" i="12"/>
  <c r="B822" i="12"/>
  <c r="G822" i="12" s="1"/>
  <c r="A822" i="12"/>
  <c r="F821" i="12"/>
  <c r="E821" i="12"/>
  <c r="D821" i="12"/>
  <c r="C821" i="12"/>
  <c r="B821" i="12"/>
  <c r="G821" i="12" s="1"/>
  <c r="A821" i="12"/>
  <c r="G820" i="12"/>
  <c r="F820" i="12"/>
  <c r="E820" i="12"/>
  <c r="D820" i="12"/>
  <c r="C820" i="12"/>
  <c r="B820" i="12"/>
  <c r="A820" i="12"/>
  <c r="G819" i="12"/>
  <c r="F819" i="12"/>
  <c r="E819" i="12"/>
  <c r="D819" i="12"/>
  <c r="C819" i="12"/>
  <c r="B819" i="12"/>
  <c r="A819" i="12"/>
  <c r="F818" i="12"/>
  <c r="E818" i="12"/>
  <c r="D818" i="12"/>
  <c r="C818" i="12"/>
  <c r="B818" i="12"/>
  <c r="G818" i="12" s="1"/>
  <c r="A818" i="12"/>
  <c r="F817" i="12"/>
  <c r="E817" i="12"/>
  <c r="D817" i="12"/>
  <c r="C817" i="12"/>
  <c r="B817" i="12"/>
  <c r="G817" i="12" s="1"/>
  <c r="A817" i="12"/>
  <c r="G816" i="12"/>
  <c r="F816" i="12"/>
  <c r="E816" i="12"/>
  <c r="D816" i="12"/>
  <c r="C816" i="12"/>
  <c r="B816" i="12"/>
  <c r="A816" i="12"/>
  <c r="G815" i="12"/>
  <c r="F815" i="12"/>
  <c r="E815" i="12"/>
  <c r="D815" i="12"/>
  <c r="C815" i="12"/>
  <c r="B815" i="12"/>
  <c r="A815" i="12"/>
  <c r="F814" i="12"/>
  <c r="E814" i="12"/>
  <c r="D814" i="12"/>
  <c r="C814" i="12"/>
  <c r="B814" i="12"/>
  <c r="G814" i="12" s="1"/>
  <c r="A814" i="12"/>
  <c r="F813" i="12"/>
  <c r="E813" i="12"/>
  <c r="D813" i="12"/>
  <c r="C813" i="12"/>
  <c r="B813" i="12"/>
  <c r="G813" i="12" s="1"/>
  <c r="A813" i="12"/>
  <c r="G812" i="12"/>
  <c r="F812" i="12"/>
  <c r="E812" i="12"/>
  <c r="D812" i="12"/>
  <c r="C812" i="12"/>
  <c r="B812" i="12"/>
  <c r="A812" i="12"/>
  <c r="G811" i="12"/>
  <c r="F811" i="12"/>
  <c r="E811" i="12"/>
  <c r="D811" i="12"/>
  <c r="C811" i="12"/>
  <c r="B811" i="12"/>
  <c r="A811" i="12"/>
  <c r="F810" i="12"/>
  <c r="E810" i="12"/>
  <c r="D810" i="12"/>
  <c r="C810" i="12"/>
  <c r="B810" i="12"/>
  <c r="G810" i="12" s="1"/>
  <c r="A810" i="12"/>
  <c r="F809" i="12"/>
  <c r="E809" i="12"/>
  <c r="D809" i="12"/>
  <c r="C809" i="12"/>
  <c r="B809" i="12"/>
  <c r="G809" i="12" s="1"/>
  <c r="A809" i="12"/>
  <c r="G808" i="12"/>
  <c r="F808" i="12"/>
  <c r="E808" i="12"/>
  <c r="D808" i="12"/>
  <c r="C808" i="12"/>
  <c r="B808" i="12"/>
  <c r="A808" i="12"/>
  <c r="G807" i="12"/>
  <c r="F807" i="12"/>
  <c r="E807" i="12"/>
  <c r="D807" i="12"/>
  <c r="C807" i="12"/>
  <c r="B807" i="12"/>
  <c r="A807" i="12"/>
  <c r="F806" i="12"/>
  <c r="E806" i="12"/>
  <c r="D806" i="12"/>
  <c r="C806" i="12"/>
  <c r="B806" i="12"/>
  <c r="G806" i="12" s="1"/>
  <c r="A806" i="12"/>
  <c r="F805" i="12"/>
  <c r="E805" i="12"/>
  <c r="D805" i="12"/>
  <c r="C805" i="12"/>
  <c r="B805" i="12"/>
  <c r="G805" i="12" s="1"/>
  <c r="A805" i="12"/>
  <c r="G804" i="12"/>
  <c r="F804" i="12"/>
  <c r="E804" i="12"/>
  <c r="D804" i="12"/>
  <c r="C804" i="12"/>
  <c r="B804" i="12"/>
  <c r="A804" i="12"/>
  <c r="G803" i="12"/>
  <c r="F803" i="12"/>
  <c r="E803" i="12"/>
  <c r="D803" i="12"/>
  <c r="C803" i="12"/>
  <c r="B803" i="12"/>
  <c r="A803" i="12"/>
  <c r="F802" i="12"/>
  <c r="E802" i="12"/>
  <c r="D802" i="12"/>
  <c r="C802" i="12"/>
  <c r="B802" i="12"/>
  <c r="G802" i="12" s="1"/>
  <c r="A802" i="12"/>
  <c r="F801" i="12"/>
  <c r="E801" i="12"/>
  <c r="D801" i="12"/>
  <c r="C801" i="12"/>
  <c r="B801" i="12"/>
  <c r="G801" i="12" s="1"/>
  <c r="A801" i="12"/>
  <c r="G800" i="12"/>
  <c r="F800" i="12"/>
  <c r="E800" i="12"/>
  <c r="D800" i="12"/>
  <c r="C800" i="12"/>
  <c r="B800" i="12"/>
  <c r="A800" i="12"/>
  <c r="G799" i="12"/>
  <c r="F799" i="12"/>
  <c r="E799" i="12"/>
  <c r="D799" i="12"/>
  <c r="C799" i="12"/>
  <c r="B799" i="12"/>
  <c r="A799" i="12"/>
  <c r="F798" i="12"/>
  <c r="E798" i="12"/>
  <c r="D798" i="12"/>
  <c r="C798" i="12"/>
  <c r="B798" i="12"/>
  <c r="G798" i="12" s="1"/>
  <c r="A798" i="12"/>
  <c r="F797" i="12"/>
  <c r="E797" i="12"/>
  <c r="D797" i="12"/>
  <c r="C797" i="12"/>
  <c r="B797" i="12"/>
  <c r="G797" i="12" s="1"/>
  <c r="A797" i="12"/>
  <c r="G796" i="12"/>
  <c r="F796" i="12"/>
  <c r="E796" i="12"/>
  <c r="D796" i="12"/>
  <c r="C796" i="12"/>
  <c r="B796" i="12"/>
  <c r="A796" i="12"/>
  <c r="G795" i="12"/>
  <c r="F795" i="12"/>
  <c r="E795" i="12"/>
  <c r="D795" i="12"/>
  <c r="C795" i="12"/>
  <c r="B795" i="12"/>
  <c r="A795" i="12"/>
  <c r="F794" i="12"/>
  <c r="E794" i="12"/>
  <c r="D794" i="12"/>
  <c r="C794" i="12"/>
  <c r="B794" i="12"/>
  <c r="G794" i="12" s="1"/>
  <c r="A794" i="12"/>
  <c r="F793" i="12"/>
  <c r="E793" i="12"/>
  <c r="D793" i="12"/>
  <c r="C793" i="12"/>
  <c r="B793" i="12"/>
  <c r="G793" i="12" s="1"/>
  <c r="A793" i="12"/>
  <c r="G792" i="12"/>
  <c r="F792" i="12"/>
  <c r="E792" i="12"/>
  <c r="D792" i="12"/>
  <c r="C792" i="12"/>
  <c r="B792" i="12"/>
  <c r="A792" i="12"/>
  <c r="G791" i="12"/>
  <c r="F791" i="12"/>
  <c r="E791" i="12"/>
  <c r="D791" i="12"/>
  <c r="C791" i="12"/>
  <c r="B791" i="12"/>
  <c r="A791" i="12"/>
  <c r="F790" i="12"/>
  <c r="E790" i="12"/>
  <c r="D790" i="12"/>
  <c r="C790" i="12"/>
  <c r="B790" i="12"/>
  <c r="G790" i="12" s="1"/>
  <c r="A790" i="12"/>
  <c r="F789" i="12"/>
  <c r="E789" i="12"/>
  <c r="D789" i="12"/>
  <c r="C789" i="12"/>
  <c r="B789" i="12"/>
  <c r="G789" i="12" s="1"/>
  <c r="A789" i="12"/>
  <c r="G788" i="12"/>
  <c r="F788" i="12"/>
  <c r="E788" i="12"/>
  <c r="D788" i="12"/>
  <c r="C788" i="12"/>
  <c r="B788" i="12"/>
  <c r="A788" i="12"/>
  <c r="G787" i="12"/>
  <c r="F787" i="12"/>
  <c r="E787" i="12"/>
  <c r="D787" i="12"/>
  <c r="C787" i="12"/>
  <c r="B787" i="12"/>
  <c r="A787" i="12"/>
  <c r="F786" i="12"/>
  <c r="E786" i="12"/>
  <c r="D786" i="12"/>
  <c r="C786" i="12"/>
  <c r="B786" i="12"/>
  <c r="G786" i="12" s="1"/>
  <c r="A786" i="12"/>
  <c r="F785" i="12"/>
  <c r="E785" i="12"/>
  <c r="D785" i="12"/>
  <c r="C785" i="12"/>
  <c r="B785" i="12"/>
  <c r="G785" i="12" s="1"/>
  <c r="A785" i="12"/>
  <c r="G784" i="12"/>
  <c r="F784" i="12"/>
  <c r="E784" i="12"/>
  <c r="D784" i="12"/>
  <c r="C784" i="12"/>
  <c r="B784" i="12"/>
  <c r="A784" i="12"/>
  <c r="G783" i="12"/>
  <c r="F783" i="12"/>
  <c r="E783" i="12"/>
  <c r="D783" i="12"/>
  <c r="C783" i="12"/>
  <c r="B783" i="12"/>
  <c r="A783" i="12"/>
  <c r="F782" i="12"/>
  <c r="E782" i="12"/>
  <c r="D782" i="12"/>
  <c r="C782" i="12"/>
  <c r="B782" i="12"/>
  <c r="G782" i="12" s="1"/>
  <c r="A782" i="12"/>
  <c r="F781" i="12"/>
  <c r="E781" i="12"/>
  <c r="D781" i="12"/>
  <c r="C781" i="12"/>
  <c r="B781" i="12"/>
  <c r="G781" i="12" s="1"/>
  <c r="A781" i="12"/>
  <c r="G780" i="12"/>
  <c r="F780" i="12"/>
  <c r="E780" i="12"/>
  <c r="D780" i="12"/>
  <c r="C780" i="12"/>
  <c r="B780" i="12"/>
  <c r="A780" i="12"/>
  <c r="G779" i="12"/>
  <c r="F779" i="12"/>
  <c r="E779" i="12"/>
  <c r="D779" i="12"/>
  <c r="C779" i="12"/>
  <c r="B779" i="12"/>
  <c r="A779" i="12"/>
  <c r="F778" i="12"/>
  <c r="E778" i="12"/>
  <c r="D778" i="12"/>
  <c r="C778" i="12"/>
  <c r="B778" i="12"/>
  <c r="G778" i="12" s="1"/>
  <c r="A778" i="12"/>
  <c r="F777" i="12"/>
  <c r="E777" i="12"/>
  <c r="D777" i="12"/>
  <c r="C777" i="12"/>
  <c r="B777" i="12"/>
  <c r="G777" i="12" s="1"/>
  <c r="A777" i="12"/>
  <c r="G776" i="12"/>
  <c r="F776" i="12"/>
  <c r="E776" i="12"/>
  <c r="D776" i="12"/>
  <c r="C776" i="12"/>
  <c r="B776" i="12"/>
  <c r="A776" i="12"/>
  <c r="G775" i="12"/>
  <c r="F775" i="12"/>
  <c r="E775" i="12"/>
  <c r="D775" i="12"/>
  <c r="C775" i="12"/>
  <c r="B775" i="12"/>
  <c r="A775" i="12"/>
  <c r="F774" i="12"/>
  <c r="E774" i="12"/>
  <c r="D774" i="12"/>
  <c r="C774" i="12"/>
  <c r="B774" i="12"/>
  <c r="G774" i="12" s="1"/>
  <c r="A774" i="12"/>
  <c r="F773" i="12"/>
  <c r="E773" i="12"/>
  <c r="D773" i="12"/>
  <c r="C773" i="12"/>
  <c r="B773" i="12"/>
  <c r="G773" i="12" s="1"/>
  <c r="A773" i="12"/>
  <c r="G772" i="12"/>
  <c r="F772" i="12"/>
  <c r="E772" i="12"/>
  <c r="D772" i="12"/>
  <c r="C772" i="12"/>
  <c r="B772" i="12"/>
  <c r="A772" i="12"/>
  <c r="G771" i="12"/>
  <c r="F771" i="12"/>
  <c r="E771" i="12"/>
  <c r="D771" i="12"/>
  <c r="C771" i="12"/>
  <c r="B771" i="12"/>
  <c r="A771" i="12"/>
  <c r="F770" i="12"/>
  <c r="E770" i="12"/>
  <c r="D770" i="12"/>
  <c r="C770" i="12"/>
  <c r="B770" i="12"/>
  <c r="G770" i="12" s="1"/>
  <c r="A770" i="12"/>
  <c r="F769" i="12"/>
  <c r="E769" i="12"/>
  <c r="D769" i="12"/>
  <c r="C769" i="12"/>
  <c r="B769" i="12"/>
  <c r="G769" i="12" s="1"/>
  <c r="A769" i="12"/>
  <c r="G768" i="12"/>
  <c r="F768" i="12"/>
  <c r="E768" i="12"/>
  <c r="D768" i="12"/>
  <c r="C768" i="12"/>
  <c r="B768" i="12"/>
  <c r="A768" i="12"/>
  <c r="G767" i="12"/>
  <c r="F767" i="12"/>
  <c r="E767" i="12"/>
  <c r="D767" i="12"/>
  <c r="C767" i="12"/>
  <c r="B767" i="12"/>
  <c r="A767" i="12"/>
  <c r="F766" i="12"/>
  <c r="E766" i="12"/>
  <c r="D766" i="12"/>
  <c r="C766" i="12"/>
  <c r="B766" i="12"/>
  <c r="G766" i="12" s="1"/>
  <c r="A766" i="12"/>
  <c r="F765" i="12"/>
  <c r="E765" i="12"/>
  <c r="D765" i="12"/>
  <c r="C765" i="12"/>
  <c r="B765" i="12"/>
  <c r="G765" i="12" s="1"/>
  <c r="A765" i="12"/>
  <c r="G764" i="12"/>
  <c r="F764" i="12"/>
  <c r="E764" i="12"/>
  <c r="D764" i="12"/>
  <c r="C764" i="12"/>
  <c r="B764" i="12"/>
  <c r="A764" i="12"/>
  <c r="G763" i="12"/>
  <c r="F763" i="12"/>
  <c r="E763" i="12"/>
  <c r="D763" i="12"/>
  <c r="C763" i="12"/>
  <c r="B763" i="12"/>
  <c r="A763" i="12"/>
  <c r="F762" i="12"/>
  <c r="E762" i="12"/>
  <c r="D762" i="12"/>
  <c r="C762" i="12"/>
  <c r="B762" i="12"/>
  <c r="G762" i="12" s="1"/>
  <c r="A762" i="12"/>
  <c r="F761" i="12"/>
  <c r="E761" i="12"/>
  <c r="D761" i="12"/>
  <c r="C761" i="12"/>
  <c r="B761" i="12"/>
  <c r="G761" i="12" s="1"/>
  <c r="A761" i="12"/>
  <c r="G760" i="12"/>
  <c r="F760" i="12"/>
  <c r="E760" i="12"/>
  <c r="D760" i="12"/>
  <c r="C760" i="12"/>
  <c r="B760" i="12"/>
  <c r="A760" i="12"/>
  <c r="G759" i="12"/>
  <c r="F759" i="12"/>
  <c r="E759" i="12"/>
  <c r="D759" i="12"/>
  <c r="C759" i="12"/>
  <c r="B759" i="12"/>
  <c r="A759" i="12"/>
  <c r="F758" i="12"/>
  <c r="E758" i="12"/>
  <c r="D758" i="12"/>
  <c r="C758" i="12"/>
  <c r="B758" i="12"/>
  <c r="G758" i="12" s="1"/>
  <c r="A758" i="12"/>
  <c r="F757" i="12"/>
  <c r="E757" i="12"/>
  <c r="D757" i="12"/>
  <c r="C757" i="12"/>
  <c r="B757" i="12"/>
  <c r="G757" i="12" s="1"/>
  <c r="A757" i="12"/>
  <c r="G756" i="12"/>
  <c r="F756" i="12"/>
  <c r="E756" i="12"/>
  <c r="D756" i="12"/>
  <c r="C756" i="12"/>
  <c r="B756" i="12"/>
  <c r="A756" i="12"/>
  <c r="G755" i="12"/>
  <c r="F755" i="12"/>
  <c r="E755" i="12"/>
  <c r="D755" i="12"/>
  <c r="C755" i="12"/>
  <c r="B755" i="12"/>
  <c r="A755" i="12"/>
  <c r="F754" i="12"/>
  <c r="E754" i="12"/>
  <c r="D754" i="12"/>
  <c r="C754" i="12"/>
  <c r="B754" i="12"/>
  <c r="G754" i="12" s="1"/>
  <c r="A754" i="12"/>
  <c r="F753" i="12"/>
  <c r="E753" i="12"/>
  <c r="D753" i="12"/>
  <c r="C753" i="12"/>
  <c r="B753" i="12"/>
  <c r="G753" i="12" s="1"/>
  <c r="A753" i="12"/>
  <c r="G752" i="12"/>
  <c r="F752" i="12"/>
  <c r="E752" i="12"/>
  <c r="D752" i="12"/>
  <c r="C752" i="12"/>
  <c r="B752" i="12"/>
  <c r="A752" i="12"/>
  <c r="G751" i="12"/>
  <c r="F751" i="12"/>
  <c r="E751" i="12"/>
  <c r="D751" i="12"/>
  <c r="C751" i="12"/>
  <c r="B751" i="12"/>
  <c r="A751" i="12"/>
  <c r="F750" i="12"/>
  <c r="E750" i="12"/>
  <c r="D750" i="12"/>
  <c r="C750" i="12"/>
  <c r="B750" i="12"/>
  <c r="G750" i="12" s="1"/>
  <c r="A750" i="12"/>
  <c r="F749" i="12"/>
  <c r="E749" i="12"/>
  <c r="D749" i="12"/>
  <c r="C749" i="12"/>
  <c r="B749" i="12"/>
  <c r="G749" i="12" s="1"/>
  <c r="A749" i="12"/>
  <c r="G748" i="12"/>
  <c r="F748" i="12"/>
  <c r="E748" i="12"/>
  <c r="D748" i="12"/>
  <c r="C748" i="12"/>
  <c r="B748" i="12"/>
  <c r="A748" i="12"/>
  <c r="G747" i="12"/>
  <c r="F747" i="12"/>
  <c r="E747" i="12"/>
  <c r="D747" i="12"/>
  <c r="C747" i="12"/>
  <c r="B747" i="12"/>
  <c r="A747" i="12"/>
  <c r="F746" i="12"/>
  <c r="E746" i="12"/>
  <c r="D746" i="12"/>
  <c r="C746" i="12"/>
  <c r="B746" i="12"/>
  <c r="G746" i="12" s="1"/>
  <c r="A746" i="12"/>
  <c r="F745" i="12"/>
  <c r="E745" i="12"/>
  <c r="D745" i="12"/>
  <c r="C745" i="12"/>
  <c r="B745" i="12"/>
  <c r="G745" i="12" s="1"/>
  <c r="A745" i="12"/>
  <c r="G744" i="12"/>
  <c r="F744" i="12"/>
  <c r="E744" i="12"/>
  <c r="D744" i="12"/>
  <c r="C744" i="12"/>
  <c r="B744" i="12"/>
  <c r="A744" i="12"/>
  <c r="G743" i="12"/>
  <c r="F743" i="12"/>
  <c r="E743" i="12"/>
  <c r="D743" i="12"/>
  <c r="C743" i="12"/>
  <c r="B743" i="12"/>
  <c r="A743" i="12"/>
  <c r="F742" i="12"/>
  <c r="E742" i="12"/>
  <c r="D742" i="12"/>
  <c r="C742" i="12"/>
  <c r="B742" i="12"/>
  <c r="G742" i="12" s="1"/>
  <c r="A742" i="12"/>
  <c r="F741" i="12"/>
  <c r="E741" i="12"/>
  <c r="D741" i="12"/>
  <c r="C741" i="12"/>
  <c r="B741" i="12"/>
  <c r="G741" i="12" s="1"/>
  <c r="A741" i="12"/>
  <c r="G740" i="12"/>
  <c r="F740" i="12"/>
  <c r="E740" i="12"/>
  <c r="D740" i="12"/>
  <c r="C740" i="12"/>
  <c r="B740" i="12"/>
  <c r="A740" i="12"/>
  <c r="G739" i="12"/>
  <c r="F739" i="12"/>
  <c r="E739" i="12"/>
  <c r="D739" i="12"/>
  <c r="C739" i="12"/>
  <c r="B739" i="12"/>
  <c r="A739" i="12"/>
  <c r="F738" i="12"/>
  <c r="E738" i="12"/>
  <c r="D738" i="12"/>
  <c r="C738" i="12"/>
  <c r="B738" i="12"/>
  <c r="G738" i="12" s="1"/>
  <c r="A738" i="12"/>
  <c r="F737" i="12"/>
  <c r="E737" i="12"/>
  <c r="D737" i="12"/>
  <c r="C737" i="12"/>
  <c r="B737" i="12"/>
  <c r="G737" i="12" s="1"/>
  <c r="A737" i="12"/>
  <c r="G736" i="12"/>
  <c r="F736" i="12"/>
  <c r="E736" i="12"/>
  <c r="D736" i="12"/>
  <c r="C736" i="12"/>
  <c r="B736" i="12"/>
  <c r="A736" i="12"/>
  <c r="G735" i="12"/>
  <c r="F735" i="12"/>
  <c r="E735" i="12"/>
  <c r="D735" i="12"/>
  <c r="C735" i="12"/>
  <c r="B735" i="12"/>
  <c r="A735" i="12"/>
  <c r="F734" i="12"/>
  <c r="E734" i="12"/>
  <c r="D734" i="12"/>
  <c r="C734" i="12"/>
  <c r="B734" i="12"/>
  <c r="G734" i="12" s="1"/>
  <c r="A734" i="12"/>
  <c r="F733" i="12"/>
  <c r="E733" i="12"/>
  <c r="D733" i="12"/>
  <c r="C733" i="12"/>
  <c r="B733" i="12"/>
  <c r="G733" i="12" s="1"/>
  <c r="A733" i="12"/>
  <c r="G732" i="12"/>
  <c r="F732" i="12"/>
  <c r="E732" i="12"/>
  <c r="D732" i="12"/>
  <c r="C732" i="12"/>
  <c r="B732" i="12"/>
  <c r="A732" i="12"/>
  <c r="G731" i="12"/>
  <c r="F731" i="12"/>
  <c r="E731" i="12"/>
  <c r="D731" i="12"/>
  <c r="C731" i="12"/>
  <c r="B731" i="12"/>
  <c r="A731" i="12"/>
  <c r="F730" i="12"/>
  <c r="E730" i="12"/>
  <c r="D730" i="12"/>
  <c r="C730" i="12"/>
  <c r="B730" i="12"/>
  <c r="G730" i="12" s="1"/>
  <c r="A730" i="12"/>
  <c r="F729" i="12"/>
  <c r="E729" i="12"/>
  <c r="D729" i="12"/>
  <c r="C729" i="12"/>
  <c r="B729" i="12"/>
  <c r="G729" i="12" s="1"/>
  <c r="A729" i="12"/>
  <c r="G728" i="12"/>
  <c r="F728" i="12"/>
  <c r="E728" i="12"/>
  <c r="D728" i="12"/>
  <c r="C728" i="12"/>
  <c r="B728" i="12"/>
  <c r="A728" i="12"/>
  <c r="G727" i="12"/>
  <c r="F727" i="12"/>
  <c r="E727" i="12"/>
  <c r="D727" i="12"/>
  <c r="C727" i="12"/>
  <c r="B727" i="12"/>
  <c r="A727" i="12"/>
  <c r="F726" i="12"/>
  <c r="E726" i="12"/>
  <c r="D726" i="12"/>
  <c r="C726" i="12"/>
  <c r="B726" i="12"/>
  <c r="G726" i="12" s="1"/>
  <c r="A726" i="12"/>
  <c r="F725" i="12"/>
  <c r="E725" i="12"/>
  <c r="D725" i="12"/>
  <c r="C725" i="12"/>
  <c r="B725" i="12"/>
  <c r="G725" i="12" s="1"/>
  <c r="A725" i="12"/>
  <c r="G724" i="12"/>
  <c r="F724" i="12"/>
  <c r="E724" i="12"/>
  <c r="D724" i="12"/>
  <c r="C724" i="12"/>
  <c r="B724" i="12"/>
  <c r="A724" i="12"/>
  <c r="G723" i="12"/>
  <c r="F723" i="12"/>
  <c r="E723" i="12"/>
  <c r="D723" i="12"/>
  <c r="C723" i="12"/>
  <c r="B723" i="12"/>
  <c r="A723" i="12"/>
  <c r="F722" i="12"/>
  <c r="E722" i="12"/>
  <c r="D722" i="12"/>
  <c r="C722" i="12"/>
  <c r="B722" i="12"/>
  <c r="G722" i="12" s="1"/>
  <c r="A722" i="12"/>
  <c r="F721" i="12"/>
  <c r="E721" i="12"/>
  <c r="D721" i="12"/>
  <c r="C721" i="12"/>
  <c r="B721" i="12"/>
  <c r="G721" i="12" s="1"/>
  <c r="A721" i="12"/>
  <c r="G720" i="12"/>
  <c r="F720" i="12"/>
  <c r="E720" i="12"/>
  <c r="D720" i="12"/>
  <c r="C720" i="12"/>
  <c r="B720" i="12"/>
  <c r="A720" i="12"/>
  <c r="G719" i="12"/>
  <c r="F719" i="12"/>
  <c r="E719" i="12"/>
  <c r="D719" i="12"/>
  <c r="C719" i="12"/>
  <c r="B719" i="12"/>
  <c r="A719" i="12"/>
  <c r="F718" i="12"/>
  <c r="E718" i="12"/>
  <c r="D718" i="12"/>
  <c r="C718" i="12"/>
  <c r="B718" i="12"/>
  <c r="G718" i="12" s="1"/>
  <c r="A718" i="12"/>
  <c r="F717" i="12"/>
  <c r="E717" i="12"/>
  <c r="D717" i="12"/>
  <c r="C717" i="12"/>
  <c r="B717" i="12"/>
  <c r="G717" i="12" s="1"/>
  <c r="A717" i="12"/>
  <c r="G716" i="12"/>
  <c r="F716" i="12"/>
  <c r="E716" i="12"/>
  <c r="D716" i="12"/>
  <c r="C716" i="12"/>
  <c r="B716" i="12"/>
  <c r="A716" i="12"/>
  <c r="G715" i="12"/>
  <c r="F715" i="12"/>
  <c r="E715" i="12"/>
  <c r="D715" i="12"/>
  <c r="C715" i="12"/>
  <c r="B715" i="12"/>
  <c r="A715" i="12"/>
  <c r="F714" i="12"/>
  <c r="E714" i="12"/>
  <c r="D714" i="12"/>
  <c r="C714" i="12"/>
  <c r="B714" i="12"/>
  <c r="G714" i="12" s="1"/>
  <c r="A714" i="12"/>
  <c r="F713" i="12"/>
  <c r="E713" i="12"/>
  <c r="D713" i="12"/>
  <c r="C713" i="12"/>
  <c r="B713" i="12"/>
  <c r="G713" i="12" s="1"/>
  <c r="A713" i="12"/>
  <c r="G712" i="12"/>
  <c r="F712" i="12"/>
  <c r="E712" i="12"/>
  <c r="D712" i="12"/>
  <c r="C712" i="12"/>
  <c r="B712" i="12"/>
  <c r="A712" i="12"/>
  <c r="G711" i="12"/>
  <c r="F711" i="12"/>
  <c r="E711" i="12"/>
  <c r="D711" i="12"/>
  <c r="C711" i="12"/>
  <c r="B711" i="12"/>
  <c r="A711" i="12"/>
  <c r="F710" i="12"/>
  <c r="E710" i="12"/>
  <c r="D710" i="12"/>
  <c r="C710" i="12"/>
  <c r="B710" i="12"/>
  <c r="G710" i="12" s="1"/>
  <c r="A710" i="12"/>
  <c r="F709" i="12"/>
  <c r="E709" i="12"/>
  <c r="D709" i="12"/>
  <c r="C709" i="12"/>
  <c r="B709" i="12"/>
  <c r="G709" i="12" s="1"/>
  <c r="A709" i="12"/>
  <c r="G708" i="12"/>
  <c r="F708" i="12"/>
  <c r="E708" i="12"/>
  <c r="D708" i="12"/>
  <c r="C708" i="12"/>
  <c r="B708" i="12"/>
  <c r="A708" i="12"/>
  <c r="G707" i="12"/>
  <c r="F707" i="12"/>
  <c r="E707" i="12"/>
  <c r="D707" i="12"/>
  <c r="C707" i="12"/>
  <c r="B707" i="12"/>
  <c r="A707" i="12"/>
  <c r="F706" i="12"/>
  <c r="E706" i="12"/>
  <c r="D706" i="12"/>
  <c r="C706" i="12"/>
  <c r="B706" i="12"/>
  <c r="G706" i="12" s="1"/>
  <c r="A706" i="12"/>
  <c r="F705" i="12"/>
  <c r="E705" i="12"/>
  <c r="D705" i="12"/>
  <c r="C705" i="12"/>
  <c r="B705" i="12"/>
  <c r="G705" i="12" s="1"/>
  <c r="A705" i="12"/>
  <c r="G704" i="12"/>
  <c r="F704" i="12"/>
  <c r="E704" i="12"/>
  <c r="D704" i="12"/>
  <c r="C704" i="12"/>
  <c r="B704" i="12"/>
  <c r="A704" i="12"/>
  <c r="G703" i="12"/>
  <c r="F703" i="12"/>
  <c r="E703" i="12"/>
  <c r="D703" i="12"/>
  <c r="C703" i="12"/>
  <c r="B703" i="12"/>
  <c r="A703" i="12"/>
  <c r="F702" i="12"/>
  <c r="E702" i="12"/>
  <c r="D702" i="12"/>
  <c r="C702" i="12"/>
  <c r="B702" i="12"/>
  <c r="G702" i="12" s="1"/>
  <c r="A702" i="12"/>
  <c r="F701" i="12"/>
  <c r="E701" i="12"/>
  <c r="D701" i="12"/>
  <c r="C701" i="12"/>
  <c r="B701" i="12"/>
  <c r="G701" i="12" s="1"/>
  <c r="A701" i="12"/>
  <c r="G700" i="12"/>
  <c r="F700" i="12"/>
  <c r="E700" i="12"/>
  <c r="D700" i="12"/>
  <c r="C700" i="12"/>
  <c r="B700" i="12"/>
  <c r="A700" i="12"/>
  <c r="G699" i="12"/>
  <c r="F699" i="12"/>
  <c r="E699" i="12"/>
  <c r="D699" i="12"/>
  <c r="C699" i="12"/>
  <c r="B699" i="12"/>
  <c r="A699" i="12"/>
  <c r="F698" i="12"/>
  <c r="E698" i="12"/>
  <c r="D698" i="12"/>
  <c r="C698" i="12"/>
  <c r="B698" i="12"/>
  <c r="G698" i="12" s="1"/>
  <c r="A698" i="12"/>
  <c r="F697" i="12"/>
  <c r="E697" i="12"/>
  <c r="D697" i="12"/>
  <c r="C697" i="12"/>
  <c r="B697" i="12"/>
  <c r="G697" i="12" s="1"/>
  <c r="A697" i="12"/>
  <c r="G696" i="12"/>
  <c r="F696" i="12"/>
  <c r="E696" i="12"/>
  <c r="D696" i="12"/>
  <c r="C696" i="12"/>
  <c r="B696" i="12"/>
  <c r="A696" i="12"/>
  <c r="G695" i="12"/>
  <c r="F695" i="12"/>
  <c r="E695" i="12"/>
  <c r="D695" i="12"/>
  <c r="C695" i="12"/>
  <c r="B695" i="12"/>
  <c r="A695" i="12"/>
  <c r="F694" i="12"/>
  <c r="E694" i="12"/>
  <c r="D694" i="12"/>
  <c r="C694" i="12"/>
  <c r="B694" i="12"/>
  <c r="G694" i="12" s="1"/>
  <c r="A694" i="12"/>
  <c r="F693" i="12"/>
  <c r="E693" i="12"/>
  <c r="D693" i="12"/>
  <c r="C693" i="12"/>
  <c r="B693" i="12"/>
  <c r="G693" i="12" s="1"/>
  <c r="A693" i="12"/>
  <c r="G692" i="12"/>
  <c r="F692" i="12"/>
  <c r="E692" i="12"/>
  <c r="D692" i="12"/>
  <c r="C692" i="12"/>
  <c r="B692" i="12"/>
  <c r="A692" i="12"/>
  <c r="G691" i="12"/>
  <c r="F691" i="12"/>
  <c r="E691" i="12"/>
  <c r="D691" i="12"/>
  <c r="C691" i="12"/>
  <c r="B691" i="12"/>
  <c r="A691" i="12"/>
  <c r="F690" i="12"/>
  <c r="E690" i="12"/>
  <c r="D690" i="12"/>
  <c r="C690" i="12"/>
  <c r="B690" i="12"/>
  <c r="G690" i="12" s="1"/>
  <c r="A690" i="12"/>
  <c r="F689" i="12"/>
  <c r="E689" i="12"/>
  <c r="D689" i="12"/>
  <c r="C689" i="12"/>
  <c r="B689" i="12"/>
  <c r="G689" i="12" s="1"/>
  <c r="A689" i="12"/>
  <c r="G688" i="12"/>
  <c r="F688" i="12"/>
  <c r="E688" i="12"/>
  <c r="D688" i="12"/>
  <c r="C688" i="12"/>
  <c r="B688" i="12"/>
  <c r="A688" i="12"/>
  <c r="G687" i="12"/>
  <c r="F687" i="12"/>
  <c r="E687" i="12"/>
  <c r="D687" i="12"/>
  <c r="C687" i="12"/>
  <c r="B687" i="12"/>
  <c r="A687" i="12"/>
  <c r="F686" i="12"/>
  <c r="E686" i="12"/>
  <c r="D686" i="12"/>
  <c r="C686" i="12"/>
  <c r="B686" i="12"/>
  <c r="G686" i="12" s="1"/>
  <c r="A686" i="12"/>
  <c r="F685" i="12"/>
  <c r="E685" i="12"/>
  <c r="D685" i="12"/>
  <c r="C685" i="12"/>
  <c r="B685" i="12"/>
  <c r="G685" i="12" s="1"/>
  <c r="A685" i="12"/>
  <c r="G684" i="12"/>
  <c r="F684" i="12"/>
  <c r="E684" i="12"/>
  <c r="D684" i="12"/>
  <c r="C684" i="12"/>
  <c r="B684" i="12"/>
  <c r="A684" i="12"/>
  <c r="G683" i="12"/>
  <c r="F683" i="12"/>
  <c r="E683" i="12"/>
  <c r="D683" i="12"/>
  <c r="C683" i="12"/>
  <c r="B683" i="12"/>
  <c r="A683" i="12"/>
  <c r="F682" i="12"/>
  <c r="E682" i="12"/>
  <c r="D682" i="12"/>
  <c r="C682" i="12"/>
  <c r="B682" i="12"/>
  <c r="G682" i="12" s="1"/>
  <c r="A682" i="12"/>
  <c r="F681" i="12"/>
  <c r="E681" i="12"/>
  <c r="D681" i="12"/>
  <c r="C681" i="12"/>
  <c r="B681" i="12"/>
  <c r="G681" i="12" s="1"/>
  <c r="A681" i="12"/>
  <c r="G680" i="12"/>
  <c r="F680" i="12"/>
  <c r="E680" i="12"/>
  <c r="D680" i="12"/>
  <c r="C680" i="12"/>
  <c r="B680" i="12"/>
  <c r="A680" i="12"/>
  <c r="G679" i="12"/>
  <c r="F679" i="12"/>
  <c r="E679" i="12"/>
  <c r="D679" i="12"/>
  <c r="C679" i="12"/>
  <c r="B679" i="12"/>
  <c r="A679" i="12"/>
  <c r="F678" i="12"/>
  <c r="E678" i="12"/>
  <c r="D678" i="12"/>
  <c r="C678" i="12"/>
  <c r="B678" i="12"/>
  <c r="G678" i="12" s="1"/>
  <c r="A678" i="12"/>
  <c r="F677" i="12"/>
  <c r="E677" i="12"/>
  <c r="D677" i="12"/>
  <c r="C677" i="12"/>
  <c r="B677" i="12"/>
  <c r="G677" i="12" s="1"/>
  <c r="A677" i="12"/>
  <c r="G676" i="12"/>
  <c r="F676" i="12"/>
  <c r="E676" i="12"/>
  <c r="D676" i="12"/>
  <c r="C676" i="12"/>
  <c r="B676" i="12"/>
  <c r="A676" i="12"/>
  <c r="G675" i="12"/>
  <c r="F675" i="12"/>
  <c r="E675" i="12"/>
  <c r="D675" i="12"/>
  <c r="C675" i="12"/>
  <c r="B675" i="12"/>
  <c r="A675" i="12"/>
  <c r="F674" i="12"/>
  <c r="E674" i="12"/>
  <c r="D674" i="12"/>
  <c r="C674" i="12"/>
  <c r="B674" i="12"/>
  <c r="G674" i="12" s="1"/>
  <c r="A674" i="12"/>
  <c r="F673" i="12"/>
  <c r="E673" i="12"/>
  <c r="D673" i="12"/>
  <c r="C673" i="12"/>
  <c r="B673" i="12"/>
  <c r="G673" i="12" s="1"/>
  <c r="A673" i="12"/>
  <c r="G672" i="12"/>
  <c r="F672" i="12"/>
  <c r="E672" i="12"/>
  <c r="D672" i="12"/>
  <c r="C672" i="12"/>
  <c r="B672" i="12"/>
  <c r="A672" i="12"/>
  <c r="G671" i="12"/>
  <c r="F671" i="12"/>
  <c r="E671" i="12"/>
  <c r="D671" i="12"/>
  <c r="C671" i="12"/>
  <c r="B671" i="12"/>
  <c r="A671" i="12"/>
  <c r="F670" i="12"/>
  <c r="E670" i="12"/>
  <c r="D670" i="12"/>
  <c r="C670" i="12"/>
  <c r="B670" i="12"/>
  <c r="G670" i="12" s="1"/>
  <c r="A670" i="12"/>
  <c r="F669" i="12"/>
  <c r="E669" i="12"/>
  <c r="D669" i="12"/>
  <c r="C669" i="12"/>
  <c r="B669" i="12"/>
  <c r="G669" i="12" s="1"/>
  <c r="A669" i="12"/>
  <c r="G668" i="12"/>
  <c r="F668" i="12"/>
  <c r="E668" i="12"/>
  <c r="D668" i="12"/>
  <c r="C668" i="12"/>
  <c r="B668" i="12"/>
  <c r="A668" i="12"/>
  <c r="G667" i="12"/>
  <c r="F667" i="12"/>
  <c r="E667" i="12"/>
  <c r="D667" i="12"/>
  <c r="C667" i="12"/>
  <c r="B667" i="12"/>
  <c r="A667" i="12"/>
  <c r="F666" i="12"/>
  <c r="E666" i="12"/>
  <c r="D666" i="12"/>
  <c r="C666" i="12"/>
  <c r="B666" i="12"/>
  <c r="G666" i="12" s="1"/>
  <c r="A666" i="12"/>
  <c r="F665" i="12"/>
  <c r="E665" i="12"/>
  <c r="D665" i="12"/>
  <c r="C665" i="12"/>
  <c r="B665" i="12"/>
  <c r="G665" i="12" s="1"/>
  <c r="A665" i="12"/>
  <c r="G664" i="12"/>
  <c r="F664" i="12"/>
  <c r="E664" i="12"/>
  <c r="D664" i="12"/>
  <c r="C664" i="12"/>
  <c r="B664" i="12"/>
  <c r="A664" i="12"/>
  <c r="G663" i="12"/>
  <c r="F663" i="12"/>
  <c r="E663" i="12"/>
  <c r="D663" i="12"/>
  <c r="C663" i="12"/>
  <c r="B663" i="12"/>
  <c r="A663" i="12"/>
  <c r="F662" i="12"/>
  <c r="E662" i="12"/>
  <c r="D662" i="12"/>
  <c r="C662" i="12"/>
  <c r="B662" i="12"/>
  <c r="G662" i="12" s="1"/>
  <c r="A662" i="12"/>
  <c r="F661" i="12"/>
  <c r="E661" i="12"/>
  <c r="D661" i="12"/>
  <c r="C661" i="12"/>
  <c r="B661" i="12"/>
  <c r="G661" i="12" s="1"/>
  <c r="A661" i="12"/>
  <c r="G660" i="12"/>
  <c r="F660" i="12"/>
  <c r="E660" i="12"/>
  <c r="D660" i="12"/>
  <c r="C660" i="12"/>
  <c r="B660" i="12"/>
  <c r="A660" i="12"/>
  <c r="G659" i="12"/>
  <c r="F659" i="12"/>
  <c r="E659" i="12"/>
  <c r="D659" i="12"/>
  <c r="C659" i="12"/>
  <c r="B659" i="12"/>
  <c r="A659" i="12"/>
  <c r="F658" i="12"/>
  <c r="E658" i="12"/>
  <c r="D658" i="12"/>
  <c r="C658" i="12"/>
  <c r="B658" i="12"/>
  <c r="G658" i="12" s="1"/>
  <c r="A658" i="12"/>
  <c r="F657" i="12"/>
  <c r="E657" i="12"/>
  <c r="D657" i="12"/>
  <c r="C657" i="12"/>
  <c r="B657" i="12"/>
  <c r="G657" i="12" s="1"/>
  <c r="A657" i="12"/>
  <c r="G656" i="12"/>
  <c r="F656" i="12"/>
  <c r="E656" i="12"/>
  <c r="D656" i="12"/>
  <c r="C656" i="12"/>
  <c r="B656" i="12"/>
  <c r="A656" i="12"/>
  <c r="G655" i="12"/>
  <c r="F655" i="12"/>
  <c r="E655" i="12"/>
  <c r="D655" i="12"/>
  <c r="C655" i="12"/>
  <c r="B655" i="12"/>
  <c r="A655" i="12"/>
  <c r="F654" i="12"/>
  <c r="E654" i="12"/>
  <c r="D654" i="12"/>
  <c r="C654" i="12"/>
  <c r="B654" i="12"/>
  <c r="G654" i="12" s="1"/>
  <c r="A654" i="12"/>
  <c r="F653" i="12"/>
  <c r="E653" i="12"/>
  <c r="D653" i="12"/>
  <c r="C653" i="12"/>
  <c r="B653" i="12"/>
  <c r="G653" i="12" s="1"/>
  <c r="A653" i="12"/>
  <c r="G652" i="12"/>
  <c r="F652" i="12"/>
  <c r="E652" i="12"/>
  <c r="D652" i="12"/>
  <c r="C652" i="12"/>
  <c r="B652" i="12"/>
  <c r="A652" i="12"/>
  <c r="G651" i="12"/>
  <c r="F651" i="12"/>
  <c r="E651" i="12"/>
  <c r="D651" i="12"/>
  <c r="C651" i="12"/>
  <c r="B651" i="12"/>
  <c r="A651" i="12"/>
  <c r="F650" i="12"/>
  <c r="E650" i="12"/>
  <c r="D650" i="12"/>
  <c r="C650" i="12"/>
  <c r="B650" i="12"/>
  <c r="G650" i="12" s="1"/>
  <c r="A650" i="12"/>
  <c r="F649" i="12"/>
  <c r="E649" i="12"/>
  <c r="D649" i="12"/>
  <c r="C649" i="12"/>
  <c r="B649" i="12"/>
  <c r="G649" i="12" s="1"/>
  <c r="A649" i="12"/>
  <c r="G648" i="12"/>
  <c r="F648" i="12"/>
  <c r="E648" i="12"/>
  <c r="D648" i="12"/>
  <c r="C648" i="12"/>
  <c r="B648" i="12"/>
  <c r="A648" i="12"/>
  <c r="G647" i="12"/>
  <c r="F647" i="12"/>
  <c r="E647" i="12"/>
  <c r="D647" i="12"/>
  <c r="C647" i="12"/>
  <c r="B647" i="12"/>
  <c r="A647" i="12"/>
  <c r="F646" i="12"/>
  <c r="E646" i="12"/>
  <c r="D646" i="12"/>
  <c r="C646" i="12"/>
  <c r="B646" i="12"/>
  <c r="G646" i="12" s="1"/>
  <c r="A646" i="12"/>
  <c r="F645" i="12"/>
  <c r="E645" i="12"/>
  <c r="D645" i="12"/>
  <c r="C645" i="12"/>
  <c r="B645" i="12"/>
  <c r="G645" i="12" s="1"/>
  <c r="A645" i="12"/>
  <c r="G644" i="12"/>
  <c r="F644" i="12"/>
  <c r="E644" i="12"/>
  <c r="D644" i="12"/>
  <c r="C644" i="12"/>
  <c r="B644" i="12"/>
  <c r="A644" i="12"/>
  <c r="G643" i="12"/>
  <c r="F643" i="12"/>
  <c r="E643" i="12"/>
  <c r="D643" i="12"/>
  <c r="C643" i="12"/>
  <c r="B643" i="12"/>
  <c r="A643" i="12"/>
  <c r="F642" i="12"/>
  <c r="E642" i="12"/>
  <c r="D642" i="12"/>
  <c r="C642" i="12"/>
  <c r="B642" i="12"/>
  <c r="G642" i="12" s="1"/>
  <c r="A642" i="12"/>
  <c r="F641" i="12"/>
  <c r="E641" i="12"/>
  <c r="D641" i="12"/>
  <c r="C641" i="12"/>
  <c r="B641" i="12"/>
  <c r="G641" i="12" s="1"/>
  <c r="A641" i="12"/>
  <c r="G640" i="12"/>
  <c r="F640" i="12"/>
  <c r="E640" i="12"/>
  <c r="D640" i="12"/>
  <c r="C640" i="12"/>
  <c r="B640" i="12"/>
  <c r="A640" i="12"/>
  <c r="G639" i="12"/>
  <c r="F639" i="12"/>
  <c r="E639" i="12"/>
  <c r="D639" i="12"/>
  <c r="C639" i="12"/>
  <c r="B639" i="12"/>
  <c r="A639" i="12"/>
  <c r="F638" i="12"/>
  <c r="E638" i="12"/>
  <c r="D638" i="12"/>
  <c r="C638" i="12"/>
  <c r="B638" i="12"/>
  <c r="G638" i="12" s="1"/>
  <c r="A638" i="12"/>
  <c r="F637" i="12"/>
  <c r="E637" i="12"/>
  <c r="D637" i="12"/>
  <c r="C637" i="12"/>
  <c r="B637" i="12"/>
  <c r="G637" i="12" s="1"/>
  <c r="A637" i="12"/>
  <c r="G636" i="12"/>
  <c r="F636" i="12"/>
  <c r="E636" i="12"/>
  <c r="D636" i="12"/>
  <c r="C636" i="12"/>
  <c r="B636" i="12"/>
  <c r="A636" i="12"/>
  <c r="G635" i="12"/>
  <c r="F635" i="12"/>
  <c r="E635" i="12"/>
  <c r="D635" i="12"/>
  <c r="C635" i="12"/>
  <c r="B635" i="12"/>
  <c r="A635" i="12"/>
  <c r="F634" i="12"/>
  <c r="E634" i="12"/>
  <c r="D634" i="12"/>
  <c r="C634" i="12"/>
  <c r="B634" i="12"/>
  <c r="G634" i="12" s="1"/>
  <c r="A634" i="12"/>
  <c r="F633" i="12"/>
  <c r="E633" i="12"/>
  <c r="D633" i="12"/>
  <c r="C633" i="12"/>
  <c r="B633" i="12"/>
  <c r="G633" i="12" s="1"/>
  <c r="A633" i="12"/>
  <c r="G632" i="12"/>
  <c r="F632" i="12"/>
  <c r="E632" i="12"/>
  <c r="D632" i="12"/>
  <c r="C632" i="12"/>
  <c r="B632" i="12"/>
  <c r="A632" i="12"/>
  <c r="G631" i="12"/>
  <c r="F631" i="12"/>
  <c r="E631" i="12"/>
  <c r="D631" i="12"/>
  <c r="C631" i="12"/>
  <c r="B631" i="12"/>
  <c r="A631" i="12"/>
  <c r="F630" i="12"/>
  <c r="E630" i="12"/>
  <c r="D630" i="12"/>
  <c r="C630" i="12"/>
  <c r="B630" i="12"/>
  <c r="G630" i="12" s="1"/>
  <c r="A630" i="12"/>
  <c r="F629" i="12"/>
  <c r="E629" i="12"/>
  <c r="D629" i="12"/>
  <c r="C629" i="12"/>
  <c r="B629" i="12"/>
  <c r="G629" i="12" s="1"/>
  <c r="A629" i="12"/>
  <c r="G628" i="12"/>
  <c r="F628" i="12"/>
  <c r="E628" i="12"/>
  <c r="D628" i="12"/>
  <c r="C628" i="12"/>
  <c r="B628" i="12"/>
  <c r="A628" i="12"/>
  <c r="G627" i="12"/>
  <c r="F627" i="12"/>
  <c r="E627" i="12"/>
  <c r="D627" i="12"/>
  <c r="C627" i="12"/>
  <c r="B627" i="12"/>
  <c r="A627" i="12"/>
  <c r="F626" i="12"/>
  <c r="E626" i="12"/>
  <c r="D626" i="12"/>
  <c r="C626" i="12"/>
  <c r="B626" i="12"/>
  <c r="G626" i="12" s="1"/>
  <c r="A626" i="12"/>
  <c r="F625" i="12"/>
  <c r="E625" i="12"/>
  <c r="D625" i="12"/>
  <c r="C625" i="12"/>
  <c r="B625" i="12"/>
  <c r="G625" i="12" s="1"/>
  <c r="A625" i="12"/>
  <c r="G624" i="12"/>
  <c r="F624" i="12"/>
  <c r="E624" i="12"/>
  <c r="D624" i="12"/>
  <c r="C624" i="12"/>
  <c r="B624" i="12"/>
  <c r="A624" i="12"/>
  <c r="G623" i="12"/>
  <c r="F623" i="12"/>
  <c r="E623" i="12"/>
  <c r="D623" i="12"/>
  <c r="C623" i="12"/>
  <c r="B623" i="12"/>
  <c r="A623" i="12"/>
  <c r="F622" i="12"/>
  <c r="E622" i="12"/>
  <c r="D622" i="12"/>
  <c r="C622" i="12"/>
  <c r="B622" i="12"/>
  <c r="G622" i="12" s="1"/>
  <c r="A622" i="12"/>
  <c r="F621" i="12"/>
  <c r="E621" i="12"/>
  <c r="D621" i="12"/>
  <c r="C621" i="12"/>
  <c r="B621" i="12"/>
  <c r="G621" i="12" s="1"/>
  <c r="A621" i="12"/>
  <c r="G620" i="12"/>
  <c r="F620" i="12"/>
  <c r="E620" i="12"/>
  <c r="D620" i="12"/>
  <c r="C620" i="12"/>
  <c r="B620" i="12"/>
  <c r="A620" i="12"/>
  <c r="G619" i="12"/>
  <c r="F619" i="12"/>
  <c r="E619" i="12"/>
  <c r="D619" i="12"/>
  <c r="C619" i="12"/>
  <c r="B619" i="12"/>
  <c r="A619" i="12"/>
  <c r="F618" i="12"/>
  <c r="E618" i="12"/>
  <c r="D618" i="12"/>
  <c r="C618" i="12"/>
  <c r="B618" i="12"/>
  <c r="G618" i="12" s="1"/>
  <c r="A618" i="12"/>
  <c r="F617" i="12"/>
  <c r="E617" i="12"/>
  <c r="D617" i="12"/>
  <c r="C617" i="12"/>
  <c r="B617" i="12"/>
  <c r="G617" i="12" s="1"/>
  <c r="A617" i="12"/>
  <c r="G616" i="12"/>
  <c r="F616" i="12"/>
  <c r="E616" i="12"/>
  <c r="D616" i="12"/>
  <c r="C616" i="12"/>
  <c r="B616" i="12"/>
  <c r="A616" i="12"/>
  <c r="G615" i="12"/>
  <c r="F615" i="12"/>
  <c r="E615" i="12"/>
  <c r="D615" i="12"/>
  <c r="C615" i="12"/>
  <c r="B615" i="12"/>
  <c r="A615" i="12"/>
  <c r="F614" i="12"/>
  <c r="E614" i="12"/>
  <c r="D614" i="12"/>
  <c r="C614" i="12"/>
  <c r="B614" i="12"/>
  <c r="G614" i="12" s="1"/>
  <c r="A614" i="12"/>
  <c r="F613" i="12"/>
  <c r="E613" i="12"/>
  <c r="D613" i="12"/>
  <c r="C613" i="12"/>
  <c r="B613" i="12"/>
  <c r="G613" i="12" s="1"/>
  <c r="A613" i="12"/>
  <c r="G612" i="12"/>
  <c r="F612" i="12"/>
  <c r="E612" i="12"/>
  <c r="D612" i="12"/>
  <c r="C612" i="12"/>
  <c r="B612" i="12"/>
  <c r="A612" i="12"/>
  <c r="G611" i="12"/>
  <c r="F611" i="12"/>
  <c r="E611" i="12"/>
  <c r="D611" i="12"/>
  <c r="C611" i="12"/>
  <c r="B611" i="12"/>
  <c r="A611" i="12"/>
  <c r="F610" i="12"/>
  <c r="E610" i="12"/>
  <c r="D610" i="12"/>
  <c r="C610" i="12"/>
  <c r="B610" i="12"/>
  <c r="G610" i="12" s="1"/>
  <c r="A610" i="12"/>
  <c r="F609" i="12"/>
  <c r="E609" i="12"/>
  <c r="D609" i="12"/>
  <c r="C609" i="12"/>
  <c r="B609" i="12"/>
  <c r="G609" i="12" s="1"/>
  <c r="A609" i="12"/>
  <c r="G608" i="12"/>
  <c r="F608" i="12"/>
  <c r="E608" i="12"/>
  <c r="D608" i="12"/>
  <c r="C608" i="12"/>
  <c r="B608" i="12"/>
  <c r="A608" i="12"/>
  <c r="G607" i="12"/>
  <c r="F607" i="12"/>
  <c r="E607" i="12"/>
  <c r="D607" i="12"/>
  <c r="C607" i="12"/>
  <c r="B607" i="12"/>
  <c r="A607" i="12"/>
  <c r="F606" i="12"/>
  <c r="E606" i="12"/>
  <c r="D606" i="12"/>
  <c r="C606" i="12"/>
  <c r="B606" i="12"/>
  <c r="G606" i="12" s="1"/>
  <c r="A606" i="12"/>
  <c r="F605" i="12"/>
  <c r="E605" i="12"/>
  <c r="D605" i="12"/>
  <c r="C605" i="12"/>
  <c r="B605" i="12"/>
  <c r="G605" i="12" s="1"/>
  <c r="A605" i="12"/>
  <c r="G604" i="12"/>
  <c r="F604" i="12"/>
  <c r="E604" i="12"/>
  <c r="D604" i="12"/>
  <c r="C604" i="12"/>
  <c r="B604" i="12"/>
  <c r="A604" i="12"/>
  <c r="G603" i="12"/>
  <c r="F603" i="12"/>
  <c r="E603" i="12"/>
  <c r="D603" i="12"/>
  <c r="C603" i="12"/>
  <c r="B603" i="12"/>
  <c r="A603" i="12"/>
  <c r="F602" i="12"/>
  <c r="E602" i="12"/>
  <c r="D602" i="12"/>
  <c r="C602" i="12"/>
  <c r="B602" i="12"/>
  <c r="G602" i="12" s="1"/>
  <c r="A602" i="12"/>
  <c r="F601" i="12"/>
  <c r="E601" i="12"/>
  <c r="D601" i="12"/>
  <c r="C601" i="12"/>
  <c r="B601" i="12"/>
  <c r="G601" i="12" s="1"/>
  <c r="A601" i="12"/>
  <c r="G600" i="12"/>
  <c r="F600" i="12"/>
  <c r="E600" i="12"/>
  <c r="D600" i="12"/>
  <c r="C600" i="12"/>
  <c r="B600" i="12"/>
  <c r="A600" i="12"/>
  <c r="G599" i="12"/>
  <c r="F599" i="12"/>
  <c r="E599" i="12"/>
  <c r="D599" i="12"/>
  <c r="C599" i="12"/>
  <c r="B599" i="12"/>
  <c r="A599" i="12"/>
  <c r="F598" i="12"/>
  <c r="E598" i="12"/>
  <c r="D598" i="12"/>
  <c r="C598" i="12"/>
  <c r="B598" i="12"/>
  <c r="G598" i="12" s="1"/>
  <c r="A598" i="12"/>
  <c r="F597" i="12"/>
  <c r="E597" i="12"/>
  <c r="D597" i="12"/>
  <c r="C597" i="12"/>
  <c r="B597" i="12"/>
  <c r="G597" i="12" s="1"/>
  <c r="A597" i="12"/>
  <c r="G596" i="12"/>
  <c r="F596" i="12"/>
  <c r="E596" i="12"/>
  <c r="D596" i="12"/>
  <c r="C596" i="12"/>
  <c r="B596" i="12"/>
  <c r="A596" i="12"/>
  <c r="G595" i="12"/>
  <c r="F595" i="12"/>
  <c r="E595" i="12"/>
  <c r="D595" i="12"/>
  <c r="C595" i="12"/>
  <c r="B595" i="12"/>
  <c r="A595" i="12"/>
  <c r="F594" i="12"/>
  <c r="E594" i="12"/>
  <c r="D594" i="12"/>
  <c r="C594" i="12"/>
  <c r="B594" i="12"/>
  <c r="G594" i="12" s="1"/>
  <c r="A594" i="12"/>
  <c r="F593" i="12"/>
  <c r="E593" i="12"/>
  <c r="D593" i="12"/>
  <c r="C593" i="12"/>
  <c r="B593" i="12"/>
  <c r="G593" i="12" s="1"/>
  <c r="A593" i="12"/>
  <c r="G592" i="12"/>
  <c r="F592" i="12"/>
  <c r="E592" i="12"/>
  <c r="D592" i="12"/>
  <c r="C592" i="12"/>
  <c r="B592" i="12"/>
  <c r="A592" i="12"/>
  <c r="G591" i="12"/>
  <c r="F591" i="12"/>
  <c r="E591" i="12"/>
  <c r="D591" i="12"/>
  <c r="C591" i="12"/>
  <c r="B591" i="12"/>
  <c r="A591" i="12"/>
  <c r="F590" i="12"/>
  <c r="E590" i="12"/>
  <c r="D590" i="12"/>
  <c r="C590" i="12"/>
  <c r="B590" i="12"/>
  <c r="G590" i="12" s="1"/>
  <c r="A590" i="12"/>
  <c r="F589" i="12"/>
  <c r="E589" i="12"/>
  <c r="D589" i="12"/>
  <c r="C589" i="12"/>
  <c r="B589" i="12"/>
  <c r="G589" i="12" s="1"/>
  <c r="A589" i="12"/>
  <c r="G588" i="12"/>
  <c r="F588" i="12"/>
  <c r="E588" i="12"/>
  <c r="D588" i="12"/>
  <c r="C588" i="12"/>
  <c r="B588" i="12"/>
  <c r="A588" i="12"/>
  <c r="G587" i="12"/>
  <c r="F587" i="12"/>
  <c r="E587" i="12"/>
  <c r="D587" i="12"/>
  <c r="C587" i="12"/>
  <c r="B587" i="12"/>
  <c r="A587" i="12"/>
  <c r="F586" i="12"/>
  <c r="E586" i="12"/>
  <c r="D586" i="12"/>
  <c r="C586" i="12"/>
  <c r="B586" i="12"/>
  <c r="G586" i="12" s="1"/>
  <c r="A586" i="12"/>
  <c r="F585" i="12"/>
  <c r="E585" i="12"/>
  <c r="D585" i="12"/>
  <c r="C585" i="12"/>
  <c r="B585" i="12"/>
  <c r="G585" i="12" s="1"/>
  <c r="A585" i="12"/>
  <c r="G584" i="12"/>
  <c r="F584" i="12"/>
  <c r="E584" i="12"/>
  <c r="D584" i="12"/>
  <c r="C584" i="12"/>
  <c r="B584" i="12"/>
  <c r="A584" i="12"/>
  <c r="G583" i="12"/>
  <c r="F583" i="12"/>
  <c r="E583" i="12"/>
  <c r="D583" i="12"/>
  <c r="C583" i="12"/>
  <c r="B583" i="12"/>
  <c r="A583" i="12"/>
  <c r="F582" i="12"/>
  <c r="E582" i="12"/>
  <c r="D582" i="12"/>
  <c r="C582" i="12"/>
  <c r="B582" i="12"/>
  <c r="G582" i="12" s="1"/>
  <c r="A582" i="12"/>
  <c r="F581" i="12"/>
  <c r="E581" i="12"/>
  <c r="D581" i="12"/>
  <c r="C581" i="12"/>
  <c r="B581" i="12"/>
  <c r="G581" i="12" s="1"/>
  <c r="A581" i="12"/>
  <c r="G580" i="12"/>
  <c r="F580" i="12"/>
  <c r="E580" i="12"/>
  <c r="D580" i="12"/>
  <c r="C580" i="12"/>
  <c r="B580" i="12"/>
  <c r="A580" i="12"/>
  <c r="G579" i="12"/>
  <c r="F579" i="12"/>
  <c r="E579" i="12"/>
  <c r="D579" i="12"/>
  <c r="C579" i="12"/>
  <c r="B579" i="12"/>
  <c r="A579" i="12"/>
  <c r="F578" i="12"/>
  <c r="E578" i="12"/>
  <c r="D578" i="12"/>
  <c r="C578" i="12"/>
  <c r="B578" i="12"/>
  <c r="G578" i="12" s="1"/>
  <c r="A578" i="12"/>
  <c r="F577" i="12"/>
  <c r="E577" i="12"/>
  <c r="D577" i="12"/>
  <c r="C577" i="12"/>
  <c r="B577" i="12"/>
  <c r="G577" i="12" s="1"/>
  <c r="A577" i="12"/>
  <c r="G576" i="12"/>
  <c r="F576" i="12"/>
  <c r="E576" i="12"/>
  <c r="D576" i="12"/>
  <c r="C576" i="12"/>
  <c r="B576" i="12"/>
  <c r="A576" i="12"/>
  <c r="G575" i="12"/>
  <c r="F575" i="12"/>
  <c r="E575" i="12"/>
  <c r="D575" i="12"/>
  <c r="C575" i="12"/>
  <c r="B575" i="12"/>
  <c r="A575" i="12"/>
  <c r="F574" i="12"/>
  <c r="E574" i="12"/>
  <c r="D574" i="12"/>
  <c r="C574" i="12"/>
  <c r="B574" i="12"/>
  <c r="G574" i="12" s="1"/>
  <c r="A574" i="12"/>
  <c r="F573" i="12"/>
  <c r="E573" i="12"/>
  <c r="D573" i="12"/>
  <c r="C573" i="12"/>
  <c r="B573" i="12"/>
  <c r="G573" i="12" s="1"/>
  <c r="A573" i="12"/>
  <c r="G572" i="12"/>
  <c r="F572" i="12"/>
  <c r="E572" i="12"/>
  <c r="D572" i="12"/>
  <c r="C572" i="12"/>
  <c r="B572" i="12"/>
  <c r="A572" i="12"/>
  <c r="G571" i="12"/>
  <c r="F571" i="12"/>
  <c r="E571" i="12"/>
  <c r="D571" i="12"/>
  <c r="C571" i="12"/>
  <c r="B571" i="12"/>
  <c r="A571" i="12"/>
  <c r="F570" i="12"/>
  <c r="E570" i="12"/>
  <c r="D570" i="12"/>
  <c r="C570" i="12"/>
  <c r="B570" i="12"/>
  <c r="G570" i="12" s="1"/>
  <c r="A570" i="12"/>
  <c r="F569" i="12"/>
  <c r="E569" i="12"/>
  <c r="D569" i="12"/>
  <c r="C569" i="12"/>
  <c r="B569" i="12"/>
  <c r="G569" i="12" s="1"/>
  <c r="A569" i="12"/>
  <c r="G568" i="12"/>
  <c r="F568" i="12"/>
  <c r="E568" i="12"/>
  <c r="D568" i="12"/>
  <c r="C568" i="12"/>
  <c r="B568" i="12"/>
  <c r="A568" i="12"/>
  <c r="G567" i="12"/>
  <c r="F567" i="12"/>
  <c r="E567" i="12"/>
  <c r="D567" i="12"/>
  <c r="C567" i="12"/>
  <c r="B567" i="12"/>
  <c r="A567" i="12"/>
  <c r="F566" i="12"/>
  <c r="E566" i="12"/>
  <c r="D566" i="12"/>
  <c r="C566" i="12"/>
  <c r="B566" i="12"/>
  <c r="G566" i="12" s="1"/>
  <c r="A566" i="12"/>
  <c r="F565" i="12"/>
  <c r="E565" i="12"/>
  <c r="D565" i="12"/>
  <c r="C565" i="12"/>
  <c r="B565" i="12"/>
  <c r="G565" i="12" s="1"/>
  <c r="A565" i="12"/>
  <c r="G564" i="12"/>
  <c r="F564" i="12"/>
  <c r="E564" i="12"/>
  <c r="D564" i="12"/>
  <c r="C564" i="12"/>
  <c r="B564" i="12"/>
  <c r="A564" i="12"/>
  <c r="G563" i="12"/>
  <c r="F563" i="12"/>
  <c r="E563" i="12"/>
  <c r="D563" i="12"/>
  <c r="C563" i="12"/>
  <c r="B563" i="12"/>
  <c r="A563" i="12"/>
  <c r="F562" i="12"/>
  <c r="E562" i="12"/>
  <c r="D562" i="12"/>
  <c r="C562" i="12"/>
  <c r="B562" i="12"/>
  <c r="G562" i="12" s="1"/>
  <c r="A562" i="12"/>
  <c r="F561" i="12"/>
  <c r="E561" i="12"/>
  <c r="D561" i="12"/>
  <c r="C561" i="12"/>
  <c r="B561" i="12"/>
  <c r="G561" i="12" s="1"/>
  <c r="A561" i="12"/>
  <c r="G560" i="12"/>
  <c r="F560" i="12"/>
  <c r="E560" i="12"/>
  <c r="D560" i="12"/>
  <c r="C560" i="12"/>
  <c r="B560" i="12"/>
  <c r="A560" i="12"/>
  <c r="G559" i="12"/>
  <c r="F559" i="12"/>
  <c r="E559" i="12"/>
  <c r="D559" i="12"/>
  <c r="C559" i="12"/>
  <c r="B559" i="12"/>
  <c r="A559" i="12"/>
  <c r="F558" i="12"/>
  <c r="E558" i="12"/>
  <c r="D558" i="12"/>
  <c r="C558" i="12"/>
  <c r="B558" i="12"/>
  <c r="G558" i="12" s="1"/>
  <c r="A558" i="12"/>
  <c r="F557" i="12"/>
  <c r="E557" i="12"/>
  <c r="D557" i="12"/>
  <c r="C557" i="12"/>
  <c r="B557" i="12"/>
  <c r="G557" i="12" s="1"/>
  <c r="A557" i="12"/>
  <c r="G556" i="12"/>
  <c r="F556" i="12"/>
  <c r="E556" i="12"/>
  <c r="D556" i="12"/>
  <c r="C556" i="12"/>
  <c r="B556" i="12"/>
  <c r="A556" i="12"/>
  <c r="G555" i="12"/>
  <c r="F555" i="12"/>
  <c r="E555" i="12"/>
  <c r="D555" i="12"/>
  <c r="C555" i="12"/>
  <c r="B555" i="12"/>
  <c r="A555" i="12"/>
  <c r="F554" i="12"/>
  <c r="E554" i="12"/>
  <c r="D554" i="12"/>
  <c r="C554" i="12"/>
  <c r="B554" i="12"/>
  <c r="G554" i="12" s="1"/>
  <c r="A554" i="12"/>
  <c r="F553" i="12"/>
  <c r="E553" i="12"/>
  <c r="D553" i="12"/>
  <c r="C553" i="12"/>
  <c r="B553" i="12"/>
  <c r="G553" i="12" s="1"/>
  <c r="A553" i="12"/>
  <c r="G552" i="12"/>
  <c r="F552" i="12"/>
  <c r="E552" i="12"/>
  <c r="D552" i="12"/>
  <c r="C552" i="12"/>
  <c r="B552" i="12"/>
  <c r="A552" i="12"/>
  <c r="G551" i="12"/>
  <c r="F551" i="12"/>
  <c r="E551" i="12"/>
  <c r="D551" i="12"/>
  <c r="C551" i="12"/>
  <c r="B551" i="12"/>
  <c r="A551" i="12"/>
  <c r="F550" i="12"/>
  <c r="E550" i="12"/>
  <c r="D550" i="12"/>
  <c r="C550" i="12"/>
  <c r="B550" i="12"/>
  <c r="G550" i="12" s="1"/>
  <c r="A550" i="12"/>
  <c r="F549" i="12"/>
  <c r="E549" i="12"/>
  <c r="D549" i="12"/>
  <c r="C549" i="12"/>
  <c r="B549" i="12"/>
  <c r="G549" i="12" s="1"/>
  <c r="A549" i="12"/>
  <c r="G548" i="12"/>
  <c r="F548" i="12"/>
  <c r="E548" i="12"/>
  <c r="D548" i="12"/>
  <c r="C548" i="12"/>
  <c r="B548" i="12"/>
  <c r="A548" i="12"/>
  <c r="G547" i="12"/>
  <c r="F547" i="12"/>
  <c r="E547" i="12"/>
  <c r="D547" i="12"/>
  <c r="C547" i="12"/>
  <c r="B547" i="12"/>
  <c r="A547" i="12"/>
  <c r="F546" i="12"/>
  <c r="E546" i="12"/>
  <c r="D546" i="12"/>
  <c r="C546" i="12"/>
  <c r="B546" i="12"/>
  <c r="G546" i="12" s="1"/>
  <c r="A546" i="12"/>
  <c r="F545" i="12"/>
  <c r="E545" i="12"/>
  <c r="D545" i="12"/>
  <c r="C545" i="12"/>
  <c r="B545" i="12"/>
  <c r="G545" i="12" s="1"/>
  <c r="A545" i="12"/>
  <c r="G544" i="12"/>
  <c r="F544" i="12"/>
  <c r="E544" i="12"/>
  <c r="D544" i="12"/>
  <c r="C544" i="12"/>
  <c r="B544" i="12"/>
  <c r="A544" i="12"/>
  <c r="G543" i="12"/>
  <c r="F543" i="12"/>
  <c r="E543" i="12"/>
  <c r="D543" i="12"/>
  <c r="C543" i="12"/>
  <c r="B543" i="12"/>
  <c r="A543" i="12"/>
  <c r="F542" i="12"/>
  <c r="E542" i="12"/>
  <c r="D542" i="12"/>
  <c r="C542" i="12"/>
  <c r="B542" i="12"/>
  <c r="G542" i="12" s="1"/>
  <c r="A542" i="12"/>
  <c r="F541" i="12"/>
  <c r="E541" i="12"/>
  <c r="D541" i="12"/>
  <c r="C541" i="12"/>
  <c r="B541" i="12"/>
  <c r="G541" i="12" s="1"/>
  <c r="A541" i="12"/>
  <c r="G540" i="12"/>
  <c r="F540" i="12"/>
  <c r="E540" i="12"/>
  <c r="D540" i="12"/>
  <c r="C540" i="12"/>
  <c r="B540" i="12"/>
  <c r="A540" i="12"/>
  <c r="G539" i="12"/>
  <c r="F539" i="12"/>
  <c r="E539" i="12"/>
  <c r="D539" i="12"/>
  <c r="C539" i="12"/>
  <c r="B539" i="12"/>
  <c r="A539" i="12"/>
  <c r="F538" i="12"/>
  <c r="E538" i="12"/>
  <c r="D538" i="12"/>
  <c r="C538" i="12"/>
  <c r="B538" i="12"/>
  <c r="G538" i="12" s="1"/>
  <c r="A538" i="12"/>
  <c r="F537" i="12"/>
  <c r="E537" i="12"/>
  <c r="D537" i="12"/>
  <c r="C537" i="12"/>
  <c r="B537" i="12"/>
  <c r="G537" i="12" s="1"/>
  <c r="A537" i="12"/>
  <c r="G536" i="12"/>
  <c r="F536" i="12"/>
  <c r="E536" i="12"/>
  <c r="D536" i="12"/>
  <c r="C536" i="12"/>
  <c r="B536" i="12"/>
  <c r="A536" i="12"/>
  <c r="G535" i="12"/>
  <c r="F535" i="12"/>
  <c r="E535" i="12"/>
  <c r="D535" i="12"/>
  <c r="C535" i="12"/>
  <c r="B535" i="12"/>
  <c r="A535" i="12"/>
  <c r="F534" i="12"/>
  <c r="E534" i="12"/>
  <c r="D534" i="12"/>
  <c r="C534" i="12"/>
  <c r="B534" i="12"/>
  <c r="G534" i="12" s="1"/>
  <c r="A534" i="12"/>
  <c r="F533" i="12"/>
  <c r="E533" i="12"/>
  <c r="D533" i="12"/>
  <c r="C533" i="12"/>
  <c r="B533" i="12"/>
  <c r="G533" i="12" s="1"/>
  <c r="A533" i="12"/>
  <c r="G532" i="12"/>
  <c r="F532" i="12"/>
  <c r="E532" i="12"/>
  <c r="D532" i="12"/>
  <c r="C532" i="12"/>
  <c r="B532" i="12"/>
  <c r="A532" i="12"/>
  <c r="G531" i="12"/>
  <c r="F531" i="12"/>
  <c r="E531" i="12"/>
  <c r="D531" i="12"/>
  <c r="C531" i="12"/>
  <c r="B531" i="12"/>
  <c r="A531" i="12"/>
  <c r="F530" i="12"/>
  <c r="E530" i="12"/>
  <c r="D530" i="12"/>
  <c r="C530" i="12"/>
  <c r="B530" i="12"/>
  <c r="G530" i="12" s="1"/>
  <c r="A530" i="12"/>
  <c r="F529" i="12"/>
  <c r="E529" i="12"/>
  <c r="D529" i="12"/>
  <c r="C529" i="12"/>
  <c r="B529" i="12"/>
  <c r="G529" i="12" s="1"/>
  <c r="A529" i="12"/>
  <c r="G528" i="12"/>
  <c r="F528" i="12"/>
  <c r="E528" i="12"/>
  <c r="D528" i="12"/>
  <c r="C528" i="12"/>
  <c r="B528" i="12"/>
  <c r="A528" i="12"/>
  <c r="G527" i="12"/>
  <c r="F527" i="12"/>
  <c r="E527" i="12"/>
  <c r="D527" i="12"/>
  <c r="C527" i="12"/>
  <c r="B527" i="12"/>
  <c r="A527" i="12"/>
  <c r="F526" i="12"/>
  <c r="E526" i="12"/>
  <c r="D526" i="12"/>
  <c r="C526" i="12"/>
  <c r="B526" i="12"/>
  <c r="G526" i="12" s="1"/>
  <c r="A526" i="12"/>
  <c r="F525" i="12"/>
  <c r="E525" i="12"/>
  <c r="D525" i="12"/>
  <c r="C525" i="12"/>
  <c r="B525" i="12"/>
  <c r="G525" i="12" s="1"/>
  <c r="A525" i="12"/>
  <c r="G524" i="12"/>
  <c r="F524" i="12"/>
  <c r="E524" i="12"/>
  <c r="D524" i="12"/>
  <c r="C524" i="12"/>
  <c r="B524" i="12"/>
  <c r="A524" i="12"/>
  <c r="G523" i="12"/>
  <c r="F523" i="12"/>
  <c r="E523" i="12"/>
  <c r="D523" i="12"/>
  <c r="C523" i="12"/>
  <c r="B523" i="12"/>
  <c r="A523" i="12"/>
  <c r="F522" i="12"/>
  <c r="E522" i="12"/>
  <c r="D522" i="12"/>
  <c r="C522" i="12"/>
  <c r="B522" i="12"/>
  <c r="G522" i="12" s="1"/>
  <c r="A522" i="12"/>
  <c r="F521" i="12"/>
  <c r="E521" i="12"/>
  <c r="D521" i="12"/>
  <c r="C521" i="12"/>
  <c r="B521" i="12"/>
  <c r="G521" i="12" s="1"/>
  <c r="A521" i="12"/>
  <c r="G520" i="12"/>
  <c r="F520" i="12"/>
  <c r="E520" i="12"/>
  <c r="D520" i="12"/>
  <c r="C520" i="12"/>
  <c r="B520" i="12"/>
  <c r="A520" i="12"/>
  <c r="G519" i="12"/>
  <c r="F519" i="12"/>
  <c r="E519" i="12"/>
  <c r="D519" i="12"/>
  <c r="C519" i="12"/>
  <c r="B519" i="12"/>
  <c r="A519" i="12"/>
  <c r="F518" i="12"/>
  <c r="E518" i="12"/>
  <c r="D518" i="12"/>
  <c r="C518" i="12"/>
  <c r="B518" i="12"/>
  <c r="G518" i="12" s="1"/>
  <c r="A518" i="12"/>
  <c r="F517" i="12"/>
  <c r="E517" i="12"/>
  <c r="D517" i="12"/>
  <c r="C517" i="12"/>
  <c r="B517" i="12"/>
  <c r="G517" i="12" s="1"/>
  <c r="A517" i="12"/>
  <c r="G516" i="12"/>
  <c r="F516" i="12"/>
  <c r="E516" i="12"/>
  <c r="D516" i="12"/>
  <c r="C516" i="12"/>
  <c r="B516" i="12"/>
  <c r="A516" i="12"/>
  <c r="G515" i="12"/>
  <c r="F515" i="12"/>
  <c r="E515" i="12"/>
  <c r="D515" i="12"/>
  <c r="C515" i="12"/>
  <c r="B515" i="12"/>
  <c r="A515" i="12"/>
  <c r="F514" i="12"/>
  <c r="E514" i="12"/>
  <c r="D514" i="12"/>
  <c r="C514" i="12"/>
  <c r="B514" i="12"/>
  <c r="G514" i="12" s="1"/>
  <c r="A514" i="12"/>
  <c r="F513" i="12"/>
  <c r="E513" i="12"/>
  <c r="D513" i="12"/>
  <c r="C513" i="12"/>
  <c r="B513" i="12"/>
  <c r="G513" i="12" s="1"/>
  <c r="A513" i="12"/>
  <c r="G512" i="12"/>
  <c r="F512" i="12"/>
  <c r="E512" i="12"/>
  <c r="D512" i="12"/>
  <c r="C512" i="12"/>
  <c r="B512" i="12"/>
  <c r="A512" i="12"/>
  <c r="G511" i="12"/>
  <c r="F511" i="12"/>
  <c r="E511" i="12"/>
  <c r="D511" i="12"/>
  <c r="C511" i="12"/>
  <c r="B511" i="12"/>
  <c r="A511" i="12"/>
  <c r="F510" i="12"/>
  <c r="E510" i="12"/>
  <c r="D510" i="12"/>
  <c r="C510" i="12"/>
  <c r="B510" i="12"/>
  <c r="G510" i="12" s="1"/>
  <c r="A510" i="12"/>
  <c r="F509" i="12"/>
  <c r="E509" i="12"/>
  <c r="D509" i="12"/>
  <c r="C509" i="12"/>
  <c r="B509" i="12"/>
  <c r="G509" i="12" s="1"/>
  <c r="A509" i="12"/>
  <c r="G508" i="12"/>
  <c r="F508" i="12"/>
  <c r="E508" i="12"/>
  <c r="D508" i="12"/>
  <c r="C508" i="12"/>
  <c r="B508" i="12"/>
  <c r="A508" i="12"/>
  <c r="G507" i="12"/>
  <c r="F507" i="12"/>
  <c r="E507" i="12"/>
  <c r="D507" i="12"/>
  <c r="C507" i="12"/>
  <c r="B507" i="12"/>
  <c r="A507" i="12"/>
  <c r="F506" i="12"/>
  <c r="E506" i="12"/>
  <c r="D506" i="12"/>
  <c r="C506" i="12"/>
  <c r="B506" i="12"/>
  <c r="G506" i="12" s="1"/>
  <c r="A506" i="12"/>
  <c r="F505" i="12"/>
  <c r="E505" i="12"/>
  <c r="D505" i="12"/>
  <c r="C505" i="12"/>
  <c r="B505" i="12"/>
  <c r="G505" i="12" s="1"/>
  <c r="A505" i="12"/>
  <c r="G504" i="12"/>
  <c r="F504" i="12"/>
  <c r="E504" i="12"/>
  <c r="D504" i="12"/>
  <c r="C504" i="12"/>
  <c r="B504" i="12"/>
  <c r="A504" i="12"/>
  <c r="F503" i="12"/>
  <c r="E503" i="12"/>
  <c r="D503" i="12"/>
  <c r="C503" i="12"/>
  <c r="B503" i="12"/>
  <c r="G503" i="12" s="1"/>
  <c r="A503" i="12"/>
  <c r="F502" i="12"/>
  <c r="E502" i="12"/>
  <c r="D502" i="12"/>
  <c r="C502" i="12"/>
  <c r="B502" i="12"/>
  <c r="A502" i="12"/>
  <c r="F501" i="12"/>
  <c r="E501" i="12"/>
  <c r="D501" i="12"/>
  <c r="C501" i="12"/>
  <c r="B501" i="12"/>
  <c r="G501" i="12" s="1"/>
  <c r="A501" i="12"/>
  <c r="G500" i="12"/>
  <c r="F500" i="12"/>
  <c r="E500" i="12"/>
  <c r="D500" i="12"/>
  <c r="C500" i="12"/>
  <c r="B500" i="12"/>
  <c r="A500" i="12"/>
  <c r="G499" i="12"/>
  <c r="F499" i="12"/>
  <c r="E499" i="12"/>
  <c r="D499" i="12"/>
  <c r="C499" i="12"/>
  <c r="B499" i="12"/>
  <c r="A499" i="12"/>
  <c r="F498" i="12"/>
  <c r="E498" i="12"/>
  <c r="D498" i="12"/>
  <c r="C498" i="12"/>
  <c r="B498" i="12"/>
  <c r="G498" i="12" s="1"/>
  <c r="A498" i="12"/>
  <c r="F497" i="12"/>
  <c r="E497" i="12"/>
  <c r="D497" i="12"/>
  <c r="C497" i="12"/>
  <c r="B497" i="12"/>
  <c r="G497" i="12" s="1"/>
  <c r="A497" i="12"/>
  <c r="G496" i="12"/>
  <c r="F496" i="12"/>
  <c r="E496" i="12"/>
  <c r="D496" i="12"/>
  <c r="C496" i="12"/>
  <c r="B496" i="12"/>
  <c r="A496" i="12"/>
  <c r="G495" i="12"/>
  <c r="F495" i="12"/>
  <c r="E495" i="12"/>
  <c r="D495" i="12"/>
  <c r="C495" i="12"/>
  <c r="B495" i="12"/>
  <c r="A495" i="12"/>
  <c r="F494" i="12"/>
  <c r="E494" i="12"/>
  <c r="D494" i="12"/>
  <c r="C494" i="12"/>
  <c r="B494" i="12"/>
  <c r="G494" i="12" s="1"/>
  <c r="A494" i="12"/>
  <c r="F493" i="12"/>
  <c r="E493" i="12"/>
  <c r="D493" i="12"/>
  <c r="C493" i="12"/>
  <c r="B493" i="12"/>
  <c r="G493" i="12" s="1"/>
  <c r="A493" i="12"/>
  <c r="G492" i="12"/>
  <c r="F492" i="12"/>
  <c r="E492" i="12"/>
  <c r="D492" i="12"/>
  <c r="C492" i="12"/>
  <c r="B492" i="12"/>
  <c r="A492" i="12"/>
  <c r="G491" i="12"/>
  <c r="F491" i="12"/>
  <c r="E491" i="12"/>
  <c r="D491" i="12"/>
  <c r="C491" i="12"/>
  <c r="B491" i="12"/>
  <c r="A491" i="12"/>
  <c r="F490" i="12"/>
  <c r="E490" i="12"/>
  <c r="D490" i="12"/>
  <c r="C490" i="12"/>
  <c r="B490" i="12"/>
  <c r="G490" i="12" s="1"/>
  <c r="A490" i="12"/>
  <c r="F489" i="12"/>
  <c r="E489" i="12"/>
  <c r="D489" i="12"/>
  <c r="C489" i="12"/>
  <c r="B489" i="12"/>
  <c r="G489" i="12" s="1"/>
  <c r="A489" i="12"/>
  <c r="G488" i="12"/>
  <c r="F488" i="12"/>
  <c r="E488" i="12"/>
  <c r="D488" i="12"/>
  <c r="C488" i="12"/>
  <c r="B488" i="12"/>
  <c r="A488" i="12"/>
  <c r="G487" i="12"/>
  <c r="F487" i="12"/>
  <c r="E487" i="12"/>
  <c r="D487" i="12"/>
  <c r="C487" i="12"/>
  <c r="B487" i="12"/>
  <c r="A487" i="12"/>
  <c r="F486" i="12"/>
  <c r="E486" i="12"/>
  <c r="D486" i="12"/>
  <c r="C486" i="12"/>
  <c r="B486" i="12"/>
  <c r="G486" i="12" s="1"/>
  <c r="A486" i="12"/>
  <c r="F485" i="12"/>
  <c r="E485" i="12"/>
  <c r="D485" i="12"/>
  <c r="C485" i="12"/>
  <c r="B485" i="12"/>
  <c r="G485" i="12" s="1"/>
  <c r="A485" i="12"/>
  <c r="G484" i="12"/>
  <c r="F484" i="12"/>
  <c r="E484" i="12"/>
  <c r="D484" i="12"/>
  <c r="C484" i="12"/>
  <c r="B484" i="12"/>
  <c r="A484" i="12"/>
  <c r="G483" i="12"/>
  <c r="F483" i="12"/>
  <c r="E483" i="12"/>
  <c r="D483" i="12"/>
  <c r="C483" i="12"/>
  <c r="B483" i="12"/>
  <c r="A483" i="12"/>
  <c r="F482" i="12"/>
  <c r="E482" i="12"/>
  <c r="D482" i="12"/>
  <c r="C482" i="12"/>
  <c r="B482" i="12"/>
  <c r="G482" i="12" s="1"/>
  <c r="A482" i="12"/>
  <c r="F481" i="12"/>
  <c r="E481" i="12"/>
  <c r="D481" i="12"/>
  <c r="C481" i="12"/>
  <c r="B481" i="12"/>
  <c r="G481" i="12" s="1"/>
  <c r="A481" i="12"/>
  <c r="G480" i="12"/>
  <c r="F480" i="12"/>
  <c r="E480" i="12"/>
  <c r="D480" i="12"/>
  <c r="C480" i="12"/>
  <c r="B480" i="12"/>
  <c r="A480" i="12"/>
  <c r="G479" i="12"/>
  <c r="F479" i="12"/>
  <c r="E479" i="12"/>
  <c r="D479" i="12"/>
  <c r="C479" i="12"/>
  <c r="B479" i="12"/>
  <c r="A479" i="12"/>
  <c r="F478" i="12"/>
  <c r="E478" i="12"/>
  <c r="D478" i="12"/>
  <c r="C478" i="12"/>
  <c r="B478" i="12"/>
  <c r="G478" i="12" s="1"/>
  <c r="A478" i="12"/>
  <c r="F477" i="12"/>
  <c r="E477" i="12"/>
  <c r="D477" i="12"/>
  <c r="C477" i="12"/>
  <c r="B477" i="12"/>
  <c r="G477" i="12" s="1"/>
  <c r="A477" i="12"/>
  <c r="G476" i="12"/>
  <c r="F476" i="12"/>
  <c r="E476" i="12"/>
  <c r="D476" i="12"/>
  <c r="C476" i="12"/>
  <c r="B476" i="12"/>
  <c r="A476" i="12"/>
  <c r="G475" i="12"/>
  <c r="F475" i="12"/>
  <c r="E475" i="12"/>
  <c r="D475" i="12"/>
  <c r="C475" i="12"/>
  <c r="B475" i="12"/>
  <c r="A475" i="12"/>
  <c r="F474" i="12"/>
  <c r="E474" i="12"/>
  <c r="D474" i="12"/>
  <c r="C474" i="12"/>
  <c r="B474" i="12"/>
  <c r="G474" i="12" s="1"/>
  <c r="A474" i="12"/>
  <c r="F473" i="12"/>
  <c r="E473" i="12"/>
  <c r="D473" i="12"/>
  <c r="C473" i="12"/>
  <c r="B473" i="12"/>
  <c r="G473" i="12" s="1"/>
  <c r="A473" i="12"/>
  <c r="G472" i="12"/>
  <c r="F472" i="12"/>
  <c r="E472" i="12"/>
  <c r="D472" i="12"/>
  <c r="C472" i="12"/>
  <c r="B472" i="12"/>
  <c r="A472" i="12"/>
  <c r="G471" i="12"/>
  <c r="F471" i="12"/>
  <c r="E471" i="12"/>
  <c r="D471" i="12"/>
  <c r="C471" i="12"/>
  <c r="B471" i="12"/>
  <c r="A471" i="12"/>
  <c r="F470" i="12"/>
  <c r="E470" i="12"/>
  <c r="D470" i="12"/>
  <c r="C470" i="12"/>
  <c r="B470" i="12"/>
  <c r="G470" i="12" s="1"/>
  <c r="A470" i="12"/>
  <c r="F469" i="12"/>
  <c r="E469" i="12"/>
  <c r="D469" i="12"/>
  <c r="C469" i="12"/>
  <c r="B469" i="12"/>
  <c r="G469" i="12" s="1"/>
  <c r="A469" i="12"/>
  <c r="G468" i="12"/>
  <c r="F468" i="12"/>
  <c r="E468" i="12"/>
  <c r="D468" i="12"/>
  <c r="C468" i="12"/>
  <c r="B468" i="12"/>
  <c r="A468" i="12"/>
  <c r="G467" i="12"/>
  <c r="F467" i="12"/>
  <c r="E467" i="12"/>
  <c r="D467" i="12"/>
  <c r="C467" i="12"/>
  <c r="B467" i="12"/>
  <c r="A467" i="12"/>
  <c r="F466" i="12"/>
  <c r="E466" i="12"/>
  <c r="D466" i="12"/>
  <c r="C466" i="12"/>
  <c r="B466" i="12"/>
  <c r="G466" i="12" s="1"/>
  <c r="A466" i="12"/>
  <c r="F465" i="12"/>
  <c r="E465" i="12"/>
  <c r="D465" i="12"/>
  <c r="C465" i="12"/>
  <c r="B465" i="12"/>
  <c r="G465" i="12" s="1"/>
  <c r="A465" i="12"/>
  <c r="G464" i="12"/>
  <c r="F464" i="12"/>
  <c r="E464" i="12"/>
  <c r="D464" i="12"/>
  <c r="C464" i="12"/>
  <c r="B464" i="12"/>
  <c r="A464" i="12"/>
  <c r="G463" i="12"/>
  <c r="F463" i="12"/>
  <c r="E463" i="12"/>
  <c r="D463" i="12"/>
  <c r="C463" i="12"/>
  <c r="B463" i="12"/>
  <c r="A463" i="12"/>
  <c r="F462" i="12"/>
  <c r="E462" i="12"/>
  <c r="D462" i="12"/>
  <c r="C462" i="12"/>
  <c r="B462" i="12"/>
  <c r="G462" i="12" s="1"/>
  <c r="A462" i="12"/>
  <c r="F461" i="12"/>
  <c r="E461" i="12"/>
  <c r="D461" i="12"/>
  <c r="C461" i="12"/>
  <c r="B461" i="12"/>
  <c r="G461" i="12" s="1"/>
  <c r="A461" i="12"/>
  <c r="G460" i="12"/>
  <c r="F460" i="12"/>
  <c r="E460" i="12"/>
  <c r="D460" i="12"/>
  <c r="C460" i="12"/>
  <c r="B460" i="12"/>
  <c r="A460" i="12"/>
  <c r="G459" i="12"/>
  <c r="F459" i="12"/>
  <c r="E459" i="12"/>
  <c r="D459" i="12"/>
  <c r="C459" i="12"/>
  <c r="B459" i="12"/>
  <c r="A459" i="12"/>
  <c r="F458" i="12"/>
  <c r="E458" i="12"/>
  <c r="D458" i="12"/>
  <c r="C458" i="12"/>
  <c r="B458" i="12"/>
  <c r="G458" i="12" s="1"/>
  <c r="A458" i="12"/>
  <c r="F457" i="12"/>
  <c r="E457" i="12"/>
  <c r="D457" i="12"/>
  <c r="C457" i="12"/>
  <c r="B457" i="12"/>
  <c r="G457" i="12" s="1"/>
  <c r="A457" i="12"/>
  <c r="G456" i="12"/>
  <c r="F456" i="12"/>
  <c r="E456" i="12"/>
  <c r="D456" i="12"/>
  <c r="C456" i="12"/>
  <c r="B456" i="12"/>
  <c r="A456" i="12"/>
  <c r="G455" i="12"/>
  <c r="F455" i="12"/>
  <c r="E455" i="12"/>
  <c r="D455" i="12"/>
  <c r="C455" i="12"/>
  <c r="B455" i="12"/>
  <c r="A455" i="12"/>
  <c r="F454" i="12"/>
  <c r="E454" i="12"/>
  <c r="D454" i="12"/>
  <c r="C454" i="12"/>
  <c r="B454" i="12"/>
  <c r="G454" i="12" s="1"/>
  <c r="A454" i="12"/>
  <c r="F453" i="12"/>
  <c r="E453" i="12"/>
  <c r="D453" i="12"/>
  <c r="C453" i="12"/>
  <c r="B453" i="12"/>
  <c r="G453" i="12" s="1"/>
  <c r="A453" i="12"/>
  <c r="G452" i="12"/>
  <c r="F452" i="12"/>
  <c r="E452" i="12"/>
  <c r="D452" i="12"/>
  <c r="C452" i="12"/>
  <c r="B452" i="12"/>
  <c r="A452" i="12"/>
  <c r="G451" i="12"/>
  <c r="F451" i="12"/>
  <c r="E451" i="12"/>
  <c r="D451" i="12"/>
  <c r="C451" i="12"/>
  <c r="B451" i="12"/>
  <c r="A451" i="12"/>
  <c r="F450" i="12"/>
  <c r="E450" i="12"/>
  <c r="D450" i="12"/>
  <c r="C450" i="12"/>
  <c r="B450" i="12"/>
  <c r="G450" i="12" s="1"/>
  <c r="A450" i="12"/>
  <c r="F449" i="12"/>
  <c r="E449" i="12"/>
  <c r="D449" i="12"/>
  <c r="C449" i="12"/>
  <c r="B449" i="12"/>
  <c r="G449" i="12" s="1"/>
  <c r="A449" i="12"/>
  <c r="G448" i="12"/>
  <c r="F448" i="12"/>
  <c r="E448" i="12"/>
  <c r="D448" i="12"/>
  <c r="C448" i="12"/>
  <c r="B448" i="12"/>
  <c r="A448" i="12"/>
  <c r="G447" i="12"/>
  <c r="F447" i="12"/>
  <c r="E447" i="12"/>
  <c r="D447" i="12"/>
  <c r="C447" i="12"/>
  <c r="B447" i="12"/>
  <c r="A447" i="12"/>
  <c r="F446" i="12"/>
  <c r="E446" i="12"/>
  <c r="D446" i="12"/>
  <c r="C446" i="12"/>
  <c r="B446" i="12"/>
  <c r="G446" i="12" s="1"/>
  <c r="A446" i="12"/>
  <c r="F445" i="12"/>
  <c r="E445" i="12"/>
  <c r="D445" i="12"/>
  <c r="C445" i="12"/>
  <c r="B445" i="12"/>
  <c r="G445" i="12" s="1"/>
  <c r="A445" i="12"/>
  <c r="G444" i="12"/>
  <c r="F444" i="12"/>
  <c r="E444" i="12"/>
  <c r="D444" i="12"/>
  <c r="C444" i="12"/>
  <c r="B444" i="12"/>
  <c r="A444" i="12"/>
  <c r="G443" i="12"/>
  <c r="F443" i="12"/>
  <c r="E443" i="12"/>
  <c r="D443" i="12"/>
  <c r="C443" i="12"/>
  <c r="B443" i="12"/>
  <c r="A443" i="12"/>
  <c r="F442" i="12"/>
  <c r="E442" i="12"/>
  <c r="D442" i="12"/>
  <c r="C442" i="12"/>
  <c r="B442" i="12"/>
  <c r="G442" i="12" s="1"/>
  <c r="A442" i="12"/>
  <c r="F441" i="12"/>
  <c r="E441" i="12"/>
  <c r="D441" i="12"/>
  <c r="C441" i="12"/>
  <c r="B441" i="12"/>
  <c r="G441" i="12" s="1"/>
  <c r="A441" i="12"/>
  <c r="G440" i="12"/>
  <c r="F440" i="12"/>
  <c r="E440" i="12"/>
  <c r="D440" i="12"/>
  <c r="C440" i="12"/>
  <c r="B440" i="12"/>
  <c r="A440" i="12"/>
  <c r="G439" i="12"/>
  <c r="F439" i="12"/>
  <c r="E439" i="12"/>
  <c r="D439" i="12"/>
  <c r="C439" i="12"/>
  <c r="B439" i="12"/>
  <c r="A439" i="12"/>
  <c r="F438" i="12"/>
  <c r="E438" i="12"/>
  <c r="D438" i="12"/>
  <c r="C438" i="12"/>
  <c r="B438" i="12"/>
  <c r="G438" i="12" s="1"/>
  <c r="A438" i="12"/>
  <c r="F437" i="12"/>
  <c r="E437" i="12"/>
  <c r="D437" i="12"/>
  <c r="C437" i="12"/>
  <c r="B437" i="12"/>
  <c r="G437" i="12" s="1"/>
  <c r="A437" i="12"/>
  <c r="G436" i="12"/>
  <c r="F436" i="12"/>
  <c r="E436" i="12"/>
  <c r="D436" i="12"/>
  <c r="C436" i="12"/>
  <c r="B436" i="12"/>
  <c r="A436" i="12"/>
  <c r="G435" i="12"/>
  <c r="F435" i="12"/>
  <c r="E435" i="12"/>
  <c r="D435" i="12"/>
  <c r="C435" i="12"/>
  <c r="B435" i="12"/>
  <c r="A435" i="12"/>
  <c r="F434" i="12"/>
  <c r="E434" i="12"/>
  <c r="D434" i="12"/>
  <c r="C434" i="12"/>
  <c r="B434" i="12"/>
  <c r="G434" i="12" s="1"/>
  <c r="A434" i="12"/>
  <c r="F433" i="12"/>
  <c r="E433" i="12"/>
  <c r="D433" i="12"/>
  <c r="C433" i="12"/>
  <c r="B433" i="12"/>
  <c r="G433" i="12" s="1"/>
  <c r="A433" i="12"/>
  <c r="G432" i="12"/>
  <c r="F432" i="12"/>
  <c r="E432" i="12"/>
  <c r="D432" i="12"/>
  <c r="C432" i="12"/>
  <c r="B432" i="12"/>
  <c r="A432" i="12"/>
  <c r="G431" i="12"/>
  <c r="F431" i="12"/>
  <c r="E431" i="12"/>
  <c r="D431" i="12"/>
  <c r="C431" i="12"/>
  <c r="B431" i="12"/>
  <c r="A431" i="12"/>
  <c r="F430" i="12"/>
  <c r="E430" i="12"/>
  <c r="D430" i="12"/>
  <c r="C430" i="12"/>
  <c r="B430" i="12"/>
  <c r="G430" i="12" s="1"/>
  <c r="A430" i="12"/>
  <c r="F429" i="12"/>
  <c r="E429" i="12"/>
  <c r="D429" i="12"/>
  <c r="C429" i="12"/>
  <c r="B429" i="12"/>
  <c r="G429" i="12" s="1"/>
  <c r="A429" i="12"/>
  <c r="G428" i="12"/>
  <c r="F428" i="12"/>
  <c r="E428" i="12"/>
  <c r="D428" i="12"/>
  <c r="C428" i="12"/>
  <c r="B428" i="12"/>
  <c r="A428" i="12"/>
  <c r="G427" i="12"/>
  <c r="F427" i="12"/>
  <c r="E427" i="12"/>
  <c r="D427" i="12"/>
  <c r="C427" i="12"/>
  <c r="B427" i="12"/>
  <c r="A427" i="12"/>
  <c r="F426" i="12"/>
  <c r="E426" i="12"/>
  <c r="D426" i="12"/>
  <c r="C426" i="12"/>
  <c r="B426" i="12"/>
  <c r="G426" i="12" s="1"/>
  <c r="A426" i="12"/>
  <c r="F425" i="12"/>
  <c r="E425" i="12"/>
  <c r="D425" i="12"/>
  <c r="C425" i="12"/>
  <c r="B425" i="12"/>
  <c r="G425" i="12" s="1"/>
  <c r="A425" i="12"/>
  <c r="G424" i="12"/>
  <c r="F424" i="12"/>
  <c r="E424" i="12"/>
  <c r="D424" i="12"/>
  <c r="C424" i="12"/>
  <c r="B424" i="12"/>
  <c r="A424" i="12"/>
  <c r="G423" i="12"/>
  <c r="F423" i="12"/>
  <c r="E423" i="12"/>
  <c r="D423" i="12"/>
  <c r="C423" i="12"/>
  <c r="B423" i="12"/>
  <c r="A423" i="12"/>
  <c r="F422" i="12"/>
  <c r="E422" i="12"/>
  <c r="D422" i="12"/>
  <c r="C422" i="12"/>
  <c r="B422" i="12"/>
  <c r="G422" i="12" s="1"/>
  <c r="A422" i="12"/>
  <c r="F421" i="12"/>
  <c r="E421" i="12"/>
  <c r="D421" i="12"/>
  <c r="C421" i="12"/>
  <c r="B421" i="12"/>
  <c r="G421" i="12" s="1"/>
  <c r="A421" i="12"/>
  <c r="G420" i="12"/>
  <c r="F420" i="12"/>
  <c r="E420" i="12"/>
  <c r="D420" i="12"/>
  <c r="C420" i="12"/>
  <c r="B420" i="12"/>
  <c r="A420" i="12"/>
  <c r="G419" i="12"/>
  <c r="F419" i="12"/>
  <c r="E419" i="12"/>
  <c r="D419" i="12"/>
  <c r="C419" i="12"/>
  <c r="B419" i="12"/>
  <c r="A419" i="12"/>
  <c r="F418" i="12"/>
  <c r="E418" i="12"/>
  <c r="D418" i="12"/>
  <c r="C418" i="12"/>
  <c r="B418" i="12"/>
  <c r="G418" i="12" s="1"/>
  <c r="A418" i="12"/>
  <c r="F417" i="12"/>
  <c r="E417" i="12"/>
  <c r="D417" i="12"/>
  <c r="C417" i="12"/>
  <c r="B417" i="12"/>
  <c r="G417" i="12" s="1"/>
  <c r="A417" i="12"/>
  <c r="G416" i="12"/>
  <c r="F416" i="12"/>
  <c r="E416" i="12"/>
  <c r="D416" i="12"/>
  <c r="C416" i="12"/>
  <c r="B416" i="12"/>
  <c r="A416" i="12"/>
  <c r="G415" i="12"/>
  <c r="F415" i="12"/>
  <c r="E415" i="12"/>
  <c r="D415" i="12"/>
  <c r="C415" i="12"/>
  <c r="B415" i="12"/>
  <c r="A415" i="12"/>
  <c r="F414" i="12"/>
  <c r="E414" i="12"/>
  <c r="D414" i="12"/>
  <c r="C414" i="12"/>
  <c r="B414" i="12"/>
  <c r="G414" i="12" s="1"/>
  <c r="A414" i="12"/>
  <c r="F413" i="12"/>
  <c r="E413" i="12"/>
  <c r="D413" i="12"/>
  <c r="C413" i="12"/>
  <c r="B413" i="12"/>
  <c r="G413" i="12" s="1"/>
  <c r="A413" i="12"/>
  <c r="G412" i="12"/>
  <c r="F412" i="12"/>
  <c r="E412" i="12"/>
  <c r="D412" i="12"/>
  <c r="C412" i="12"/>
  <c r="B412" i="12"/>
  <c r="A412" i="12"/>
  <c r="G411" i="12"/>
  <c r="F411" i="12"/>
  <c r="E411" i="12"/>
  <c r="D411" i="12"/>
  <c r="C411" i="12"/>
  <c r="B411" i="12"/>
  <c r="A411" i="12"/>
  <c r="F410" i="12"/>
  <c r="E410" i="12"/>
  <c r="D410" i="12"/>
  <c r="C410" i="12"/>
  <c r="B410" i="12"/>
  <c r="G410" i="12" s="1"/>
  <c r="A410" i="12"/>
  <c r="F409" i="12"/>
  <c r="E409" i="12"/>
  <c r="D409" i="12"/>
  <c r="C409" i="12"/>
  <c r="B409" i="12"/>
  <c r="G409" i="12" s="1"/>
  <c r="A409" i="12"/>
  <c r="G408" i="12"/>
  <c r="F408" i="12"/>
  <c r="E408" i="12"/>
  <c r="D408" i="12"/>
  <c r="C408" i="12"/>
  <c r="B408" i="12"/>
  <c r="A408" i="12"/>
  <c r="G407" i="12"/>
  <c r="F407" i="12"/>
  <c r="E407" i="12"/>
  <c r="D407" i="12"/>
  <c r="C407" i="12"/>
  <c r="B407" i="12"/>
  <c r="A407" i="12"/>
  <c r="F406" i="12"/>
  <c r="E406" i="12"/>
  <c r="D406" i="12"/>
  <c r="C406" i="12"/>
  <c r="B406" i="12"/>
  <c r="G406" i="12" s="1"/>
  <c r="A406" i="12"/>
  <c r="F405" i="12"/>
  <c r="E405" i="12"/>
  <c r="D405" i="12"/>
  <c r="C405" i="12"/>
  <c r="B405" i="12"/>
  <c r="G405" i="12" s="1"/>
  <c r="A405" i="12"/>
  <c r="G404" i="12"/>
  <c r="F404" i="12"/>
  <c r="E404" i="12"/>
  <c r="D404" i="12"/>
  <c r="C404" i="12"/>
  <c r="B404" i="12"/>
  <c r="A404" i="12"/>
  <c r="G403" i="12"/>
  <c r="F403" i="12"/>
  <c r="E403" i="12"/>
  <c r="D403" i="12"/>
  <c r="C403" i="12"/>
  <c r="B403" i="12"/>
  <c r="A403" i="12"/>
  <c r="F402" i="12"/>
  <c r="E402" i="12"/>
  <c r="D402" i="12"/>
  <c r="C402" i="12"/>
  <c r="B402" i="12"/>
  <c r="G402" i="12" s="1"/>
  <c r="A402" i="12"/>
  <c r="F401" i="12"/>
  <c r="E401" i="12"/>
  <c r="D401" i="12"/>
  <c r="C401" i="12"/>
  <c r="B401" i="12"/>
  <c r="G401" i="12" s="1"/>
  <c r="A401" i="12"/>
  <c r="G400" i="12"/>
  <c r="F400" i="12"/>
  <c r="E400" i="12"/>
  <c r="D400" i="12"/>
  <c r="C400" i="12"/>
  <c r="B400" i="12"/>
  <c r="A400" i="12"/>
  <c r="G399" i="12"/>
  <c r="F399" i="12"/>
  <c r="E399" i="12"/>
  <c r="D399" i="12"/>
  <c r="C399" i="12"/>
  <c r="B399" i="12"/>
  <c r="A399" i="12"/>
  <c r="F398" i="12"/>
  <c r="E398" i="12"/>
  <c r="D398" i="12"/>
  <c r="C398" i="12"/>
  <c r="B398" i="12"/>
  <c r="G398" i="12" s="1"/>
  <c r="A398" i="12"/>
  <c r="F397" i="12"/>
  <c r="E397" i="12"/>
  <c r="D397" i="12"/>
  <c r="C397" i="12"/>
  <c r="B397" i="12"/>
  <c r="G397" i="12" s="1"/>
  <c r="A397" i="12"/>
  <c r="G396" i="12"/>
  <c r="F396" i="12"/>
  <c r="E396" i="12"/>
  <c r="D396" i="12"/>
  <c r="C396" i="12"/>
  <c r="B396" i="12"/>
  <c r="A396" i="12"/>
  <c r="G395" i="12"/>
  <c r="F395" i="12"/>
  <c r="E395" i="12"/>
  <c r="D395" i="12"/>
  <c r="C395" i="12"/>
  <c r="B395" i="12"/>
  <c r="A395" i="12"/>
  <c r="F394" i="12"/>
  <c r="E394" i="12"/>
  <c r="D394" i="12"/>
  <c r="C394" i="12"/>
  <c r="B394" i="12"/>
  <c r="G394" i="12" s="1"/>
  <c r="A394" i="12"/>
  <c r="F393" i="12"/>
  <c r="E393" i="12"/>
  <c r="D393" i="12"/>
  <c r="C393" i="12"/>
  <c r="B393" i="12"/>
  <c r="G393" i="12" s="1"/>
  <c r="A393" i="12"/>
  <c r="G392" i="12"/>
  <c r="F392" i="12"/>
  <c r="E392" i="12"/>
  <c r="D392" i="12"/>
  <c r="C392" i="12"/>
  <c r="B392" i="12"/>
  <c r="A392" i="12"/>
  <c r="G391" i="12"/>
  <c r="F391" i="12"/>
  <c r="E391" i="12"/>
  <c r="D391" i="12"/>
  <c r="C391" i="12"/>
  <c r="B391" i="12"/>
  <c r="A391" i="12"/>
  <c r="F390" i="12"/>
  <c r="E390" i="12"/>
  <c r="D390" i="12"/>
  <c r="C390" i="12"/>
  <c r="B390" i="12"/>
  <c r="G390" i="12" s="1"/>
  <c r="A390" i="12"/>
  <c r="F389" i="12"/>
  <c r="E389" i="12"/>
  <c r="D389" i="12"/>
  <c r="C389" i="12"/>
  <c r="B389" i="12"/>
  <c r="G389" i="12" s="1"/>
  <c r="A389" i="12"/>
  <c r="G388" i="12"/>
  <c r="F388" i="12"/>
  <c r="E388" i="12"/>
  <c r="D388" i="12"/>
  <c r="C388" i="12"/>
  <c r="B388" i="12"/>
  <c r="A388" i="12"/>
  <c r="G387" i="12"/>
  <c r="F387" i="12"/>
  <c r="E387" i="12"/>
  <c r="D387" i="12"/>
  <c r="C387" i="12"/>
  <c r="B387" i="12"/>
  <c r="A387" i="12"/>
  <c r="F386" i="12"/>
  <c r="E386" i="12"/>
  <c r="D386" i="12"/>
  <c r="C386" i="12"/>
  <c r="B386" i="12"/>
  <c r="G386" i="12" s="1"/>
  <c r="A386" i="12"/>
  <c r="F385" i="12"/>
  <c r="E385" i="12"/>
  <c r="D385" i="12"/>
  <c r="C385" i="12"/>
  <c r="B385" i="12"/>
  <c r="G385" i="12" s="1"/>
  <c r="A385" i="12"/>
  <c r="G384" i="12"/>
  <c r="F384" i="12"/>
  <c r="E384" i="12"/>
  <c r="D384" i="12"/>
  <c r="C384" i="12"/>
  <c r="B384" i="12"/>
  <c r="A384" i="12"/>
  <c r="G383" i="12"/>
  <c r="F383" i="12"/>
  <c r="E383" i="12"/>
  <c r="D383" i="12"/>
  <c r="C383" i="12"/>
  <c r="B383" i="12"/>
  <c r="A383" i="12"/>
  <c r="F382" i="12"/>
  <c r="E382" i="12"/>
  <c r="D382" i="12"/>
  <c r="C382" i="12"/>
  <c r="B382" i="12"/>
  <c r="G382" i="12" s="1"/>
  <c r="A382" i="12"/>
  <c r="F381" i="12"/>
  <c r="E381" i="12"/>
  <c r="D381" i="12"/>
  <c r="C381" i="12"/>
  <c r="B381" i="12"/>
  <c r="G381" i="12" s="1"/>
  <c r="A381" i="12"/>
  <c r="G380" i="12"/>
  <c r="F380" i="12"/>
  <c r="E380" i="12"/>
  <c r="D380" i="12"/>
  <c r="C380" i="12"/>
  <c r="B380" i="12"/>
  <c r="A380" i="12"/>
  <c r="F379" i="12"/>
  <c r="E379" i="12"/>
  <c r="D379" i="12"/>
  <c r="C379" i="12"/>
  <c r="B379" i="12"/>
  <c r="G379" i="12" s="1"/>
  <c r="A379" i="12"/>
  <c r="F378" i="12"/>
  <c r="E378" i="12"/>
  <c r="D378" i="12"/>
  <c r="C378" i="12"/>
  <c r="B378" i="12"/>
  <c r="G378" i="12" s="1"/>
  <c r="A378" i="12"/>
  <c r="F377" i="12"/>
  <c r="E377" i="12"/>
  <c r="D377" i="12"/>
  <c r="C377" i="12"/>
  <c r="B377" i="12"/>
  <c r="G377" i="12" s="1"/>
  <c r="A377" i="12"/>
  <c r="G376" i="12"/>
  <c r="F376" i="12"/>
  <c r="E376" i="12"/>
  <c r="D376" i="12"/>
  <c r="C376" i="12"/>
  <c r="B376" i="12"/>
  <c r="A376" i="12"/>
  <c r="G375" i="12"/>
  <c r="F375" i="12"/>
  <c r="E375" i="12"/>
  <c r="D375" i="12"/>
  <c r="C375" i="12"/>
  <c r="B375" i="12"/>
  <c r="A375" i="12"/>
  <c r="F374" i="12"/>
  <c r="E374" i="12"/>
  <c r="D374" i="12"/>
  <c r="C374" i="12"/>
  <c r="B374" i="12"/>
  <c r="G374" i="12" s="1"/>
  <c r="A374" i="12"/>
  <c r="F373" i="12"/>
  <c r="E373" i="12"/>
  <c r="D373" i="12"/>
  <c r="C373" i="12"/>
  <c r="B373" i="12"/>
  <c r="G373" i="12" s="1"/>
  <c r="A373" i="12"/>
  <c r="G372" i="12"/>
  <c r="F372" i="12"/>
  <c r="E372" i="12"/>
  <c r="D372" i="12"/>
  <c r="C372" i="12"/>
  <c r="B372" i="12"/>
  <c r="A372" i="12"/>
  <c r="F371" i="12"/>
  <c r="E371" i="12"/>
  <c r="D371" i="12"/>
  <c r="C371" i="12"/>
  <c r="B371" i="12"/>
  <c r="G371" i="12" s="1"/>
  <c r="A371" i="12"/>
  <c r="F370" i="12"/>
  <c r="E370" i="12"/>
  <c r="D370" i="12"/>
  <c r="C370" i="12"/>
  <c r="B370" i="12"/>
  <c r="G370" i="12" s="1"/>
  <c r="A370" i="12"/>
  <c r="F369" i="12"/>
  <c r="E369" i="12"/>
  <c r="D369" i="12"/>
  <c r="C369" i="12"/>
  <c r="B369" i="12"/>
  <c r="G369" i="12" s="1"/>
  <c r="A369" i="12"/>
  <c r="G368" i="12"/>
  <c r="F368" i="12"/>
  <c r="E368" i="12"/>
  <c r="D368" i="12"/>
  <c r="C368" i="12"/>
  <c r="B368" i="12"/>
  <c r="A368" i="12"/>
  <c r="G367" i="12"/>
  <c r="F367" i="12"/>
  <c r="E367" i="12"/>
  <c r="D367" i="12"/>
  <c r="C367" i="12"/>
  <c r="B367" i="12"/>
  <c r="A367" i="12"/>
  <c r="F366" i="12"/>
  <c r="E366" i="12"/>
  <c r="D366" i="12"/>
  <c r="C366" i="12"/>
  <c r="B366" i="12"/>
  <c r="G366" i="12" s="1"/>
  <c r="A366" i="12"/>
  <c r="F365" i="12"/>
  <c r="E365" i="12"/>
  <c r="D365" i="12"/>
  <c r="C365" i="12"/>
  <c r="B365" i="12"/>
  <c r="G365" i="12" s="1"/>
  <c r="A365" i="12"/>
  <c r="G364" i="12"/>
  <c r="F364" i="12"/>
  <c r="E364" i="12"/>
  <c r="D364" i="12"/>
  <c r="C364" i="12"/>
  <c r="B364" i="12"/>
  <c r="A364" i="12"/>
  <c r="F363" i="12"/>
  <c r="E363" i="12"/>
  <c r="D363" i="12"/>
  <c r="C363" i="12"/>
  <c r="B363" i="12"/>
  <c r="G363" i="12" s="1"/>
  <c r="A363" i="12"/>
  <c r="F362" i="12"/>
  <c r="E362" i="12"/>
  <c r="D362" i="12"/>
  <c r="C362" i="12"/>
  <c r="B362" i="12"/>
  <c r="G362" i="12" s="1"/>
  <c r="A362" i="12"/>
  <c r="F361" i="12"/>
  <c r="E361" i="12"/>
  <c r="D361" i="12"/>
  <c r="C361" i="12"/>
  <c r="B361" i="12"/>
  <c r="G361" i="12" s="1"/>
  <c r="A361" i="12"/>
  <c r="G360" i="12"/>
  <c r="F360" i="12"/>
  <c r="E360" i="12"/>
  <c r="D360" i="12"/>
  <c r="C360" i="12"/>
  <c r="B360" i="12"/>
  <c r="A360" i="12"/>
  <c r="G359" i="12"/>
  <c r="F359" i="12"/>
  <c r="E359" i="12"/>
  <c r="D359" i="12"/>
  <c r="C359" i="12"/>
  <c r="B359" i="12"/>
  <c r="A359" i="12"/>
  <c r="F358" i="12"/>
  <c r="E358" i="12"/>
  <c r="D358" i="12"/>
  <c r="C358" i="12"/>
  <c r="B358" i="12"/>
  <c r="G358" i="12" s="1"/>
  <c r="A358" i="12"/>
  <c r="F357" i="12"/>
  <c r="E357" i="12"/>
  <c r="D357" i="12"/>
  <c r="C357" i="12"/>
  <c r="B357" i="12"/>
  <c r="G357" i="12" s="1"/>
  <c r="A357" i="12"/>
  <c r="G356" i="12"/>
  <c r="F356" i="12"/>
  <c r="E356" i="12"/>
  <c r="D356" i="12"/>
  <c r="C356" i="12"/>
  <c r="B356" i="12"/>
  <c r="A356" i="12"/>
  <c r="F355" i="12"/>
  <c r="E355" i="12"/>
  <c r="D355" i="12"/>
  <c r="C355" i="12"/>
  <c r="B355" i="12"/>
  <c r="G355" i="12" s="1"/>
  <c r="A355" i="12"/>
  <c r="F354" i="12"/>
  <c r="E354" i="12"/>
  <c r="D354" i="12"/>
  <c r="C354" i="12"/>
  <c r="B354" i="12"/>
  <c r="G354" i="12" s="1"/>
  <c r="A354" i="12"/>
  <c r="F353" i="12"/>
  <c r="E353" i="12"/>
  <c r="D353" i="12"/>
  <c r="C353" i="12"/>
  <c r="B353" i="12"/>
  <c r="G353" i="12" s="1"/>
  <c r="A353" i="12"/>
  <c r="G352" i="12"/>
  <c r="F352" i="12"/>
  <c r="E352" i="12"/>
  <c r="D352" i="12"/>
  <c r="C352" i="12"/>
  <c r="B352" i="12"/>
  <c r="A352" i="12"/>
  <c r="G351" i="12"/>
  <c r="F351" i="12"/>
  <c r="E351" i="12"/>
  <c r="D351" i="12"/>
  <c r="C351" i="12"/>
  <c r="B351" i="12"/>
  <c r="A351" i="12"/>
  <c r="F350" i="12"/>
  <c r="E350" i="12"/>
  <c r="D350" i="12"/>
  <c r="C350" i="12"/>
  <c r="B350" i="12"/>
  <c r="G350" i="12" s="1"/>
  <c r="A350" i="12"/>
  <c r="F349" i="12"/>
  <c r="E349" i="12"/>
  <c r="D349" i="12"/>
  <c r="C349" i="12"/>
  <c r="B349" i="12"/>
  <c r="G349" i="12" s="1"/>
  <c r="A349" i="12"/>
  <c r="G348" i="12"/>
  <c r="F348" i="12"/>
  <c r="E348" i="12"/>
  <c r="D348" i="12"/>
  <c r="C348" i="12"/>
  <c r="B348" i="12"/>
  <c r="A348" i="12"/>
  <c r="F347" i="12"/>
  <c r="E347" i="12"/>
  <c r="D347" i="12"/>
  <c r="C347" i="12"/>
  <c r="B347" i="12"/>
  <c r="G347" i="12" s="1"/>
  <c r="A347" i="12"/>
  <c r="F346" i="12"/>
  <c r="E346" i="12"/>
  <c r="D346" i="12"/>
  <c r="C346" i="12"/>
  <c r="B346" i="12"/>
  <c r="G346" i="12" s="1"/>
  <c r="A346" i="12"/>
  <c r="F345" i="12"/>
  <c r="E345" i="12"/>
  <c r="D345" i="12"/>
  <c r="C345" i="12"/>
  <c r="B345" i="12"/>
  <c r="G345" i="12" s="1"/>
  <c r="A345" i="12"/>
  <c r="G344" i="12"/>
  <c r="F344" i="12"/>
  <c r="E344" i="12"/>
  <c r="D344" i="12"/>
  <c r="C344" i="12"/>
  <c r="B344" i="12"/>
  <c r="A344" i="12"/>
  <c r="F343" i="12"/>
  <c r="E343" i="12"/>
  <c r="D343" i="12"/>
  <c r="C343" i="12"/>
  <c r="B343" i="12"/>
  <c r="G343" i="12" s="1"/>
  <c r="A343" i="12"/>
  <c r="F342" i="12"/>
  <c r="E342" i="12"/>
  <c r="D342" i="12"/>
  <c r="C342" i="12"/>
  <c r="B342" i="12"/>
  <c r="G342" i="12" s="1"/>
  <c r="A342" i="12"/>
  <c r="F341" i="12"/>
  <c r="E341" i="12"/>
  <c r="D341" i="12"/>
  <c r="C341" i="12"/>
  <c r="B341" i="12"/>
  <c r="G341" i="12" s="1"/>
  <c r="A341" i="12"/>
  <c r="G340" i="12"/>
  <c r="F340" i="12"/>
  <c r="E340" i="12"/>
  <c r="D340" i="12"/>
  <c r="C340" i="12"/>
  <c r="B340" i="12"/>
  <c r="A340" i="12"/>
  <c r="F339" i="12"/>
  <c r="E339" i="12"/>
  <c r="D339" i="12"/>
  <c r="C339" i="12"/>
  <c r="B339" i="12"/>
  <c r="G339" i="12" s="1"/>
  <c r="A339" i="12"/>
  <c r="G338" i="12"/>
  <c r="F338" i="12"/>
  <c r="E338" i="12"/>
  <c r="D338" i="12"/>
  <c r="C338" i="12"/>
  <c r="B338" i="12"/>
  <c r="A338" i="12"/>
  <c r="F337" i="12"/>
  <c r="E337" i="12"/>
  <c r="D337" i="12"/>
  <c r="C337" i="12"/>
  <c r="B337" i="12"/>
  <c r="G337" i="12" s="1"/>
  <c r="A337" i="12"/>
  <c r="G336" i="12"/>
  <c r="F336" i="12"/>
  <c r="E336" i="12"/>
  <c r="D336" i="12"/>
  <c r="C336" i="12"/>
  <c r="B336" i="12"/>
  <c r="A336" i="12"/>
  <c r="G335" i="12"/>
  <c r="F335" i="12"/>
  <c r="E335" i="12"/>
  <c r="D335" i="12"/>
  <c r="C335" i="12"/>
  <c r="B335" i="12"/>
  <c r="A335" i="12"/>
  <c r="F334" i="12"/>
  <c r="E334" i="12"/>
  <c r="D334" i="12"/>
  <c r="C334" i="12"/>
  <c r="B334" i="12"/>
  <c r="G334" i="12" s="1"/>
  <c r="A334" i="12"/>
  <c r="F333" i="12"/>
  <c r="E333" i="12"/>
  <c r="D333" i="12"/>
  <c r="C333" i="12"/>
  <c r="B333" i="12"/>
  <c r="G333" i="12" s="1"/>
  <c r="A333" i="12"/>
  <c r="G332" i="12"/>
  <c r="F332" i="12"/>
  <c r="E332" i="12"/>
  <c r="D332" i="12"/>
  <c r="C332" i="12"/>
  <c r="B332" i="12"/>
  <c r="A332" i="12"/>
  <c r="F331" i="12"/>
  <c r="E331" i="12"/>
  <c r="D331" i="12"/>
  <c r="C331" i="12"/>
  <c r="B331" i="12"/>
  <c r="G331" i="12" s="1"/>
  <c r="A331" i="12"/>
  <c r="F330" i="12"/>
  <c r="E330" i="12"/>
  <c r="D330" i="12"/>
  <c r="C330" i="12"/>
  <c r="B330" i="12"/>
  <c r="G330" i="12" s="1"/>
  <c r="A330" i="12"/>
  <c r="F329" i="12"/>
  <c r="E329" i="12"/>
  <c r="D329" i="12"/>
  <c r="C329" i="12"/>
  <c r="B329" i="12"/>
  <c r="G329" i="12" s="1"/>
  <c r="A329" i="12"/>
  <c r="G328" i="12"/>
  <c r="F328" i="12"/>
  <c r="E328" i="12"/>
  <c r="D328" i="12"/>
  <c r="C328" i="12"/>
  <c r="B328" i="12"/>
  <c r="A328" i="12"/>
  <c r="F327" i="12"/>
  <c r="E327" i="12"/>
  <c r="D327" i="12"/>
  <c r="C327" i="12"/>
  <c r="B327" i="12"/>
  <c r="G327" i="12" s="1"/>
  <c r="A327" i="12"/>
  <c r="F326" i="12"/>
  <c r="E326" i="12"/>
  <c r="D326" i="12"/>
  <c r="C326" i="12"/>
  <c r="B326" i="12"/>
  <c r="G326" i="12" s="1"/>
  <c r="A326" i="12"/>
  <c r="F325" i="12"/>
  <c r="E325" i="12"/>
  <c r="D325" i="12"/>
  <c r="C325" i="12"/>
  <c r="B325" i="12"/>
  <c r="G325" i="12" s="1"/>
  <c r="A325" i="12"/>
  <c r="G324" i="12"/>
  <c r="F324" i="12"/>
  <c r="E324" i="12"/>
  <c r="D324" i="12"/>
  <c r="C324" i="12"/>
  <c r="B324" i="12"/>
  <c r="A324" i="12"/>
  <c r="F323" i="12"/>
  <c r="E323" i="12"/>
  <c r="D323" i="12"/>
  <c r="C323" i="12"/>
  <c r="B323" i="12"/>
  <c r="G323" i="12" s="1"/>
  <c r="A323" i="12"/>
  <c r="G322" i="12"/>
  <c r="F322" i="12"/>
  <c r="E322" i="12"/>
  <c r="D322" i="12"/>
  <c r="C322" i="12"/>
  <c r="B322" i="12"/>
  <c r="A322" i="12"/>
  <c r="F321" i="12"/>
  <c r="E321" i="12"/>
  <c r="D321" i="12"/>
  <c r="C321" i="12"/>
  <c r="B321" i="12"/>
  <c r="G321" i="12" s="1"/>
  <c r="A321" i="12"/>
  <c r="G320" i="12"/>
  <c r="F320" i="12"/>
  <c r="E320" i="12"/>
  <c r="D320" i="12"/>
  <c r="C320" i="12"/>
  <c r="B320" i="12"/>
  <c r="A320" i="12"/>
  <c r="G319" i="12"/>
  <c r="F319" i="12"/>
  <c r="E319" i="12"/>
  <c r="D319" i="12"/>
  <c r="C319" i="12"/>
  <c r="B319" i="12"/>
  <c r="A319" i="12"/>
  <c r="F318" i="12"/>
  <c r="E318" i="12"/>
  <c r="D318" i="12"/>
  <c r="C318" i="12"/>
  <c r="B318" i="12"/>
  <c r="G318" i="12" s="1"/>
  <c r="A318" i="12"/>
  <c r="F317" i="12"/>
  <c r="E317" i="12"/>
  <c r="D317" i="12"/>
  <c r="C317" i="12"/>
  <c r="B317" i="12"/>
  <c r="G317" i="12" s="1"/>
  <c r="A317" i="12"/>
  <c r="G316" i="12"/>
  <c r="F316" i="12"/>
  <c r="E316" i="12"/>
  <c r="D316" i="12"/>
  <c r="C316" i="12"/>
  <c r="B316" i="12"/>
  <c r="A316" i="12"/>
  <c r="F315" i="12"/>
  <c r="E315" i="12"/>
  <c r="D315" i="12"/>
  <c r="C315" i="12"/>
  <c r="B315" i="12"/>
  <c r="G315" i="12" s="1"/>
  <c r="A315" i="12"/>
  <c r="F314" i="12"/>
  <c r="E314" i="12"/>
  <c r="D314" i="12"/>
  <c r="C314" i="12"/>
  <c r="B314" i="12"/>
  <c r="G314" i="12" s="1"/>
  <c r="A314" i="12"/>
  <c r="F313" i="12"/>
  <c r="E313" i="12"/>
  <c r="D313" i="12"/>
  <c r="C313" i="12"/>
  <c r="B313" i="12"/>
  <c r="G313" i="12" s="1"/>
  <c r="A313" i="12"/>
  <c r="G312" i="12"/>
  <c r="F312" i="12"/>
  <c r="E312" i="12"/>
  <c r="D312" i="12"/>
  <c r="C312" i="12"/>
  <c r="B312" i="12"/>
  <c r="A312" i="12"/>
  <c r="F311" i="12"/>
  <c r="E311" i="12"/>
  <c r="D311" i="12"/>
  <c r="C311" i="12"/>
  <c r="B311" i="12"/>
  <c r="G311" i="12" s="1"/>
  <c r="A311" i="12"/>
  <c r="F310" i="12"/>
  <c r="E310" i="12"/>
  <c r="D310" i="12"/>
  <c r="C310" i="12"/>
  <c r="B310" i="12"/>
  <c r="G310" i="12" s="1"/>
  <c r="A310" i="12"/>
  <c r="F309" i="12"/>
  <c r="E309" i="12"/>
  <c r="D309" i="12"/>
  <c r="C309" i="12"/>
  <c r="B309" i="12"/>
  <c r="G309" i="12" s="1"/>
  <c r="A309" i="12"/>
  <c r="G308" i="12"/>
  <c r="F308" i="12"/>
  <c r="E308" i="12"/>
  <c r="D308" i="12"/>
  <c r="C308" i="12"/>
  <c r="B308" i="12"/>
  <c r="A308" i="12"/>
  <c r="F307" i="12"/>
  <c r="E307" i="12"/>
  <c r="D307" i="12"/>
  <c r="C307" i="12"/>
  <c r="B307" i="12"/>
  <c r="G307" i="12" s="1"/>
  <c r="A307" i="12"/>
  <c r="G306" i="12"/>
  <c r="F306" i="12"/>
  <c r="E306" i="12"/>
  <c r="D306" i="12"/>
  <c r="C306" i="12"/>
  <c r="B306" i="12"/>
  <c r="A306" i="12"/>
  <c r="F305" i="12"/>
  <c r="E305" i="12"/>
  <c r="D305" i="12"/>
  <c r="C305" i="12"/>
  <c r="B305" i="12"/>
  <c r="G305" i="12" s="1"/>
  <c r="A305" i="12"/>
  <c r="G304" i="12"/>
  <c r="F304" i="12"/>
  <c r="E304" i="12"/>
  <c r="D304" i="12"/>
  <c r="C304" i="12"/>
  <c r="B304" i="12"/>
  <c r="A304" i="12"/>
  <c r="G303" i="12"/>
  <c r="F303" i="12"/>
  <c r="E303" i="12"/>
  <c r="D303" i="12"/>
  <c r="C303" i="12"/>
  <c r="B303" i="12"/>
  <c r="A303" i="12"/>
  <c r="F302" i="12"/>
  <c r="E302" i="12"/>
  <c r="D302" i="12"/>
  <c r="C302" i="12"/>
  <c r="B302" i="12"/>
  <c r="G302" i="12" s="1"/>
  <c r="A302" i="12"/>
  <c r="F301" i="12"/>
  <c r="E301" i="12"/>
  <c r="D301" i="12"/>
  <c r="C301" i="12"/>
  <c r="B301" i="12"/>
  <c r="G301" i="12" s="1"/>
  <c r="A301" i="12"/>
  <c r="G300" i="12"/>
  <c r="F300" i="12"/>
  <c r="E300" i="12"/>
  <c r="D300" i="12"/>
  <c r="C300" i="12"/>
  <c r="B300" i="12"/>
  <c r="A300" i="12"/>
  <c r="F299" i="12"/>
  <c r="E299" i="12"/>
  <c r="D299" i="12"/>
  <c r="C299" i="12"/>
  <c r="B299" i="12"/>
  <c r="G299" i="12" s="1"/>
  <c r="A299" i="12"/>
  <c r="F298" i="12"/>
  <c r="E298" i="12"/>
  <c r="D298" i="12"/>
  <c r="C298" i="12"/>
  <c r="B298" i="12"/>
  <c r="G298" i="12" s="1"/>
  <c r="A298" i="12"/>
  <c r="F297" i="12"/>
  <c r="E297" i="12"/>
  <c r="D297" i="12"/>
  <c r="C297" i="12"/>
  <c r="B297" i="12"/>
  <c r="G297" i="12" s="1"/>
  <c r="A297" i="12"/>
  <c r="G296" i="12"/>
  <c r="F296" i="12"/>
  <c r="E296" i="12"/>
  <c r="D296" i="12"/>
  <c r="C296" i="12"/>
  <c r="B296" i="12"/>
  <c r="A296" i="12"/>
  <c r="F295" i="12"/>
  <c r="E295" i="12"/>
  <c r="D295" i="12"/>
  <c r="C295" i="12"/>
  <c r="B295" i="12"/>
  <c r="G295" i="12" s="1"/>
  <c r="A295" i="12"/>
  <c r="F294" i="12"/>
  <c r="E294" i="12"/>
  <c r="D294" i="12"/>
  <c r="C294" i="12"/>
  <c r="B294" i="12"/>
  <c r="G294" i="12" s="1"/>
  <c r="A294" i="12"/>
  <c r="F293" i="12"/>
  <c r="E293" i="12"/>
  <c r="D293" i="12"/>
  <c r="C293" i="12"/>
  <c r="B293" i="12"/>
  <c r="G293" i="12" s="1"/>
  <c r="A293" i="12"/>
  <c r="G292" i="12"/>
  <c r="F292" i="12"/>
  <c r="E292" i="12"/>
  <c r="D292" i="12"/>
  <c r="C292" i="12"/>
  <c r="B292" i="12"/>
  <c r="A292" i="12"/>
  <c r="F291" i="12"/>
  <c r="E291" i="12"/>
  <c r="D291" i="12"/>
  <c r="C291" i="12"/>
  <c r="B291" i="12"/>
  <c r="G291" i="12" s="1"/>
  <c r="A291" i="12"/>
  <c r="G290" i="12"/>
  <c r="F290" i="12"/>
  <c r="E290" i="12"/>
  <c r="D290" i="12"/>
  <c r="C290" i="12"/>
  <c r="B290" i="12"/>
  <c r="A290" i="12"/>
  <c r="F289" i="12"/>
  <c r="E289" i="12"/>
  <c r="D289" i="12"/>
  <c r="C289" i="12"/>
  <c r="B289" i="12"/>
  <c r="G289" i="12" s="1"/>
  <c r="A289" i="12"/>
  <c r="G288" i="12"/>
  <c r="F288" i="12"/>
  <c r="E288" i="12"/>
  <c r="D288" i="12"/>
  <c r="C288" i="12"/>
  <c r="B288" i="12"/>
  <c r="A288" i="12"/>
  <c r="G287" i="12"/>
  <c r="F287" i="12"/>
  <c r="E287" i="12"/>
  <c r="D287" i="12"/>
  <c r="C287" i="12"/>
  <c r="B287" i="12"/>
  <c r="A287" i="12"/>
  <c r="F286" i="12"/>
  <c r="E286" i="12"/>
  <c r="D286" i="12"/>
  <c r="C286" i="12"/>
  <c r="B286" i="12"/>
  <c r="G286" i="12" s="1"/>
  <c r="A286" i="12"/>
  <c r="F285" i="12"/>
  <c r="E285" i="12"/>
  <c r="D285" i="12"/>
  <c r="C285" i="12"/>
  <c r="B285" i="12"/>
  <c r="G285" i="12" s="1"/>
  <c r="A285" i="12"/>
  <c r="G284" i="12"/>
  <c r="F284" i="12"/>
  <c r="E284" i="12"/>
  <c r="D284" i="12"/>
  <c r="C284" i="12"/>
  <c r="B284" i="12"/>
  <c r="A284" i="12"/>
  <c r="F283" i="12"/>
  <c r="E283" i="12"/>
  <c r="D283" i="12"/>
  <c r="C283" i="12"/>
  <c r="B283" i="12"/>
  <c r="G283" i="12" s="1"/>
  <c r="A283" i="12"/>
  <c r="F282" i="12"/>
  <c r="E282" i="12"/>
  <c r="D282" i="12"/>
  <c r="C282" i="12"/>
  <c r="B282" i="12"/>
  <c r="G282" i="12" s="1"/>
  <c r="A282" i="12"/>
  <c r="F281" i="12"/>
  <c r="E281" i="12"/>
  <c r="D281" i="12"/>
  <c r="C281" i="12"/>
  <c r="B281" i="12"/>
  <c r="G281" i="12" s="1"/>
  <c r="A281" i="12"/>
  <c r="G280" i="12"/>
  <c r="F280" i="12"/>
  <c r="E280" i="12"/>
  <c r="D280" i="12"/>
  <c r="C280" i="12"/>
  <c r="B280" i="12"/>
  <c r="A280" i="12"/>
  <c r="F279" i="12"/>
  <c r="E279" i="12"/>
  <c r="D279" i="12"/>
  <c r="C279" i="12"/>
  <c r="B279" i="12"/>
  <c r="G279" i="12" s="1"/>
  <c r="A279" i="12"/>
  <c r="F278" i="12"/>
  <c r="E278" i="12"/>
  <c r="D278" i="12"/>
  <c r="C278" i="12"/>
  <c r="B278" i="12"/>
  <c r="G278" i="12" s="1"/>
  <c r="A278" i="12"/>
  <c r="F277" i="12"/>
  <c r="E277" i="12"/>
  <c r="D277" i="12"/>
  <c r="C277" i="12"/>
  <c r="B277" i="12"/>
  <c r="G277" i="12" s="1"/>
  <c r="A277" i="12"/>
  <c r="G276" i="12"/>
  <c r="F276" i="12"/>
  <c r="E276" i="12"/>
  <c r="D276" i="12"/>
  <c r="C276" i="12"/>
  <c r="B276" i="12"/>
  <c r="A276" i="12"/>
  <c r="F275" i="12"/>
  <c r="E275" i="12"/>
  <c r="D275" i="12"/>
  <c r="C275" i="12"/>
  <c r="B275" i="12"/>
  <c r="G275" i="12" s="1"/>
  <c r="A275" i="12"/>
  <c r="G274" i="12"/>
  <c r="F274" i="12"/>
  <c r="E274" i="12"/>
  <c r="D274" i="12"/>
  <c r="C274" i="12"/>
  <c r="B274" i="12"/>
  <c r="A274" i="12"/>
  <c r="F273" i="12"/>
  <c r="E273" i="12"/>
  <c r="D273" i="12"/>
  <c r="C273" i="12"/>
  <c r="B273" i="12"/>
  <c r="G273" i="12" s="1"/>
  <c r="A273" i="12"/>
  <c r="G272" i="12"/>
  <c r="F272" i="12"/>
  <c r="E272" i="12"/>
  <c r="D272" i="12"/>
  <c r="C272" i="12"/>
  <c r="B272" i="12"/>
  <c r="A272" i="12"/>
  <c r="G271" i="12"/>
  <c r="F271" i="12"/>
  <c r="E271" i="12"/>
  <c r="D271" i="12"/>
  <c r="C271" i="12"/>
  <c r="B271" i="12"/>
  <c r="A271" i="12"/>
  <c r="F270" i="12"/>
  <c r="E270" i="12"/>
  <c r="D270" i="12"/>
  <c r="C270" i="12"/>
  <c r="B270" i="12"/>
  <c r="G270" i="12" s="1"/>
  <c r="A270" i="12"/>
  <c r="F269" i="12"/>
  <c r="E269" i="12"/>
  <c r="D269" i="12"/>
  <c r="C269" i="12"/>
  <c r="B269" i="12"/>
  <c r="G269" i="12" s="1"/>
  <c r="A269" i="12"/>
  <c r="G268" i="12"/>
  <c r="F268" i="12"/>
  <c r="E268" i="12"/>
  <c r="D268" i="12"/>
  <c r="C268" i="12"/>
  <c r="B268" i="12"/>
  <c r="A268" i="12"/>
  <c r="F267" i="12"/>
  <c r="E267" i="12"/>
  <c r="D267" i="12"/>
  <c r="C267" i="12"/>
  <c r="B267" i="12"/>
  <c r="G267" i="12" s="1"/>
  <c r="A267" i="12"/>
  <c r="F266" i="12"/>
  <c r="E266" i="12"/>
  <c r="D266" i="12"/>
  <c r="C266" i="12"/>
  <c r="B266" i="12"/>
  <c r="G266" i="12" s="1"/>
  <c r="A266" i="12"/>
  <c r="F265" i="12"/>
  <c r="E265" i="12"/>
  <c r="D265" i="12"/>
  <c r="C265" i="12"/>
  <c r="B265" i="12"/>
  <c r="G265" i="12" s="1"/>
  <c r="A265" i="12"/>
  <c r="G264" i="12"/>
  <c r="F264" i="12"/>
  <c r="E264" i="12"/>
  <c r="D264" i="12"/>
  <c r="C264" i="12"/>
  <c r="B264" i="12"/>
  <c r="A264" i="12"/>
  <c r="F263" i="12"/>
  <c r="E263" i="12"/>
  <c r="D263" i="12"/>
  <c r="C263" i="12"/>
  <c r="B263" i="12"/>
  <c r="G263" i="12" s="1"/>
  <c r="A263" i="12"/>
  <c r="F262" i="12"/>
  <c r="E262" i="12"/>
  <c r="D262" i="12"/>
  <c r="C262" i="12"/>
  <c r="B262" i="12"/>
  <c r="G262" i="12" s="1"/>
  <c r="A262" i="12"/>
  <c r="F261" i="12"/>
  <c r="E261" i="12"/>
  <c r="D261" i="12"/>
  <c r="C261" i="12"/>
  <c r="B261" i="12"/>
  <c r="G261" i="12" s="1"/>
  <c r="A261" i="12"/>
  <c r="G260" i="12"/>
  <c r="F260" i="12"/>
  <c r="E260" i="12"/>
  <c r="D260" i="12"/>
  <c r="C260" i="12"/>
  <c r="B260" i="12"/>
  <c r="A260" i="12"/>
  <c r="F259" i="12"/>
  <c r="E259" i="12"/>
  <c r="D259" i="12"/>
  <c r="C259" i="12"/>
  <c r="B259" i="12"/>
  <c r="G259" i="12" s="1"/>
  <c r="A259" i="12"/>
  <c r="G258" i="12"/>
  <c r="F258" i="12"/>
  <c r="E258" i="12"/>
  <c r="D258" i="12"/>
  <c r="C258" i="12"/>
  <c r="B258" i="12"/>
  <c r="A258" i="12"/>
  <c r="F257" i="12"/>
  <c r="E257" i="12"/>
  <c r="D257" i="12"/>
  <c r="C257" i="12"/>
  <c r="B257" i="12"/>
  <c r="G257" i="12" s="1"/>
  <c r="A257" i="12"/>
  <c r="G256" i="12"/>
  <c r="F256" i="12"/>
  <c r="E256" i="12"/>
  <c r="D256" i="12"/>
  <c r="C256" i="12"/>
  <c r="B256" i="12"/>
  <c r="A256" i="12"/>
  <c r="G255" i="12"/>
  <c r="F255" i="12"/>
  <c r="E255" i="12"/>
  <c r="D255" i="12"/>
  <c r="C255" i="12"/>
  <c r="B255" i="12"/>
  <c r="A255" i="12"/>
  <c r="F254" i="12"/>
  <c r="E254" i="12"/>
  <c r="D254" i="12"/>
  <c r="C254" i="12"/>
  <c r="B254" i="12"/>
  <c r="G254" i="12" s="1"/>
  <c r="A254" i="12"/>
  <c r="F253" i="12"/>
  <c r="E253" i="12"/>
  <c r="D253" i="12"/>
  <c r="C253" i="12"/>
  <c r="B253" i="12"/>
  <c r="G253" i="12" s="1"/>
  <c r="A253" i="12"/>
  <c r="G252" i="12"/>
  <c r="F252" i="12"/>
  <c r="E252" i="12"/>
  <c r="D252" i="12"/>
  <c r="C252" i="12"/>
  <c r="B252" i="12"/>
  <c r="A252" i="12"/>
  <c r="F251" i="12"/>
  <c r="E251" i="12"/>
  <c r="D251" i="12"/>
  <c r="C251" i="12"/>
  <c r="B251" i="12"/>
  <c r="G251" i="12" s="1"/>
  <c r="A251" i="12"/>
  <c r="F250" i="12"/>
  <c r="E250" i="12"/>
  <c r="D250" i="12"/>
  <c r="C250" i="12"/>
  <c r="B250" i="12"/>
  <c r="G250" i="12" s="1"/>
  <c r="A250" i="12"/>
  <c r="F249" i="12"/>
  <c r="E249" i="12"/>
  <c r="D249" i="12"/>
  <c r="C249" i="12"/>
  <c r="B249" i="12"/>
  <c r="G249" i="12" s="1"/>
  <c r="A249" i="12"/>
  <c r="G248" i="12"/>
  <c r="F248" i="12"/>
  <c r="E248" i="12"/>
  <c r="D248" i="12"/>
  <c r="C248" i="12"/>
  <c r="B248" i="12"/>
  <c r="A248" i="12"/>
  <c r="F247" i="12"/>
  <c r="E247" i="12"/>
  <c r="D247" i="12"/>
  <c r="C247" i="12"/>
  <c r="B247" i="12"/>
  <c r="G247" i="12" s="1"/>
  <c r="A247" i="12"/>
  <c r="F246" i="12"/>
  <c r="E246" i="12"/>
  <c r="D246" i="12"/>
  <c r="C246" i="12"/>
  <c r="B246" i="12"/>
  <c r="G246" i="12" s="1"/>
  <c r="A246" i="12"/>
  <c r="F245" i="12"/>
  <c r="E245" i="12"/>
  <c r="D245" i="12"/>
  <c r="C245" i="12"/>
  <c r="B245" i="12"/>
  <c r="G245" i="12" s="1"/>
  <c r="A245" i="12"/>
  <c r="G244" i="12"/>
  <c r="F244" i="12"/>
  <c r="E244" i="12"/>
  <c r="D244" i="12"/>
  <c r="C244" i="12"/>
  <c r="B244" i="12"/>
  <c r="A244" i="12"/>
  <c r="F243" i="12"/>
  <c r="E243" i="12"/>
  <c r="D243" i="12"/>
  <c r="C243" i="12"/>
  <c r="B243" i="12"/>
  <c r="G243" i="12" s="1"/>
  <c r="A243" i="12"/>
  <c r="G242" i="12"/>
  <c r="F242" i="12"/>
  <c r="E242" i="12"/>
  <c r="D242" i="12"/>
  <c r="C242" i="12"/>
  <c r="B242" i="12"/>
  <c r="A242" i="12"/>
  <c r="F241" i="12"/>
  <c r="E241" i="12"/>
  <c r="D241" i="12"/>
  <c r="C241" i="12"/>
  <c r="B241" i="12"/>
  <c r="G241" i="12" s="1"/>
  <c r="A241" i="12"/>
  <c r="G240" i="12"/>
  <c r="F240" i="12"/>
  <c r="E240" i="12"/>
  <c r="D240" i="12"/>
  <c r="C240" i="12"/>
  <c r="B240" i="12"/>
  <c r="A240" i="12"/>
  <c r="G239" i="12"/>
  <c r="F239" i="12"/>
  <c r="E239" i="12"/>
  <c r="D239" i="12"/>
  <c r="C239" i="12"/>
  <c r="B239" i="12"/>
  <c r="A239" i="12"/>
  <c r="F238" i="12"/>
  <c r="E238" i="12"/>
  <c r="D238" i="12"/>
  <c r="C238" i="12"/>
  <c r="B238" i="12"/>
  <c r="G238" i="12" s="1"/>
  <c r="A238" i="12"/>
  <c r="F237" i="12"/>
  <c r="E237" i="12"/>
  <c r="D237" i="12"/>
  <c r="C237" i="12"/>
  <c r="B237" i="12"/>
  <c r="G237" i="12" s="1"/>
  <c r="A237" i="12"/>
  <c r="G236" i="12"/>
  <c r="F236" i="12"/>
  <c r="E236" i="12"/>
  <c r="D236" i="12"/>
  <c r="C236" i="12"/>
  <c r="B236" i="12"/>
  <c r="A236" i="12"/>
  <c r="F235" i="12"/>
  <c r="E235" i="12"/>
  <c r="D235" i="12"/>
  <c r="C235" i="12"/>
  <c r="B235" i="12"/>
  <c r="G235" i="12" s="1"/>
  <c r="A235" i="12"/>
  <c r="F234" i="12"/>
  <c r="E234" i="12"/>
  <c r="D234" i="12"/>
  <c r="C234" i="12"/>
  <c r="B234" i="12"/>
  <c r="G234" i="12" s="1"/>
  <c r="A234" i="12"/>
  <c r="F233" i="12"/>
  <c r="E233" i="12"/>
  <c r="D233" i="12"/>
  <c r="C233" i="12"/>
  <c r="B233" i="12"/>
  <c r="G233" i="12" s="1"/>
  <c r="A233" i="12"/>
  <c r="G232" i="12"/>
  <c r="F232" i="12"/>
  <c r="E232" i="12"/>
  <c r="D232" i="12"/>
  <c r="C232" i="12"/>
  <c r="B232" i="12"/>
  <c r="A232" i="12"/>
  <c r="F231" i="12"/>
  <c r="E231" i="12"/>
  <c r="D231" i="12"/>
  <c r="C231" i="12"/>
  <c r="B231" i="12"/>
  <c r="G231" i="12" s="1"/>
  <c r="A231" i="12"/>
  <c r="F230" i="12"/>
  <c r="E230" i="12"/>
  <c r="D230" i="12"/>
  <c r="C230" i="12"/>
  <c r="B230" i="12"/>
  <c r="G230" i="12" s="1"/>
  <c r="A230" i="12"/>
  <c r="F229" i="12"/>
  <c r="E229" i="12"/>
  <c r="D229" i="12"/>
  <c r="C229" i="12"/>
  <c r="B229" i="12"/>
  <c r="G229" i="12" s="1"/>
  <c r="A229" i="12"/>
  <c r="G228" i="12"/>
  <c r="F228" i="12"/>
  <c r="E228" i="12"/>
  <c r="D228" i="12"/>
  <c r="C228" i="12"/>
  <c r="B228" i="12"/>
  <c r="A228" i="12"/>
  <c r="F227" i="12"/>
  <c r="E227" i="12"/>
  <c r="D227" i="12"/>
  <c r="C227" i="12"/>
  <c r="B227" i="12"/>
  <c r="G227" i="12" s="1"/>
  <c r="A227" i="12"/>
  <c r="G226" i="12"/>
  <c r="F226" i="12"/>
  <c r="E226" i="12"/>
  <c r="D226" i="12"/>
  <c r="C226" i="12"/>
  <c r="B226" i="12"/>
  <c r="A226" i="12"/>
  <c r="F225" i="12"/>
  <c r="E225" i="12"/>
  <c r="D225" i="12"/>
  <c r="C225" i="12"/>
  <c r="B225" i="12"/>
  <c r="G225" i="12" s="1"/>
  <c r="A225" i="12"/>
  <c r="G224" i="12"/>
  <c r="F224" i="12"/>
  <c r="E224" i="12"/>
  <c r="D224" i="12"/>
  <c r="C224" i="12"/>
  <c r="B224" i="12"/>
  <c r="A224" i="12"/>
  <c r="G223" i="12"/>
  <c r="F223" i="12"/>
  <c r="E223" i="12"/>
  <c r="D223" i="12"/>
  <c r="C223" i="12"/>
  <c r="B223" i="12"/>
  <c r="A223" i="12"/>
  <c r="F222" i="12"/>
  <c r="E222" i="12"/>
  <c r="D222" i="12"/>
  <c r="C222" i="12"/>
  <c r="B222" i="12"/>
  <c r="G222" i="12" s="1"/>
  <c r="A222" i="12"/>
  <c r="F221" i="12"/>
  <c r="E221" i="12"/>
  <c r="D221" i="12"/>
  <c r="C221" i="12"/>
  <c r="B221" i="12"/>
  <c r="G221" i="12" s="1"/>
  <c r="A221" i="12"/>
  <c r="G220" i="12"/>
  <c r="F220" i="12"/>
  <c r="E220" i="12"/>
  <c r="D220" i="12"/>
  <c r="C220" i="12"/>
  <c r="B220" i="12"/>
  <c r="A220" i="12"/>
  <c r="F219" i="12"/>
  <c r="E219" i="12"/>
  <c r="D219" i="12"/>
  <c r="C219" i="12"/>
  <c r="B219" i="12"/>
  <c r="G219" i="12" s="1"/>
  <c r="A219" i="12"/>
  <c r="F218" i="12"/>
  <c r="E218" i="12"/>
  <c r="D218" i="12"/>
  <c r="C218" i="12"/>
  <c r="B218" i="12"/>
  <c r="G218" i="12" s="1"/>
  <c r="A218" i="12"/>
  <c r="F217" i="12"/>
  <c r="E217" i="12"/>
  <c r="D217" i="12"/>
  <c r="C217" i="12"/>
  <c r="B217" i="12"/>
  <c r="G217" i="12" s="1"/>
  <c r="A217" i="12"/>
  <c r="G216" i="12"/>
  <c r="F216" i="12"/>
  <c r="E216" i="12"/>
  <c r="D216" i="12"/>
  <c r="C216" i="12"/>
  <c r="B216" i="12"/>
  <c r="A216" i="12"/>
  <c r="F215" i="12"/>
  <c r="E215" i="12"/>
  <c r="D215" i="12"/>
  <c r="C215" i="12"/>
  <c r="B215" i="12"/>
  <c r="G215" i="12" s="1"/>
  <c r="A215" i="12"/>
  <c r="F214" i="12"/>
  <c r="E214" i="12"/>
  <c r="D214" i="12"/>
  <c r="C214" i="12"/>
  <c r="B214" i="12"/>
  <c r="G214" i="12" s="1"/>
  <c r="A214" i="12"/>
  <c r="F213" i="12"/>
  <c r="E213" i="12"/>
  <c r="D213" i="12"/>
  <c r="C213" i="12"/>
  <c r="B213" i="12"/>
  <c r="G213" i="12" s="1"/>
  <c r="A213" i="12"/>
  <c r="G212" i="12"/>
  <c r="F212" i="12"/>
  <c r="E212" i="12"/>
  <c r="D212" i="12"/>
  <c r="C212" i="12"/>
  <c r="B212" i="12"/>
  <c r="A212" i="12"/>
  <c r="F211" i="12"/>
  <c r="E211" i="12"/>
  <c r="D211" i="12"/>
  <c r="C211" i="12"/>
  <c r="B211" i="12"/>
  <c r="G211" i="12" s="1"/>
  <c r="A211" i="12"/>
  <c r="G210" i="12"/>
  <c r="F210" i="12"/>
  <c r="E210" i="12"/>
  <c r="D210" i="12"/>
  <c r="C210" i="12"/>
  <c r="B210" i="12"/>
  <c r="A210" i="12"/>
  <c r="F209" i="12"/>
  <c r="E209" i="12"/>
  <c r="D209" i="12"/>
  <c r="C209" i="12"/>
  <c r="B209" i="12"/>
  <c r="G209" i="12" s="1"/>
  <c r="A209" i="12"/>
  <c r="G208" i="12"/>
  <c r="F208" i="12"/>
  <c r="E208" i="12"/>
  <c r="D208" i="12"/>
  <c r="C208" i="12"/>
  <c r="B208" i="12"/>
  <c r="A208" i="12"/>
  <c r="G207" i="12"/>
  <c r="F207" i="12"/>
  <c r="E207" i="12"/>
  <c r="D207" i="12"/>
  <c r="C207" i="12"/>
  <c r="B207" i="12"/>
  <c r="A207" i="12"/>
  <c r="F206" i="12"/>
  <c r="E206" i="12"/>
  <c r="D206" i="12"/>
  <c r="C206" i="12"/>
  <c r="B206" i="12"/>
  <c r="G206" i="12" s="1"/>
  <c r="A206" i="12"/>
  <c r="F205" i="12"/>
  <c r="E205" i="12"/>
  <c r="D205" i="12"/>
  <c r="C205" i="12"/>
  <c r="B205" i="12"/>
  <c r="G205" i="12" s="1"/>
  <c r="A205" i="12"/>
  <c r="G204" i="12"/>
  <c r="F204" i="12"/>
  <c r="E204" i="12"/>
  <c r="D204" i="12"/>
  <c r="C204" i="12"/>
  <c r="B204" i="12"/>
  <c r="A204" i="12"/>
  <c r="F203" i="12"/>
  <c r="E203" i="12"/>
  <c r="D203" i="12"/>
  <c r="C203" i="12"/>
  <c r="B203" i="12"/>
  <c r="G203" i="12" s="1"/>
  <c r="A203" i="12"/>
  <c r="F202" i="12"/>
  <c r="E202" i="12"/>
  <c r="D202" i="12"/>
  <c r="C202" i="12"/>
  <c r="B202" i="12"/>
  <c r="G202" i="12" s="1"/>
  <c r="A202" i="12"/>
  <c r="F201" i="12"/>
  <c r="E201" i="12"/>
  <c r="D201" i="12"/>
  <c r="C201" i="12"/>
  <c r="B201" i="12"/>
  <c r="G201" i="12" s="1"/>
  <c r="A201" i="12"/>
  <c r="G200" i="12"/>
  <c r="F200" i="12"/>
  <c r="E200" i="12"/>
  <c r="D200" i="12"/>
  <c r="C200" i="12"/>
  <c r="B200" i="12"/>
  <c r="A200" i="12"/>
  <c r="F199" i="12"/>
  <c r="E199" i="12"/>
  <c r="D199" i="12"/>
  <c r="C199" i="12"/>
  <c r="B199" i="12"/>
  <c r="G199" i="12" s="1"/>
  <c r="A199" i="12"/>
  <c r="F198" i="12"/>
  <c r="E198" i="12"/>
  <c r="D198" i="12"/>
  <c r="C198" i="12"/>
  <c r="B198" i="12"/>
  <c r="G198" i="12" s="1"/>
  <c r="A198" i="12"/>
  <c r="F197" i="12"/>
  <c r="E197" i="12"/>
  <c r="D197" i="12"/>
  <c r="C197" i="12"/>
  <c r="B197" i="12"/>
  <c r="G197" i="12" s="1"/>
  <c r="A197" i="12"/>
  <c r="G196" i="12"/>
  <c r="F196" i="12"/>
  <c r="E196" i="12"/>
  <c r="D196" i="12"/>
  <c r="C196" i="12"/>
  <c r="B196" i="12"/>
  <c r="A196" i="12"/>
  <c r="F195" i="12"/>
  <c r="E195" i="12"/>
  <c r="D195" i="12"/>
  <c r="C195" i="12"/>
  <c r="B195" i="12"/>
  <c r="G195" i="12" s="1"/>
  <c r="A195" i="12"/>
  <c r="G194" i="12"/>
  <c r="F194" i="12"/>
  <c r="E194" i="12"/>
  <c r="D194" i="12"/>
  <c r="C194" i="12"/>
  <c r="B194" i="12"/>
  <c r="A194" i="12"/>
  <c r="F193" i="12"/>
  <c r="E193" i="12"/>
  <c r="D193" i="12"/>
  <c r="C193" i="12"/>
  <c r="B193" i="12"/>
  <c r="G193" i="12" s="1"/>
  <c r="A193" i="12"/>
  <c r="G192" i="12"/>
  <c r="F192" i="12"/>
  <c r="E192" i="12"/>
  <c r="D192" i="12"/>
  <c r="C192" i="12"/>
  <c r="B192" i="12"/>
  <c r="A192" i="12"/>
  <c r="G191" i="12"/>
  <c r="F191" i="12"/>
  <c r="E191" i="12"/>
  <c r="D191" i="12"/>
  <c r="C191" i="12"/>
  <c r="B191" i="12"/>
  <c r="A191" i="12"/>
  <c r="F190" i="12"/>
  <c r="E190" i="12"/>
  <c r="D190" i="12"/>
  <c r="C190" i="12"/>
  <c r="B190" i="12"/>
  <c r="G190" i="12" s="1"/>
  <c r="A190" i="12"/>
  <c r="F189" i="12"/>
  <c r="E189" i="12"/>
  <c r="D189" i="12"/>
  <c r="C189" i="12"/>
  <c r="B189" i="12"/>
  <c r="G189" i="12" s="1"/>
  <c r="A189" i="12"/>
  <c r="G188" i="12"/>
  <c r="F188" i="12"/>
  <c r="E188" i="12"/>
  <c r="D188" i="12"/>
  <c r="C188" i="12"/>
  <c r="B188" i="12"/>
  <c r="A188" i="12"/>
  <c r="F187" i="12"/>
  <c r="E187" i="12"/>
  <c r="D187" i="12"/>
  <c r="C187" i="12"/>
  <c r="B187" i="12"/>
  <c r="G187" i="12" s="1"/>
  <c r="A187" i="12"/>
  <c r="F186" i="12"/>
  <c r="E186" i="12"/>
  <c r="D186" i="12"/>
  <c r="C186" i="12"/>
  <c r="B186" i="12"/>
  <c r="G186" i="12" s="1"/>
  <c r="A186" i="12"/>
  <c r="F185" i="12"/>
  <c r="E185" i="12"/>
  <c r="D185" i="12"/>
  <c r="C185" i="12"/>
  <c r="B185" i="12"/>
  <c r="G185" i="12" s="1"/>
  <c r="A185" i="12"/>
  <c r="G184" i="12"/>
  <c r="F184" i="12"/>
  <c r="E184" i="12"/>
  <c r="D184" i="12"/>
  <c r="C184" i="12"/>
  <c r="B184" i="12"/>
  <c r="A184" i="12"/>
  <c r="F183" i="12"/>
  <c r="E183" i="12"/>
  <c r="D183" i="12"/>
  <c r="C183" i="12"/>
  <c r="B183" i="12"/>
  <c r="G183" i="12" s="1"/>
  <c r="A183" i="12"/>
  <c r="F182" i="12"/>
  <c r="E182" i="12"/>
  <c r="D182" i="12"/>
  <c r="C182" i="12"/>
  <c r="B182" i="12"/>
  <c r="G182" i="12" s="1"/>
  <c r="A182" i="12"/>
  <c r="F181" i="12"/>
  <c r="E181" i="12"/>
  <c r="D181" i="12"/>
  <c r="C181" i="12"/>
  <c r="B181" i="12"/>
  <c r="G181" i="12" s="1"/>
  <c r="A181" i="12"/>
  <c r="G180" i="12"/>
  <c r="F180" i="12"/>
  <c r="E180" i="12"/>
  <c r="D180" i="12"/>
  <c r="C180" i="12"/>
  <c r="B180" i="12"/>
  <c r="A180" i="12"/>
  <c r="F179" i="12"/>
  <c r="E179" i="12"/>
  <c r="D179" i="12"/>
  <c r="C179" i="12"/>
  <c r="B179" i="12"/>
  <c r="G179" i="12" s="1"/>
  <c r="A179" i="12"/>
  <c r="G178" i="12"/>
  <c r="F178" i="12"/>
  <c r="E178" i="12"/>
  <c r="D178" i="12"/>
  <c r="C178" i="12"/>
  <c r="B178" i="12"/>
  <c r="A178" i="12"/>
  <c r="F177" i="12"/>
  <c r="E177" i="12"/>
  <c r="D177" i="12"/>
  <c r="C177" i="12"/>
  <c r="B177" i="12"/>
  <c r="G177" i="12" s="1"/>
  <c r="A177" i="12"/>
  <c r="G176" i="12"/>
  <c r="F176" i="12"/>
  <c r="E176" i="12"/>
  <c r="D176" i="12"/>
  <c r="C176" i="12"/>
  <c r="B176" i="12"/>
  <c r="A176" i="12"/>
  <c r="G175" i="12"/>
  <c r="F175" i="12"/>
  <c r="E175" i="12"/>
  <c r="D175" i="12"/>
  <c r="C175" i="12"/>
  <c r="B175" i="12"/>
  <c r="A175" i="12"/>
  <c r="F174" i="12"/>
  <c r="E174" i="12"/>
  <c r="D174" i="12"/>
  <c r="C174" i="12"/>
  <c r="B174" i="12"/>
  <c r="G174" i="12" s="1"/>
  <c r="A174" i="12"/>
  <c r="F173" i="12"/>
  <c r="E173" i="12"/>
  <c r="D173" i="12"/>
  <c r="C173" i="12"/>
  <c r="B173" i="12"/>
  <c r="G173" i="12" s="1"/>
  <c r="A173" i="12"/>
  <c r="G172" i="12"/>
  <c r="F172" i="12"/>
  <c r="E172" i="12"/>
  <c r="D172" i="12"/>
  <c r="C172" i="12"/>
  <c r="B172" i="12"/>
  <c r="A172" i="12"/>
  <c r="F171" i="12"/>
  <c r="E171" i="12"/>
  <c r="D171" i="12"/>
  <c r="C171" i="12"/>
  <c r="B171" i="12"/>
  <c r="G171" i="12" s="1"/>
  <c r="A171" i="12"/>
  <c r="F170" i="12"/>
  <c r="E170" i="12"/>
  <c r="D170" i="12"/>
  <c r="C170" i="12"/>
  <c r="B170" i="12"/>
  <c r="G170" i="12" s="1"/>
  <c r="A170" i="12"/>
  <c r="F169" i="12"/>
  <c r="E169" i="12"/>
  <c r="D169" i="12"/>
  <c r="C169" i="12"/>
  <c r="B169" i="12"/>
  <c r="G169" i="12" s="1"/>
  <c r="A169" i="12"/>
  <c r="G168" i="12"/>
  <c r="F168" i="12"/>
  <c r="E168" i="12"/>
  <c r="D168" i="12"/>
  <c r="C168" i="12"/>
  <c r="B168" i="12"/>
  <c r="A168" i="12"/>
  <c r="F167" i="12"/>
  <c r="E167" i="12"/>
  <c r="D167" i="12"/>
  <c r="C167" i="12"/>
  <c r="B167" i="12"/>
  <c r="G167" i="12" s="1"/>
  <c r="A167" i="12"/>
  <c r="F166" i="12"/>
  <c r="E166" i="12"/>
  <c r="D166" i="12"/>
  <c r="C166" i="12"/>
  <c r="B166" i="12"/>
  <c r="G166" i="12" s="1"/>
  <c r="A166" i="12"/>
  <c r="F165" i="12"/>
  <c r="E165" i="12"/>
  <c r="D165" i="12"/>
  <c r="C165" i="12"/>
  <c r="B165" i="12"/>
  <c r="G165" i="12" s="1"/>
  <c r="A165" i="12"/>
  <c r="G164" i="12"/>
  <c r="F164" i="12"/>
  <c r="E164" i="12"/>
  <c r="D164" i="12"/>
  <c r="C164" i="12"/>
  <c r="B164" i="12"/>
  <c r="A164" i="12"/>
  <c r="F163" i="12"/>
  <c r="E163" i="12"/>
  <c r="D163" i="12"/>
  <c r="C163" i="12"/>
  <c r="B163" i="12"/>
  <c r="G163" i="12" s="1"/>
  <c r="A163" i="12"/>
  <c r="G162" i="12"/>
  <c r="F162" i="12"/>
  <c r="E162" i="12"/>
  <c r="D162" i="12"/>
  <c r="C162" i="12"/>
  <c r="B162" i="12"/>
  <c r="A162" i="12"/>
  <c r="F161" i="12"/>
  <c r="E161" i="12"/>
  <c r="D161" i="12"/>
  <c r="C161" i="12"/>
  <c r="B161" i="12"/>
  <c r="G161" i="12" s="1"/>
  <c r="A161" i="12"/>
  <c r="G160" i="12"/>
  <c r="F160" i="12"/>
  <c r="E160" i="12"/>
  <c r="D160" i="12"/>
  <c r="C160" i="12"/>
  <c r="B160" i="12"/>
  <c r="A160" i="12"/>
  <c r="G159" i="12"/>
  <c r="F159" i="12"/>
  <c r="E159" i="12"/>
  <c r="D159" i="12"/>
  <c r="C159" i="12"/>
  <c r="B159" i="12"/>
  <c r="A159" i="12"/>
  <c r="F158" i="12"/>
  <c r="E158" i="12"/>
  <c r="D158" i="12"/>
  <c r="C158" i="12"/>
  <c r="B158" i="12"/>
  <c r="G158" i="12" s="1"/>
  <c r="A158" i="12"/>
  <c r="F157" i="12"/>
  <c r="E157" i="12"/>
  <c r="D157" i="12"/>
  <c r="C157" i="12"/>
  <c r="B157" i="12"/>
  <c r="G157" i="12" s="1"/>
  <c r="A157" i="12"/>
  <c r="G156" i="12"/>
  <c r="F156" i="12"/>
  <c r="E156" i="12"/>
  <c r="D156" i="12"/>
  <c r="C156" i="12"/>
  <c r="B156" i="12"/>
  <c r="A156" i="12"/>
  <c r="F155" i="12"/>
  <c r="E155" i="12"/>
  <c r="D155" i="12"/>
  <c r="C155" i="12"/>
  <c r="B155" i="12"/>
  <c r="G155" i="12" s="1"/>
  <c r="A155" i="12"/>
  <c r="F154" i="12"/>
  <c r="E154" i="12"/>
  <c r="D154" i="12"/>
  <c r="C154" i="12"/>
  <c r="B154" i="12"/>
  <c r="G154" i="12" s="1"/>
  <c r="A154" i="12"/>
  <c r="F153" i="12"/>
  <c r="E153" i="12"/>
  <c r="D153" i="12"/>
  <c r="C153" i="12"/>
  <c r="B153" i="12"/>
  <c r="G153" i="12" s="1"/>
  <c r="A153" i="12"/>
  <c r="G152" i="12"/>
  <c r="F152" i="12"/>
  <c r="E152" i="12"/>
  <c r="D152" i="12"/>
  <c r="C152" i="12"/>
  <c r="B152" i="12"/>
  <c r="A152" i="12"/>
  <c r="F151" i="12"/>
  <c r="E151" i="12"/>
  <c r="D151" i="12"/>
  <c r="C151" i="12"/>
  <c r="B151" i="12"/>
  <c r="G151" i="12" s="1"/>
  <c r="A151" i="12"/>
  <c r="F150" i="12"/>
  <c r="E150" i="12"/>
  <c r="D150" i="12"/>
  <c r="C150" i="12"/>
  <c r="B150" i="12"/>
  <c r="G150" i="12" s="1"/>
  <c r="A150" i="12"/>
  <c r="F149" i="12"/>
  <c r="E149" i="12"/>
  <c r="D149" i="12"/>
  <c r="C149" i="12"/>
  <c r="B149" i="12"/>
  <c r="G149" i="12" s="1"/>
  <c r="A149" i="12"/>
  <c r="G148" i="12"/>
  <c r="F148" i="12"/>
  <c r="E148" i="12"/>
  <c r="D148" i="12"/>
  <c r="C148" i="12"/>
  <c r="B148" i="12"/>
  <c r="A148" i="12"/>
  <c r="F147" i="12"/>
  <c r="E147" i="12"/>
  <c r="D147" i="12"/>
  <c r="C147" i="12"/>
  <c r="B147" i="12"/>
  <c r="G147" i="12" s="1"/>
  <c r="A147" i="12"/>
  <c r="G146" i="12"/>
  <c r="F146" i="12"/>
  <c r="E146" i="12"/>
  <c r="D146" i="12"/>
  <c r="C146" i="12"/>
  <c r="B146" i="12"/>
  <c r="A146" i="12"/>
  <c r="F145" i="12"/>
  <c r="E145" i="12"/>
  <c r="D145" i="12"/>
  <c r="C145" i="12"/>
  <c r="B145" i="12"/>
  <c r="G145" i="12" s="1"/>
  <c r="A145" i="12"/>
  <c r="G144" i="12"/>
  <c r="F144" i="12"/>
  <c r="E144" i="12"/>
  <c r="D144" i="12"/>
  <c r="C144" i="12"/>
  <c r="B144" i="12"/>
  <c r="A144" i="12"/>
  <c r="G143" i="12"/>
  <c r="F143" i="12"/>
  <c r="E143" i="12"/>
  <c r="D143" i="12"/>
  <c r="C143" i="12"/>
  <c r="B143" i="12"/>
  <c r="A143" i="12"/>
  <c r="G142" i="12"/>
  <c r="F142" i="12"/>
  <c r="E142" i="12"/>
  <c r="D142" i="12"/>
  <c r="C142" i="12"/>
  <c r="B142" i="12"/>
  <c r="A142" i="12"/>
  <c r="F141" i="12"/>
  <c r="E141" i="12"/>
  <c r="D141" i="12"/>
  <c r="C141" i="12"/>
  <c r="B141" i="12"/>
  <c r="G141" i="12" s="1"/>
  <c r="A141" i="12"/>
  <c r="G140" i="12"/>
  <c r="F140" i="12"/>
  <c r="E140" i="12"/>
  <c r="D140" i="12"/>
  <c r="C140" i="12"/>
  <c r="B140" i="12"/>
  <c r="A140" i="12"/>
  <c r="G139" i="12"/>
  <c r="F139" i="12"/>
  <c r="E139" i="12"/>
  <c r="D139" i="12"/>
  <c r="C139" i="12"/>
  <c r="B139" i="12"/>
  <c r="A139" i="12"/>
  <c r="F138" i="12"/>
  <c r="E138" i="12"/>
  <c r="D138" i="12"/>
  <c r="C138" i="12"/>
  <c r="B138" i="12"/>
  <c r="G138" i="12" s="1"/>
  <c r="A138" i="12"/>
  <c r="F137" i="12"/>
  <c r="E137" i="12"/>
  <c r="D137" i="12"/>
  <c r="C137" i="12"/>
  <c r="B137" i="12"/>
  <c r="G137" i="12" s="1"/>
  <c r="A137" i="12"/>
  <c r="G136" i="12"/>
  <c r="F136" i="12"/>
  <c r="E136" i="12"/>
  <c r="D136" i="12"/>
  <c r="C136" i="12"/>
  <c r="B136" i="12"/>
  <c r="A136" i="12"/>
  <c r="F135" i="12"/>
  <c r="E135" i="12"/>
  <c r="D135" i="12"/>
  <c r="C135" i="12"/>
  <c r="B135" i="12"/>
  <c r="G135" i="12" s="1"/>
  <c r="A135" i="12"/>
  <c r="F134" i="12"/>
  <c r="E134" i="12"/>
  <c r="D134" i="12"/>
  <c r="C134" i="12"/>
  <c r="B134" i="12"/>
  <c r="G134" i="12" s="1"/>
  <c r="A134" i="12"/>
  <c r="F133" i="12"/>
  <c r="E133" i="12"/>
  <c r="D133" i="12"/>
  <c r="C133" i="12"/>
  <c r="B133" i="12"/>
  <c r="G133" i="12" s="1"/>
  <c r="A133" i="12"/>
  <c r="G132" i="12"/>
  <c r="F132" i="12"/>
  <c r="E132" i="12"/>
  <c r="D132" i="12"/>
  <c r="C132" i="12"/>
  <c r="B132" i="12"/>
  <c r="A132" i="12"/>
  <c r="F131" i="12"/>
  <c r="E131" i="12"/>
  <c r="D131" i="12"/>
  <c r="C131" i="12"/>
  <c r="B131" i="12"/>
  <c r="G131" i="12" s="1"/>
  <c r="A131" i="12"/>
  <c r="G130" i="12"/>
  <c r="F130" i="12"/>
  <c r="E130" i="12"/>
  <c r="D130" i="12"/>
  <c r="C130" i="12"/>
  <c r="B130" i="12"/>
  <c r="A130" i="12"/>
  <c r="F129" i="12"/>
  <c r="E129" i="12"/>
  <c r="D129" i="12"/>
  <c r="C129" i="12"/>
  <c r="B129" i="12"/>
  <c r="G129" i="12" s="1"/>
  <c r="A129" i="12"/>
  <c r="G128" i="12"/>
  <c r="F128" i="12"/>
  <c r="E128" i="12"/>
  <c r="D128" i="12"/>
  <c r="C128" i="12"/>
  <c r="B128" i="12"/>
  <c r="A128" i="12"/>
  <c r="G127" i="12"/>
  <c r="F127" i="12"/>
  <c r="E127" i="12"/>
  <c r="D127" i="12"/>
  <c r="C127" i="12"/>
  <c r="B127" i="12"/>
  <c r="A127" i="12"/>
  <c r="G126" i="12"/>
  <c r="F126" i="12"/>
  <c r="E126" i="12"/>
  <c r="D126" i="12"/>
  <c r="C126" i="12"/>
  <c r="B126" i="12"/>
  <c r="A126" i="12"/>
  <c r="F125" i="12"/>
  <c r="E125" i="12"/>
  <c r="D125" i="12"/>
  <c r="C125" i="12"/>
  <c r="B125" i="12"/>
  <c r="G125" i="12" s="1"/>
  <c r="A125" i="12"/>
  <c r="G124" i="12"/>
  <c r="F124" i="12"/>
  <c r="E124" i="12"/>
  <c r="D124" i="12"/>
  <c r="C124" i="12"/>
  <c r="B124" i="12"/>
  <c r="A124" i="12"/>
  <c r="G123" i="12"/>
  <c r="F123" i="12"/>
  <c r="E123" i="12"/>
  <c r="D123" i="12"/>
  <c r="C123" i="12"/>
  <c r="B123" i="12"/>
  <c r="A123" i="12"/>
  <c r="F122" i="12"/>
  <c r="E122" i="12"/>
  <c r="D122" i="12"/>
  <c r="C122" i="12"/>
  <c r="B122" i="12"/>
  <c r="G122" i="12" s="1"/>
  <c r="A122" i="12"/>
  <c r="F121" i="12"/>
  <c r="E121" i="12"/>
  <c r="D121" i="12"/>
  <c r="C121" i="12"/>
  <c r="B121" i="12"/>
  <c r="G121" i="12" s="1"/>
  <c r="A121" i="12"/>
  <c r="G120" i="12"/>
  <c r="F120" i="12"/>
  <c r="E120" i="12"/>
  <c r="D120" i="12"/>
  <c r="C120" i="12"/>
  <c r="B120" i="12"/>
  <c r="A120" i="12"/>
  <c r="F119" i="12"/>
  <c r="E119" i="12"/>
  <c r="D119" i="12"/>
  <c r="C119" i="12"/>
  <c r="B119" i="12"/>
  <c r="G119" i="12" s="1"/>
  <c r="A119" i="12"/>
  <c r="F118" i="12"/>
  <c r="E118" i="12"/>
  <c r="D118" i="12"/>
  <c r="C118" i="12"/>
  <c r="B118" i="12"/>
  <c r="G118" i="12" s="1"/>
  <c r="A118" i="12"/>
  <c r="F117" i="12"/>
  <c r="E117" i="12"/>
  <c r="D117" i="12"/>
  <c r="C117" i="12"/>
  <c r="B117" i="12"/>
  <c r="G117" i="12" s="1"/>
  <c r="A117" i="12"/>
  <c r="G116" i="12"/>
  <c r="F116" i="12"/>
  <c r="E116" i="12"/>
  <c r="D116" i="12"/>
  <c r="C116" i="12"/>
  <c r="B116" i="12"/>
  <c r="A116" i="12"/>
  <c r="G115" i="12"/>
  <c r="F115" i="12"/>
  <c r="E115" i="12"/>
  <c r="D115" i="12"/>
  <c r="C115" i="12"/>
  <c r="B115" i="12"/>
  <c r="A115" i="12"/>
  <c r="F114" i="12"/>
  <c r="E114" i="12"/>
  <c r="D114" i="12"/>
  <c r="C114" i="12"/>
  <c r="B114" i="12"/>
  <c r="G114" i="12" s="1"/>
  <c r="A114" i="12"/>
  <c r="F113" i="12"/>
  <c r="E113" i="12"/>
  <c r="D113" i="12"/>
  <c r="C113" i="12"/>
  <c r="B113" i="12"/>
  <c r="G113" i="12" s="1"/>
  <c r="A113" i="12"/>
  <c r="G112" i="12"/>
  <c r="F112" i="12"/>
  <c r="E112" i="12"/>
  <c r="D112" i="12"/>
  <c r="C112" i="12"/>
  <c r="B112" i="12"/>
  <c r="A112" i="12"/>
  <c r="F111" i="12"/>
  <c r="E111" i="12"/>
  <c r="D111" i="12"/>
  <c r="C111" i="12"/>
  <c r="B111" i="12"/>
  <c r="G111" i="12" s="1"/>
  <c r="A111" i="12"/>
  <c r="F110" i="12"/>
  <c r="E110" i="12"/>
  <c r="D110" i="12"/>
  <c r="C110" i="12"/>
  <c r="B110" i="12"/>
  <c r="G110" i="12" s="1"/>
  <c r="A110" i="12"/>
  <c r="F109" i="12"/>
  <c r="E109" i="12"/>
  <c r="D109" i="12"/>
  <c r="C109" i="12"/>
  <c r="B109" i="12"/>
  <c r="G109" i="12" s="1"/>
  <c r="A109" i="12"/>
  <c r="G108" i="12"/>
  <c r="F108" i="12"/>
  <c r="E108" i="12"/>
  <c r="D108" i="12"/>
  <c r="C108" i="12"/>
  <c r="B108" i="12"/>
  <c r="A108" i="12"/>
  <c r="G107" i="12"/>
  <c r="F107" i="12"/>
  <c r="E107" i="12"/>
  <c r="D107" i="12"/>
  <c r="C107" i="12"/>
  <c r="B107" i="12"/>
  <c r="A107" i="12"/>
  <c r="F106" i="12"/>
  <c r="E106" i="12"/>
  <c r="D106" i="12"/>
  <c r="C106" i="12"/>
  <c r="B106" i="12"/>
  <c r="G106" i="12" s="1"/>
  <c r="A106" i="12"/>
  <c r="F105" i="12"/>
  <c r="E105" i="12"/>
  <c r="D105" i="12"/>
  <c r="C105" i="12"/>
  <c r="B105" i="12"/>
  <c r="G105" i="12" s="1"/>
  <c r="A105" i="12"/>
  <c r="G104" i="12"/>
  <c r="F104" i="12"/>
  <c r="E104" i="12"/>
  <c r="D104" i="12"/>
  <c r="C104" i="12"/>
  <c r="B104" i="12"/>
  <c r="A104" i="12"/>
  <c r="F103" i="12"/>
  <c r="E103" i="12"/>
  <c r="D103" i="12"/>
  <c r="C103" i="12"/>
  <c r="B103" i="12"/>
  <c r="G103" i="12" s="1"/>
  <c r="A103" i="12"/>
  <c r="F102" i="12"/>
  <c r="E102" i="12"/>
  <c r="D102" i="12"/>
  <c r="C102" i="12"/>
  <c r="B102" i="12"/>
  <c r="G102" i="12" s="1"/>
  <c r="A102" i="12"/>
  <c r="F101" i="12"/>
  <c r="E101" i="12"/>
  <c r="D101" i="12"/>
  <c r="C101" i="12"/>
  <c r="B101" i="12"/>
  <c r="G101" i="12" s="1"/>
  <c r="A101" i="12"/>
  <c r="G100" i="12"/>
  <c r="F100" i="12"/>
  <c r="E100" i="12"/>
  <c r="D100" i="12"/>
  <c r="C100" i="12"/>
  <c r="B100" i="12"/>
  <c r="A100" i="12"/>
  <c r="G99" i="12"/>
  <c r="F99" i="12"/>
  <c r="E99" i="12"/>
  <c r="D99" i="12"/>
  <c r="C99" i="12"/>
  <c r="B99" i="12"/>
  <c r="A99" i="12"/>
  <c r="F98" i="12"/>
  <c r="E98" i="12"/>
  <c r="D98" i="12"/>
  <c r="C98" i="12"/>
  <c r="B98" i="12"/>
  <c r="G98" i="12" s="1"/>
  <c r="A98" i="12"/>
  <c r="F97" i="12"/>
  <c r="E97" i="12"/>
  <c r="D97" i="12"/>
  <c r="C97" i="12"/>
  <c r="B97" i="12"/>
  <c r="G97" i="12" s="1"/>
  <c r="A97" i="12"/>
  <c r="G96" i="12"/>
  <c r="F96" i="12"/>
  <c r="E96" i="12"/>
  <c r="D96" i="12"/>
  <c r="C96" i="12"/>
  <c r="B96" i="12"/>
  <c r="A96" i="12"/>
  <c r="F95" i="12"/>
  <c r="E95" i="12"/>
  <c r="D95" i="12"/>
  <c r="C95" i="12"/>
  <c r="B95" i="12"/>
  <c r="G95" i="12" s="1"/>
  <c r="A95" i="12"/>
  <c r="F94" i="12"/>
  <c r="E94" i="12"/>
  <c r="D94" i="12"/>
  <c r="C94" i="12"/>
  <c r="B94" i="12"/>
  <c r="G94" i="12" s="1"/>
  <c r="A94" i="12"/>
  <c r="F93" i="12"/>
  <c r="E93" i="12"/>
  <c r="D93" i="12"/>
  <c r="C93" i="12"/>
  <c r="B93" i="12"/>
  <c r="G93" i="12" s="1"/>
  <c r="A93" i="12"/>
  <c r="G92" i="12"/>
  <c r="F92" i="12"/>
  <c r="E92" i="12"/>
  <c r="D92" i="12"/>
  <c r="C92" i="12"/>
  <c r="B92" i="12"/>
  <c r="A92" i="12"/>
  <c r="G91" i="12"/>
  <c r="F91" i="12"/>
  <c r="E91" i="12"/>
  <c r="D91" i="12"/>
  <c r="C91" i="12"/>
  <c r="B91" i="12"/>
  <c r="A91" i="12"/>
  <c r="F90" i="12"/>
  <c r="E90" i="12"/>
  <c r="D90" i="12"/>
  <c r="C90" i="12"/>
  <c r="B90" i="12"/>
  <c r="G90" i="12" s="1"/>
  <c r="A90" i="12"/>
  <c r="F89" i="12"/>
  <c r="E89" i="12"/>
  <c r="D89" i="12"/>
  <c r="C89" i="12"/>
  <c r="B89" i="12"/>
  <c r="G89" i="12" s="1"/>
  <c r="A89" i="12"/>
  <c r="G88" i="12"/>
  <c r="F88" i="12"/>
  <c r="E88" i="12"/>
  <c r="D88" i="12"/>
  <c r="C88" i="12"/>
  <c r="B88" i="12"/>
  <c r="A88" i="12"/>
  <c r="F87" i="12"/>
  <c r="E87" i="12"/>
  <c r="D87" i="12"/>
  <c r="C87" i="12"/>
  <c r="B87" i="12"/>
  <c r="G87" i="12" s="1"/>
  <c r="A87" i="12"/>
  <c r="F86" i="12"/>
  <c r="E86" i="12"/>
  <c r="D86" i="12"/>
  <c r="C86" i="12"/>
  <c r="B86" i="12"/>
  <c r="G86" i="12" s="1"/>
  <c r="A86" i="12"/>
  <c r="F85" i="12"/>
  <c r="E85" i="12"/>
  <c r="D85" i="12"/>
  <c r="C85" i="12"/>
  <c r="B85" i="12"/>
  <c r="G85" i="12" s="1"/>
  <c r="A85" i="12"/>
  <c r="G84" i="12"/>
  <c r="F84" i="12"/>
  <c r="E84" i="12"/>
  <c r="D84" i="12"/>
  <c r="C84" i="12"/>
  <c r="B84" i="12"/>
  <c r="A84" i="12"/>
  <c r="G83" i="12"/>
  <c r="F83" i="12"/>
  <c r="E83" i="12"/>
  <c r="D83" i="12"/>
  <c r="C83" i="12"/>
  <c r="B83" i="12"/>
  <c r="A83" i="12"/>
  <c r="F82" i="12"/>
  <c r="E82" i="12"/>
  <c r="D82" i="12"/>
  <c r="C82" i="12"/>
  <c r="B82" i="12"/>
  <c r="G82" i="12" s="1"/>
  <c r="A82" i="12"/>
  <c r="F81" i="12"/>
  <c r="E81" i="12"/>
  <c r="D81" i="12"/>
  <c r="C81" i="12"/>
  <c r="B81" i="12"/>
  <c r="G81" i="12" s="1"/>
  <c r="A81" i="12"/>
  <c r="G80" i="12"/>
  <c r="F80" i="12"/>
  <c r="E80" i="12"/>
  <c r="D80" i="12"/>
  <c r="C80" i="12"/>
  <c r="B80" i="12"/>
  <c r="A80" i="12"/>
  <c r="F79" i="12"/>
  <c r="E79" i="12"/>
  <c r="D79" i="12"/>
  <c r="C79" i="12"/>
  <c r="B79" i="12"/>
  <c r="G79" i="12" s="1"/>
  <c r="A79" i="12"/>
  <c r="F78" i="12"/>
  <c r="E78" i="12"/>
  <c r="D78" i="12"/>
  <c r="C78" i="12"/>
  <c r="B78" i="12"/>
  <c r="G78" i="12" s="1"/>
  <c r="A78" i="12"/>
  <c r="F77" i="12"/>
  <c r="E77" i="12"/>
  <c r="D77" i="12"/>
  <c r="C77" i="12"/>
  <c r="B77" i="12"/>
  <c r="G77" i="12" s="1"/>
  <c r="A77" i="12"/>
  <c r="G76" i="12"/>
  <c r="F76" i="12"/>
  <c r="E76" i="12"/>
  <c r="D76" i="12"/>
  <c r="C76" i="12"/>
  <c r="B76" i="12"/>
  <c r="A76" i="12"/>
  <c r="F75" i="12"/>
  <c r="E75" i="12"/>
  <c r="D75" i="12"/>
  <c r="C75" i="12"/>
  <c r="B75" i="12"/>
  <c r="A75" i="12"/>
  <c r="F74" i="12"/>
  <c r="E74" i="12"/>
  <c r="D74" i="12"/>
  <c r="C74" i="12"/>
  <c r="B74" i="12"/>
  <c r="A74" i="12"/>
  <c r="F73" i="12"/>
  <c r="E73" i="12"/>
  <c r="D73" i="12"/>
  <c r="C73" i="12"/>
  <c r="B73" i="12"/>
  <c r="A73" i="12"/>
  <c r="F72" i="12"/>
  <c r="E72" i="12"/>
  <c r="D72" i="12"/>
  <c r="C72" i="12"/>
  <c r="B72" i="12"/>
  <c r="G72" i="12" s="1"/>
  <c r="A72" i="12"/>
  <c r="F71" i="12"/>
  <c r="E71" i="12"/>
  <c r="D71" i="12"/>
  <c r="C71" i="12"/>
  <c r="B71" i="12"/>
  <c r="A71" i="12"/>
  <c r="F70" i="12"/>
  <c r="E70" i="12"/>
  <c r="D70" i="12"/>
  <c r="C70" i="12"/>
  <c r="B70" i="12"/>
  <c r="A70" i="12"/>
  <c r="F69" i="12"/>
  <c r="E69" i="12"/>
  <c r="D69" i="12"/>
  <c r="C69" i="12"/>
  <c r="B69" i="12"/>
  <c r="A69" i="12"/>
  <c r="F68" i="12"/>
  <c r="E68" i="12"/>
  <c r="D68" i="12"/>
  <c r="C68" i="12"/>
  <c r="B68" i="12"/>
  <c r="A68" i="12"/>
  <c r="F67" i="12"/>
  <c r="E67" i="12"/>
  <c r="D67" i="12"/>
  <c r="C67" i="12"/>
  <c r="B67" i="12"/>
  <c r="G67" i="12" s="1"/>
  <c r="A67" i="12"/>
  <c r="F66" i="12"/>
  <c r="E66" i="12"/>
  <c r="D66" i="12"/>
  <c r="C66" i="12"/>
  <c r="B66" i="12"/>
  <c r="A66" i="12"/>
  <c r="F65" i="12"/>
  <c r="E65" i="12"/>
  <c r="D65" i="12"/>
  <c r="C65" i="12"/>
  <c r="B65" i="12"/>
  <c r="A65" i="12"/>
  <c r="F64" i="12"/>
  <c r="E64" i="12"/>
  <c r="D64" i="12"/>
  <c r="C64" i="12"/>
  <c r="B64" i="12"/>
  <c r="A64" i="12"/>
  <c r="F63" i="12"/>
  <c r="E63" i="12"/>
  <c r="D63" i="12"/>
  <c r="C63" i="12"/>
  <c r="B63" i="12"/>
  <c r="A63" i="12"/>
  <c r="F62" i="12"/>
  <c r="E62" i="12"/>
  <c r="D62" i="12"/>
  <c r="C62" i="12"/>
  <c r="B62" i="12"/>
  <c r="A62" i="12"/>
  <c r="F61" i="12"/>
  <c r="E61" i="12"/>
  <c r="D61" i="12"/>
  <c r="C61" i="12"/>
  <c r="B61" i="12"/>
  <c r="A61" i="12"/>
  <c r="F60" i="12"/>
  <c r="E60" i="12"/>
  <c r="D60" i="12"/>
  <c r="C60" i="12"/>
  <c r="B60" i="12"/>
  <c r="G60" i="12" s="1"/>
  <c r="A60" i="12"/>
  <c r="F59" i="12"/>
  <c r="E59" i="12"/>
  <c r="D59" i="12"/>
  <c r="C59" i="12"/>
  <c r="B59" i="12"/>
  <c r="A59" i="12"/>
  <c r="F58" i="12"/>
  <c r="E58" i="12"/>
  <c r="D58" i="12"/>
  <c r="C58" i="12"/>
  <c r="B58" i="12"/>
  <c r="A58" i="12"/>
  <c r="F57" i="12"/>
  <c r="E57" i="12"/>
  <c r="D57" i="12"/>
  <c r="C57" i="12"/>
  <c r="B57" i="12"/>
  <c r="A57" i="12"/>
  <c r="F56" i="12"/>
  <c r="E56" i="12"/>
  <c r="D56" i="12"/>
  <c r="C56" i="12"/>
  <c r="B56" i="12"/>
  <c r="A56" i="12"/>
  <c r="F55" i="12"/>
  <c r="E55" i="12"/>
  <c r="D55" i="12"/>
  <c r="C55" i="12"/>
  <c r="B55" i="12"/>
  <c r="A55" i="12"/>
  <c r="F54" i="12"/>
  <c r="E54" i="12"/>
  <c r="D54" i="12"/>
  <c r="C54" i="12"/>
  <c r="B54" i="12"/>
  <c r="A54" i="12"/>
  <c r="F53" i="12"/>
  <c r="E53" i="12"/>
  <c r="D53" i="12"/>
  <c r="C53" i="12"/>
  <c r="B53" i="12"/>
  <c r="A53" i="12"/>
  <c r="F52" i="12"/>
  <c r="E52" i="12"/>
  <c r="D52" i="12"/>
  <c r="C52" i="12"/>
  <c r="B52" i="12"/>
  <c r="A52" i="12"/>
  <c r="F51" i="12"/>
  <c r="E51" i="12"/>
  <c r="D51" i="12"/>
  <c r="C51" i="12"/>
  <c r="B51" i="12"/>
  <c r="A51" i="12"/>
  <c r="F50" i="12"/>
  <c r="E50" i="12"/>
  <c r="D50" i="12"/>
  <c r="C50" i="12"/>
  <c r="B50" i="12"/>
  <c r="A50" i="12"/>
  <c r="F49" i="12"/>
  <c r="E49" i="12"/>
  <c r="D49" i="12"/>
  <c r="C49" i="12"/>
  <c r="B49" i="12"/>
  <c r="A49" i="12"/>
  <c r="F48" i="12"/>
  <c r="E48" i="12"/>
  <c r="D48" i="12"/>
  <c r="C48" i="12"/>
  <c r="B48" i="12"/>
  <c r="A48" i="12"/>
  <c r="F47" i="12"/>
  <c r="E47" i="12"/>
  <c r="D47" i="12"/>
  <c r="C47" i="12"/>
  <c r="B47" i="12"/>
  <c r="A47" i="12"/>
  <c r="F46" i="12"/>
  <c r="E46" i="12"/>
  <c r="D46" i="12"/>
  <c r="C46" i="12"/>
  <c r="B46" i="12"/>
  <c r="A46" i="12"/>
  <c r="F45" i="12"/>
  <c r="E45" i="12"/>
  <c r="D45" i="12"/>
  <c r="C45" i="12"/>
  <c r="B45" i="12"/>
  <c r="A45" i="12"/>
  <c r="F44" i="12"/>
  <c r="E44" i="12"/>
  <c r="D44" i="12"/>
  <c r="C44" i="12"/>
  <c r="B44" i="12"/>
  <c r="A44" i="12"/>
  <c r="F43" i="12"/>
  <c r="E43" i="12"/>
  <c r="D43" i="12"/>
  <c r="C43" i="12"/>
  <c r="B43" i="12"/>
  <c r="A43" i="12"/>
  <c r="F42" i="12"/>
  <c r="E42" i="12"/>
  <c r="D42" i="12"/>
  <c r="C42" i="12"/>
  <c r="B42" i="12"/>
  <c r="A42" i="12"/>
  <c r="F41" i="12"/>
  <c r="E41" i="12"/>
  <c r="D41" i="12"/>
  <c r="C41" i="12"/>
  <c r="B41" i="12"/>
  <c r="A41" i="12"/>
  <c r="F40" i="12"/>
  <c r="E40" i="12"/>
  <c r="D40" i="12"/>
  <c r="C40" i="12"/>
  <c r="B40" i="12"/>
  <c r="G40" i="12" s="1"/>
  <c r="A40" i="12"/>
  <c r="F39" i="12"/>
  <c r="E39" i="12"/>
  <c r="D39" i="12"/>
  <c r="C39" i="12"/>
  <c r="B39" i="12"/>
  <c r="A39" i="12"/>
  <c r="F38" i="12"/>
  <c r="E38" i="12"/>
  <c r="D38" i="12"/>
  <c r="C38" i="12"/>
  <c r="B38" i="12"/>
  <c r="A38" i="12"/>
  <c r="F37" i="12"/>
  <c r="E37" i="12"/>
  <c r="D37" i="12"/>
  <c r="C37" i="12"/>
  <c r="B37" i="12"/>
  <c r="A37" i="12"/>
  <c r="F36" i="12"/>
  <c r="E36" i="12"/>
  <c r="D36" i="12"/>
  <c r="C36" i="12"/>
  <c r="B36" i="12"/>
  <c r="A36" i="12"/>
  <c r="F35" i="12"/>
  <c r="E35" i="12"/>
  <c r="D35" i="12"/>
  <c r="C35" i="12"/>
  <c r="B35" i="12"/>
  <c r="G35" i="12" s="1"/>
  <c r="A35" i="12"/>
  <c r="F34" i="12"/>
  <c r="E34" i="12"/>
  <c r="D34" i="12"/>
  <c r="C34" i="12"/>
  <c r="B34" i="12"/>
  <c r="A34" i="12"/>
  <c r="F33" i="12"/>
  <c r="E33" i="12"/>
  <c r="D33" i="12"/>
  <c r="C33" i="12"/>
  <c r="B33" i="12"/>
  <c r="A33" i="12"/>
  <c r="F32" i="12"/>
  <c r="E32" i="12"/>
  <c r="D32" i="12"/>
  <c r="C32" i="12"/>
  <c r="B32" i="12"/>
  <c r="A32" i="12"/>
  <c r="F31" i="12"/>
  <c r="E31" i="12"/>
  <c r="D31" i="12"/>
  <c r="C31" i="12"/>
  <c r="B31" i="12"/>
  <c r="A31" i="12"/>
  <c r="F30" i="12"/>
  <c r="E30" i="12"/>
  <c r="D30" i="12"/>
  <c r="C30" i="12"/>
  <c r="B30" i="12"/>
  <c r="A30" i="12"/>
  <c r="F29" i="12"/>
  <c r="E29" i="12"/>
  <c r="D29" i="12"/>
  <c r="C29" i="12"/>
  <c r="B29" i="12"/>
  <c r="A29" i="12"/>
  <c r="F28" i="12"/>
  <c r="E28" i="12"/>
  <c r="D28" i="12"/>
  <c r="C28" i="12"/>
  <c r="B28" i="12"/>
  <c r="G28" i="12" s="1"/>
  <c r="A28" i="12"/>
  <c r="F27" i="12"/>
  <c r="E27" i="12"/>
  <c r="D27" i="12"/>
  <c r="C27" i="12"/>
  <c r="B27" i="12"/>
  <c r="A27" i="12"/>
  <c r="F26" i="12"/>
  <c r="E26" i="12"/>
  <c r="D26" i="12"/>
  <c r="C26" i="12"/>
  <c r="B26" i="12"/>
  <c r="A26" i="12"/>
  <c r="F25" i="12"/>
  <c r="E25" i="12"/>
  <c r="D25" i="12"/>
  <c r="C25" i="12"/>
  <c r="B25" i="12"/>
  <c r="A25" i="12"/>
  <c r="F24" i="12"/>
  <c r="E24" i="12"/>
  <c r="D24" i="12"/>
  <c r="C24" i="12"/>
  <c r="B24" i="12"/>
  <c r="A24" i="12"/>
  <c r="F23" i="12"/>
  <c r="E23" i="12"/>
  <c r="D23" i="12"/>
  <c r="C23" i="12"/>
  <c r="B23" i="12"/>
  <c r="A23" i="12"/>
  <c r="F22" i="12"/>
  <c r="E22" i="12"/>
  <c r="D22" i="12"/>
  <c r="C22" i="12"/>
  <c r="B22" i="12"/>
  <c r="A22" i="12"/>
  <c r="F21" i="12"/>
  <c r="E21" i="12"/>
  <c r="D21" i="12"/>
  <c r="C21" i="12"/>
  <c r="B21" i="12"/>
  <c r="A21" i="12"/>
  <c r="F20" i="12"/>
  <c r="E20" i="12"/>
  <c r="D20" i="12"/>
  <c r="C20" i="12"/>
  <c r="B20" i="12"/>
  <c r="A20" i="12"/>
  <c r="F19" i="12"/>
  <c r="E19" i="12"/>
  <c r="D19" i="12"/>
  <c r="C19" i="12"/>
  <c r="B19" i="12"/>
  <c r="A19" i="12"/>
  <c r="F18" i="12"/>
  <c r="E18" i="12"/>
  <c r="D18" i="12"/>
  <c r="C18" i="12"/>
  <c r="B18" i="12"/>
  <c r="A18" i="12"/>
  <c r="F17" i="12"/>
  <c r="E17" i="12"/>
  <c r="D17" i="12"/>
  <c r="C17" i="12"/>
  <c r="B17" i="12"/>
  <c r="A17" i="12"/>
  <c r="F16" i="12"/>
  <c r="E16" i="12"/>
  <c r="D16" i="12"/>
  <c r="C16" i="12"/>
  <c r="B16" i="12"/>
  <c r="A16" i="12"/>
  <c r="F15" i="12"/>
  <c r="E15" i="12"/>
  <c r="D15" i="12"/>
  <c r="C15" i="12"/>
  <c r="B15" i="12"/>
  <c r="A15" i="12"/>
  <c r="F14" i="12"/>
  <c r="E14" i="12"/>
  <c r="D14" i="12"/>
  <c r="C14" i="12"/>
  <c r="B14" i="12"/>
  <c r="A14" i="12"/>
  <c r="F13" i="12"/>
  <c r="E13" i="12"/>
  <c r="D13" i="12"/>
  <c r="C13" i="12"/>
  <c r="B13" i="12"/>
  <c r="A13" i="12"/>
  <c r="F12" i="12"/>
  <c r="E12" i="12"/>
  <c r="D12" i="12"/>
  <c r="C12" i="12"/>
  <c r="B12" i="12"/>
  <c r="A12" i="12"/>
  <c r="F11" i="12"/>
  <c r="E11" i="12"/>
  <c r="D11" i="12"/>
  <c r="C11" i="12"/>
  <c r="B11" i="12"/>
  <c r="A11" i="12"/>
  <c r="F10" i="12"/>
  <c r="E10" i="12"/>
  <c r="D10" i="12"/>
  <c r="C10" i="12"/>
  <c r="B10" i="12"/>
  <c r="A10" i="12"/>
  <c r="F9" i="12"/>
  <c r="E9" i="12"/>
  <c r="D9" i="12"/>
  <c r="C9" i="12"/>
  <c r="B9" i="12"/>
  <c r="A9" i="12"/>
  <c r="F8" i="12"/>
  <c r="E8" i="12"/>
  <c r="D8" i="12"/>
  <c r="C8" i="12"/>
  <c r="B8" i="12"/>
  <c r="A8" i="12"/>
  <c r="F7" i="12"/>
  <c r="E7" i="12"/>
  <c r="D7" i="12"/>
  <c r="C7" i="12"/>
  <c r="B7" i="12"/>
  <c r="A7" i="12"/>
  <c r="F6" i="12"/>
  <c r="E6" i="12"/>
  <c r="D6" i="12"/>
  <c r="C6" i="12"/>
  <c r="B6" i="12"/>
  <c r="A6" i="12"/>
  <c r="F5" i="12"/>
  <c r="E5" i="12"/>
  <c r="D5" i="12"/>
  <c r="C5" i="12"/>
  <c r="B5" i="12"/>
  <c r="A5" i="12"/>
  <c r="F4" i="12"/>
  <c r="E4" i="12"/>
  <c r="D4" i="12"/>
  <c r="C4" i="12"/>
  <c r="B4" i="12"/>
  <c r="A4" i="12"/>
  <c r="F3" i="12"/>
  <c r="E3" i="12"/>
  <c r="D3" i="12"/>
  <c r="C3" i="12"/>
  <c r="B3" i="12"/>
  <c r="A3" i="12"/>
  <c r="F2" i="12"/>
  <c r="E2" i="12"/>
  <c r="D2" i="12"/>
  <c r="C2" i="12"/>
  <c r="B2" i="12"/>
  <c r="G8" i="12" s="1"/>
  <c r="A2" i="12"/>
  <c r="A320" i="11"/>
  <c r="F320" i="11" s="1"/>
  <c r="A319" i="11"/>
  <c r="F319" i="11" s="1"/>
  <c r="A318" i="11"/>
  <c r="F318" i="11" s="1"/>
  <c r="F317" i="11"/>
  <c r="A317" i="11"/>
  <c r="A316" i="11"/>
  <c r="F316" i="11" s="1"/>
  <c r="A315" i="11"/>
  <c r="F315" i="11" s="1"/>
  <c r="A314" i="11"/>
  <c r="F314" i="11" s="1"/>
  <c r="F313" i="11"/>
  <c r="A313" i="11"/>
  <c r="A312" i="11"/>
  <c r="F312" i="11" s="1"/>
  <c r="A311" i="11"/>
  <c r="F311" i="11" s="1"/>
  <c r="A310" i="11"/>
  <c r="F310" i="11" s="1"/>
  <c r="F309" i="11"/>
  <c r="A309" i="11"/>
  <c r="A308" i="11"/>
  <c r="F308" i="11" s="1"/>
  <c r="A307" i="11"/>
  <c r="F307" i="11" s="1"/>
  <c r="A306" i="11"/>
  <c r="F306" i="11" s="1"/>
  <c r="F305" i="11"/>
  <c r="A305" i="11"/>
  <c r="A304" i="11"/>
  <c r="F304" i="11" s="1"/>
  <c r="A303" i="11"/>
  <c r="F303" i="11" s="1"/>
  <c r="A302" i="11"/>
  <c r="F302" i="11" s="1"/>
  <c r="F301" i="11"/>
  <c r="A301" i="11"/>
  <c r="A300" i="11"/>
  <c r="F300" i="11" s="1"/>
  <c r="A299" i="11"/>
  <c r="F299" i="11" s="1"/>
  <c r="A298" i="11"/>
  <c r="F298" i="11" s="1"/>
  <c r="F297" i="11"/>
  <c r="A297" i="11"/>
  <c r="A296" i="11"/>
  <c r="F296" i="11" s="1"/>
  <c r="A295" i="11"/>
  <c r="F295" i="11" s="1"/>
  <c r="A294" i="11"/>
  <c r="F294" i="11" s="1"/>
  <c r="F293" i="11"/>
  <c r="A293" i="11"/>
  <c r="A292" i="11"/>
  <c r="F292" i="11" s="1"/>
  <c r="A291" i="11"/>
  <c r="F291" i="11" s="1"/>
  <c r="A290" i="11"/>
  <c r="F290" i="11" s="1"/>
  <c r="F289" i="11"/>
  <c r="A289" i="11"/>
  <c r="A288" i="11"/>
  <c r="F288" i="11" s="1"/>
  <c r="A287" i="11"/>
  <c r="F287" i="11" s="1"/>
  <c r="A286" i="11"/>
  <c r="F286" i="11" s="1"/>
  <c r="F285" i="11"/>
  <c r="A285" i="11"/>
  <c r="A284" i="11"/>
  <c r="F284" i="11" s="1"/>
  <c r="A283" i="11"/>
  <c r="F283" i="11" s="1"/>
  <c r="A282" i="11"/>
  <c r="F282" i="11" s="1"/>
  <c r="F281" i="11"/>
  <c r="A281" i="11"/>
  <c r="A280" i="11"/>
  <c r="F280" i="11" s="1"/>
  <c r="A279" i="11"/>
  <c r="F279" i="11" s="1"/>
  <c r="A278" i="11"/>
  <c r="F278" i="11" s="1"/>
  <c r="F277" i="11"/>
  <c r="A277" i="11"/>
  <c r="A276" i="11"/>
  <c r="F276" i="11" s="1"/>
  <c r="A275" i="11"/>
  <c r="F275" i="11" s="1"/>
  <c r="A274" i="11"/>
  <c r="F274" i="11" s="1"/>
  <c r="F273" i="11"/>
  <c r="A273" i="11"/>
  <c r="A272" i="11"/>
  <c r="F272" i="11" s="1"/>
  <c r="A271" i="11"/>
  <c r="F271" i="11" s="1"/>
  <c r="A270" i="11"/>
  <c r="F270" i="11" s="1"/>
  <c r="F269" i="11"/>
  <c r="A269" i="11"/>
  <c r="A268" i="11"/>
  <c r="F268" i="11" s="1"/>
  <c r="A267" i="11"/>
  <c r="F267" i="11" s="1"/>
  <c r="A266" i="11"/>
  <c r="F266" i="11" s="1"/>
  <c r="F265" i="11"/>
  <c r="A265" i="11"/>
  <c r="A264" i="11"/>
  <c r="F264" i="11" s="1"/>
  <c r="A263" i="11"/>
  <c r="F263" i="11" s="1"/>
  <c r="A262" i="11"/>
  <c r="F262" i="11" s="1"/>
  <c r="F261" i="11"/>
  <c r="A261" i="11"/>
  <c r="A260" i="11"/>
  <c r="F260" i="11" s="1"/>
  <c r="A259" i="11"/>
  <c r="F259" i="11" s="1"/>
  <c r="A258" i="11"/>
  <c r="F258" i="11" s="1"/>
  <c r="F257" i="11"/>
  <c r="A257" i="11"/>
  <c r="A256" i="11"/>
  <c r="F256" i="11" s="1"/>
  <c r="A255" i="11"/>
  <c r="F255" i="11" s="1"/>
  <c r="A254" i="11"/>
  <c r="F254" i="11" s="1"/>
  <c r="F253" i="11"/>
  <c r="A253" i="11"/>
  <c r="A252" i="11"/>
  <c r="F252" i="11" s="1"/>
  <c r="A251" i="11"/>
  <c r="F251" i="11" s="1"/>
  <c r="A250" i="11"/>
  <c r="F250" i="11" s="1"/>
  <c r="F249" i="11"/>
  <c r="A249" i="11"/>
  <c r="A248" i="11"/>
  <c r="F248" i="11" s="1"/>
  <c r="A247" i="11"/>
  <c r="F247" i="11" s="1"/>
  <c r="A246" i="11"/>
  <c r="F246" i="11" s="1"/>
  <c r="F245" i="11"/>
  <c r="A245" i="11"/>
  <c r="A244" i="11"/>
  <c r="F244" i="11" s="1"/>
  <c r="A243" i="11"/>
  <c r="F243" i="11" s="1"/>
  <c r="A242" i="11"/>
  <c r="F242" i="11" s="1"/>
  <c r="F241" i="11"/>
  <c r="A241" i="11"/>
  <c r="A240" i="11"/>
  <c r="F240" i="11" s="1"/>
  <c r="A239" i="11"/>
  <c r="F239" i="11" s="1"/>
  <c r="A238" i="11"/>
  <c r="F238" i="11" s="1"/>
  <c r="F237" i="11"/>
  <c r="A237" i="11"/>
  <c r="A236" i="11"/>
  <c r="F236" i="11" s="1"/>
  <c r="A235" i="11"/>
  <c r="F235" i="11" s="1"/>
  <c r="A234" i="11"/>
  <c r="F234" i="11" s="1"/>
  <c r="F233" i="11"/>
  <c r="A233" i="11"/>
  <c r="A232" i="11"/>
  <c r="F232" i="11" s="1"/>
  <c r="A231" i="11"/>
  <c r="F231" i="11" s="1"/>
  <c r="A230" i="11"/>
  <c r="F230" i="11" s="1"/>
  <c r="F229" i="11"/>
  <c r="A229" i="11"/>
  <c r="A228" i="11"/>
  <c r="F228" i="11" s="1"/>
  <c r="A227" i="11"/>
  <c r="F227" i="11" s="1"/>
  <c r="A226" i="11"/>
  <c r="F226" i="11" s="1"/>
  <c r="F225" i="11"/>
  <c r="A225" i="11"/>
  <c r="A224" i="11"/>
  <c r="F224" i="11" s="1"/>
  <c r="A223" i="11"/>
  <c r="F223" i="11" s="1"/>
  <c r="A222" i="11"/>
  <c r="F222" i="11" s="1"/>
  <c r="F221" i="11"/>
  <c r="A221" i="11"/>
  <c r="A220" i="11"/>
  <c r="F220" i="11" s="1"/>
  <c r="A219" i="11"/>
  <c r="F219" i="11" s="1"/>
  <c r="A218" i="11"/>
  <c r="F218" i="11" s="1"/>
  <c r="F217" i="11"/>
  <c r="A217" i="11"/>
  <c r="A216" i="11"/>
  <c r="F216" i="11" s="1"/>
  <c r="A215" i="11"/>
  <c r="F215" i="11" s="1"/>
  <c r="A214" i="11"/>
  <c r="F214" i="11" s="1"/>
  <c r="F213" i="11"/>
  <c r="A213" i="11"/>
  <c r="A212" i="11"/>
  <c r="F212" i="11" s="1"/>
  <c r="A211" i="11"/>
  <c r="F211" i="11" s="1"/>
  <c r="A210" i="11"/>
  <c r="F210" i="11" s="1"/>
  <c r="F209" i="11"/>
  <c r="A209" i="11"/>
  <c r="A208" i="11"/>
  <c r="F208" i="11" s="1"/>
  <c r="A207" i="11"/>
  <c r="F207" i="11" s="1"/>
  <c r="A206" i="11"/>
  <c r="F206" i="11" s="1"/>
  <c r="F205" i="11"/>
  <c r="A205" i="11"/>
  <c r="A204" i="11"/>
  <c r="F204" i="11" s="1"/>
  <c r="A203" i="11"/>
  <c r="F203" i="11" s="1"/>
  <c r="A202" i="11"/>
  <c r="F202" i="11" s="1"/>
  <c r="F201" i="11"/>
  <c r="A201" i="11"/>
  <c r="A200" i="11"/>
  <c r="F200" i="11" s="1"/>
  <c r="A199" i="11"/>
  <c r="F199" i="11" s="1"/>
  <c r="A198" i="11"/>
  <c r="F198" i="11" s="1"/>
  <c r="F197" i="11"/>
  <c r="A197" i="11"/>
  <c r="A196" i="11"/>
  <c r="F196" i="11" s="1"/>
  <c r="A195" i="11"/>
  <c r="F195" i="11" s="1"/>
  <c r="A194" i="11"/>
  <c r="F194" i="11" s="1"/>
  <c r="F193" i="11"/>
  <c r="A193" i="11"/>
  <c r="A192" i="11"/>
  <c r="F192" i="11" s="1"/>
  <c r="A191" i="11"/>
  <c r="F191" i="11" s="1"/>
  <c r="A190" i="11"/>
  <c r="F190" i="11" s="1"/>
  <c r="F189" i="11"/>
  <c r="A189" i="11"/>
  <c r="A188" i="11"/>
  <c r="F188" i="11" s="1"/>
  <c r="A187" i="11"/>
  <c r="F187" i="11" s="1"/>
  <c r="A186" i="11"/>
  <c r="F186" i="11" s="1"/>
  <c r="F185" i="11"/>
  <c r="A185" i="11"/>
  <c r="A184" i="11"/>
  <c r="F184" i="11" s="1"/>
  <c r="A183" i="11"/>
  <c r="F183" i="11" s="1"/>
  <c r="A182" i="11"/>
  <c r="F182" i="11" s="1"/>
  <c r="F181" i="11"/>
  <c r="A181" i="11"/>
  <c r="A180" i="11"/>
  <c r="F180" i="11" s="1"/>
  <c r="A179" i="11"/>
  <c r="F179" i="11" s="1"/>
  <c r="A178" i="11"/>
  <c r="F178" i="11" s="1"/>
  <c r="F177" i="11"/>
  <c r="A177" i="11"/>
  <c r="A176" i="11"/>
  <c r="F176" i="11" s="1"/>
  <c r="A175" i="11"/>
  <c r="F175" i="11" s="1"/>
  <c r="A174" i="11"/>
  <c r="F174" i="11" s="1"/>
  <c r="F173" i="11"/>
  <c r="A173" i="11"/>
  <c r="A172" i="11"/>
  <c r="F172" i="11" s="1"/>
  <c r="A171" i="11"/>
  <c r="F171" i="11" s="1"/>
  <c r="A170" i="11"/>
  <c r="F170" i="11" s="1"/>
  <c r="F169" i="11"/>
  <c r="A169" i="11"/>
  <c r="A168" i="11"/>
  <c r="F168" i="11" s="1"/>
  <c r="A167" i="11"/>
  <c r="F167" i="11" s="1"/>
  <c r="A166" i="11"/>
  <c r="F166" i="11" s="1"/>
  <c r="F165" i="11"/>
  <c r="A165" i="11"/>
  <c r="A164" i="11"/>
  <c r="F164" i="11" s="1"/>
  <c r="A163" i="11"/>
  <c r="F163" i="11" s="1"/>
  <c r="A162" i="11"/>
  <c r="F162" i="11" s="1"/>
  <c r="F161" i="11"/>
  <c r="A161" i="11"/>
  <c r="A160" i="11"/>
  <c r="F160" i="11" s="1"/>
  <c r="A159" i="11"/>
  <c r="F159" i="11" s="1"/>
  <c r="A158" i="11"/>
  <c r="F158" i="11" s="1"/>
  <c r="F157" i="11"/>
  <c r="A157" i="11"/>
  <c r="A156" i="11"/>
  <c r="F156" i="11" s="1"/>
  <c r="A155" i="11"/>
  <c r="F155" i="11" s="1"/>
  <c r="A154" i="11"/>
  <c r="F154" i="11" s="1"/>
  <c r="F153" i="11"/>
  <c r="A153" i="11"/>
  <c r="A152" i="11"/>
  <c r="F152" i="11" s="1"/>
  <c r="A151" i="11"/>
  <c r="F151" i="11" s="1"/>
  <c r="A150" i="11"/>
  <c r="F150" i="11" s="1"/>
  <c r="A149" i="11"/>
  <c r="F149" i="11" s="1"/>
  <c r="A148" i="11"/>
  <c r="F148" i="11" s="1"/>
  <c r="A147" i="11"/>
  <c r="F147" i="11" s="1"/>
  <c r="A146" i="11"/>
  <c r="F146" i="11" s="1"/>
  <c r="A145" i="11"/>
  <c r="F145" i="11" s="1"/>
  <c r="A144" i="11"/>
  <c r="F144" i="11" s="1"/>
  <c r="A143" i="11"/>
  <c r="F143" i="11" s="1"/>
  <c r="A142" i="11"/>
  <c r="F142" i="11" s="1"/>
  <c r="A141" i="11"/>
  <c r="F141" i="11" s="1"/>
  <c r="A140" i="11"/>
  <c r="F140" i="11" s="1"/>
  <c r="A139" i="11"/>
  <c r="F139" i="11" s="1"/>
  <c r="A138" i="11"/>
  <c r="F138" i="11" s="1"/>
  <c r="A137" i="11"/>
  <c r="F137" i="11" s="1"/>
  <c r="A136" i="11"/>
  <c r="F136" i="11" s="1"/>
  <c r="A135" i="11"/>
  <c r="F135" i="11" s="1"/>
  <c r="A134" i="11"/>
  <c r="F134" i="11" s="1"/>
  <c r="A133" i="11"/>
  <c r="F133" i="11" s="1"/>
  <c r="A132" i="11"/>
  <c r="F132" i="11" s="1"/>
  <c r="A131" i="11"/>
  <c r="F131" i="11" s="1"/>
  <c r="A130" i="11"/>
  <c r="F130" i="11" s="1"/>
  <c r="A129" i="11"/>
  <c r="F129" i="11" s="1"/>
  <c r="A128" i="11"/>
  <c r="F128" i="11" s="1"/>
  <c r="A127" i="11"/>
  <c r="F127" i="11" s="1"/>
  <c r="A126" i="11"/>
  <c r="F126" i="11" s="1"/>
  <c r="A125" i="11"/>
  <c r="F125" i="11" s="1"/>
  <c r="A124" i="11"/>
  <c r="F124" i="11" s="1"/>
  <c r="A123" i="11"/>
  <c r="F123" i="11" s="1"/>
  <c r="A122" i="11"/>
  <c r="F122" i="11" s="1"/>
  <c r="A121" i="11"/>
  <c r="F121" i="11" s="1"/>
  <c r="A120" i="11"/>
  <c r="F120" i="11" s="1"/>
  <c r="A119" i="11"/>
  <c r="F119" i="11" s="1"/>
  <c r="A118" i="11"/>
  <c r="F118" i="11" s="1"/>
  <c r="A117" i="11"/>
  <c r="F117" i="11" s="1"/>
  <c r="A116" i="11"/>
  <c r="F116" i="11" s="1"/>
  <c r="A115" i="11"/>
  <c r="F115" i="11" s="1"/>
  <c r="A114" i="11"/>
  <c r="F114" i="11" s="1"/>
  <c r="A113" i="11"/>
  <c r="F113" i="11" s="1"/>
  <c r="A112" i="11"/>
  <c r="F112" i="11" s="1"/>
  <c r="A111" i="11"/>
  <c r="F111" i="11" s="1"/>
  <c r="A110" i="11"/>
  <c r="F110" i="11" s="1"/>
  <c r="A109" i="11"/>
  <c r="F109" i="11" s="1"/>
  <c r="A108" i="11"/>
  <c r="F108" i="11" s="1"/>
  <c r="A107" i="11"/>
  <c r="F107" i="11" s="1"/>
  <c r="A106" i="11"/>
  <c r="F106" i="11" s="1"/>
  <c r="A105" i="11"/>
  <c r="F105" i="11" s="1"/>
  <c r="A104" i="11"/>
  <c r="F104" i="11" s="1"/>
  <c r="A103" i="11"/>
  <c r="F103" i="11" s="1"/>
  <c r="A102" i="11"/>
  <c r="F102" i="11" s="1"/>
  <c r="A101" i="11"/>
  <c r="F101" i="11" s="1"/>
  <c r="A100" i="11"/>
  <c r="F100" i="11" s="1"/>
  <c r="A99" i="11"/>
  <c r="F99" i="11" s="1"/>
  <c r="A98" i="11"/>
  <c r="F98" i="11" s="1"/>
  <c r="A97" i="11"/>
  <c r="F97" i="11" s="1"/>
  <c r="A96" i="11"/>
  <c r="F96" i="11" s="1"/>
  <c r="A95" i="11"/>
  <c r="F95" i="11" s="1"/>
  <c r="A94" i="11"/>
  <c r="F94" i="11" s="1"/>
  <c r="A93" i="11"/>
  <c r="F93" i="11" s="1"/>
  <c r="A92" i="11"/>
  <c r="F92" i="11" s="1"/>
  <c r="A91" i="11"/>
  <c r="F91" i="11" s="1"/>
  <c r="A90" i="11"/>
  <c r="F90" i="11" s="1"/>
  <c r="A89" i="11"/>
  <c r="F89" i="11" s="1"/>
  <c r="A88" i="11"/>
  <c r="F88" i="11" s="1"/>
  <c r="A87" i="11"/>
  <c r="F87" i="11" s="1"/>
  <c r="A86" i="11"/>
  <c r="F86" i="11" s="1"/>
  <c r="A85" i="11"/>
  <c r="F85" i="11" s="1"/>
  <c r="A84" i="11"/>
  <c r="F84" i="11" s="1"/>
  <c r="A83" i="11"/>
  <c r="F83" i="11" s="1"/>
  <c r="A82" i="11"/>
  <c r="F82" i="11" s="1"/>
  <c r="A81" i="11"/>
  <c r="F81" i="11" s="1"/>
  <c r="A80" i="11"/>
  <c r="F80" i="11" s="1"/>
  <c r="A79" i="11"/>
  <c r="F79" i="11" s="1"/>
  <c r="A78" i="11"/>
  <c r="F78" i="11" s="1"/>
  <c r="A77" i="11"/>
  <c r="F77" i="11" s="1"/>
  <c r="A76" i="11"/>
  <c r="F76" i="11" s="1"/>
  <c r="A75" i="11"/>
  <c r="F75" i="11" s="1"/>
  <c r="A74" i="11"/>
  <c r="F74" i="11" s="1"/>
  <c r="A73" i="11"/>
  <c r="F73" i="11" s="1"/>
  <c r="A72" i="11"/>
  <c r="F72" i="11" s="1"/>
  <c r="A71" i="11"/>
  <c r="F71" i="11" s="1"/>
  <c r="A70" i="11"/>
  <c r="F70" i="11" s="1"/>
  <c r="A69" i="11"/>
  <c r="F69" i="11" s="1"/>
  <c r="A68" i="11"/>
  <c r="F68" i="11" s="1"/>
  <c r="A67" i="11"/>
  <c r="F67" i="11" s="1"/>
  <c r="A66" i="11"/>
  <c r="F66" i="11" s="1"/>
  <c r="A65" i="11"/>
  <c r="F65" i="11" s="1"/>
  <c r="A64" i="11"/>
  <c r="F64" i="11" s="1"/>
  <c r="A63" i="11"/>
  <c r="F63" i="11" s="1"/>
  <c r="A62" i="11"/>
  <c r="F62" i="11" s="1"/>
  <c r="A61" i="11"/>
  <c r="F61" i="11" s="1"/>
  <c r="A60" i="11"/>
  <c r="F60" i="11" s="1"/>
  <c r="A59" i="11"/>
  <c r="F59" i="11" s="1"/>
  <c r="A58" i="11"/>
  <c r="F58" i="11" s="1"/>
  <c r="A57" i="11"/>
  <c r="F57" i="11" s="1"/>
  <c r="A56" i="11"/>
  <c r="F56" i="11" s="1"/>
  <c r="A55" i="11"/>
  <c r="F55" i="11" s="1"/>
  <c r="A54" i="11"/>
  <c r="F54" i="11" s="1"/>
  <c r="A53" i="11"/>
  <c r="F53" i="11" s="1"/>
  <c r="A52" i="11"/>
  <c r="F52" i="11" s="1"/>
  <c r="A51" i="11"/>
  <c r="F51" i="11" s="1"/>
  <c r="A50" i="11"/>
  <c r="F50" i="11" s="1"/>
  <c r="A49" i="11"/>
  <c r="F49" i="11" s="1"/>
  <c r="A48" i="11"/>
  <c r="F48" i="11" s="1"/>
  <c r="A47" i="11"/>
  <c r="F47" i="11" s="1"/>
  <c r="A46" i="11"/>
  <c r="F46" i="11" s="1"/>
  <c r="A45" i="11"/>
  <c r="F45" i="11" s="1"/>
  <c r="A44" i="11"/>
  <c r="F44" i="11" s="1"/>
  <c r="A43" i="11"/>
  <c r="F43" i="11" s="1"/>
  <c r="A42" i="11"/>
  <c r="F42" i="11" s="1"/>
  <c r="A41" i="11"/>
  <c r="F41" i="11" s="1"/>
  <c r="A40" i="11"/>
  <c r="F40" i="11" s="1"/>
  <c r="A39" i="11"/>
  <c r="F39" i="11" s="1"/>
  <c r="A38" i="11"/>
  <c r="F38" i="11" s="1"/>
  <c r="A37" i="11"/>
  <c r="F37" i="11" s="1"/>
  <c r="A36" i="11"/>
  <c r="F36" i="11" s="1"/>
  <c r="A35" i="11"/>
  <c r="F35" i="11" s="1"/>
  <c r="A34" i="11"/>
  <c r="F34" i="11" s="1"/>
  <c r="A33" i="11"/>
  <c r="F33" i="11" s="1"/>
  <c r="A32" i="11"/>
  <c r="F32" i="11" s="1"/>
  <c r="A31" i="11"/>
  <c r="F31" i="11" s="1"/>
  <c r="A30" i="11"/>
  <c r="F30" i="11" s="1"/>
  <c r="A29" i="11"/>
  <c r="F29" i="11" s="1"/>
  <c r="A28" i="11"/>
  <c r="F28" i="11" s="1"/>
  <c r="A27" i="11"/>
  <c r="F27" i="11" s="1"/>
  <c r="A26" i="11"/>
  <c r="F26" i="11" s="1"/>
  <c r="A25" i="11"/>
  <c r="F25" i="11" s="1"/>
  <c r="A24" i="11"/>
  <c r="F24" i="11" s="1"/>
  <c r="A23" i="11"/>
  <c r="F23" i="11" s="1"/>
  <c r="A22" i="11"/>
  <c r="F22" i="11" s="1"/>
  <c r="A21" i="11"/>
  <c r="F21" i="11" s="1"/>
  <c r="A20" i="11"/>
  <c r="F20" i="11" s="1"/>
  <c r="A19" i="11"/>
  <c r="F19" i="11" s="1"/>
  <c r="A18" i="11"/>
  <c r="F18" i="11" s="1"/>
  <c r="A17" i="11"/>
  <c r="F17" i="11" s="1"/>
  <c r="A16" i="11"/>
  <c r="F16" i="11" s="1"/>
  <c r="A15" i="11"/>
  <c r="F15" i="11" s="1"/>
  <c r="A14" i="11"/>
  <c r="F14" i="11" s="1"/>
  <c r="A13" i="11"/>
  <c r="F13" i="11" s="1"/>
  <c r="A12" i="11"/>
  <c r="F12" i="11" s="1"/>
  <c r="A11" i="11"/>
  <c r="F11" i="11" s="1"/>
  <c r="A10" i="11"/>
  <c r="F10" i="11" s="1"/>
  <c r="A9" i="11"/>
  <c r="F9" i="11" s="1"/>
  <c r="A8" i="11"/>
  <c r="F8" i="11" s="1"/>
  <c r="A7" i="11"/>
  <c r="F7" i="11" s="1"/>
  <c r="A6" i="11"/>
  <c r="F6" i="11" s="1"/>
  <c r="A5" i="11"/>
  <c r="F5" i="11" s="1"/>
  <c r="A4" i="11"/>
  <c r="F4" i="11" s="1"/>
  <c r="A3" i="11"/>
  <c r="F3" i="11" s="1"/>
  <c r="A2" i="11"/>
  <c r="F2" i="11" s="1"/>
  <c r="D320" i="8"/>
  <c r="B320" i="8"/>
  <c r="A320" i="8"/>
  <c r="C320" i="8" s="1"/>
  <c r="D319" i="8"/>
  <c r="C319" i="8"/>
  <c r="B319" i="8"/>
  <c r="A319" i="8"/>
  <c r="B318" i="8"/>
  <c r="A318" i="8"/>
  <c r="D318" i="8" s="1"/>
  <c r="D317" i="8"/>
  <c r="C317" i="8"/>
  <c r="B317" i="8"/>
  <c r="A317" i="8"/>
  <c r="B316" i="8"/>
  <c r="A316" i="8"/>
  <c r="D316" i="8" s="1"/>
  <c r="D315" i="8"/>
  <c r="C315" i="8"/>
  <c r="B315" i="8"/>
  <c r="A315" i="8"/>
  <c r="B314" i="8"/>
  <c r="A314" i="8"/>
  <c r="D314" i="8" s="1"/>
  <c r="D313" i="8"/>
  <c r="C313" i="8"/>
  <c r="B313" i="8"/>
  <c r="A313" i="8"/>
  <c r="B312" i="8"/>
  <c r="A312" i="8"/>
  <c r="D312" i="8" s="1"/>
  <c r="D311" i="8"/>
  <c r="C311" i="8"/>
  <c r="B311" i="8"/>
  <c r="A311" i="8"/>
  <c r="B310" i="8"/>
  <c r="A310" i="8"/>
  <c r="D310" i="8" s="1"/>
  <c r="D309" i="8"/>
  <c r="C309" i="8"/>
  <c r="B309" i="8"/>
  <c r="A309" i="8"/>
  <c r="B308" i="8"/>
  <c r="A308" i="8"/>
  <c r="D308" i="8" s="1"/>
  <c r="D307" i="8"/>
  <c r="C307" i="8"/>
  <c r="B307" i="8"/>
  <c r="A307" i="8"/>
  <c r="B306" i="8"/>
  <c r="A306" i="8"/>
  <c r="D306" i="8" s="1"/>
  <c r="D305" i="8"/>
  <c r="C305" i="8"/>
  <c r="B305" i="8"/>
  <c r="A305" i="8"/>
  <c r="B304" i="8"/>
  <c r="A304" i="8"/>
  <c r="D304" i="8" s="1"/>
  <c r="D303" i="8"/>
  <c r="C303" i="8"/>
  <c r="B303" i="8"/>
  <c r="A303" i="8"/>
  <c r="B302" i="8"/>
  <c r="A302" i="8"/>
  <c r="D302" i="8" s="1"/>
  <c r="D301" i="8"/>
  <c r="C301" i="8"/>
  <c r="B301" i="8"/>
  <c r="A301" i="8"/>
  <c r="B300" i="8"/>
  <c r="A300" i="8"/>
  <c r="D300" i="8" s="1"/>
  <c r="D299" i="8"/>
  <c r="C299" i="8"/>
  <c r="B299" i="8"/>
  <c r="A299" i="8"/>
  <c r="B298" i="8"/>
  <c r="A298" i="8"/>
  <c r="D298" i="8" s="1"/>
  <c r="D297" i="8"/>
  <c r="C297" i="8"/>
  <c r="B297" i="8"/>
  <c r="A297" i="8"/>
  <c r="B296" i="8"/>
  <c r="A296" i="8"/>
  <c r="D296" i="8" s="1"/>
  <c r="D295" i="8"/>
  <c r="C295" i="8"/>
  <c r="B295" i="8"/>
  <c r="A295" i="8"/>
  <c r="B294" i="8"/>
  <c r="A294" i="8"/>
  <c r="D294" i="8" s="1"/>
  <c r="D293" i="8"/>
  <c r="C293" i="8"/>
  <c r="B293" i="8"/>
  <c r="A293" i="8"/>
  <c r="B292" i="8"/>
  <c r="A292" i="8"/>
  <c r="D292" i="8" s="1"/>
  <c r="D291" i="8"/>
  <c r="C291" i="8"/>
  <c r="B291" i="8"/>
  <c r="A291" i="8"/>
  <c r="B290" i="8"/>
  <c r="A290" i="8"/>
  <c r="D290" i="8" s="1"/>
  <c r="D289" i="8"/>
  <c r="C289" i="8"/>
  <c r="B289" i="8"/>
  <c r="A289" i="8"/>
  <c r="B288" i="8"/>
  <c r="A288" i="8"/>
  <c r="D288" i="8" s="1"/>
  <c r="D287" i="8"/>
  <c r="C287" i="8"/>
  <c r="B287" i="8"/>
  <c r="A287" i="8"/>
  <c r="B286" i="8"/>
  <c r="A286" i="8"/>
  <c r="D286" i="8" s="1"/>
  <c r="D285" i="8"/>
  <c r="C285" i="8"/>
  <c r="B285" i="8"/>
  <c r="A285" i="8"/>
  <c r="B284" i="8"/>
  <c r="A284" i="8"/>
  <c r="D284" i="8" s="1"/>
  <c r="D283" i="8"/>
  <c r="C283" i="8"/>
  <c r="B283" i="8"/>
  <c r="A283" i="8"/>
  <c r="B282" i="8"/>
  <c r="A282" i="8"/>
  <c r="D282" i="8" s="1"/>
  <c r="D281" i="8"/>
  <c r="C281" i="8"/>
  <c r="B281" i="8"/>
  <c r="A281" i="8"/>
  <c r="B280" i="8"/>
  <c r="A280" i="8"/>
  <c r="D280" i="8" s="1"/>
  <c r="D279" i="8"/>
  <c r="C279" i="8"/>
  <c r="B279" i="8"/>
  <c r="A279" i="8"/>
  <c r="B278" i="8"/>
  <c r="A278" i="8"/>
  <c r="D278" i="8" s="1"/>
  <c r="D277" i="8"/>
  <c r="C277" i="8"/>
  <c r="B277" i="8"/>
  <c r="A277" i="8"/>
  <c r="B276" i="8"/>
  <c r="A276" i="8"/>
  <c r="D276" i="8" s="1"/>
  <c r="D275" i="8"/>
  <c r="C275" i="8"/>
  <c r="B275" i="8"/>
  <c r="A275" i="8"/>
  <c r="B274" i="8"/>
  <c r="A274" i="8"/>
  <c r="D274" i="8" s="1"/>
  <c r="D273" i="8"/>
  <c r="C273" i="8"/>
  <c r="B273" i="8"/>
  <c r="A273" i="8"/>
  <c r="B272" i="8"/>
  <c r="A272" i="8"/>
  <c r="D272" i="8" s="1"/>
  <c r="D271" i="8"/>
  <c r="C271" i="8"/>
  <c r="B271" i="8"/>
  <c r="A271" i="8"/>
  <c r="B270" i="8"/>
  <c r="A270" i="8"/>
  <c r="D270" i="8" s="1"/>
  <c r="D269" i="8"/>
  <c r="C269" i="8"/>
  <c r="B269" i="8"/>
  <c r="A269" i="8"/>
  <c r="B268" i="8"/>
  <c r="A268" i="8"/>
  <c r="D268" i="8" s="1"/>
  <c r="D267" i="8"/>
  <c r="C267" i="8"/>
  <c r="B267" i="8"/>
  <c r="A267" i="8"/>
  <c r="B266" i="8"/>
  <c r="A266" i="8"/>
  <c r="D266" i="8" s="1"/>
  <c r="D265" i="8"/>
  <c r="C265" i="8"/>
  <c r="B265" i="8"/>
  <c r="A265" i="8"/>
  <c r="B264" i="8"/>
  <c r="A264" i="8"/>
  <c r="D264" i="8" s="1"/>
  <c r="D263" i="8"/>
  <c r="C263" i="8"/>
  <c r="B263" i="8"/>
  <c r="A263" i="8"/>
  <c r="B262" i="8"/>
  <c r="A262" i="8"/>
  <c r="D262" i="8" s="1"/>
  <c r="D261" i="8"/>
  <c r="C261" i="8"/>
  <c r="B261" i="8"/>
  <c r="A261" i="8"/>
  <c r="B260" i="8"/>
  <c r="A260" i="8"/>
  <c r="D260" i="8" s="1"/>
  <c r="D259" i="8"/>
  <c r="C259" i="8"/>
  <c r="B259" i="8"/>
  <c r="A259" i="8"/>
  <c r="B258" i="8"/>
  <c r="A258" i="8"/>
  <c r="D258" i="8" s="1"/>
  <c r="D257" i="8"/>
  <c r="C257" i="8"/>
  <c r="B257" i="8"/>
  <c r="A257" i="8"/>
  <c r="B256" i="8"/>
  <c r="A256" i="8"/>
  <c r="D256" i="8" s="1"/>
  <c r="D255" i="8"/>
  <c r="C255" i="8"/>
  <c r="B255" i="8"/>
  <c r="A255" i="8"/>
  <c r="B254" i="8"/>
  <c r="A254" i="8"/>
  <c r="D254" i="8" s="1"/>
  <c r="D253" i="8"/>
  <c r="C253" i="8"/>
  <c r="B253" i="8"/>
  <c r="A253" i="8"/>
  <c r="B252" i="8"/>
  <c r="A252" i="8"/>
  <c r="D252" i="8" s="1"/>
  <c r="D251" i="8"/>
  <c r="C251" i="8"/>
  <c r="B251" i="8"/>
  <c r="A251" i="8"/>
  <c r="B250" i="8"/>
  <c r="A250" i="8"/>
  <c r="D250" i="8" s="1"/>
  <c r="D249" i="8"/>
  <c r="C249" i="8"/>
  <c r="B249" i="8"/>
  <c r="A249" i="8"/>
  <c r="B248" i="8"/>
  <c r="A248" i="8"/>
  <c r="D248" i="8" s="1"/>
  <c r="D247" i="8"/>
  <c r="C247" i="8"/>
  <c r="B247" i="8"/>
  <c r="A247" i="8"/>
  <c r="B246" i="8"/>
  <c r="A246" i="8"/>
  <c r="D246" i="8" s="1"/>
  <c r="D245" i="8"/>
  <c r="C245" i="8"/>
  <c r="B245" i="8"/>
  <c r="A245" i="8"/>
  <c r="B244" i="8"/>
  <c r="A244" i="8"/>
  <c r="D244" i="8" s="1"/>
  <c r="D243" i="8"/>
  <c r="C243" i="8"/>
  <c r="B243" i="8"/>
  <c r="A243" i="8"/>
  <c r="B242" i="8"/>
  <c r="A242" i="8"/>
  <c r="D242" i="8" s="1"/>
  <c r="D241" i="8"/>
  <c r="C241" i="8"/>
  <c r="B241" i="8"/>
  <c r="A241" i="8"/>
  <c r="B240" i="8"/>
  <c r="A240" i="8"/>
  <c r="D240" i="8" s="1"/>
  <c r="D239" i="8"/>
  <c r="C239" i="8"/>
  <c r="B239" i="8"/>
  <c r="A239" i="8"/>
  <c r="B238" i="8"/>
  <c r="A238" i="8"/>
  <c r="D238" i="8" s="1"/>
  <c r="D237" i="8"/>
  <c r="C237" i="8"/>
  <c r="B237" i="8"/>
  <c r="A237" i="8"/>
  <c r="B236" i="8"/>
  <c r="A236" i="8"/>
  <c r="D236" i="8" s="1"/>
  <c r="D235" i="8"/>
  <c r="C235" i="8"/>
  <c r="B235" i="8"/>
  <c r="A235" i="8"/>
  <c r="B234" i="8"/>
  <c r="A234" i="8"/>
  <c r="D234" i="8" s="1"/>
  <c r="D233" i="8"/>
  <c r="C233" i="8"/>
  <c r="B233" i="8"/>
  <c r="A233" i="8"/>
  <c r="B232" i="8"/>
  <c r="A232" i="8"/>
  <c r="D232" i="8" s="1"/>
  <c r="D231" i="8"/>
  <c r="C231" i="8"/>
  <c r="B231" i="8"/>
  <c r="A231" i="8"/>
  <c r="B230" i="8"/>
  <c r="A230" i="8"/>
  <c r="D230" i="8" s="1"/>
  <c r="D229" i="8"/>
  <c r="C229" i="8"/>
  <c r="B229" i="8"/>
  <c r="A229" i="8"/>
  <c r="B228" i="8"/>
  <c r="A228" i="8"/>
  <c r="D228" i="8" s="1"/>
  <c r="D227" i="8"/>
  <c r="C227" i="8"/>
  <c r="B227" i="8"/>
  <c r="A227" i="8"/>
  <c r="B226" i="8"/>
  <c r="A226" i="8"/>
  <c r="D226" i="8" s="1"/>
  <c r="D225" i="8"/>
  <c r="C225" i="8"/>
  <c r="B225" i="8"/>
  <c r="A225" i="8"/>
  <c r="B224" i="8"/>
  <c r="A224" i="8"/>
  <c r="D224" i="8" s="1"/>
  <c r="D223" i="8"/>
  <c r="C223" i="8"/>
  <c r="B223" i="8"/>
  <c r="A223" i="8"/>
  <c r="B222" i="8"/>
  <c r="A222" i="8"/>
  <c r="D222" i="8" s="1"/>
  <c r="D221" i="8"/>
  <c r="C221" i="8"/>
  <c r="B221" i="8"/>
  <c r="A221" i="8"/>
  <c r="B220" i="8"/>
  <c r="A220" i="8"/>
  <c r="D220" i="8" s="1"/>
  <c r="D219" i="8"/>
  <c r="C219" i="8"/>
  <c r="B219" i="8"/>
  <c r="A219" i="8"/>
  <c r="B218" i="8"/>
  <c r="A218" i="8"/>
  <c r="D218" i="8" s="1"/>
  <c r="D217" i="8"/>
  <c r="C217" i="8"/>
  <c r="B217" i="8"/>
  <c r="A217" i="8"/>
  <c r="B216" i="8"/>
  <c r="A216" i="8"/>
  <c r="D216" i="8" s="1"/>
  <c r="D215" i="8"/>
  <c r="C215" i="8"/>
  <c r="B215" i="8"/>
  <c r="A215" i="8"/>
  <c r="B214" i="8"/>
  <c r="A214" i="8"/>
  <c r="D214" i="8" s="1"/>
  <c r="D213" i="8"/>
  <c r="C213" i="8"/>
  <c r="B213" i="8"/>
  <c r="A213" i="8"/>
  <c r="B212" i="8"/>
  <c r="A212" i="8"/>
  <c r="D212" i="8" s="1"/>
  <c r="D211" i="8"/>
  <c r="C211" i="8"/>
  <c r="B211" i="8"/>
  <c r="A211" i="8"/>
  <c r="B210" i="8"/>
  <c r="A210" i="8"/>
  <c r="D210" i="8" s="1"/>
  <c r="D209" i="8"/>
  <c r="C209" i="8"/>
  <c r="B209" i="8"/>
  <c r="A209" i="8"/>
  <c r="B208" i="8"/>
  <c r="A208" i="8"/>
  <c r="D208" i="8" s="1"/>
  <c r="D207" i="8"/>
  <c r="C207" i="8"/>
  <c r="B207" i="8"/>
  <c r="A207" i="8"/>
  <c r="B206" i="8"/>
  <c r="A206" i="8"/>
  <c r="D206" i="8" s="1"/>
  <c r="D205" i="8"/>
  <c r="C205" i="8"/>
  <c r="B205" i="8"/>
  <c r="A205" i="8"/>
  <c r="B204" i="8"/>
  <c r="A204" i="8"/>
  <c r="D204" i="8" s="1"/>
  <c r="D203" i="8"/>
  <c r="C203" i="8"/>
  <c r="B203" i="8"/>
  <c r="A203" i="8"/>
  <c r="B202" i="8"/>
  <c r="A202" i="8"/>
  <c r="D202" i="8" s="1"/>
  <c r="D201" i="8"/>
  <c r="C201" i="8"/>
  <c r="B201" i="8"/>
  <c r="A201" i="8"/>
  <c r="B200" i="8"/>
  <c r="A200" i="8"/>
  <c r="D200" i="8" s="1"/>
  <c r="D199" i="8"/>
  <c r="C199" i="8"/>
  <c r="B199" i="8"/>
  <c r="A199" i="8"/>
  <c r="B198" i="8"/>
  <c r="A198" i="8"/>
  <c r="D198" i="8" s="1"/>
  <c r="D197" i="8"/>
  <c r="C197" i="8"/>
  <c r="B197" i="8"/>
  <c r="A197" i="8"/>
  <c r="B196" i="8"/>
  <c r="A196" i="8"/>
  <c r="D196" i="8" s="1"/>
  <c r="D195" i="8"/>
  <c r="C195" i="8"/>
  <c r="B195" i="8"/>
  <c r="A195" i="8"/>
  <c r="B194" i="8"/>
  <c r="A194" i="8"/>
  <c r="D194" i="8" s="1"/>
  <c r="D193" i="8"/>
  <c r="C193" i="8"/>
  <c r="B193" i="8"/>
  <c r="A193" i="8"/>
  <c r="B192" i="8"/>
  <c r="A192" i="8"/>
  <c r="D192" i="8" s="1"/>
  <c r="D191" i="8"/>
  <c r="C191" i="8"/>
  <c r="B191" i="8"/>
  <c r="A191" i="8"/>
  <c r="B190" i="8"/>
  <c r="A190" i="8"/>
  <c r="D190" i="8" s="1"/>
  <c r="D189" i="8"/>
  <c r="C189" i="8"/>
  <c r="B189" i="8"/>
  <c r="A189" i="8"/>
  <c r="B188" i="8"/>
  <c r="A188" i="8"/>
  <c r="D188" i="8" s="1"/>
  <c r="D187" i="8"/>
  <c r="C187" i="8"/>
  <c r="B187" i="8"/>
  <c r="A187" i="8"/>
  <c r="B186" i="8"/>
  <c r="A186" i="8"/>
  <c r="D186" i="8" s="1"/>
  <c r="D185" i="8"/>
  <c r="C185" i="8"/>
  <c r="B185" i="8"/>
  <c r="A185" i="8"/>
  <c r="B184" i="8"/>
  <c r="A184" i="8"/>
  <c r="D184" i="8" s="1"/>
  <c r="D183" i="8"/>
  <c r="C183" i="8"/>
  <c r="B183" i="8"/>
  <c r="A183" i="8"/>
  <c r="B182" i="8"/>
  <c r="A182" i="8"/>
  <c r="D182" i="8" s="1"/>
  <c r="D181" i="8"/>
  <c r="C181" i="8"/>
  <c r="B181" i="8"/>
  <c r="A181" i="8"/>
  <c r="B180" i="8"/>
  <c r="A180" i="8"/>
  <c r="D180" i="8" s="1"/>
  <c r="D179" i="8"/>
  <c r="C179" i="8"/>
  <c r="B179" i="8"/>
  <c r="A179" i="8"/>
  <c r="B178" i="8"/>
  <c r="A178" i="8"/>
  <c r="D178" i="8" s="1"/>
  <c r="D177" i="8"/>
  <c r="C177" i="8"/>
  <c r="B177" i="8"/>
  <c r="A177" i="8"/>
  <c r="B176" i="8"/>
  <c r="A176" i="8"/>
  <c r="D176" i="8" s="1"/>
  <c r="D175" i="8"/>
  <c r="C175" i="8"/>
  <c r="B175" i="8"/>
  <c r="A175" i="8"/>
  <c r="B174" i="8"/>
  <c r="A174" i="8"/>
  <c r="D174" i="8" s="1"/>
  <c r="D173" i="8"/>
  <c r="C173" i="8"/>
  <c r="B173" i="8"/>
  <c r="A173" i="8"/>
  <c r="B172" i="8"/>
  <c r="A172" i="8"/>
  <c r="D172" i="8" s="1"/>
  <c r="D171" i="8"/>
  <c r="C171" i="8"/>
  <c r="B171" i="8"/>
  <c r="A171" i="8"/>
  <c r="B170" i="8"/>
  <c r="A170" i="8"/>
  <c r="D170" i="8" s="1"/>
  <c r="D169" i="8"/>
  <c r="C169" i="8"/>
  <c r="B169" i="8"/>
  <c r="A169" i="8"/>
  <c r="B168" i="8"/>
  <c r="A168" i="8"/>
  <c r="D168" i="8" s="1"/>
  <c r="D167" i="8"/>
  <c r="C167" i="8"/>
  <c r="B167" i="8"/>
  <c r="A167" i="8"/>
  <c r="B166" i="8"/>
  <c r="A166" i="8"/>
  <c r="D166" i="8" s="1"/>
  <c r="D165" i="8"/>
  <c r="C165" i="8"/>
  <c r="B165" i="8"/>
  <c r="A165" i="8"/>
  <c r="B164" i="8"/>
  <c r="A164" i="8"/>
  <c r="D164" i="8" s="1"/>
  <c r="D163" i="8"/>
  <c r="C163" i="8"/>
  <c r="B163" i="8"/>
  <c r="A163" i="8"/>
  <c r="B162" i="8"/>
  <c r="A162" i="8"/>
  <c r="D162" i="8" s="1"/>
  <c r="D161" i="8"/>
  <c r="C161" i="8"/>
  <c r="B161" i="8"/>
  <c r="A161" i="8"/>
  <c r="B160" i="8"/>
  <c r="A160" i="8"/>
  <c r="D160" i="8" s="1"/>
  <c r="D159" i="8"/>
  <c r="C159" i="8"/>
  <c r="B159" i="8"/>
  <c r="A159" i="8"/>
  <c r="B158" i="8"/>
  <c r="A158" i="8"/>
  <c r="D158" i="8" s="1"/>
  <c r="D157" i="8"/>
  <c r="C157" i="8"/>
  <c r="B157" i="8"/>
  <c r="A157" i="8"/>
  <c r="B156" i="8"/>
  <c r="A156" i="8"/>
  <c r="D156" i="8" s="1"/>
  <c r="D155" i="8"/>
  <c r="C155" i="8"/>
  <c r="B155" i="8"/>
  <c r="A155" i="8"/>
  <c r="B154" i="8"/>
  <c r="A154" i="8"/>
  <c r="D154" i="8" s="1"/>
  <c r="D153" i="8"/>
  <c r="C153" i="8"/>
  <c r="B153" i="8"/>
  <c r="A153" i="8"/>
  <c r="B152" i="8"/>
  <c r="A152" i="8"/>
  <c r="D152" i="8" s="1"/>
  <c r="D151" i="8"/>
  <c r="C151" i="8"/>
  <c r="B151" i="8"/>
  <c r="A151" i="8"/>
  <c r="B150" i="8"/>
  <c r="A150" i="8"/>
  <c r="D150" i="8" s="1"/>
  <c r="D149" i="8"/>
  <c r="C149" i="8"/>
  <c r="B149" i="8"/>
  <c r="A149" i="8"/>
  <c r="B148" i="8"/>
  <c r="A148" i="8"/>
  <c r="D148" i="8" s="1"/>
  <c r="D147" i="8"/>
  <c r="C147" i="8"/>
  <c r="B147" i="8"/>
  <c r="A147" i="8"/>
  <c r="B146" i="8"/>
  <c r="A146" i="8"/>
  <c r="D146" i="8" s="1"/>
  <c r="D145" i="8"/>
  <c r="C145" i="8"/>
  <c r="B145" i="8"/>
  <c r="A145" i="8"/>
  <c r="B144" i="8"/>
  <c r="A144" i="8"/>
  <c r="D144" i="8" s="1"/>
  <c r="D143" i="8"/>
  <c r="C143" i="8"/>
  <c r="B143" i="8"/>
  <c r="A143" i="8"/>
  <c r="B142" i="8"/>
  <c r="A142" i="8"/>
  <c r="D142" i="8" s="1"/>
  <c r="D141" i="8"/>
  <c r="C141" i="8"/>
  <c r="B141" i="8"/>
  <c r="A141" i="8"/>
  <c r="B140" i="8"/>
  <c r="A140" i="8"/>
  <c r="D140" i="8" s="1"/>
  <c r="D139" i="8"/>
  <c r="C139" i="8"/>
  <c r="B139" i="8"/>
  <c r="A139" i="8"/>
  <c r="B138" i="8"/>
  <c r="A138" i="8"/>
  <c r="D138" i="8" s="1"/>
  <c r="D137" i="8"/>
  <c r="C137" i="8"/>
  <c r="B137" i="8"/>
  <c r="A137" i="8"/>
  <c r="B136" i="8"/>
  <c r="A136" i="8"/>
  <c r="D136" i="8" s="1"/>
  <c r="D135" i="8"/>
  <c r="C135" i="8"/>
  <c r="B135" i="8"/>
  <c r="A135" i="8"/>
  <c r="B134" i="8"/>
  <c r="A134" i="8"/>
  <c r="D134" i="8" s="1"/>
  <c r="D133" i="8"/>
  <c r="C133" i="8"/>
  <c r="B133" i="8"/>
  <c r="A133" i="8"/>
  <c r="B132" i="8"/>
  <c r="A132" i="8"/>
  <c r="D132" i="8" s="1"/>
  <c r="D131" i="8"/>
  <c r="C131" i="8"/>
  <c r="B131" i="8"/>
  <c r="A131" i="8"/>
  <c r="B130" i="8"/>
  <c r="A130" i="8"/>
  <c r="D130" i="8" s="1"/>
  <c r="D129" i="8"/>
  <c r="C129" i="8"/>
  <c r="B129" i="8"/>
  <c r="A129" i="8"/>
  <c r="B128" i="8"/>
  <c r="A128" i="8"/>
  <c r="D128" i="8" s="1"/>
  <c r="D127" i="8"/>
  <c r="C127" i="8"/>
  <c r="B127" i="8"/>
  <c r="A127" i="8"/>
  <c r="B126" i="8"/>
  <c r="A126" i="8"/>
  <c r="D126" i="8" s="1"/>
  <c r="D125" i="8"/>
  <c r="C125" i="8"/>
  <c r="B125" i="8"/>
  <c r="A125" i="8"/>
  <c r="B124" i="8"/>
  <c r="A124" i="8"/>
  <c r="D124" i="8" s="1"/>
  <c r="D123" i="8"/>
  <c r="C123" i="8"/>
  <c r="B123" i="8"/>
  <c r="A123" i="8"/>
  <c r="B122" i="8"/>
  <c r="A122" i="8"/>
  <c r="D122" i="8" s="1"/>
  <c r="D121" i="8"/>
  <c r="C121" i="8"/>
  <c r="B121" i="8"/>
  <c r="A121" i="8"/>
  <c r="B120" i="8"/>
  <c r="A120" i="8"/>
  <c r="D120" i="8" s="1"/>
  <c r="D119" i="8"/>
  <c r="C119" i="8"/>
  <c r="B119" i="8"/>
  <c r="A119" i="8"/>
  <c r="B118" i="8"/>
  <c r="A118" i="8"/>
  <c r="D118" i="8" s="1"/>
  <c r="D117" i="8"/>
  <c r="C117" i="8"/>
  <c r="B117" i="8"/>
  <c r="A117" i="8"/>
  <c r="B116" i="8"/>
  <c r="A116" i="8"/>
  <c r="D116" i="8" s="1"/>
  <c r="D115" i="8"/>
  <c r="C115" i="8"/>
  <c r="B115" i="8"/>
  <c r="A115" i="8"/>
  <c r="B114" i="8"/>
  <c r="A114" i="8"/>
  <c r="D114" i="8" s="1"/>
  <c r="D113" i="8"/>
  <c r="C113" i="8"/>
  <c r="B113" i="8"/>
  <c r="A113" i="8"/>
  <c r="B112" i="8"/>
  <c r="A112" i="8"/>
  <c r="D112" i="8" s="1"/>
  <c r="D111" i="8"/>
  <c r="C111" i="8"/>
  <c r="B111" i="8"/>
  <c r="A111" i="8"/>
  <c r="B110" i="8"/>
  <c r="A110" i="8"/>
  <c r="D110" i="8" s="1"/>
  <c r="D109" i="8"/>
  <c r="C109" i="8"/>
  <c r="B109" i="8"/>
  <c r="A109" i="8"/>
  <c r="B108" i="8"/>
  <c r="A108" i="8"/>
  <c r="D108" i="8" s="1"/>
  <c r="D107" i="8"/>
  <c r="C107" i="8"/>
  <c r="B107" i="8"/>
  <c r="A107" i="8"/>
  <c r="B106" i="8"/>
  <c r="A106" i="8"/>
  <c r="D106" i="8" s="1"/>
  <c r="D105" i="8"/>
  <c r="C105" i="8"/>
  <c r="B105" i="8"/>
  <c r="A105" i="8"/>
  <c r="B104" i="8"/>
  <c r="A104" i="8"/>
  <c r="D104" i="8" s="1"/>
  <c r="D103" i="8"/>
  <c r="C103" i="8"/>
  <c r="B103" i="8"/>
  <c r="A103" i="8"/>
  <c r="B102" i="8"/>
  <c r="A102" i="8"/>
  <c r="D102" i="8" s="1"/>
  <c r="D101" i="8"/>
  <c r="C101" i="8"/>
  <c r="B101" i="8"/>
  <c r="A101" i="8"/>
  <c r="B100" i="8"/>
  <c r="A100" i="8"/>
  <c r="D100" i="8" s="1"/>
  <c r="D99" i="8"/>
  <c r="C99" i="8"/>
  <c r="B99" i="8"/>
  <c r="A99" i="8"/>
  <c r="B98" i="8"/>
  <c r="A98" i="8"/>
  <c r="D98" i="8" s="1"/>
  <c r="D97" i="8"/>
  <c r="C97" i="8"/>
  <c r="B97" i="8"/>
  <c r="A97" i="8"/>
  <c r="B96" i="8"/>
  <c r="A96" i="8"/>
  <c r="D96" i="8" s="1"/>
  <c r="D95" i="8"/>
  <c r="C95" i="8"/>
  <c r="B95" i="8"/>
  <c r="A95" i="8"/>
  <c r="B94" i="8"/>
  <c r="A94" i="8"/>
  <c r="D94" i="8" s="1"/>
  <c r="B93" i="8"/>
  <c r="A93" i="8"/>
  <c r="D93" i="8" s="1"/>
  <c r="B92" i="8"/>
  <c r="A92" i="8"/>
  <c r="D92" i="8" s="1"/>
  <c r="D91" i="8"/>
  <c r="C91" i="8"/>
  <c r="B91" i="8"/>
  <c r="A91" i="8"/>
  <c r="B90" i="8"/>
  <c r="A90" i="8"/>
  <c r="D90" i="8" s="1"/>
  <c r="B89" i="8"/>
  <c r="A89" i="8"/>
  <c r="D89" i="8" s="1"/>
  <c r="B88" i="8"/>
  <c r="A88" i="8"/>
  <c r="D88" i="8" s="1"/>
  <c r="D87" i="8"/>
  <c r="C87" i="8"/>
  <c r="B87" i="8"/>
  <c r="A87" i="8"/>
  <c r="B86" i="8"/>
  <c r="A86" i="8"/>
  <c r="D86" i="8" s="1"/>
  <c r="B85" i="8"/>
  <c r="A85" i="8"/>
  <c r="D85" i="8" s="1"/>
  <c r="B84" i="8"/>
  <c r="A84" i="8"/>
  <c r="D84" i="8" s="1"/>
  <c r="D83" i="8"/>
  <c r="C83" i="8"/>
  <c r="B83" i="8"/>
  <c r="A83" i="8"/>
  <c r="B82" i="8"/>
  <c r="A82" i="8"/>
  <c r="D82" i="8" s="1"/>
  <c r="B81" i="8"/>
  <c r="A81" i="8"/>
  <c r="D81" i="8" s="1"/>
  <c r="B80" i="8"/>
  <c r="A80" i="8"/>
  <c r="D80" i="8" s="1"/>
  <c r="D79" i="8"/>
  <c r="C79" i="8"/>
  <c r="B79" i="8"/>
  <c r="A79" i="8"/>
  <c r="B78" i="8"/>
  <c r="A78" i="8"/>
  <c r="D78" i="8" s="1"/>
  <c r="B77" i="8"/>
  <c r="A77" i="8"/>
  <c r="D77" i="8" s="1"/>
  <c r="B76" i="8"/>
  <c r="A76" i="8"/>
  <c r="D76" i="8" s="1"/>
  <c r="B75" i="8"/>
  <c r="A75" i="8"/>
  <c r="D75" i="8" s="1"/>
  <c r="B74" i="8"/>
  <c r="A74" i="8"/>
  <c r="D74" i="8" s="1"/>
  <c r="B73" i="8"/>
  <c r="A73" i="8"/>
  <c r="D73" i="8" s="1"/>
  <c r="B72" i="8"/>
  <c r="A72" i="8"/>
  <c r="D72" i="8" s="1"/>
  <c r="B71" i="8"/>
  <c r="A71" i="8"/>
  <c r="D71" i="8" s="1"/>
  <c r="B70" i="8"/>
  <c r="A70" i="8"/>
  <c r="D70" i="8" s="1"/>
  <c r="B69" i="8"/>
  <c r="A69" i="8"/>
  <c r="D69" i="8" s="1"/>
  <c r="B68" i="8"/>
  <c r="A68" i="8"/>
  <c r="D68" i="8" s="1"/>
  <c r="B67" i="8"/>
  <c r="A67" i="8"/>
  <c r="D67" i="8" s="1"/>
  <c r="B66" i="8"/>
  <c r="A66" i="8"/>
  <c r="D66" i="8" s="1"/>
  <c r="B65" i="8"/>
  <c r="A65" i="8"/>
  <c r="D65" i="8" s="1"/>
  <c r="B64" i="8"/>
  <c r="A64" i="8"/>
  <c r="D64" i="8" s="1"/>
  <c r="B63" i="8"/>
  <c r="A63" i="8"/>
  <c r="D63" i="8" s="1"/>
  <c r="B62" i="8"/>
  <c r="A62" i="8"/>
  <c r="D62" i="8" s="1"/>
  <c r="B61" i="8"/>
  <c r="A61" i="8"/>
  <c r="D61" i="8" s="1"/>
  <c r="B60" i="8"/>
  <c r="A60" i="8"/>
  <c r="D60" i="8" s="1"/>
  <c r="B59" i="8"/>
  <c r="A59" i="8"/>
  <c r="D59" i="8" s="1"/>
  <c r="B58" i="8"/>
  <c r="A58" i="8"/>
  <c r="D58" i="8" s="1"/>
  <c r="B57" i="8"/>
  <c r="A57" i="8"/>
  <c r="D57" i="8" s="1"/>
  <c r="B56" i="8"/>
  <c r="A56" i="8"/>
  <c r="D56" i="8" s="1"/>
  <c r="B55" i="8"/>
  <c r="A55" i="8"/>
  <c r="D55" i="8" s="1"/>
  <c r="B54" i="8"/>
  <c r="A54" i="8"/>
  <c r="D54" i="8" s="1"/>
  <c r="B53" i="8"/>
  <c r="A53" i="8"/>
  <c r="D53" i="8" s="1"/>
  <c r="B52" i="8"/>
  <c r="A52" i="8"/>
  <c r="D52" i="8" s="1"/>
  <c r="B51" i="8"/>
  <c r="A51" i="8"/>
  <c r="D51" i="8" s="1"/>
  <c r="B50" i="8"/>
  <c r="A50" i="8"/>
  <c r="D50" i="8" s="1"/>
  <c r="B49" i="8"/>
  <c r="A49" i="8"/>
  <c r="D49" i="8" s="1"/>
  <c r="B48" i="8"/>
  <c r="A48" i="8"/>
  <c r="D48" i="8" s="1"/>
  <c r="B47" i="8"/>
  <c r="A47" i="8"/>
  <c r="D47" i="8" s="1"/>
  <c r="B46" i="8"/>
  <c r="A46" i="8"/>
  <c r="D46" i="8" s="1"/>
  <c r="B45" i="8"/>
  <c r="A45" i="8"/>
  <c r="D45" i="8" s="1"/>
  <c r="B44" i="8"/>
  <c r="A44" i="8"/>
  <c r="D44" i="8" s="1"/>
  <c r="B43" i="8"/>
  <c r="A43" i="8"/>
  <c r="D43" i="8" s="1"/>
  <c r="B42" i="8"/>
  <c r="A42" i="8"/>
  <c r="D42" i="8" s="1"/>
  <c r="B41" i="8"/>
  <c r="A41" i="8"/>
  <c r="D41" i="8" s="1"/>
  <c r="B40" i="8"/>
  <c r="A40" i="8"/>
  <c r="D40" i="8" s="1"/>
  <c r="B39" i="8"/>
  <c r="A39" i="8"/>
  <c r="D39" i="8" s="1"/>
  <c r="B38" i="8"/>
  <c r="A38" i="8"/>
  <c r="D38" i="8" s="1"/>
  <c r="B37" i="8"/>
  <c r="A37" i="8"/>
  <c r="D37" i="8" s="1"/>
  <c r="B36" i="8"/>
  <c r="A36" i="8"/>
  <c r="D36" i="8" s="1"/>
  <c r="B35" i="8"/>
  <c r="A35" i="8"/>
  <c r="D35" i="8" s="1"/>
  <c r="B34" i="8"/>
  <c r="A34" i="8"/>
  <c r="D34" i="8" s="1"/>
  <c r="B33" i="8"/>
  <c r="A33" i="8"/>
  <c r="D33" i="8" s="1"/>
  <c r="B32" i="8"/>
  <c r="A32" i="8"/>
  <c r="D32" i="8" s="1"/>
  <c r="B31" i="8"/>
  <c r="A31" i="8"/>
  <c r="D31" i="8" s="1"/>
  <c r="B30" i="8"/>
  <c r="A30" i="8"/>
  <c r="D30" i="8" s="1"/>
  <c r="B29" i="8"/>
  <c r="A29" i="8"/>
  <c r="D29" i="8" s="1"/>
  <c r="B28" i="8"/>
  <c r="A28" i="8"/>
  <c r="D28" i="8" s="1"/>
  <c r="B27" i="8"/>
  <c r="A27" i="8"/>
  <c r="D27" i="8" s="1"/>
  <c r="B26" i="8"/>
  <c r="A26" i="8"/>
  <c r="D26" i="8" s="1"/>
  <c r="C25" i="8"/>
  <c r="B25" i="8"/>
  <c r="A25" i="8"/>
  <c r="D25" i="8" s="1"/>
  <c r="B24" i="8"/>
  <c r="A24" i="8"/>
  <c r="D24" i="8" s="1"/>
  <c r="B23" i="8"/>
  <c r="A23" i="8"/>
  <c r="D23" i="8" s="1"/>
  <c r="B22" i="8"/>
  <c r="A22" i="8"/>
  <c r="D22" i="8" s="1"/>
  <c r="B21" i="8"/>
  <c r="A21" i="8"/>
  <c r="D21" i="8" s="1"/>
  <c r="B20" i="8"/>
  <c r="A20" i="8"/>
  <c r="D20" i="8" s="1"/>
  <c r="B19" i="8"/>
  <c r="A19" i="8"/>
  <c r="D19" i="8" s="1"/>
  <c r="B18" i="8"/>
  <c r="A18" i="8"/>
  <c r="D18" i="8" s="1"/>
  <c r="B17" i="8"/>
  <c r="A17" i="8"/>
  <c r="D17" i="8" s="1"/>
  <c r="B16" i="8"/>
  <c r="A16" i="8"/>
  <c r="D16" i="8" s="1"/>
  <c r="B15" i="8"/>
  <c r="A15" i="8"/>
  <c r="D15" i="8" s="1"/>
  <c r="B14" i="8"/>
  <c r="A14" i="8"/>
  <c r="D14" i="8" s="1"/>
  <c r="B13" i="8"/>
  <c r="A13" i="8"/>
  <c r="D13" i="8" s="1"/>
  <c r="B12" i="8"/>
  <c r="A12" i="8"/>
  <c r="D12" i="8" s="1"/>
  <c r="B11" i="8"/>
  <c r="A11" i="8"/>
  <c r="D11" i="8" s="1"/>
  <c r="B10" i="8"/>
  <c r="A10" i="8"/>
  <c r="D10" i="8" s="1"/>
  <c r="B9" i="8"/>
  <c r="A9" i="8"/>
  <c r="D9" i="8" s="1"/>
  <c r="B8" i="8"/>
  <c r="A8" i="8"/>
  <c r="D8" i="8" s="1"/>
  <c r="B7" i="8"/>
  <c r="A7" i="8"/>
  <c r="D7" i="8" s="1"/>
  <c r="B6" i="8"/>
  <c r="A6" i="8"/>
  <c r="D6" i="8" s="1"/>
  <c r="B5" i="8"/>
  <c r="A5" i="8"/>
  <c r="D5" i="8" s="1"/>
  <c r="B4" i="8"/>
  <c r="A4" i="8"/>
  <c r="D4" i="8" s="1"/>
  <c r="B3" i="8"/>
  <c r="A3" i="8"/>
  <c r="D3" i="8" s="1"/>
  <c r="B2" i="8"/>
  <c r="A2" i="8"/>
  <c r="D2" i="8" s="1"/>
  <c r="F501" i="7"/>
  <c r="D501" i="7"/>
  <c r="A501" i="7"/>
  <c r="F500" i="7"/>
  <c r="D500" i="7"/>
  <c r="A500" i="7"/>
  <c r="F499" i="7"/>
  <c r="D499" i="7"/>
  <c r="A499" i="7"/>
  <c r="F498" i="7"/>
  <c r="D498" i="7"/>
  <c r="A498" i="7"/>
  <c r="F497" i="7"/>
  <c r="D497" i="7"/>
  <c r="A497" i="7"/>
  <c r="F496" i="7"/>
  <c r="D496" i="7"/>
  <c r="A496" i="7"/>
  <c r="F495" i="7"/>
  <c r="D495" i="7"/>
  <c r="A495" i="7"/>
  <c r="F494" i="7"/>
  <c r="D494" i="7"/>
  <c r="A494" i="7"/>
  <c r="F493" i="7"/>
  <c r="D493" i="7"/>
  <c r="A493" i="7"/>
  <c r="F492" i="7"/>
  <c r="D492" i="7"/>
  <c r="A492" i="7"/>
  <c r="F491" i="7"/>
  <c r="D491" i="7"/>
  <c r="A491" i="7"/>
  <c r="F490" i="7"/>
  <c r="D490" i="7"/>
  <c r="A490" i="7"/>
  <c r="F489" i="7"/>
  <c r="D489" i="7"/>
  <c r="A489" i="7"/>
  <c r="F488" i="7"/>
  <c r="D488" i="7"/>
  <c r="A488" i="7"/>
  <c r="F487" i="7"/>
  <c r="D487" i="7"/>
  <c r="A487" i="7"/>
  <c r="F486" i="7"/>
  <c r="D486" i="7"/>
  <c r="A486" i="7"/>
  <c r="F485" i="7"/>
  <c r="D485" i="7"/>
  <c r="A485" i="7"/>
  <c r="F484" i="7"/>
  <c r="D484" i="7"/>
  <c r="A484" i="7"/>
  <c r="F483" i="7"/>
  <c r="D483" i="7"/>
  <c r="A483" i="7"/>
  <c r="F482" i="7"/>
  <c r="D482" i="7"/>
  <c r="A482" i="7"/>
  <c r="F481" i="7"/>
  <c r="D481" i="7"/>
  <c r="A481" i="7"/>
  <c r="F480" i="7"/>
  <c r="D480" i="7"/>
  <c r="A480" i="7"/>
  <c r="F479" i="7"/>
  <c r="D479" i="7"/>
  <c r="A479" i="7"/>
  <c r="F478" i="7"/>
  <c r="D478" i="7"/>
  <c r="A478" i="7"/>
  <c r="F477" i="7"/>
  <c r="D477" i="7"/>
  <c r="A477" i="7"/>
  <c r="F476" i="7"/>
  <c r="D476" i="7"/>
  <c r="A476" i="7"/>
  <c r="F475" i="7"/>
  <c r="D475" i="7"/>
  <c r="A475" i="7"/>
  <c r="F474" i="7"/>
  <c r="D474" i="7"/>
  <c r="A474" i="7"/>
  <c r="F473" i="7"/>
  <c r="D473" i="7"/>
  <c r="A473" i="7"/>
  <c r="F472" i="7"/>
  <c r="D472" i="7"/>
  <c r="A472" i="7"/>
  <c r="F471" i="7"/>
  <c r="D471" i="7"/>
  <c r="A471" i="7"/>
  <c r="F470" i="7"/>
  <c r="D470" i="7"/>
  <c r="A470" i="7"/>
  <c r="F469" i="7"/>
  <c r="D469" i="7"/>
  <c r="A469" i="7"/>
  <c r="F468" i="7"/>
  <c r="D468" i="7"/>
  <c r="A468" i="7"/>
  <c r="F467" i="7"/>
  <c r="D467" i="7"/>
  <c r="A467" i="7"/>
  <c r="F466" i="7"/>
  <c r="D466" i="7"/>
  <c r="A466" i="7"/>
  <c r="F465" i="7"/>
  <c r="D465" i="7"/>
  <c r="A465" i="7"/>
  <c r="F464" i="7"/>
  <c r="D464" i="7"/>
  <c r="A464" i="7"/>
  <c r="F463" i="7"/>
  <c r="D463" i="7"/>
  <c r="A463" i="7"/>
  <c r="F462" i="7"/>
  <c r="D462" i="7"/>
  <c r="A462" i="7"/>
  <c r="F461" i="7"/>
  <c r="D461" i="7"/>
  <c r="A461" i="7"/>
  <c r="F460" i="7"/>
  <c r="D460" i="7"/>
  <c r="A460" i="7"/>
  <c r="F459" i="7"/>
  <c r="D459" i="7"/>
  <c r="A459" i="7"/>
  <c r="F458" i="7"/>
  <c r="D458" i="7"/>
  <c r="A458" i="7"/>
  <c r="F457" i="7"/>
  <c r="D457" i="7"/>
  <c r="A457" i="7"/>
  <c r="F456" i="7"/>
  <c r="D456" i="7"/>
  <c r="A456" i="7"/>
  <c r="F455" i="7"/>
  <c r="D455" i="7"/>
  <c r="A455" i="7"/>
  <c r="F454" i="7"/>
  <c r="D454" i="7"/>
  <c r="A454" i="7"/>
  <c r="F453" i="7"/>
  <c r="D453" i="7"/>
  <c r="A453" i="7"/>
  <c r="F452" i="7"/>
  <c r="D452" i="7"/>
  <c r="A452" i="7"/>
  <c r="F451" i="7"/>
  <c r="D451" i="7"/>
  <c r="A451" i="7"/>
  <c r="F450" i="7"/>
  <c r="D450" i="7"/>
  <c r="A450" i="7"/>
  <c r="F449" i="7"/>
  <c r="D449" i="7"/>
  <c r="A449" i="7"/>
  <c r="F448" i="7"/>
  <c r="D448" i="7"/>
  <c r="A448" i="7"/>
  <c r="F447" i="7"/>
  <c r="D447" i="7"/>
  <c r="A447" i="7"/>
  <c r="F446" i="7"/>
  <c r="D446" i="7"/>
  <c r="A446" i="7"/>
  <c r="F445" i="7"/>
  <c r="D445" i="7"/>
  <c r="A445" i="7"/>
  <c r="F444" i="7"/>
  <c r="D444" i="7"/>
  <c r="A444" i="7"/>
  <c r="F443" i="7"/>
  <c r="D443" i="7"/>
  <c r="A443" i="7"/>
  <c r="F442" i="7"/>
  <c r="D442" i="7"/>
  <c r="A442" i="7"/>
  <c r="F441" i="7"/>
  <c r="D441" i="7"/>
  <c r="A441" i="7"/>
  <c r="F440" i="7"/>
  <c r="D440" i="7"/>
  <c r="A440" i="7"/>
  <c r="F439" i="7"/>
  <c r="D439" i="7"/>
  <c r="A439" i="7"/>
  <c r="F438" i="7"/>
  <c r="D438" i="7"/>
  <c r="A438" i="7"/>
  <c r="F437" i="7"/>
  <c r="D437" i="7"/>
  <c r="A437" i="7"/>
  <c r="F436" i="7"/>
  <c r="D436" i="7"/>
  <c r="A436" i="7"/>
  <c r="F435" i="7"/>
  <c r="D435" i="7"/>
  <c r="A435" i="7"/>
  <c r="F434" i="7"/>
  <c r="D434" i="7"/>
  <c r="A434" i="7"/>
  <c r="F433" i="7"/>
  <c r="D433" i="7"/>
  <c r="A433" i="7"/>
  <c r="F432" i="7"/>
  <c r="D432" i="7"/>
  <c r="A432" i="7"/>
  <c r="F431" i="7"/>
  <c r="D431" i="7"/>
  <c r="A431" i="7"/>
  <c r="F430" i="7"/>
  <c r="D430" i="7"/>
  <c r="A430" i="7"/>
  <c r="F429" i="7"/>
  <c r="D429" i="7"/>
  <c r="A429" i="7"/>
  <c r="F428" i="7"/>
  <c r="D428" i="7"/>
  <c r="A428" i="7"/>
  <c r="F427" i="7"/>
  <c r="D427" i="7"/>
  <c r="A427" i="7"/>
  <c r="F426" i="7"/>
  <c r="D426" i="7"/>
  <c r="A426" i="7"/>
  <c r="F425" i="7"/>
  <c r="D425" i="7"/>
  <c r="A425" i="7"/>
  <c r="F424" i="7"/>
  <c r="D424" i="7"/>
  <c r="A424" i="7"/>
  <c r="F423" i="7"/>
  <c r="D423" i="7"/>
  <c r="A423" i="7"/>
  <c r="F422" i="7"/>
  <c r="D422" i="7"/>
  <c r="A422" i="7"/>
  <c r="F421" i="7"/>
  <c r="D421" i="7"/>
  <c r="A421" i="7"/>
  <c r="F420" i="7"/>
  <c r="D420" i="7"/>
  <c r="A420" i="7"/>
  <c r="F419" i="7"/>
  <c r="D419" i="7"/>
  <c r="A419" i="7"/>
  <c r="F418" i="7"/>
  <c r="D418" i="7"/>
  <c r="A418" i="7"/>
  <c r="F417" i="7"/>
  <c r="D417" i="7"/>
  <c r="A417" i="7"/>
  <c r="F416" i="7"/>
  <c r="D416" i="7"/>
  <c r="A416" i="7"/>
  <c r="F415" i="7"/>
  <c r="D415" i="7"/>
  <c r="A415" i="7"/>
  <c r="F414" i="7"/>
  <c r="D414" i="7"/>
  <c r="A414" i="7"/>
  <c r="F413" i="7"/>
  <c r="D413" i="7"/>
  <c r="A413" i="7"/>
  <c r="F412" i="7"/>
  <c r="D412" i="7"/>
  <c r="A412" i="7"/>
  <c r="F411" i="7"/>
  <c r="D411" i="7"/>
  <c r="A411" i="7"/>
  <c r="F410" i="7"/>
  <c r="D410" i="7"/>
  <c r="A410" i="7"/>
  <c r="F409" i="7"/>
  <c r="D409" i="7"/>
  <c r="A409" i="7"/>
  <c r="F408" i="7"/>
  <c r="D408" i="7"/>
  <c r="A408" i="7"/>
  <c r="F407" i="7"/>
  <c r="D407" i="7"/>
  <c r="A407" i="7"/>
  <c r="F406" i="7"/>
  <c r="D406" i="7"/>
  <c r="A406" i="7"/>
  <c r="F405" i="7"/>
  <c r="D405" i="7"/>
  <c r="A405" i="7"/>
  <c r="F404" i="7"/>
  <c r="D404" i="7"/>
  <c r="A404" i="7"/>
  <c r="F403" i="7"/>
  <c r="D403" i="7"/>
  <c r="A403" i="7"/>
  <c r="F402" i="7"/>
  <c r="D402" i="7"/>
  <c r="A402" i="7"/>
  <c r="F401" i="7"/>
  <c r="D401" i="7"/>
  <c r="A401" i="7"/>
  <c r="F400" i="7"/>
  <c r="D400" i="7"/>
  <c r="A400" i="7"/>
  <c r="F399" i="7"/>
  <c r="D399" i="7"/>
  <c r="A399" i="7"/>
  <c r="F398" i="7"/>
  <c r="D398" i="7"/>
  <c r="A398" i="7"/>
  <c r="F397" i="7"/>
  <c r="D397" i="7"/>
  <c r="A397" i="7"/>
  <c r="F396" i="7"/>
  <c r="D396" i="7"/>
  <c r="A396" i="7"/>
  <c r="F395" i="7"/>
  <c r="D395" i="7"/>
  <c r="A395" i="7"/>
  <c r="F394" i="7"/>
  <c r="D394" i="7"/>
  <c r="A394" i="7"/>
  <c r="F393" i="7"/>
  <c r="D393" i="7"/>
  <c r="A393" i="7"/>
  <c r="F392" i="7"/>
  <c r="D392" i="7"/>
  <c r="A392" i="7"/>
  <c r="F391" i="7"/>
  <c r="D391" i="7"/>
  <c r="A391" i="7"/>
  <c r="F390" i="7"/>
  <c r="D390" i="7"/>
  <c r="A390" i="7"/>
  <c r="F389" i="7"/>
  <c r="D389" i="7"/>
  <c r="A389" i="7"/>
  <c r="F388" i="7"/>
  <c r="D388" i="7"/>
  <c r="A388" i="7"/>
  <c r="F387" i="7"/>
  <c r="D387" i="7"/>
  <c r="A387" i="7"/>
  <c r="F386" i="7"/>
  <c r="D386" i="7"/>
  <c r="A386" i="7"/>
  <c r="F385" i="7"/>
  <c r="D385" i="7"/>
  <c r="A385" i="7"/>
  <c r="F384" i="7"/>
  <c r="D384" i="7"/>
  <c r="A384" i="7"/>
  <c r="F383" i="7"/>
  <c r="D383" i="7"/>
  <c r="A383" i="7"/>
  <c r="F382" i="7"/>
  <c r="D382" i="7"/>
  <c r="A382" i="7"/>
  <c r="F381" i="7"/>
  <c r="D381" i="7"/>
  <c r="A381" i="7"/>
  <c r="F380" i="7"/>
  <c r="D380" i="7"/>
  <c r="A380" i="7"/>
  <c r="F379" i="7"/>
  <c r="D379" i="7"/>
  <c r="A379" i="7"/>
  <c r="F378" i="7"/>
  <c r="D378" i="7"/>
  <c r="A378" i="7"/>
  <c r="F377" i="7"/>
  <c r="D377" i="7"/>
  <c r="A377" i="7"/>
  <c r="F376" i="7"/>
  <c r="D376" i="7"/>
  <c r="A376" i="7"/>
  <c r="F375" i="7"/>
  <c r="D375" i="7"/>
  <c r="A375" i="7"/>
  <c r="F374" i="7"/>
  <c r="D374" i="7"/>
  <c r="A374" i="7"/>
  <c r="F373" i="7"/>
  <c r="D373" i="7"/>
  <c r="A373" i="7"/>
  <c r="F372" i="7"/>
  <c r="D372" i="7"/>
  <c r="A372" i="7"/>
  <c r="F371" i="7"/>
  <c r="D371" i="7"/>
  <c r="A371" i="7"/>
  <c r="F370" i="7"/>
  <c r="D370" i="7"/>
  <c r="A370" i="7"/>
  <c r="F369" i="7"/>
  <c r="D369" i="7"/>
  <c r="A369" i="7"/>
  <c r="F368" i="7"/>
  <c r="D368" i="7"/>
  <c r="A368" i="7"/>
  <c r="F367" i="7"/>
  <c r="D367" i="7"/>
  <c r="A367" i="7"/>
  <c r="F366" i="7"/>
  <c r="D366" i="7"/>
  <c r="A366" i="7"/>
  <c r="F365" i="7"/>
  <c r="D365" i="7"/>
  <c r="A365" i="7"/>
  <c r="F364" i="7"/>
  <c r="D364" i="7"/>
  <c r="A364" i="7"/>
  <c r="F363" i="7"/>
  <c r="D363" i="7"/>
  <c r="A363" i="7"/>
  <c r="F362" i="7"/>
  <c r="D362" i="7"/>
  <c r="A362" i="7"/>
  <c r="F361" i="7"/>
  <c r="D361" i="7"/>
  <c r="A361" i="7"/>
  <c r="F360" i="7"/>
  <c r="D360" i="7"/>
  <c r="A360" i="7"/>
  <c r="F359" i="7"/>
  <c r="D359" i="7"/>
  <c r="A359" i="7"/>
  <c r="F358" i="7"/>
  <c r="D358" i="7"/>
  <c r="A358" i="7"/>
  <c r="F357" i="7"/>
  <c r="D357" i="7"/>
  <c r="A357" i="7"/>
  <c r="F356" i="7"/>
  <c r="D356" i="7"/>
  <c r="A356" i="7"/>
  <c r="F355" i="7"/>
  <c r="D355" i="7"/>
  <c r="A355" i="7"/>
  <c r="F354" i="7"/>
  <c r="D354" i="7"/>
  <c r="A354" i="7"/>
  <c r="F353" i="7"/>
  <c r="D353" i="7"/>
  <c r="A353" i="7"/>
  <c r="F352" i="7"/>
  <c r="D352" i="7"/>
  <c r="A352" i="7"/>
  <c r="F351" i="7"/>
  <c r="D351" i="7"/>
  <c r="A351" i="7"/>
  <c r="F350" i="7"/>
  <c r="D350" i="7"/>
  <c r="A350" i="7"/>
  <c r="F349" i="7"/>
  <c r="D349" i="7"/>
  <c r="A349" i="7"/>
  <c r="F348" i="7"/>
  <c r="D348" i="7"/>
  <c r="A348" i="7"/>
  <c r="F347" i="7"/>
  <c r="D347" i="7"/>
  <c r="A347" i="7"/>
  <c r="F346" i="7"/>
  <c r="D346" i="7"/>
  <c r="A346" i="7"/>
  <c r="F345" i="7"/>
  <c r="D345" i="7"/>
  <c r="A345" i="7"/>
  <c r="F344" i="7"/>
  <c r="D344" i="7"/>
  <c r="A344" i="7"/>
  <c r="F343" i="7"/>
  <c r="D343" i="7"/>
  <c r="A343" i="7"/>
  <c r="F342" i="7"/>
  <c r="D342" i="7"/>
  <c r="A342" i="7"/>
  <c r="F341" i="7"/>
  <c r="D341" i="7"/>
  <c r="A341" i="7"/>
  <c r="F340" i="7"/>
  <c r="D340" i="7"/>
  <c r="A340" i="7"/>
  <c r="F339" i="7"/>
  <c r="D339" i="7"/>
  <c r="A339" i="7"/>
  <c r="F338" i="7"/>
  <c r="D338" i="7"/>
  <c r="A338" i="7"/>
  <c r="F337" i="7"/>
  <c r="D337" i="7"/>
  <c r="A337" i="7"/>
  <c r="F336" i="7"/>
  <c r="D336" i="7"/>
  <c r="A336" i="7"/>
  <c r="F335" i="7"/>
  <c r="D335" i="7"/>
  <c r="A335" i="7"/>
  <c r="F334" i="7"/>
  <c r="D334" i="7"/>
  <c r="A334" i="7"/>
  <c r="F333" i="7"/>
  <c r="D333" i="7"/>
  <c r="A333" i="7"/>
  <c r="F332" i="7"/>
  <c r="D332" i="7"/>
  <c r="A332" i="7"/>
  <c r="F331" i="7"/>
  <c r="D331" i="7"/>
  <c r="A331" i="7"/>
  <c r="F330" i="7"/>
  <c r="D330" i="7"/>
  <c r="A330" i="7"/>
  <c r="F329" i="7"/>
  <c r="D329" i="7"/>
  <c r="A329" i="7"/>
  <c r="F328" i="7"/>
  <c r="D328" i="7"/>
  <c r="A328" i="7"/>
  <c r="F327" i="7"/>
  <c r="D327" i="7"/>
  <c r="A327" i="7"/>
  <c r="F326" i="7"/>
  <c r="D326" i="7"/>
  <c r="A326" i="7"/>
  <c r="F325" i="7"/>
  <c r="D325" i="7"/>
  <c r="A325" i="7"/>
  <c r="F324" i="7"/>
  <c r="D324" i="7"/>
  <c r="A324" i="7"/>
  <c r="F323" i="7"/>
  <c r="D323" i="7"/>
  <c r="A323" i="7"/>
  <c r="F322" i="7"/>
  <c r="D322" i="7"/>
  <c r="A322" i="7"/>
  <c r="F321" i="7"/>
  <c r="D321" i="7"/>
  <c r="A321" i="7"/>
  <c r="F320" i="7"/>
  <c r="D320" i="7"/>
  <c r="A320" i="7"/>
  <c r="F319" i="7"/>
  <c r="D319" i="7"/>
  <c r="A319" i="7"/>
  <c r="F318" i="7"/>
  <c r="D318" i="7"/>
  <c r="A318" i="7"/>
  <c r="F317" i="7"/>
  <c r="D317" i="7"/>
  <c r="A317" i="7"/>
  <c r="F316" i="7"/>
  <c r="D316" i="7"/>
  <c r="A316" i="7"/>
  <c r="F315" i="7"/>
  <c r="D315" i="7"/>
  <c r="A315" i="7"/>
  <c r="F314" i="7"/>
  <c r="D314" i="7"/>
  <c r="A314" i="7"/>
  <c r="F313" i="7"/>
  <c r="D313" i="7"/>
  <c r="A313" i="7"/>
  <c r="F312" i="7"/>
  <c r="D312" i="7"/>
  <c r="A312" i="7"/>
  <c r="F311" i="7"/>
  <c r="D311" i="7"/>
  <c r="A311" i="7"/>
  <c r="F310" i="7"/>
  <c r="D310" i="7"/>
  <c r="A310" i="7"/>
  <c r="F309" i="7"/>
  <c r="D309" i="7"/>
  <c r="A309" i="7"/>
  <c r="F308" i="7"/>
  <c r="D308" i="7"/>
  <c r="A308" i="7"/>
  <c r="F307" i="7"/>
  <c r="D307" i="7"/>
  <c r="A307" i="7"/>
  <c r="F306" i="7"/>
  <c r="D306" i="7"/>
  <c r="A306" i="7"/>
  <c r="F305" i="7"/>
  <c r="D305" i="7"/>
  <c r="A305" i="7"/>
  <c r="F304" i="7"/>
  <c r="D304" i="7"/>
  <c r="A304" i="7"/>
  <c r="F303" i="7"/>
  <c r="D303" i="7"/>
  <c r="A303" i="7"/>
  <c r="F302" i="7"/>
  <c r="D302" i="7"/>
  <c r="A302" i="7"/>
  <c r="F301" i="7"/>
  <c r="D301" i="7"/>
  <c r="A301" i="7"/>
  <c r="F300" i="7"/>
  <c r="D300" i="7"/>
  <c r="A300" i="7"/>
  <c r="F299" i="7"/>
  <c r="D299" i="7"/>
  <c r="A299" i="7"/>
  <c r="F298" i="7"/>
  <c r="D298" i="7"/>
  <c r="A298" i="7"/>
  <c r="F297" i="7"/>
  <c r="D297" i="7"/>
  <c r="A297" i="7"/>
  <c r="F296" i="7"/>
  <c r="D296" i="7"/>
  <c r="A296" i="7"/>
  <c r="F295" i="7"/>
  <c r="D295" i="7"/>
  <c r="A295" i="7"/>
  <c r="F294" i="7"/>
  <c r="D294" i="7"/>
  <c r="A294" i="7"/>
  <c r="F293" i="7"/>
  <c r="D293" i="7"/>
  <c r="A293" i="7"/>
  <c r="F292" i="7"/>
  <c r="D292" i="7"/>
  <c r="A292" i="7"/>
  <c r="F291" i="7"/>
  <c r="D291" i="7"/>
  <c r="A291" i="7"/>
  <c r="F290" i="7"/>
  <c r="D290" i="7"/>
  <c r="A290" i="7"/>
  <c r="F289" i="7"/>
  <c r="D289" i="7"/>
  <c r="A289" i="7"/>
  <c r="F288" i="7"/>
  <c r="D288" i="7"/>
  <c r="A288" i="7"/>
  <c r="F287" i="7"/>
  <c r="D287" i="7"/>
  <c r="A287" i="7"/>
  <c r="F286" i="7"/>
  <c r="D286" i="7"/>
  <c r="A286" i="7"/>
  <c r="F285" i="7"/>
  <c r="D285" i="7"/>
  <c r="A285" i="7"/>
  <c r="F284" i="7"/>
  <c r="D284" i="7"/>
  <c r="A284" i="7"/>
  <c r="F283" i="7"/>
  <c r="D283" i="7"/>
  <c r="A283" i="7"/>
  <c r="F282" i="7"/>
  <c r="D282" i="7"/>
  <c r="A282" i="7"/>
  <c r="F281" i="7"/>
  <c r="D281" i="7"/>
  <c r="A281" i="7"/>
  <c r="F280" i="7"/>
  <c r="D280" i="7"/>
  <c r="A280" i="7"/>
  <c r="F279" i="7"/>
  <c r="D279" i="7"/>
  <c r="A279" i="7"/>
  <c r="F278" i="7"/>
  <c r="D278" i="7"/>
  <c r="A278" i="7"/>
  <c r="F277" i="7"/>
  <c r="D277" i="7"/>
  <c r="A277" i="7"/>
  <c r="F276" i="7"/>
  <c r="D276" i="7"/>
  <c r="A276" i="7"/>
  <c r="F275" i="7"/>
  <c r="D275" i="7"/>
  <c r="A275" i="7"/>
  <c r="F274" i="7"/>
  <c r="D274" i="7"/>
  <c r="A274" i="7"/>
  <c r="F273" i="7"/>
  <c r="D273" i="7"/>
  <c r="A273" i="7"/>
  <c r="F272" i="7"/>
  <c r="D272" i="7"/>
  <c r="A272" i="7"/>
  <c r="F271" i="7"/>
  <c r="D271" i="7"/>
  <c r="A271" i="7"/>
  <c r="F270" i="7"/>
  <c r="D270" i="7"/>
  <c r="A270" i="7"/>
  <c r="F269" i="7"/>
  <c r="D269" i="7"/>
  <c r="A269" i="7"/>
  <c r="F268" i="7"/>
  <c r="D268" i="7"/>
  <c r="A268" i="7"/>
  <c r="F267" i="7"/>
  <c r="D267" i="7"/>
  <c r="A267" i="7"/>
  <c r="F266" i="7"/>
  <c r="D266" i="7"/>
  <c r="A266" i="7"/>
  <c r="F265" i="7"/>
  <c r="D265" i="7"/>
  <c r="A265" i="7"/>
  <c r="F264" i="7"/>
  <c r="D264" i="7"/>
  <c r="A264" i="7"/>
  <c r="F263" i="7"/>
  <c r="D263" i="7"/>
  <c r="A263" i="7"/>
  <c r="F262" i="7"/>
  <c r="D262" i="7"/>
  <c r="A262" i="7"/>
  <c r="F261" i="7"/>
  <c r="D261" i="7"/>
  <c r="A261" i="7"/>
  <c r="F260" i="7"/>
  <c r="D260" i="7"/>
  <c r="A260" i="7"/>
  <c r="F259" i="7"/>
  <c r="D259" i="7"/>
  <c r="A259" i="7"/>
  <c r="F258" i="7"/>
  <c r="D258" i="7"/>
  <c r="A258" i="7"/>
  <c r="F257" i="7"/>
  <c r="D257" i="7"/>
  <c r="A257" i="7"/>
  <c r="F256" i="7"/>
  <c r="D256" i="7"/>
  <c r="A256" i="7"/>
  <c r="F255" i="7"/>
  <c r="D255" i="7"/>
  <c r="A255" i="7"/>
  <c r="F254" i="7"/>
  <c r="D254" i="7"/>
  <c r="A254" i="7"/>
  <c r="F253" i="7"/>
  <c r="D253" i="7"/>
  <c r="A253" i="7"/>
  <c r="F252" i="7"/>
  <c r="D252" i="7"/>
  <c r="A252" i="7"/>
  <c r="F251" i="7"/>
  <c r="D251" i="7"/>
  <c r="A251" i="7"/>
  <c r="F250" i="7"/>
  <c r="D250" i="7"/>
  <c r="A250" i="7"/>
  <c r="F249" i="7"/>
  <c r="D249" i="7"/>
  <c r="A249" i="7"/>
  <c r="F248" i="7"/>
  <c r="D248" i="7"/>
  <c r="A248" i="7"/>
  <c r="F247" i="7"/>
  <c r="D247" i="7"/>
  <c r="A247" i="7"/>
  <c r="F246" i="7"/>
  <c r="D246" i="7"/>
  <c r="A246" i="7"/>
  <c r="F245" i="7"/>
  <c r="D245" i="7"/>
  <c r="A245" i="7"/>
  <c r="F244" i="7"/>
  <c r="D244" i="7"/>
  <c r="A244" i="7"/>
  <c r="F243" i="7"/>
  <c r="D243" i="7"/>
  <c r="A243" i="7"/>
  <c r="F242" i="7"/>
  <c r="D242" i="7"/>
  <c r="A242" i="7"/>
  <c r="F241" i="7"/>
  <c r="D241" i="7"/>
  <c r="A241" i="7"/>
  <c r="F240" i="7"/>
  <c r="D240" i="7"/>
  <c r="A240" i="7"/>
  <c r="F239" i="7"/>
  <c r="D239" i="7"/>
  <c r="A239" i="7"/>
  <c r="F238" i="7"/>
  <c r="D238" i="7"/>
  <c r="A238" i="7"/>
  <c r="F237" i="7"/>
  <c r="D237" i="7"/>
  <c r="A237" i="7"/>
  <c r="F236" i="7"/>
  <c r="D236" i="7"/>
  <c r="A236" i="7"/>
  <c r="F235" i="7"/>
  <c r="D235" i="7"/>
  <c r="A235" i="7"/>
  <c r="F234" i="7"/>
  <c r="D234" i="7"/>
  <c r="A234" i="7"/>
  <c r="F233" i="7"/>
  <c r="D233" i="7"/>
  <c r="A233" i="7"/>
  <c r="F232" i="7"/>
  <c r="D232" i="7"/>
  <c r="A232" i="7"/>
  <c r="F231" i="7"/>
  <c r="D231" i="7"/>
  <c r="A231" i="7"/>
  <c r="F230" i="7"/>
  <c r="D230" i="7"/>
  <c r="A230" i="7"/>
  <c r="F229" i="7"/>
  <c r="D229" i="7"/>
  <c r="A229" i="7"/>
  <c r="F228" i="7"/>
  <c r="D228" i="7"/>
  <c r="A228" i="7"/>
  <c r="F227" i="7"/>
  <c r="D227" i="7"/>
  <c r="A227" i="7"/>
  <c r="F226" i="7"/>
  <c r="D226" i="7"/>
  <c r="A226" i="7"/>
  <c r="F225" i="7"/>
  <c r="D225" i="7"/>
  <c r="A225" i="7"/>
  <c r="F224" i="7"/>
  <c r="D224" i="7"/>
  <c r="A224" i="7"/>
  <c r="F223" i="7"/>
  <c r="D223" i="7"/>
  <c r="A223" i="7"/>
  <c r="F222" i="7"/>
  <c r="D222" i="7"/>
  <c r="A222" i="7"/>
  <c r="F221" i="7"/>
  <c r="D221" i="7"/>
  <c r="A221" i="7"/>
  <c r="F220" i="7"/>
  <c r="D220" i="7"/>
  <c r="A220" i="7"/>
  <c r="F219" i="7"/>
  <c r="D219" i="7"/>
  <c r="A219" i="7"/>
  <c r="F218" i="7"/>
  <c r="D218" i="7"/>
  <c r="A218" i="7"/>
  <c r="F217" i="7"/>
  <c r="D217" i="7"/>
  <c r="A217" i="7"/>
  <c r="F216" i="7"/>
  <c r="D216" i="7"/>
  <c r="A216" i="7"/>
  <c r="F215" i="7"/>
  <c r="D215" i="7"/>
  <c r="A215" i="7"/>
  <c r="F214" i="7"/>
  <c r="D214" i="7"/>
  <c r="A214" i="7"/>
  <c r="F213" i="7"/>
  <c r="D213" i="7"/>
  <c r="A213" i="7"/>
  <c r="F212" i="7"/>
  <c r="D212" i="7"/>
  <c r="A212" i="7"/>
  <c r="F211" i="7"/>
  <c r="D211" i="7"/>
  <c r="A211" i="7"/>
  <c r="F210" i="7"/>
  <c r="D210" i="7"/>
  <c r="A210" i="7"/>
  <c r="F209" i="7"/>
  <c r="D209" i="7"/>
  <c r="A209" i="7"/>
  <c r="F208" i="7"/>
  <c r="D208" i="7"/>
  <c r="A208" i="7"/>
  <c r="F207" i="7"/>
  <c r="D207" i="7"/>
  <c r="A207" i="7"/>
  <c r="F206" i="7"/>
  <c r="D206" i="7"/>
  <c r="A206" i="7"/>
  <c r="F205" i="7"/>
  <c r="D205" i="7"/>
  <c r="A205" i="7"/>
  <c r="F204" i="7"/>
  <c r="D204" i="7"/>
  <c r="A204" i="7"/>
  <c r="F203" i="7"/>
  <c r="D203" i="7"/>
  <c r="A203" i="7"/>
  <c r="F202" i="7"/>
  <c r="D202" i="7"/>
  <c r="A202" i="7"/>
  <c r="F201" i="7"/>
  <c r="D201" i="7"/>
  <c r="A201" i="7"/>
  <c r="F200" i="7"/>
  <c r="D200" i="7"/>
  <c r="A200" i="7"/>
  <c r="F199" i="7"/>
  <c r="D199" i="7"/>
  <c r="A199" i="7"/>
  <c r="F198" i="7"/>
  <c r="D198" i="7"/>
  <c r="A198" i="7"/>
  <c r="F197" i="7"/>
  <c r="D197" i="7"/>
  <c r="A197" i="7"/>
  <c r="F196" i="7"/>
  <c r="D196" i="7"/>
  <c r="A196" i="7"/>
  <c r="F195" i="7"/>
  <c r="D195" i="7"/>
  <c r="A195" i="7"/>
  <c r="F194" i="7"/>
  <c r="D194" i="7"/>
  <c r="A194" i="7"/>
  <c r="F193" i="7"/>
  <c r="D193" i="7"/>
  <c r="A193" i="7"/>
  <c r="F192" i="7"/>
  <c r="D192" i="7"/>
  <c r="A192" i="7"/>
  <c r="F191" i="7"/>
  <c r="D191" i="7"/>
  <c r="A191" i="7"/>
  <c r="F190" i="7"/>
  <c r="D190" i="7"/>
  <c r="A190" i="7"/>
  <c r="F189" i="7"/>
  <c r="D189" i="7"/>
  <c r="A189" i="7"/>
  <c r="F188" i="7"/>
  <c r="D188" i="7"/>
  <c r="A188" i="7"/>
  <c r="F187" i="7"/>
  <c r="D187" i="7"/>
  <c r="A187" i="7"/>
  <c r="F186" i="7"/>
  <c r="D186" i="7"/>
  <c r="A186" i="7"/>
  <c r="F185" i="7"/>
  <c r="D185" i="7"/>
  <c r="A185" i="7"/>
  <c r="F184" i="7"/>
  <c r="D184" i="7"/>
  <c r="A184" i="7"/>
  <c r="F183" i="7"/>
  <c r="D183" i="7"/>
  <c r="A183" i="7"/>
  <c r="F182" i="7"/>
  <c r="D182" i="7"/>
  <c r="A182" i="7"/>
  <c r="F181" i="7"/>
  <c r="D181" i="7"/>
  <c r="A181" i="7"/>
  <c r="F180" i="7"/>
  <c r="D180" i="7"/>
  <c r="A180" i="7"/>
  <c r="F179" i="7"/>
  <c r="D179" i="7"/>
  <c r="A179" i="7"/>
  <c r="F178" i="7"/>
  <c r="D178" i="7"/>
  <c r="A178" i="7"/>
  <c r="F177" i="7"/>
  <c r="D177" i="7"/>
  <c r="A177" i="7"/>
  <c r="F176" i="7"/>
  <c r="D176" i="7"/>
  <c r="A176" i="7"/>
  <c r="F175" i="7"/>
  <c r="D175" i="7"/>
  <c r="A175" i="7"/>
  <c r="F174" i="7"/>
  <c r="D174" i="7"/>
  <c r="A174" i="7"/>
  <c r="F173" i="7"/>
  <c r="D173" i="7"/>
  <c r="A173" i="7"/>
  <c r="F172" i="7"/>
  <c r="D172" i="7"/>
  <c r="A172" i="7"/>
  <c r="F171" i="7"/>
  <c r="D171" i="7"/>
  <c r="A171" i="7"/>
  <c r="F170" i="7"/>
  <c r="D170" i="7"/>
  <c r="A170" i="7"/>
  <c r="F169" i="7"/>
  <c r="D169" i="7"/>
  <c r="A169" i="7"/>
  <c r="F168" i="7"/>
  <c r="D168" i="7"/>
  <c r="A168" i="7"/>
  <c r="F167" i="7"/>
  <c r="D167" i="7"/>
  <c r="A167" i="7"/>
  <c r="F166" i="7"/>
  <c r="D166" i="7"/>
  <c r="A166" i="7"/>
  <c r="F165" i="7"/>
  <c r="D165" i="7"/>
  <c r="A165" i="7"/>
  <c r="F164" i="7"/>
  <c r="D164" i="7"/>
  <c r="A164" i="7"/>
  <c r="F163" i="7"/>
  <c r="D163" i="7"/>
  <c r="A163" i="7"/>
  <c r="F162" i="7"/>
  <c r="D162" i="7"/>
  <c r="A162" i="7"/>
  <c r="F161" i="7"/>
  <c r="D161" i="7"/>
  <c r="A161" i="7"/>
  <c r="F160" i="7"/>
  <c r="D160" i="7"/>
  <c r="A160" i="7"/>
  <c r="F159" i="7"/>
  <c r="D159" i="7"/>
  <c r="A159" i="7"/>
  <c r="F158" i="7"/>
  <c r="D158" i="7"/>
  <c r="A158" i="7"/>
  <c r="F157" i="7"/>
  <c r="D157" i="7"/>
  <c r="A157" i="7"/>
  <c r="F156" i="7"/>
  <c r="D156" i="7"/>
  <c r="A156" i="7"/>
  <c r="F155" i="7"/>
  <c r="D155" i="7"/>
  <c r="A155" i="7"/>
  <c r="F154" i="7"/>
  <c r="D154" i="7"/>
  <c r="A154" i="7"/>
  <c r="F153" i="7"/>
  <c r="D153" i="7"/>
  <c r="A153" i="7"/>
  <c r="F152" i="7"/>
  <c r="D152" i="7"/>
  <c r="A152" i="7"/>
  <c r="F151" i="7"/>
  <c r="D151" i="7"/>
  <c r="A151" i="7"/>
  <c r="F150" i="7"/>
  <c r="D150" i="7"/>
  <c r="A150" i="7"/>
  <c r="F149" i="7"/>
  <c r="D149" i="7"/>
  <c r="A149" i="7"/>
  <c r="F148" i="7"/>
  <c r="D148" i="7"/>
  <c r="A148" i="7"/>
  <c r="F147" i="7"/>
  <c r="D147" i="7"/>
  <c r="A147" i="7"/>
  <c r="F146" i="7"/>
  <c r="D146" i="7"/>
  <c r="A146" i="7"/>
  <c r="F145" i="7"/>
  <c r="D145" i="7"/>
  <c r="A145" i="7"/>
  <c r="F144" i="7"/>
  <c r="D144" i="7"/>
  <c r="A144" i="7"/>
  <c r="F143" i="7"/>
  <c r="D143" i="7"/>
  <c r="A143" i="7"/>
  <c r="F142" i="7"/>
  <c r="D142" i="7"/>
  <c r="A142" i="7"/>
  <c r="F141" i="7"/>
  <c r="D141" i="7"/>
  <c r="A141" i="7"/>
  <c r="F140" i="7"/>
  <c r="D140" i="7"/>
  <c r="A140" i="7"/>
  <c r="F139" i="7"/>
  <c r="D139" i="7"/>
  <c r="A139" i="7"/>
  <c r="F138" i="7"/>
  <c r="D138" i="7"/>
  <c r="A138" i="7"/>
  <c r="F137" i="7"/>
  <c r="D137" i="7"/>
  <c r="A137" i="7"/>
  <c r="F136" i="7"/>
  <c r="D136" i="7"/>
  <c r="A136" i="7"/>
  <c r="F135" i="7"/>
  <c r="D135" i="7"/>
  <c r="A135" i="7"/>
  <c r="F134" i="7"/>
  <c r="D134" i="7"/>
  <c r="A134" i="7"/>
  <c r="F133" i="7"/>
  <c r="D133" i="7"/>
  <c r="A133" i="7"/>
  <c r="F132" i="7"/>
  <c r="D132" i="7"/>
  <c r="A132" i="7"/>
  <c r="F131" i="7"/>
  <c r="D131" i="7"/>
  <c r="A131" i="7"/>
  <c r="F130" i="7"/>
  <c r="D130" i="7"/>
  <c r="A130" i="7"/>
  <c r="F129" i="7"/>
  <c r="D129" i="7"/>
  <c r="A129" i="7"/>
  <c r="F128" i="7"/>
  <c r="D128" i="7"/>
  <c r="A128" i="7"/>
  <c r="F127" i="7"/>
  <c r="D127" i="7"/>
  <c r="A127" i="7"/>
  <c r="F126" i="7"/>
  <c r="D126" i="7"/>
  <c r="A126" i="7"/>
  <c r="F125" i="7"/>
  <c r="D125" i="7"/>
  <c r="A125" i="7"/>
  <c r="F124" i="7"/>
  <c r="D124" i="7"/>
  <c r="A124" i="7"/>
  <c r="F123" i="7"/>
  <c r="D123" i="7"/>
  <c r="A123" i="7"/>
  <c r="F122" i="7"/>
  <c r="D122" i="7"/>
  <c r="A122" i="7"/>
  <c r="F121" i="7"/>
  <c r="D121" i="7"/>
  <c r="A121" i="7"/>
  <c r="F120" i="7"/>
  <c r="D120" i="7"/>
  <c r="A120" i="7"/>
  <c r="F119" i="7"/>
  <c r="D119" i="7"/>
  <c r="A119" i="7"/>
  <c r="F118" i="7"/>
  <c r="D118" i="7"/>
  <c r="A118" i="7"/>
  <c r="F117" i="7"/>
  <c r="D117" i="7"/>
  <c r="A117" i="7"/>
  <c r="F116" i="7"/>
  <c r="D116" i="7"/>
  <c r="A116" i="7"/>
  <c r="F115" i="7"/>
  <c r="D115" i="7"/>
  <c r="A115" i="7"/>
  <c r="F114" i="7"/>
  <c r="D114" i="7"/>
  <c r="A114" i="7"/>
  <c r="F113" i="7"/>
  <c r="D113" i="7"/>
  <c r="A113" i="7"/>
  <c r="F112" i="7"/>
  <c r="D112" i="7"/>
  <c r="A112" i="7"/>
  <c r="F111" i="7"/>
  <c r="D111" i="7"/>
  <c r="A111" i="7"/>
  <c r="F110" i="7"/>
  <c r="D110" i="7"/>
  <c r="A110" i="7"/>
  <c r="F109" i="7"/>
  <c r="D109" i="7"/>
  <c r="A109" i="7"/>
  <c r="F108" i="7"/>
  <c r="D108" i="7"/>
  <c r="A108" i="7"/>
  <c r="F107" i="7"/>
  <c r="D107" i="7"/>
  <c r="A107" i="7"/>
  <c r="F106" i="7"/>
  <c r="D106" i="7"/>
  <c r="A106" i="7"/>
  <c r="F105" i="7"/>
  <c r="D105" i="7"/>
  <c r="A105" i="7"/>
  <c r="F104" i="7"/>
  <c r="D104" i="7"/>
  <c r="A104" i="7"/>
  <c r="F103" i="7"/>
  <c r="D103" i="7"/>
  <c r="A103" i="7"/>
  <c r="F102" i="7"/>
  <c r="D102" i="7"/>
  <c r="A102" i="7"/>
  <c r="F101" i="7"/>
  <c r="D101" i="7"/>
  <c r="A101" i="7"/>
  <c r="F100" i="7"/>
  <c r="D100" i="7"/>
  <c r="A100" i="7"/>
  <c r="F99" i="7"/>
  <c r="D99" i="7"/>
  <c r="A99" i="7"/>
  <c r="F98" i="7"/>
  <c r="D98" i="7"/>
  <c r="A98" i="7"/>
  <c r="F97" i="7"/>
  <c r="D97" i="7"/>
  <c r="A97" i="7"/>
  <c r="F96" i="7"/>
  <c r="D96" i="7"/>
  <c r="A96" i="7"/>
  <c r="F95" i="7"/>
  <c r="D95" i="7"/>
  <c r="A95" i="7"/>
  <c r="F94" i="7"/>
  <c r="D94" i="7"/>
  <c r="A94" i="7"/>
  <c r="F93" i="7"/>
  <c r="D93" i="7"/>
  <c r="A93" i="7"/>
  <c r="F92" i="7"/>
  <c r="D92" i="7"/>
  <c r="A92" i="7"/>
  <c r="F91" i="7"/>
  <c r="D91" i="7"/>
  <c r="A91" i="7"/>
  <c r="F90" i="7"/>
  <c r="D90" i="7"/>
  <c r="A90" i="7"/>
  <c r="F89" i="7"/>
  <c r="D89" i="7"/>
  <c r="A89" i="7"/>
  <c r="F88" i="7"/>
  <c r="D88" i="7"/>
  <c r="A88" i="7"/>
  <c r="F87" i="7"/>
  <c r="D87" i="7"/>
  <c r="A87" i="7"/>
  <c r="F86" i="7"/>
  <c r="D86" i="7"/>
  <c r="A86" i="7"/>
  <c r="F85" i="7"/>
  <c r="D85" i="7"/>
  <c r="A85" i="7"/>
  <c r="F84" i="7"/>
  <c r="D84" i="7"/>
  <c r="A84" i="7"/>
  <c r="F83" i="7"/>
  <c r="D83" i="7"/>
  <c r="A83" i="7"/>
  <c r="F82" i="7"/>
  <c r="D82" i="7"/>
  <c r="A82" i="7"/>
  <c r="F81" i="7"/>
  <c r="D81" i="7"/>
  <c r="A81" i="7"/>
  <c r="F80" i="7"/>
  <c r="D80" i="7"/>
  <c r="A80" i="7"/>
  <c r="F79" i="7"/>
  <c r="D79" i="7"/>
  <c r="A79" i="7"/>
  <c r="F78" i="7"/>
  <c r="D78" i="7"/>
  <c r="A78" i="7"/>
  <c r="F77" i="7"/>
  <c r="D77" i="7"/>
  <c r="A77" i="7"/>
  <c r="F76" i="7"/>
  <c r="D76" i="7"/>
  <c r="A76" i="7"/>
  <c r="F75" i="7"/>
  <c r="D75" i="7"/>
  <c r="A75" i="7"/>
  <c r="F74" i="7"/>
  <c r="D74" i="7"/>
  <c r="A74" i="7"/>
  <c r="F73" i="7"/>
  <c r="D73" i="7"/>
  <c r="A73" i="7"/>
  <c r="F72" i="7"/>
  <c r="D72" i="7"/>
  <c r="A72" i="7"/>
  <c r="F71" i="7"/>
  <c r="D71" i="7"/>
  <c r="A71" i="7"/>
  <c r="F70" i="7"/>
  <c r="D70" i="7"/>
  <c r="A70" i="7"/>
  <c r="F69" i="7"/>
  <c r="D69" i="7"/>
  <c r="A69" i="7"/>
  <c r="F68" i="7"/>
  <c r="D68" i="7"/>
  <c r="A68" i="7"/>
  <c r="F67" i="7"/>
  <c r="D67" i="7"/>
  <c r="A67" i="7"/>
  <c r="F66" i="7"/>
  <c r="D66" i="7"/>
  <c r="A66" i="7"/>
  <c r="F65" i="7"/>
  <c r="D65" i="7"/>
  <c r="A65" i="7"/>
  <c r="F64" i="7"/>
  <c r="D64" i="7"/>
  <c r="A64" i="7"/>
  <c r="F63" i="7"/>
  <c r="D63" i="7"/>
  <c r="A63" i="7"/>
  <c r="F62" i="7"/>
  <c r="D62" i="7"/>
  <c r="A62" i="7"/>
  <c r="F61" i="7"/>
  <c r="D61" i="7"/>
  <c r="A61" i="7"/>
  <c r="F60" i="7"/>
  <c r="D60" i="7"/>
  <c r="A60" i="7"/>
  <c r="F59" i="7"/>
  <c r="D59" i="7"/>
  <c r="A59" i="7"/>
  <c r="F58" i="7"/>
  <c r="D58" i="7"/>
  <c r="A58" i="7"/>
  <c r="F57" i="7"/>
  <c r="D57" i="7"/>
  <c r="A57" i="7"/>
  <c r="F56" i="7"/>
  <c r="D56" i="7"/>
  <c r="A56" i="7"/>
  <c r="F55" i="7"/>
  <c r="D55" i="7"/>
  <c r="A55" i="7"/>
  <c r="F54" i="7"/>
  <c r="D54" i="7"/>
  <c r="A54" i="7"/>
  <c r="F53" i="7"/>
  <c r="D53" i="7"/>
  <c r="A53" i="7"/>
  <c r="F52" i="7"/>
  <c r="D52" i="7"/>
  <c r="A52" i="7"/>
  <c r="F51" i="7"/>
  <c r="D51" i="7"/>
  <c r="A51" i="7"/>
  <c r="F50" i="7"/>
  <c r="D50" i="7"/>
  <c r="A50" i="7"/>
  <c r="F49" i="7"/>
  <c r="D49" i="7"/>
  <c r="A49" i="7"/>
  <c r="F48" i="7"/>
  <c r="D48" i="7"/>
  <c r="A48" i="7"/>
  <c r="F47" i="7"/>
  <c r="D47" i="7"/>
  <c r="A47" i="7"/>
  <c r="F46" i="7"/>
  <c r="D46" i="7"/>
  <c r="A46" i="7"/>
  <c r="F45" i="7"/>
  <c r="D45" i="7"/>
  <c r="A45" i="7"/>
  <c r="F44" i="7"/>
  <c r="D44" i="7"/>
  <c r="A44" i="7"/>
  <c r="F43" i="7"/>
  <c r="D43" i="7"/>
  <c r="A43" i="7"/>
  <c r="F42" i="7"/>
  <c r="D42" i="7"/>
  <c r="A42" i="7"/>
  <c r="F41" i="7"/>
  <c r="D41" i="7"/>
  <c r="A41" i="7"/>
  <c r="F40" i="7"/>
  <c r="D40" i="7"/>
  <c r="A40" i="7"/>
  <c r="F39" i="7"/>
  <c r="D39" i="7"/>
  <c r="A39" i="7"/>
  <c r="F38" i="7"/>
  <c r="D38" i="7"/>
  <c r="A38" i="7"/>
  <c r="F37" i="7"/>
  <c r="D37" i="7"/>
  <c r="A37" i="7"/>
  <c r="F36" i="7"/>
  <c r="D36" i="7"/>
  <c r="A36" i="7"/>
  <c r="F35" i="7"/>
  <c r="D35" i="7"/>
  <c r="A35" i="7"/>
  <c r="F34" i="7"/>
  <c r="D34" i="7"/>
  <c r="A34" i="7"/>
  <c r="F33" i="7"/>
  <c r="D33" i="7"/>
  <c r="A33" i="7"/>
  <c r="F32" i="7"/>
  <c r="D32" i="7"/>
  <c r="A32" i="7"/>
  <c r="F31" i="7"/>
  <c r="D31" i="7"/>
  <c r="A31" i="7"/>
  <c r="F30" i="7"/>
  <c r="D30" i="7"/>
  <c r="A30" i="7"/>
  <c r="F29" i="7"/>
  <c r="D29" i="7"/>
  <c r="A29" i="7"/>
  <c r="F28" i="7"/>
  <c r="D28" i="7"/>
  <c r="A28" i="7"/>
  <c r="F27" i="7"/>
  <c r="D27" i="7"/>
  <c r="A27" i="7"/>
  <c r="F26" i="7"/>
  <c r="D26" i="7"/>
  <c r="A26" i="7"/>
  <c r="F25" i="7"/>
  <c r="D25" i="7"/>
  <c r="A25" i="7"/>
  <c r="F24" i="7"/>
  <c r="D24" i="7"/>
  <c r="A24" i="7"/>
  <c r="F23" i="7"/>
  <c r="D23" i="7"/>
  <c r="A23" i="7"/>
  <c r="F22" i="7"/>
  <c r="D22" i="7"/>
  <c r="A22" i="7"/>
  <c r="F21" i="7"/>
  <c r="D21" i="7"/>
  <c r="A21" i="7"/>
  <c r="F20" i="7"/>
  <c r="D20" i="7"/>
  <c r="A20" i="7"/>
  <c r="F19" i="7"/>
  <c r="D19" i="7"/>
  <c r="A19" i="7"/>
  <c r="F18" i="7"/>
  <c r="D18" i="7"/>
  <c r="A18" i="7"/>
  <c r="F17" i="7"/>
  <c r="D17" i="7"/>
  <c r="A17" i="7"/>
  <c r="F16" i="7"/>
  <c r="D16" i="7"/>
  <c r="A16" i="7"/>
  <c r="F15" i="7"/>
  <c r="D15" i="7"/>
  <c r="A15" i="7"/>
  <c r="F14" i="7"/>
  <c r="D14" i="7"/>
  <c r="A14" i="7"/>
  <c r="F13" i="7"/>
  <c r="D13" i="7"/>
  <c r="A13" i="7"/>
  <c r="F12" i="7"/>
  <c r="D12" i="7"/>
  <c r="A12" i="7"/>
  <c r="F11" i="7"/>
  <c r="D11" i="7"/>
  <c r="A11" i="7"/>
  <c r="F10" i="7"/>
  <c r="D10" i="7"/>
  <c r="A10" i="7"/>
  <c r="F9" i="7"/>
  <c r="D9" i="7"/>
  <c r="A9" i="7"/>
  <c r="F8" i="7"/>
  <c r="D8" i="7"/>
  <c r="A8" i="7"/>
  <c r="F7" i="7"/>
  <c r="D7" i="7"/>
  <c r="A7" i="7"/>
  <c r="F6" i="7"/>
  <c r="D6" i="7"/>
  <c r="A6" i="7"/>
  <c r="F5" i="7"/>
  <c r="D5" i="7"/>
  <c r="A5" i="7"/>
  <c r="F4" i="7"/>
  <c r="D4" i="7"/>
  <c r="A4" i="7"/>
  <c r="F3" i="7"/>
  <c r="D3" i="7"/>
  <c r="A3" i="7"/>
  <c r="D2" i="7"/>
  <c r="F2" i="7" s="1"/>
  <c r="C51" i="2" s="1"/>
  <c r="A2" i="7"/>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 i="5"/>
  <c r="A501" i="4"/>
  <c r="A500" i="4"/>
  <c r="A499" i="4"/>
  <c r="A498" i="4"/>
  <c r="A497" i="4"/>
  <c r="A496" i="4"/>
  <c r="A495" i="4"/>
  <c r="A494" i="4"/>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F900" i="3"/>
  <c r="G900" i="3" s="1"/>
  <c r="D900" i="3"/>
  <c r="F899" i="3"/>
  <c r="G899" i="3" s="1"/>
  <c r="D899" i="3"/>
  <c r="F898" i="3"/>
  <c r="G898" i="3" s="1"/>
  <c r="D898" i="3"/>
  <c r="F897" i="3"/>
  <c r="G897" i="3" s="1"/>
  <c r="D897" i="3"/>
  <c r="F896" i="3"/>
  <c r="G896" i="3" s="1"/>
  <c r="D896" i="3"/>
  <c r="F895" i="3"/>
  <c r="G895" i="3" s="1"/>
  <c r="D895" i="3"/>
  <c r="F894" i="3"/>
  <c r="G894" i="3" s="1"/>
  <c r="D894" i="3"/>
  <c r="F893" i="3"/>
  <c r="G893" i="3" s="1"/>
  <c r="D893" i="3"/>
  <c r="F892" i="3"/>
  <c r="G892" i="3" s="1"/>
  <c r="D892" i="3"/>
  <c r="F891" i="3"/>
  <c r="G891" i="3" s="1"/>
  <c r="D891" i="3"/>
  <c r="F890" i="3"/>
  <c r="G890" i="3" s="1"/>
  <c r="D890" i="3"/>
  <c r="F889" i="3"/>
  <c r="G889" i="3" s="1"/>
  <c r="D889" i="3"/>
  <c r="F888" i="3"/>
  <c r="G888" i="3" s="1"/>
  <c r="D888" i="3"/>
  <c r="F887" i="3"/>
  <c r="G887" i="3" s="1"/>
  <c r="D887" i="3"/>
  <c r="F886" i="3"/>
  <c r="G886" i="3" s="1"/>
  <c r="D886" i="3"/>
  <c r="F885" i="3"/>
  <c r="G885" i="3" s="1"/>
  <c r="D885" i="3"/>
  <c r="F884" i="3"/>
  <c r="G884" i="3" s="1"/>
  <c r="D884" i="3"/>
  <c r="F883" i="3"/>
  <c r="G883" i="3" s="1"/>
  <c r="D883" i="3"/>
  <c r="F882" i="3"/>
  <c r="G882" i="3" s="1"/>
  <c r="D882" i="3"/>
  <c r="F881" i="3"/>
  <c r="G881" i="3" s="1"/>
  <c r="D881" i="3"/>
  <c r="F880" i="3"/>
  <c r="G880" i="3" s="1"/>
  <c r="D880" i="3"/>
  <c r="F879" i="3"/>
  <c r="G879" i="3" s="1"/>
  <c r="D879" i="3"/>
  <c r="F878" i="3"/>
  <c r="G878" i="3" s="1"/>
  <c r="D878" i="3"/>
  <c r="F877" i="3"/>
  <c r="G877" i="3" s="1"/>
  <c r="D877" i="3"/>
  <c r="F876" i="3"/>
  <c r="G876" i="3" s="1"/>
  <c r="D876" i="3"/>
  <c r="F875" i="3"/>
  <c r="G875" i="3" s="1"/>
  <c r="D875" i="3"/>
  <c r="F874" i="3"/>
  <c r="G874" i="3" s="1"/>
  <c r="D874" i="3"/>
  <c r="F873" i="3"/>
  <c r="G873" i="3" s="1"/>
  <c r="D873" i="3"/>
  <c r="F872" i="3"/>
  <c r="G872" i="3" s="1"/>
  <c r="D872" i="3"/>
  <c r="F871" i="3"/>
  <c r="G871" i="3" s="1"/>
  <c r="D871" i="3"/>
  <c r="F870" i="3"/>
  <c r="G870" i="3" s="1"/>
  <c r="D870" i="3"/>
  <c r="F869" i="3"/>
  <c r="G869" i="3" s="1"/>
  <c r="D869" i="3"/>
  <c r="F868" i="3"/>
  <c r="G868" i="3" s="1"/>
  <c r="D868" i="3"/>
  <c r="F867" i="3"/>
  <c r="G867" i="3" s="1"/>
  <c r="D867" i="3"/>
  <c r="F866" i="3"/>
  <c r="G866" i="3" s="1"/>
  <c r="D866" i="3"/>
  <c r="F865" i="3"/>
  <c r="G865" i="3" s="1"/>
  <c r="D865" i="3"/>
  <c r="F864" i="3"/>
  <c r="G864" i="3" s="1"/>
  <c r="D864" i="3"/>
  <c r="F863" i="3"/>
  <c r="G863" i="3" s="1"/>
  <c r="D863" i="3"/>
  <c r="F862" i="3"/>
  <c r="G862" i="3" s="1"/>
  <c r="D862" i="3"/>
  <c r="F861" i="3"/>
  <c r="G861" i="3" s="1"/>
  <c r="D861" i="3"/>
  <c r="F860" i="3"/>
  <c r="G860" i="3" s="1"/>
  <c r="D860" i="3"/>
  <c r="F859" i="3"/>
  <c r="G859" i="3" s="1"/>
  <c r="D859" i="3"/>
  <c r="F858" i="3"/>
  <c r="G858" i="3" s="1"/>
  <c r="D858" i="3"/>
  <c r="F857" i="3"/>
  <c r="G857" i="3" s="1"/>
  <c r="D857" i="3"/>
  <c r="F856" i="3"/>
  <c r="G856" i="3" s="1"/>
  <c r="D856" i="3"/>
  <c r="F855" i="3"/>
  <c r="G855" i="3" s="1"/>
  <c r="D855" i="3"/>
  <c r="F854" i="3"/>
  <c r="G854" i="3" s="1"/>
  <c r="D854" i="3"/>
  <c r="F853" i="3"/>
  <c r="G853" i="3" s="1"/>
  <c r="D853" i="3"/>
  <c r="F852" i="3"/>
  <c r="G852" i="3" s="1"/>
  <c r="D852" i="3"/>
  <c r="F851" i="3"/>
  <c r="G851" i="3" s="1"/>
  <c r="D851" i="3"/>
  <c r="F850" i="3"/>
  <c r="G850" i="3" s="1"/>
  <c r="D850" i="3"/>
  <c r="F849" i="3"/>
  <c r="G849" i="3" s="1"/>
  <c r="D849" i="3"/>
  <c r="F848" i="3"/>
  <c r="G848" i="3" s="1"/>
  <c r="D848" i="3"/>
  <c r="F847" i="3"/>
  <c r="G847" i="3" s="1"/>
  <c r="D847" i="3"/>
  <c r="F846" i="3"/>
  <c r="G846" i="3" s="1"/>
  <c r="D846" i="3"/>
  <c r="F845" i="3"/>
  <c r="G845" i="3" s="1"/>
  <c r="D845" i="3"/>
  <c r="F844" i="3"/>
  <c r="G844" i="3" s="1"/>
  <c r="D844" i="3"/>
  <c r="F843" i="3"/>
  <c r="G843" i="3" s="1"/>
  <c r="D843" i="3"/>
  <c r="F842" i="3"/>
  <c r="G842" i="3" s="1"/>
  <c r="D842" i="3"/>
  <c r="F841" i="3"/>
  <c r="G841" i="3" s="1"/>
  <c r="D841" i="3"/>
  <c r="F840" i="3"/>
  <c r="G840" i="3" s="1"/>
  <c r="D840" i="3"/>
  <c r="F839" i="3"/>
  <c r="G839" i="3" s="1"/>
  <c r="D839" i="3"/>
  <c r="F838" i="3"/>
  <c r="G838" i="3" s="1"/>
  <c r="D838" i="3"/>
  <c r="F837" i="3"/>
  <c r="G837" i="3" s="1"/>
  <c r="D837" i="3"/>
  <c r="F836" i="3"/>
  <c r="G836" i="3" s="1"/>
  <c r="D836" i="3"/>
  <c r="F835" i="3"/>
  <c r="G835" i="3" s="1"/>
  <c r="D835" i="3"/>
  <c r="F834" i="3"/>
  <c r="G834" i="3" s="1"/>
  <c r="D834" i="3"/>
  <c r="F833" i="3"/>
  <c r="G833" i="3" s="1"/>
  <c r="D833" i="3"/>
  <c r="F832" i="3"/>
  <c r="G832" i="3" s="1"/>
  <c r="D832" i="3"/>
  <c r="F831" i="3"/>
  <c r="G831" i="3" s="1"/>
  <c r="D831" i="3"/>
  <c r="F830" i="3"/>
  <c r="G830" i="3" s="1"/>
  <c r="D830" i="3"/>
  <c r="F829" i="3"/>
  <c r="G829" i="3" s="1"/>
  <c r="D829" i="3"/>
  <c r="F828" i="3"/>
  <c r="G828" i="3" s="1"/>
  <c r="D828" i="3"/>
  <c r="F827" i="3"/>
  <c r="G827" i="3" s="1"/>
  <c r="D827" i="3"/>
  <c r="F826" i="3"/>
  <c r="G826" i="3" s="1"/>
  <c r="D826" i="3"/>
  <c r="F825" i="3"/>
  <c r="G825" i="3" s="1"/>
  <c r="D825" i="3"/>
  <c r="F824" i="3"/>
  <c r="G824" i="3" s="1"/>
  <c r="D824" i="3"/>
  <c r="F823" i="3"/>
  <c r="G823" i="3" s="1"/>
  <c r="D823" i="3"/>
  <c r="F822" i="3"/>
  <c r="G822" i="3" s="1"/>
  <c r="D822" i="3"/>
  <c r="F821" i="3"/>
  <c r="G821" i="3" s="1"/>
  <c r="D821" i="3"/>
  <c r="F820" i="3"/>
  <c r="G820" i="3" s="1"/>
  <c r="D820" i="3"/>
  <c r="F819" i="3"/>
  <c r="G819" i="3" s="1"/>
  <c r="D819" i="3"/>
  <c r="F818" i="3"/>
  <c r="G818" i="3" s="1"/>
  <c r="D818" i="3"/>
  <c r="F817" i="3"/>
  <c r="G817" i="3" s="1"/>
  <c r="D817" i="3"/>
  <c r="F816" i="3"/>
  <c r="G816" i="3" s="1"/>
  <c r="D816" i="3"/>
  <c r="F815" i="3"/>
  <c r="G815" i="3" s="1"/>
  <c r="D815" i="3"/>
  <c r="F814" i="3"/>
  <c r="G814" i="3" s="1"/>
  <c r="D814" i="3"/>
  <c r="F813" i="3"/>
  <c r="G813" i="3" s="1"/>
  <c r="D813" i="3"/>
  <c r="F812" i="3"/>
  <c r="G812" i="3" s="1"/>
  <c r="D812" i="3"/>
  <c r="F811" i="3"/>
  <c r="G811" i="3" s="1"/>
  <c r="D811" i="3"/>
  <c r="F810" i="3"/>
  <c r="G810" i="3" s="1"/>
  <c r="D810" i="3"/>
  <c r="F809" i="3"/>
  <c r="G809" i="3" s="1"/>
  <c r="D809" i="3"/>
  <c r="F808" i="3"/>
  <c r="G808" i="3" s="1"/>
  <c r="D808" i="3"/>
  <c r="F807" i="3"/>
  <c r="G807" i="3" s="1"/>
  <c r="D807" i="3"/>
  <c r="F806" i="3"/>
  <c r="G806" i="3" s="1"/>
  <c r="D806" i="3"/>
  <c r="F805" i="3"/>
  <c r="G805" i="3" s="1"/>
  <c r="D805" i="3"/>
  <c r="F804" i="3"/>
  <c r="G804" i="3" s="1"/>
  <c r="D804" i="3"/>
  <c r="F803" i="3"/>
  <c r="G803" i="3" s="1"/>
  <c r="D803" i="3"/>
  <c r="F802" i="3"/>
  <c r="G802" i="3" s="1"/>
  <c r="D802" i="3"/>
  <c r="F801" i="3"/>
  <c r="G801" i="3" s="1"/>
  <c r="D801" i="3"/>
  <c r="F800" i="3"/>
  <c r="G800" i="3" s="1"/>
  <c r="D800" i="3"/>
  <c r="F799" i="3"/>
  <c r="G799" i="3" s="1"/>
  <c r="D799" i="3"/>
  <c r="F798" i="3"/>
  <c r="G798" i="3" s="1"/>
  <c r="D798" i="3"/>
  <c r="F797" i="3"/>
  <c r="G797" i="3" s="1"/>
  <c r="D797" i="3"/>
  <c r="F796" i="3"/>
  <c r="G796" i="3" s="1"/>
  <c r="D796" i="3"/>
  <c r="F795" i="3"/>
  <c r="G795" i="3" s="1"/>
  <c r="D795" i="3"/>
  <c r="F794" i="3"/>
  <c r="G794" i="3" s="1"/>
  <c r="D794" i="3"/>
  <c r="F793" i="3"/>
  <c r="G793" i="3" s="1"/>
  <c r="D793" i="3"/>
  <c r="F792" i="3"/>
  <c r="G792" i="3" s="1"/>
  <c r="D792" i="3"/>
  <c r="F791" i="3"/>
  <c r="G791" i="3" s="1"/>
  <c r="D791" i="3"/>
  <c r="F790" i="3"/>
  <c r="G790" i="3" s="1"/>
  <c r="D790" i="3"/>
  <c r="F789" i="3"/>
  <c r="G789" i="3" s="1"/>
  <c r="D789" i="3"/>
  <c r="F788" i="3"/>
  <c r="G788" i="3" s="1"/>
  <c r="D788" i="3"/>
  <c r="F787" i="3"/>
  <c r="G787" i="3" s="1"/>
  <c r="D787" i="3"/>
  <c r="F786" i="3"/>
  <c r="G786" i="3" s="1"/>
  <c r="D786" i="3"/>
  <c r="F785" i="3"/>
  <c r="G785" i="3" s="1"/>
  <c r="D785" i="3"/>
  <c r="F784" i="3"/>
  <c r="G784" i="3" s="1"/>
  <c r="D784" i="3"/>
  <c r="F783" i="3"/>
  <c r="G783" i="3" s="1"/>
  <c r="D783" i="3"/>
  <c r="F782" i="3"/>
  <c r="G782" i="3" s="1"/>
  <c r="D782" i="3"/>
  <c r="F781" i="3"/>
  <c r="G781" i="3" s="1"/>
  <c r="D781" i="3"/>
  <c r="F780" i="3"/>
  <c r="G780" i="3" s="1"/>
  <c r="D780" i="3"/>
  <c r="F779" i="3"/>
  <c r="G779" i="3" s="1"/>
  <c r="D779" i="3"/>
  <c r="F778" i="3"/>
  <c r="G778" i="3" s="1"/>
  <c r="D778" i="3"/>
  <c r="F777" i="3"/>
  <c r="G777" i="3" s="1"/>
  <c r="D777" i="3"/>
  <c r="F776" i="3"/>
  <c r="G776" i="3" s="1"/>
  <c r="D776" i="3"/>
  <c r="F775" i="3"/>
  <c r="G775" i="3" s="1"/>
  <c r="D775" i="3"/>
  <c r="F774" i="3"/>
  <c r="G774" i="3" s="1"/>
  <c r="D774" i="3"/>
  <c r="F773" i="3"/>
  <c r="G773" i="3" s="1"/>
  <c r="D773" i="3"/>
  <c r="F772" i="3"/>
  <c r="G772" i="3" s="1"/>
  <c r="D772" i="3"/>
  <c r="F771" i="3"/>
  <c r="G771" i="3" s="1"/>
  <c r="D771" i="3"/>
  <c r="F770" i="3"/>
  <c r="G770" i="3" s="1"/>
  <c r="D770" i="3"/>
  <c r="F769" i="3"/>
  <c r="G769" i="3" s="1"/>
  <c r="D769" i="3"/>
  <c r="F768" i="3"/>
  <c r="G768" i="3" s="1"/>
  <c r="D768" i="3"/>
  <c r="F767" i="3"/>
  <c r="G767" i="3" s="1"/>
  <c r="D767" i="3"/>
  <c r="F766" i="3"/>
  <c r="G766" i="3" s="1"/>
  <c r="D766" i="3"/>
  <c r="F765" i="3"/>
  <c r="G765" i="3" s="1"/>
  <c r="D765" i="3"/>
  <c r="F764" i="3"/>
  <c r="G764" i="3" s="1"/>
  <c r="D764" i="3"/>
  <c r="F763" i="3"/>
  <c r="G763" i="3" s="1"/>
  <c r="D763" i="3"/>
  <c r="F762" i="3"/>
  <c r="G762" i="3" s="1"/>
  <c r="D762" i="3"/>
  <c r="F761" i="3"/>
  <c r="G761" i="3" s="1"/>
  <c r="D761" i="3"/>
  <c r="F760" i="3"/>
  <c r="G760" i="3" s="1"/>
  <c r="D760" i="3"/>
  <c r="F759" i="3"/>
  <c r="G759" i="3" s="1"/>
  <c r="D759" i="3"/>
  <c r="F758" i="3"/>
  <c r="G758" i="3" s="1"/>
  <c r="D758" i="3"/>
  <c r="F757" i="3"/>
  <c r="G757" i="3" s="1"/>
  <c r="D757" i="3"/>
  <c r="F756" i="3"/>
  <c r="G756" i="3" s="1"/>
  <c r="D756" i="3"/>
  <c r="F755" i="3"/>
  <c r="G755" i="3" s="1"/>
  <c r="D755" i="3"/>
  <c r="F754" i="3"/>
  <c r="G754" i="3" s="1"/>
  <c r="D754" i="3"/>
  <c r="F753" i="3"/>
  <c r="G753" i="3" s="1"/>
  <c r="D753" i="3"/>
  <c r="F752" i="3"/>
  <c r="G752" i="3" s="1"/>
  <c r="D752" i="3"/>
  <c r="F751" i="3"/>
  <c r="G751" i="3" s="1"/>
  <c r="D751" i="3"/>
  <c r="F750" i="3"/>
  <c r="G750" i="3" s="1"/>
  <c r="D750" i="3"/>
  <c r="F749" i="3"/>
  <c r="G749" i="3" s="1"/>
  <c r="D749" i="3"/>
  <c r="F748" i="3"/>
  <c r="G748" i="3" s="1"/>
  <c r="D748" i="3"/>
  <c r="F747" i="3"/>
  <c r="G747" i="3" s="1"/>
  <c r="D747" i="3"/>
  <c r="F746" i="3"/>
  <c r="G746" i="3" s="1"/>
  <c r="D746" i="3"/>
  <c r="F745" i="3"/>
  <c r="G745" i="3" s="1"/>
  <c r="D745" i="3"/>
  <c r="F744" i="3"/>
  <c r="G744" i="3" s="1"/>
  <c r="D744" i="3"/>
  <c r="F743" i="3"/>
  <c r="G743" i="3" s="1"/>
  <c r="D743" i="3"/>
  <c r="F742" i="3"/>
  <c r="G742" i="3" s="1"/>
  <c r="D742" i="3"/>
  <c r="F741" i="3"/>
  <c r="G741" i="3" s="1"/>
  <c r="D741" i="3"/>
  <c r="F740" i="3"/>
  <c r="G740" i="3" s="1"/>
  <c r="D740" i="3"/>
  <c r="F739" i="3"/>
  <c r="G739" i="3" s="1"/>
  <c r="D739" i="3"/>
  <c r="F738" i="3"/>
  <c r="G738" i="3" s="1"/>
  <c r="D738" i="3"/>
  <c r="F737" i="3"/>
  <c r="G737" i="3" s="1"/>
  <c r="D737" i="3"/>
  <c r="F736" i="3"/>
  <c r="G736" i="3" s="1"/>
  <c r="D736" i="3"/>
  <c r="F735" i="3"/>
  <c r="G735" i="3" s="1"/>
  <c r="D735" i="3"/>
  <c r="F734" i="3"/>
  <c r="G734" i="3" s="1"/>
  <c r="D734" i="3"/>
  <c r="F733" i="3"/>
  <c r="G733" i="3" s="1"/>
  <c r="D733" i="3"/>
  <c r="F732" i="3"/>
  <c r="G732" i="3" s="1"/>
  <c r="D732" i="3"/>
  <c r="F731" i="3"/>
  <c r="G731" i="3" s="1"/>
  <c r="D731" i="3"/>
  <c r="F730" i="3"/>
  <c r="G730" i="3" s="1"/>
  <c r="D730" i="3"/>
  <c r="F729" i="3"/>
  <c r="G729" i="3" s="1"/>
  <c r="D729" i="3"/>
  <c r="F728" i="3"/>
  <c r="G728" i="3" s="1"/>
  <c r="D728" i="3"/>
  <c r="F727" i="3"/>
  <c r="G727" i="3" s="1"/>
  <c r="D727" i="3"/>
  <c r="F726" i="3"/>
  <c r="G726" i="3" s="1"/>
  <c r="D726" i="3"/>
  <c r="F725" i="3"/>
  <c r="G725" i="3" s="1"/>
  <c r="D725" i="3"/>
  <c r="F724" i="3"/>
  <c r="G724" i="3" s="1"/>
  <c r="D724" i="3"/>
  <c r="F723" i="3"/>
  <c r="G723" i="3" s="1"/>
  <c r="D723" i="3"/>
  <c r="F722" i="3"/>
  <c r="G722" i="3" s="1"/>
  <c r="D722" i="3"/>
  <c r="F721" i="3"/>
  <c r="G721" i="3" s="1"/>
  <c r="D721" i="3"/>
  <c r="F720" i="3"/>
  <c r="G720" i="3" s="1"/>
  <c r="D720" i="3"/>
  <c r="F719" i="3"/>
  <c r="G719" i="3" s="1"/>
  <c r="D719" i="3"/>
  <c r="F718" i="3"/>
  <c r="G718" i="3" s="1"/>
  <c r="D718" i="3"/>
  <c r="F717" i="3"/>
  <c r="G717" i="3" s="1"/>
  <c r="D717" i="3"/>
  <c r="F716" i="3"/>
  <c r="G716" i="3" s="1"/>
  <c r="D716" i="3"/>
  <c r="F715" i="3"/>
  <c r="G715" i="3" s="1"/>
  <c r="D715" i="3"/>
  <c r="F714" i="3"/>
  <c r="G714" i="3" s="1"/>
  <c r="D714" i="3"/>
  <c r="F713" i="3"/>
  <c r="G713" i="3" s="1"/>
  <c r="D713" i="3"/>
  <c r="F712" i="3"/>
  <c r="G712" i="3" s="1"/>
  <c r="D712" i="3"/>
  <c r="F711" i="3"/>
  <c r="G711" i="3" s="1"/>
  <c r="D711" i="3"/>
  <c r="F710" i="3"/>
  <c r="G710" i="3" s="1"/>
  <c r="D710" i="3"/>
  <c r="F709" i="3"/>
  <c r="G709" i="3" s="1"/>
  <c r="D709" i="3"/>
  <c r="F708" i="3"/>
  <c r="G708" i="3" s="1"/>
  <c r="D708" i="3"/>
  <c r="F707" i="3"/>
  <c r="G707" i="3" s="1"/>
  <c r="D707" i="3"/>
  <c r="F706" i="3"/>
  <c r="G706" i="3" s="1"/>
  <c r="D706" i="3"/>
  <c r="F705" i="3"/>
  <c r="G705" i="3" s="1"/>
  <c r="D705" i="3"/>
  <c r="F704" i="3"/>
  <c r="G704" i="3" s="1"/>
  <c r="D704" i="3"/>
  <c r="F703" i="3"/>
  <c r="G703" i="3" s="1"/>
  <c r="D703" i="3"/>
  <c r="F702" i="3"/>
  <c r="G702" i="3" s="1"/>
  <c r="D702" i="3"/>
  <c r="F701" i="3"/>
  <c r="G701" i="3" s="1"/>
  <c r="D701" i="3"/>
  <c r="F700" i="3"/>
  <c r="G700" i="3" s="1"/>
  <c r="D700" i="3"/>
  <c r="F699" i="3"/>
  <c r="G699" i="3" s="1"/>
  <c r="D699" i="3"/>
  <c r="F698" i="3"/>
  <c r="G698" i="3" s="1"/>
  <c r="D698" i="3"/>
  <c r="F697" i="3"/>
  <c r="G697" i="3" s="1"/>
  <c r="D697" i="3"/>
  <c r="F696" i="3"/>
  <c r="G696" i="3" s="1"/>
  <c r="D696" i="3"/>
  <c r="F695" i="3"/>
  <c r="G695" i="3" s="1"/>
  <c r="D695" i="3"/>
  <c r="F694" i="3"/>
  <c r="G694" i="3" s="1"/>
  <c r="D694" i="3"/>
  <c r="F693" i="3"/>
  <c r="G693" i="3" s="1"/>
  <c r="D693" i="3"/>
  <c r="F692" i="3"/>
  <c r="G692" i="3" s="1"/>
  <c r="D692" i="3"/>
  <c r="F691" i="3"/>
  <c r="G691" i="3" s="1"/>
  <c r="D691" i="3"/>
  <c r="F690" i="3"/>
  <c r="G690" i="3" s="1"/>
  <c r="D690" i="3"/>
  <c r="F689" i="3"/>
  <c r="G689" i="3" s="1"/>
  <c r="D689" i="3"/>
  <c r="F688" i="3"/>
  <c r="G688" i="3" s="1"/>
  <c r="D688" i="3"/>
  <c r="F687" i="3"/>
  <c r="G687" i="3" s="1"/>
  <c r="D687" i="3"/>
  <c r="F686" i="3"/>
  <c r="G686" i="3" s="1"/>
  <c r="D686" i="3"/>
  <c r="F685" i="3"/>
  <c r="G685" i="3" s="1"/>
  <c r="D685" i="3"/>
  <c r="F684" i="3"/>
  <c r="G684" i="3" s="1"/>
  <c r="D684" i="3"/>
  <c r="F683" i="3"/>
  <c r="G683" i="3" s="1"/>
  <c r="D683" i="3"/>
  <c r="F682" i="3"/>
  <c r="G682" i="3" s="1"/>
  <c r="D682" i="3"/>
  <c r="F681" i="3"/>
  <c r="G681" i="3" s="1"/>
  <c r="D681" i="3"/>
  <c r="F680" i="3"/>
  <c r="G680" i="3" s="1"/>
  <c r="D680" i="3"/>
  <c r="F679" i="3"/>
  <c r="G679" i="3" s="1"/>
  <c r="D679" i="3"/>
  <c r="F678" i="3"/>
  <c r="G678" i="3" s="1"/>
  <c r="D678" i="3"/>
  <c r="F677" i="3"/>
  <c r="G677" i="3" s="1"/>
  <c r="D677" i="3"/>
  <c r="F676" i="3"/>
  <c r="G676" i="3" s="1"/>
  <c r="D676" i="3"/>
  <c r="F675" i="3"/>
  <c r="G675" i="3" s="1"/>
  <c r="D675" i="3"/>
  <c r="F674" i="3"/>
  <c r="G674" i="3" s="1"/>
  <c r="D674" i="3"/>
  <c r="F673" i="3"/>
  <c r="G673" i="3" s="1"/>
  <c r="D673" i="3"/>
  <c r="F672" i="3"/>
  <c r="G672" i="3" s="1"/>
  <c r="D672" i="3"/>
  <c r="F671" i="3"/>
  <c r="G671" i="3" s="1"/>
  <c r="D671" i="3"/>
  <c r="F670" i="3"/>
  <c r="G670" i="3" s="1"/>
  <c r="D670" i="3"/>
  <c r="F669" i="3"/>
  <c r="G669" i="3" s="1"/>
  <c r="D669" i="3"/>
  <c r="F668" i="3"/>
  <c r="G668" i="3" s="1"/>
  <c r="D668" i="3"/>
  <c r="F667" i="3"/>
  <c r="G667" i="3" s="1"/>
  <c r="D667" i="3"/>
  <c r="F666" i="3"/>
  <c r="G666" i="3" s="1"/>
  <c r="D666" i="3"/>
  <c r="F665" i="3"/>
  <c r="G665" i="3" s="1"/>
  <c r="D665" i="3"/>
  <c r="F664" i="3"/>
  <c r="G664" i="3" s="1"/>
  <c r="D664" i="3"/>
  <c r="F663" i="3"/>
  <c r="G663" i="3" s="1"/>
  <c r="D663" i="3"/>
  <c r="F662" i="3"/>
  <c r="G662" i="3" s="1"/>
  <c r="D662" i="3"/>
  <c r="F661" i="3"/>
  <c r="G661" i="3" s="1"/>
  <c r="D661" i="3"/>
  <c r="F660" i="3"/>
  <c r="G660" i="3" s="1"/>
  <c r="D660" i="3"/>
  <c r="F659" i="3"/>
  <c r="G659" i="3" s="1"/>
  <c r="D659" i="3"/>
  <c r="F658" i="3"/>
  <c r="G658" i="3" s="1"/>
  <c r="D658" i="3"/>
  <c r="F657" i="3"/>
  <c r="G657" i="3" s="1"/>
  <c r="D657" i="3"/>
  <c r="F656" i="3"/>
  <c r="G656" i="3" s="1"/>
  <c r="D656" i="3"/>
  <c r="F655" i="3"/>
  <c r="G655" i="3" s="1"/>
  <c r="D655" i="3"/>
  <c r="F654" i="3"/>
  <c r="G654" i="3" s="1"/>
  <c r="D654" i="3"/>
  <c r="F653" i="3"/>
  <c r="G653" i="3" s="1"/>
  <c r="D653" i="3"/>
  <c r="F652" i="3"/>
  <c r="G652" i="3" s="1"/>
  <c r="D652" i="3"/>
  <c r="F651" i="3"/>
  <c r="G651" i="3" s="1"/>
  <c r="D651" i="3"/>
  <c r="F650" i="3"/>
  <c r="G650" i="3" s="1"/>
  <c r="D650" i="3"/>
  <c r="F649" i="3"/>
  <c r="G649" i="3" s="1"/>
  <c r="D649" i="3"/>
  <c r="F648" i="3"/>
  <c r="G648" i="3" s="1"/>
  <c r="D648" i="3"/>
  <c r="F647" i="3"/>
  <c r="G647" i="3" s="1"/>
  <c r="D647" i="3"/>
  <c r="F646" i="3"/>
  <c r="G646" i="3" s="1"/>
  <c r="D646" i="3"/>
  <c r="F645" i="3"/>
  <c r="G645" i="3" s="1"/>
  <c r="D645" i="3"/>
  <c r="F644" i="3"/>
  <c r="G644" i="3" s="1"/>
  <c r="D644" i="3"/>
  <c r="F643" i="3"/>
  <c r="G643" i="3" s="1"/>
  <c r="D643" i="3"/>
  <c r="F642" i="3"/>
  <c r="G642" i="3" s="1"/>
  <c r="D642" i="3"/>
  <c r="F641" i="3"/>
  <c r="G641" i="3" s="1"/>
  <c r="D641" i="3"/>
  <c r="F640" i="3"/>
  <c r="G640" i="3" s="1"/>
  <c r="D640" i="3"/>
  <c r="F639" i="3"/>
  <c r="G639" i="3" s="1"/>
  <c r="D639" i="3"/>
  <c r="F638" i="3"/>
  <c r="G638" i="3" s="1"/>
  <c r="D638" i="3"/>
  <c r="F637" i="3"/>
  <c r="G637" i="3" s="1"/>
  <c r="D637" i="3"/>
  <c r="F636" i="3"/>
  <c r="G636" i="3" s="1"/>
  <c r="D636" i="3"/>
  <c r="F635" i="3"/>
  <c r="G635" i="3" s="1"/>
  <c r="D635" i="3"/>
  <c r="F634" i="3"/>
  <c r="G634" i="3" s="1"/>
  <c r="D634" i="3"/>
  <c r="F633" i="3"/>
  <c r="G633" i="3" s="1"/>
  <c r="D633" i="3"/>
  <c r="F632" i="3"/>
  <c r="G632" i="3" s="1"/>
  <c r="D632" i="3"/>
  <c r="F631" i="3"/>
  <c r="G631" i="3" s="1"/>
  <c r="D631" i="3"/>
  <c r="F630" i="3"/>
  <c r="G630" i="3" s="1"/>
  <c r="D630" i="3"/>
  <c r="F629" i="3"/>
  <c r="G629" i="3" s="1"/>
  <c r="D629" i="3"/>
  <c r="F628" i="3"/>
  <c r="G628" i="3" s="1"/>
  <c r="D628" i="3"/>
  <c r="F627" i="3"/>
  <c r="G627" i="3" s="1"/>
  <c r="D627" i="3"/>
  <c r="F626" i="3"/>
  <c r="G626" i="3" s="1"/>
  <c r="D626" i="3"/>
  <c r="F625" i="3"/>
  <c r="G625" i="3" s="1"/>
  <c r="D625" i="3"/>
  <c r="F624" i="3"/>
  <c r="G624" i="3" s="1"/>
  <c r="D624" i="3"/>
  <c r="F623" i="3"/>
  <c r="G623" i="3" s="1"/>
  <c r="D623" i="3"/>
  <c r="F622" i="3"/>
  <c r="G622" i="3" s="1"/>
  <c r="D622" i="3"/>
  <c r="F621" i="3"/>
  <c r="G621" i="3" s="1"/>
  <c r="D621" i="3"/>
  <c r="F620" i="3"/>
  <c r="G620" i="3" s="1"/>
  <c r="D620" i="3"/>
  <c r="F619" i="3"/>
  <c r="G619" i="3" s="1"/>
  <c r="D619" i="3"/>
  <c r="F618" i="3"/>
  <c r="G618" i="3" s="1"/>
  <c r="D618" i="3"/>
  <c r="F617" i="3"/>
  <c r="G617" i="3" s="1"/>
  <c r="D617" i="3"/>
  <c r="F616" i="3"/>
  <c r="G616" i="3" s="1"/>
  <c r="D616" i="3"/>
  <c r="F615" i="3"/>
  <c r="G615" i="3" s="1"/>
  <c r="D615" i="3"/>
  <c r="F614" i="3"/>
  <c r="G614" i="3" s="1"/>
  <c r="D614" i="3"/>
  <c r="F613" i="3"/>
  <c r="G613" i="3" s="1"/>
  <c r="D613" i="3"/>
  <c r="F612" i="3"/>
  <c r="G612" i="3" s="1"/>
  <c r="D612" i="3"/>
  <c r="F611" i="3"/>
  <c r="G611" i="3" s="1"/>
  <c r="D611" i="3"/>
  <c r="F610" i="3"/>
  <c r="G610" i="3" s="1"/>
  <c r="D610" i="3"/>
  <c r="F609" i="3"/>
  <c r="G609" i="3" s="1"/>
  <c r="D609" i="3"/>
  <c r="F608" i="3"/>
  <c r="G608" i="3" s="1"/>
  <c r="D608" i="3"/>
  <c r="F607" i="3"/>
  <c r="G607" i="3" s="1"/>
  <c r="D607" i="3"/>
  <c r="F606" i="3"/>
  <c r="G606" i="3" s="1"/>
  <c r="D606" i="3"/>
  <c r="F605" i="3"/>
  <c r="G605" i="3" s="1"/>
  <c r="D605" i="3"/>
  <c r="F604" i="3"/>
  <c r="G604" i="3" s="1"/>
  <c r="D604" i="3"/>
  <c r="F603" i="3"/>
  <c r="G603" i="3" s="1"/>
  <c r="D603" i="3"/>
  <c r="F602" i="3"/>
  <c r="G602" i="3" s="1"/>
  <c r="D602" i="3"/>
  <c r="F601" i="3"/>
  <c r="G601" i="3" s="1"/>
  <c r="D601" i="3"/>
  <c r="F600" i="3"/>
  <c r="G600" i="3" s="1"/>
  <c r="D600" i="3"/>
  <c r="F599" i="3"/>
  <c r="G599" i="3" s="1"/>
  <c r="D599" i="3"/>
  <c r="F598" i="3"/>
  <c r="G598" i="3" s="1"/>
  <c r="D598" i="3"/>
  <c r="F597" i="3"/>
  <c r="G597" i="3" s="1"/>
  <c r="D597" i="3"/>
  <c r="F596" i="3"/>
  <c r="G596" i="3" s="1"/>
  <c r="D596" i="3"/>
  <c r="F595" i="3"/>
  <c r="G595" i="3" s="1"/>
  <c r="D595" i="3"/>
  <c r="F594" i="3"/>
  <c r="G594" i="3" s="1"/>
  <c r="D594" i="3"/>
  <c r="F593" i="3"/>
  <c r="G593" i="3" s="1"/>
  <c r="D593" i="3"/>
  <c r="F592" i="3"/>
  <c r="G592" i="3" s="1"/>
  <c r="D592" i="3"/>
  <c r="F591" i="3"/>
  <c r="G591" i="3" s="1"/>
  <c r="D591" i="3"/>
  <c r="F590" i="3"/>
  <c r="G590" i="3" s="1"/>
  <c r="D590" i="3"/>
  <c r="F589" i="3"/>
  <c r="G589" i="3" s="1"/>
  <c r="D589" i="3"/>
  <c r="F588" i="3"/>
  <c r="G588" i="3" s="1"/>
  <c r="D588" i="3"/>
  <c r="F587" i="3"/>
  <c r="G587" i="3" s="1"/>
  <c r="D587" i="3"/>
  <c r="F586" i="3"/>
  <c r="G586" i="3" s="1"/>
  <c r="D586" i="3"/>
  <c r="F585" i="3"/>
  <c r="G585" i="3" s="1"/>
  <c r="D585" i="3"/>
  <c r="F584" i="3"/>
  <c r="G584" i="3" s="1"/>
  <c r="D584" i="3"/>
  <c r="F583" i="3"/>
  <c r="G583" i="3" s="1"/>
  <c r="D583" i="3"/>
  <c r="F582" i="3"/>
  <c r="G582" i="3" s="1"/>
  <c r="D582" i="3"/>
  <c r="F581" i="3"/>
  <c r="G581" i="3" s="1"/>
  <c r="D581" i="3"/>
  <c r="F580" i="3"/>
  <c r="G580" i="3" s="1"/>
  <c r="D580" i="3"/>
  <c r="F579" i="3"/>
  <c r="G579" i="3" s="1"/>
  <c r="D579" i="3"/>
  <c r="F578" i="3"/>
  <c r="G578" i="3" s="1"/>
  <c r="D578" i="3"/>
  <c r="F577" i="3"/>
  <c r="G577" i="3" s="1"/>
  <c r="D577" i="3"/>
  <c r="F576" i="3"/>
  <c r="G576" i="3" s="1"/>
  <c r="D576" i="3"/>
  <c r="F575" i="3"/>
  <c r="G575" i="3" s="1"/>
  <c r="D575" i="3"/>
  <c r="F574" i="3"/>
  <c r="G574" i="3" s="1"/>
  <c r="D574" i="3"/>
  <c r="F573" i="3"/>
  <c r="G573" i="3" s="1"/>
  <c r="D573" i="3"/>
  <c r="F572" i="3"/>
  <c r="G572" i="3" s="1"/>
  <c r="D572" i="3"/>
  <c r="F571" i="3"/>
  <c r="G571" i="3" s="1"/>
  <c r="D571" i="3"/>
  <c r="F570" i="3"/>
  <c r="G570" i="3" s="1"/>
  <c r="D570" i="3"/>
  <c r="F569" i="3"/>
  <c r="G569" i="3" s="1"/>
  <c r="D569" i="3"/>
  <c r="F568" i="3"/>
  <c r="G568" i="3" s="1"/>
  <c r="D568" i="3"/>
  <c r="F567" i="3"/>
  <c r="G567" i="3" s="1"/>
  <c r="D567" i="3"/>
  <c r="F566" i="3"/>
  <c r="G566" i="3" s="1"/>
  <c r="D566" i="3"/>
  <c r="F565" i="3"/>
  <c r="G565" i="3" s="1"/>
  <c r="D565" i="3"/>
  <c r="F564" i="3"/>
  <c r="G564" i="3" s="1"/>
  <c r="D564" i="3"/>
  <c r="F563" i="3"/>
  <c r="G563" i="3" s="1"/>
  <c r="D563" i="3"/>
  <c r="F562" i="3"/>
  <c r="G562" i="3" s="1"/>
  <c r="D562" i="3"/>
  <c r="F561" i="3"/>
  <c r="G561" i="3" s="1"/>
  <c r="D561" i="3"/>
  <c r="F560" i="3"/>
  <c r="G560" i="3" s="1"/>
  <c r="D560" i="3"/>
  <c r="F559" i="3"/>
  <c r="G559" i="3" s="1"/>
  <c r="D559" i="3"/>
  <c r="F558" i="3"/>
  <c r="G558" i="3" s="1"/>
  <c r="D558" i="3"/>
  <c r="F557" i="3"/>
  <c r="G557" i="3" s="1"/>
  <c r="D557" i="3"/>
  <c r="F556" i="3"/>
  <c r="G556" i="3" s="1"/>
  <c r="D556" i="3"/>
  <c r="F555" i="3"/>
  <c r="G555" i="3" s="1"/>
  <c r="D555" i="3"/>
  <c r="F554" i="3"/>
  <c r="G554" i="3" s="1"/>
  <c r="D554" i="3"/>
  <c r="F553" i="3"/>
  <c r="G553" i="3" s="1"/>
  <c r="D553" i="3"/>
  <c r="F552" i="3"/>
  <c r="G552" i="3" s="1"/>
  <c r="D552" i="3"/>
  <c r="F551" i="3"/>
  <c r="G551" i="3" s="1"/>
  <c r="D551" i="3"/>
  <c r="F550" i="3"/>
  <c r="G550" i="3" s="1"/>
  <c r="D550" i="3"/>
  <c r="F549" i="3"/>
  <c r="G549" i="3" s="1"/>
  <c r="D549" i="3"/>
  <c r="F548" i="3"/>
  <c r="G548" i="3" s="1"/>
  <c r="D548" i="3"/>
  <c r="F547" i="3"/>
  <c r="G547" i="3" s="1"/>
  <c r="D547" i="3"/>
  <c r="F546" i="3"/>
  <c r="G546" i="3" s="1"/>
  <c r="D546" i="3"/>
  <c r="F545" i="3"/>
  <c r="G545" i="3" s="1"/>
  <c r="D545" i="3"/>
  <c r="F544" i="3"/>
  <c r="G544" i="3" s="1"/>
  <c r="D544" i="3"/>
  <c r="F543" i="3"/>
  <c r="G543" i="3" s="1"/>
  <c r="D543" i="3"/>
  <c r="F542" i="3"/>
  <c r="G542" i="3" s="1"/>
  <c r="D542" i="3"/>
  <c r="F541" i="3"/>
  <c r="G541" i="3" s="1"/>
  <c r="D541" i="3"/>
  <c r="F540" i="3"/>
  <c r="G540" i="3" s="1"/>
  <c r="D540" i="3"/>
  <c r="F539" i="3"/>
  <c r="G539" i="3" s="1"/>
  <c r="D539" i="3"/>
  <c r="F538" i="3"/>
  <c r="G538" i="3" s="1"/>
  <c r="D538" i="3"/>
  <c r="F537" i="3"/>
  <c r="G537" i="3" s="1"/>
  <c r="D537" i="3"/>
  <c r="F536" i="3"/>
  <c r="G536" i="3" s="1"/>
  <c r="D536" i="3"/>
  <c r="F535" i="3"/>
  <c r="G535" i="3" s="1"/>
  <c r="D535" i="3"/>
  <c r="F534" i="3"/>
  <c r="G534" i="3" s="1"/>
  <c r="D534" i="3"/>
  <c r="F533" i="3"/>
  <c r="G533" i="3" s="1"/>
  <c r="D533" i="3"/>
  <c r="F532" i="3"/>
  <c r="G532" i="3" s="1"/>
  <c r="D532" i="3"/>
  <c r="F531" i="3"/>
  <c r="G531" i="3" s="1"/>
  <c r="D531" i="3"/>
  <c r="F530" i="3"/>
  <c r="G530" i="3" s="1"/>
  <c r="D530" i="3"/>
  <c r="F529" i="3"/>
  <c r="G529" i="3" s="1"/>
  <c r="D529" i="3"/>
  <c r="F528" i="3"/>
  <c r="G528" i="3" s="1"/>
  <c r="D528" i="3"/>
  <c r="F527" i="3"/>
  <c r="G527" i="3" s="1"/>
  <c r="D527" i="3"/>
  <c r="F526" i="3"/>
  <c r="G526" i="3" s="1"/>
  <c r="D526" i="3"/>
  <c r="F525" i="3"/>
  <c r="G525" i="3" s="1"/>
  <c r="D525" i="3"/>
  <c r="F524" i="3"/>
  <c r="G524" i="3" s="1"/>
  <c r="D524" i="3"/>
  <c r="F523" i="3"/>
  <c r="G523" i="3" s="1"/>
  <c r="D523" i="3"/>
  <c r="F522" i="3"/>
  <c r="G522" i="3" s="1"/>
  <c r="D522" i="3"/>
  <c r="F521" i="3"/>
  <c r="G521" i="3" s="1"/>
  <c r="D521" i="3"/>
  <c r="F520" i="3"/>
  <c r="G520" i="3" s="1"/>
  <c r="D520" i="3"/>
  <c r="F519" i="3"/>
  <c r="G519" i="3" s="1"/>
  <c r="D519" i="3"/>
  <c r="F518" i="3"/>
  <c r="G518" i="3" s="1"/>
  <c r="D518" i="3"/>
  <c r="F517" i="3"/>
  <c r="G517" i="3" s="1"/>
  <c r="D517" i="3"/>
  <c r="F516" i="3"/>
  <c r="G516" i="3" s="1"/>
  <c r="D516" i="3"/>
  <c r="F515" i="3"/>
  <c r="G515" i="3" s="1"/>
  <c r="D515" i="3"/>
  <c r="F514" i="3"/>
  <c r="G514" i="3" s="1"/>
  <c r="D514" i="3"/>
  <c r="F513" i="3"/>
  <c r="G513" i="3" s="1"/>
  <c r="D513" i="3"/>
  <c r="F512" i="3"/>
  <c r="G512" i="3" s="1"/>
  <c r="D512" i="3"/>
  <c r="F511" i="3"/>
  <c r="G511" i="3" s="1"/>
  <c r="D511" i="3"/>
  <c r="F510" i="3"/>
  <c r="G510" i="3" s="1"/>
  <c r="D510" i="3"/>
  <c r="F509" i="3"/>
  <c r="G509" i="3" s="1"/>
  <c r="D509" i="3"/>
  <c r="F508" i="3"/>
  <c r="G508" i="3" s="1"/>
  <c r="D508" i="3"/>
  <c r="F507" i="3"/>
  <c r="G507" i="3" s="1"/>
  <c r="D507" i="3"/>
  <c r="F506" i="3"/>
  <c r="G506" i="3" s="1"/>
  <c r="D506" i="3"/>
  <c r="F505" i="3"/>
  <c r="G505" i="3" s="1"/>
  <c r="D505" i="3"/>
  <c r="F504" i="3"/>
  <c r="G504" i="3" s="1"/>
  <c r="D504" i="3"/>
  <c r="F503" i="3"/>
  <c r="G503" i="3" s="1"/>
  <c r="D503" i="3"/>
  <c r="F502" i="3"/>
  <c r="G502" i="3" s="1"/>
  <c r="D502" i="3"/>
  <c r="F501" i="3"/>
  <c r="G501" i="3" s="1"/>
  <c r="D501" i="3"/>
  <c r="F500" i="3"/>
  <c r="G500" i="3" s="1"/>
  <c r="D500" i="3"/>
  <c r="F499" i="3"/>
  <c r="G499" i="3" s="1"/>
  <c r="D499" i="3"/>
  <c r="F498" i="3"/>
  <c r="G498" i="3" s="1"/>
  <c r="D498" i="3"/>
  <c r="F497" i="3"/>
  <c r="G497" i="3" s="1"/>
  <c r="D497" i="3"/>
  <c r="F496" i="3"/>
  <c r="G496" i="3" s="1"/>
  <c r="D496" i="3"/>
  <c r="F495" i="3"/>
  <c r="G495" i="3" s="1"/>
  <c r="D495" i="3"/>
  <c r="F494" i="3"/>
  <c r="G494" i="3" s="1"/>
  <c r="D494" i="3"/>
  <c r="F493" i="3"/>
  <c r="G493" i="3" s="1"/>
  <c r="D493" i="3"/>
  <c r="F492" i="3"/>
  <c r="G492" i="3" s="1"/>
  <c r="D492" i="3"/>
  <c r="F491" i="3"/>
  <c r="G491" i="3" s="1"/>
  <c r="D491" i="3"/>
  <c r="F490" i="3"/>
  <c r="G490" i="3" s="1"/>
  <c r="D490" i="3"/>
  <c r="F489" i="3"/>
  <c r="G489" i="3" s="1"/>
  <c r="D489" i="3"/>
  <c r="F488" i="3"/>
  <c r="G488" i="3" s="1"/>
  <c r="D488" i="3"/>
  <c r="F487" i="3"/>
  <c r="G487" i="3" s="1"/>
  <c r="D487" i="3"/>
  <c r="F486" i="3"/>
  <c r="G486" i="3" s="1"/>
  <c r="D486" i="3"/>
  <c r="F485" i="3"/>
  <c r="G485" i="3" s="1"/>
  <c r="D485" i="3"/>
  <c r="F484" i="3"/>
  <c r="G484" i="3" s="1"/>
  <c r="D484" i="3"/>
  <c r="F483" i="3"/>
  <c r="G483" i="3" s="1"/>
  <c r="D483" i="3"/>
  <c r="F482" i="3"/>
  <c r="G482" i="3" s="1"/>
  <c r="D482" i="3"/>
  <c r="F481" i="3"/>
  <c r="G481" i="3" s="1"/>
  <c r="D481" i="3"/>
  <c r="F480" i="3"/>
  <c r="G480" i="3" s="1"/>
  <c r="D480" i="3"/>
  <c r="F479" i="3"/>
  <c r="G479" i="3" s="1"/>
  <c r="D479" i="3"/>
  <c r="F478" i="3"/>
  <c r="G478" i="3" s="1"/>
  <c r="D478" i="3"/>
  <c r="F477" i="3"/>
  <c r="G477" i="3" s="1"/>
  <c r="D477" i="3"/>
  <c r="F476" i="3"/>
  <c r="G476" i="3" s="1"/>
  <c r="D476" i="3"/>
  <c r="F475" i="3"/>
  <c r="G475" i="3" s="1"/>
  <c r="D475" i="3"/>
  <c r="F474" i="3"/>
  <c r="G474" i="3" s="1"/>
  <c r="D474" i="3"/>
  <c r="F473" i="3"/>
  <c r="G473" i="3" s="1"/>
  <c r="D473" i="3"/>
  <c r="F472" i="3"/>
  <c r="G472" i="3" s="1"/>
  <c r="D472" i="3"/>
  <c r="F471" i="3"/>
  <c r="G471" i="3" s="1"/>
  <c r="D471" i="3"/>
  <c r="F470" i="3"/>
  <c r="G470" i="3" s="1"/>
  <c r="D470" i="3"/>
  <c r="F469" i="3"/>
  <c r="G469" i="3" s="1"/>
  <c r="D469" i="3"/>
  <c r="F468" i="3"/>
  <c r="G468" i="3" s="1"/>
  <c r="D468" i="3"/>
  <c r="F467" i="3"/>
  <c r="G467" i="3" s="1"/>
  <c r="D467" i="3"/>
  <c r="F466" i="3"/>
  <c r="G466" i="3" s="1"/>
  <c r="D466" i="3"/>
  <c r="F465" i="3"/>
  <c r="G465" i="3" s="1"/>
  <c r="D465" i="3"/>
  <c r="F464" i="3"/>
  <c r="G464" i="3" s="1"/>
  <c r="D464" i="3"/>
  <c r="F463" i="3"/>
  <c r="G463" i="3" s="1"/>
  <c r="D463" i="3"/>
  <c r="F462" i="3"/>
  <c r="G462" i="3" s="1"/>
  <c r="D462" i="3"/>
  <c r="F461" i="3"/>
  <c r="G461" i="3" s="1"/>
  <c r="D461" i="3"/>
  <c r="F460" i="3"/>
  <c r="G460" i="3" s="1"/>
  <c r="D460" i="3"/>
  <c r="F459" i="3"/>
  <c r="G459" i="3" s="1"/>
  <c r="D459" i="3"/>
  <c r="F458" i="3"/>
  <c r="G458" i="3" s="1"/>
  <c r="D458" i="3"/>
  <c r="F457" i="3"/>
  <c r="G457" i="3" s="1"/>
  <c r="D457" i="3"/>
  <c r="F456" i="3"/>
  <c r="G456" i="3" s="1"/>
  <c r="D456" i="3"/>
  <c r="F455" i="3"/>
  <c r="G455" i="3" s="1"/>
  <c r="D455" i="3"/>
  <c r="F454" i="3"/>
  <c r="G454" i="3" s="1"/>
  <c r="D454" i="3"/>
  <c r="F453" i="3"/>
  <c r="G453" i="3" s="1"/>
  <c r="D453" i="3"/>
  <c r="F452" i="3"/>
  <c r="G452" i="3" s="1"/>
  <c r="D452" i="3"/>
  <c r="F451" i="3"/>
  <c r="G451" i="3" s="1"/>
  <c r="D451" i="3"/>
  <c r="F450" i="3"/>
  <c r="G450" i="3" s="1"/>
  <c r="D450" i="3"/>
  <c r="F449" i="3"/>
  <c r="G449" i="3" s="1"/>
  <c r="D449" i="3"/>
  <c r="F448" i="3"/>
  <c r="G448" i="3" s="1"/>
  <c r="D448" i="3"/>
  <c r="F447" i="3"/>
  <c r="G447" i="3" s="1"/>
  <c r="D447" i="3"/>
  <c r="F446" i="3"/>
  <c r="G446" i="3" s="1"/>
  <c r="D446" i="3"/>
  <c r="F445" i="3"/>
  <c r="G445" i="3" s="1"/>
  <c r="D445" i="3"/>
  <c r="F444" i="3"/>
  <c r="G444" i="3" s="1"/>
  <c r="D444" i="3"/>
  <c r="F443" i="3"/>
  <c r="G443" i="3" s="1"/>
  <c r="D443" i="3"/>
  <c r="F442" i="3"/>
  <c r="G442" i="3" s="1"/>
  <c r="D442" i="3"/>
  <c r="F441" i="3"/>
  <c r="G441" i="3" s="1"/>
  <c r="D441" i="3"/>
  <c r="F440" i="3"/>
  <c r="G440" i="3" s="1"/>
  <c r="D440" i="3"/>
  <c r="F439" i="3"/>
  <c r="G439" i="3" s="1"/>
  <c r="D439" i="3"/>
  <c r="F438" i="3"/>
  <c r="G438" i="3" s="1"/>
  <c r="D438" i="3"/>
  <c r="F437" i="3"/>
  <c r="G437" i="3" s="1"/>
  <c r="D437" i="3"/>
  <c r="F436" i="3"/>
  <c r="G436" i="3" s="1"/>
  <c r="D436" i="3"/>
  <c r="F435" i="3"/>
  <c r="G435" i="3" s="1"/>
  <c r="D435" i="3"/>
  <c r="F434" i="3"/>
  <c r="G434" i="3" s="1"/>
  <c r="D434" i="3"/>
  <c r="F433" i="3"/>
  <c r="G433" i="3" s="1"/>
  <c r="D433" i="3"/>
  <c r="F432" i="3"/>
  <c r="G432" i="3" s="1"/>
  <c r="D432" i="3"/>
  <c r="F431" i="3"/>
  <c r="G431" i="3" s="1"/>
  <c r="D431" i="3"/>
  <c r="F430" i="3"/>
  <c r="G430" i="3" s="1"/>
  <c r="D430" i="3"/>
  <c r="F429" i="3"/>
  <c r="G429" i="3" s="1"/>
  <c r="D429" i="3"/>
  <c r="F428" i="3"/>
  <c r="G428" i="3" s="1"/>
  <c r="D428" i="3"/>
  <c r="F427" i="3"/>
  <c r="G427" i="3" s="1"/>
  <c r="D427" i="3"/>
  <c r="F426" i="3"/>
  <c r="G426" i="3" s="1"/>
  <c r="D426" i="3"/>
  <c r="F425" i="3"/>
  <c r="G425" i="3" s="1"/>
  <c r="D425" i="3"/>
  <c r="F424" i="3"/>
  <c r="G424" i="3" s="1"/>
  <c r="D424" i="3"/>
  <c r="F423" i="3"/>
  <c r="G423" i="3" s="1"/>
  <c r="D423" i="3"/>
  <c r="F422" i="3"/>
  <c r="G422" i="3" s="1"/>
  <c r="D422" i="3"/>
  <c r="F421" i="3"/>
  <c r="G421" i="3" s="1"/>
  <c r="D421" i="3"/>
  <c r="G420" i="3"/>
  <c r="F420" i="3"/>
  <c r="D420" i="3"/>
  <c r="F419" i="3"/>
  <c r="G419" i="3" s="1"/>
  <c r="D419" i="3"/>
  <c r="F418" i="3"/>
  <c r="G418" i="3" s="1"/>
  <c r="D418" i="3"/>
  <c r="F417" i="3"/>
  <c r="G417" i="3" s="1"/>
  <c r="D417" i="3"/>
  <c r="F416" i="3"/>
  <c r="G416" i="3" s="1"/>
  <c r="D416" i="3"/>
  <c r="F415" i="3"/>
  <c r="G415" i="3" s="1"/>
  <c r="D415" i="3"/>
  <c r="F414" i="3"/>
  <c r="G414" i="3" s="1"/>
  <c r="D414" i="3"/>
  <c r="F413" i="3"/>
  <c r="G413" i="3" s="1"/>
  <c r="D413" i="3"/>
  <c r="F412" i="3"/>
  <c r="G412" i="3" s="1"/>
  <c r="D412" i="3"/>
  <c r="F411" i="3"/>
  <c r="G411" i="3" s="1"/>
  <c r="D411" i="3"/>
  <c r="F410" i="3"/>
  <c r="G410" i="3" s="1"/>
  <c r="D410" i="3"/>
  <c r="F409" i="3"/>
  <c r="G409" i="3" s="1"/>
  <c r="D409" i="3"/>
  <c r="F408" i="3"/>
  <c r="G408" i="3" s="1"/>
  <c r="D408" i="3"/>
  <c r="F407" i="3"/>
  <c r="G407" i="3" s="1"/>
  <c r="D407" i="3"/>
  <c r="F406" i="3"/>
  <c r="G406" i="3" s="1"/>
  <c r="D406" i="3"/>
  <c r="F405" i="3"/>
  <c r="G405" i="3" s="1"/>
  <c r="D405" i="3"/>
  <c r="F404" i="3"/>
  <c r="G404" i="3" s="1"/>
  <c r="D404" i="3"/>
  <c r="F403" i="3"/>
  <c r="G403" i="3" s="1"/>
  <c r="D403" i="3"/>
  <c r="F402" i="3"/>
  <c r="G402" i="3" s="1"/>
  <c r="D402" i="3"/>
  <c r="F401" i="3"/>
  <c r="G401" i="3" s="1"/>
  <c r="D401" i="3"/>
  <c r="F400" i="3"/>
  <c r="G400" i="3" s="1"/>
  <c r="D400" i="3"/>
  <c r="F399" i="3"/>
  <c r="G399" i="3" s="1"/>
  <c r="D399" i="3"/>
  <c r="F398" i="3"/>
  <c r="G398" i="3" s="1"/>
  <c r="D398" i="3"/>
  <c r="F397" i="3"/>
  <c r="G397" i="3" s="1"/>
  <c r="D397" i="3"/>
  <c r="F396" i="3"/>
  <c r="G396" i="3" s="1"/>
  <c r="D396" i="3"/>
  <c r="F395" i="3"/>
  <c r="G395" i="3" s="1"/>
  <c r="D395" i="3"/>
  <c r="F394" i="3"/>
  <c r="G394" i="3" s="1"/>
  <c r="D394" i="3"/>
  <c r="F393" i="3"/>
  <c r="G393" i="3" s="1"/>
  <c r="D393" i="3"/>
  <c r="F392" i="3"/>
  <c r="G392" i="3" s="1"/>
  <c r="D392" i="3"/>
  <c r="F391" i="3"/>
  <c r="G391" i="3" s="1"/>
  <c r="D391" i="3"/>
  <c r="F390" i="3"/>
  <c r="G390" i="3" s="1"/>
  <c r="D390" i="3"/>
  <c r="F389" i="3"/>
  <c r="G389" i="3" s="1"/>
  <c r="D389" i="3"/>
  <c r="F388" i="3"/>
  <c r="G388" i="3" s="1"/>
  <c r="D388" i="3"/>
  <c r="F387" i="3"/>
  <c r="G387" i="3" s="1"/>
  <c r="D387" i="3"/>
  <c r="F386" i="3"/>
  <c r="G386" i="3" s="1"/>
  <c r="D386" i="3"/>
  <c r="F385" i="3"/>
  <c r="G385" i="3" s="1"/>
  <c r="D385" i="3"/>
  <c r="F384" i="3"/>
  <c r="G384" i="3" s="1"/>
  <c r="D384" i="3"/>
  <c r="F383" i="3"/>
  <c r="G383" i="3" s="1"/>
  <c r="D383" i="3"/>
  <c r="F382" i="3"/>
  <c r="G382" i="3" s="1"/>
  <c r="D382" i="3"/>
  <c r="F381" i="3"/>
  <c r="G381" i="3" s="1"/>
  <c r="D381" i="3"/>
  <c r="F380" i="3"/>
  <c r="G380" i="3" s="1"/>
  <c r="D380" i="3"/>
  <c r="F379" i="3"/>
  <c r="G379" i="3" s="1"/>
  <c r="D379" i="3"/>
  <c r="F378" i="3"/>
  <c r="G378" i="3" s="1"/>
  <c r="D378" i="3"/>
  <c r="F377" i="3"/>
  <c r="G377" i="3" s="1"/>
  <c r="D377" i="3"/>
  <c r="F376" i="3"/>
  <c r="G376" i="3" s="1"/>
  <c r="D376" i="3"/>
  <c r="F375" i="3"/>
  <c r="G375" i="3" s="1"/>
  <c r="D375" i="3"/>
  <c r="F374" i="3"/>
  <c r="G374" i="3" s="1"/>
  <c r="D374" i="3"/>
  <c r="F373" i="3"/>
  <c r="G373" i="3" s="1"/>
  <c r="D373" i="3"/>
  <c r="F372" i="3"/>
  <c r="G372" i="3" s="1"/>
  <c r="D372" i="3"/>
  <c r="F371" i="3"/>
  <c r="G371" i="3" s="1"/>
  <c r="D371" i="3"/>
  <c r="F370" i="3"/>
  <c r="G370" i="3" s="1"/>
  <c r="D370" i="3"/>
  <c r="F369" i="3"/>
  <c r="G369" i="3" s="1"/>
  <c r="D369" i="3"/>
  <c r="F368" i="3"/>
  <c r="G368" i="3" s="1"/>
  <c r="D368" i="3"/>
  <c r="F367" i="3"/>
  <c r="G367" i="3" s="1"/>
  <c r="D367" i="3"/>
  <c r="F366" i="3"/>
  <c r="G366" i="3" s="1"/>
  <c r="D366" i="3"/>
  <c r="F365" i="3"/>
  <c r="D365" i="3"/>
  <c r="F364" i="3"/>
  <c r="G364" i="3" s="1"/>
  <c r="D364" i="3"/>
  <c r="F363" i="3"/>
  <c r="G363" i="3" s="1"/>
  <c r="D363" i="3"/>
  <c r="F362" i="3"/>
  <c r="G362" i="3" s="1"/>
  <c r="D362" i="3"/>
  <c r="F361" i="3"/>
  <c r="G361" i="3" s="1"/>
  <c r="D361" i="3"/>
  <c r="F360" i="3"/>
  <c r="G360" i="3" s="1"/>
  <c r="D360" i="3"/>
  <c r="F359" i="3"/>
  <c r="G359" i="3" s="1"/>
  <c r="D359" i="3"/>
  <c r="F358" i="3"/>
  <c r="G358" i="3" s="1"/>
  <c r="F357" i="3"/>
  <c r="F356" i="3"/>
  <c r="G356" i="3" s="1"/>
  <c r="F355" i="3"/>
  <c r="G355" i="3" s="1"/>
  <c r="D355" i="3"/>
  <c r="F354" i="3"/>
  <c r="G354" i="3" s="1"/>
  <c r="D354" i="3"/>
  <c r="F353" i="3"/>
  <c r="G353" i="3" s="1"/>
  <c r="F352" i="3"/>
  <c r="G352" i="3" s="1"/>
  <c r="D352" i="3"/>
  <c r="F351" i="3"/>
  <c r="G351" i="3" s="1"/>
  <c r="D351" i="3"/>
  <c r="F350" i="3"/>
  <c r="G350" i="3" s="1"/>
  <c r="F349" i="3"/>
  <c r="F348" i="3"/>
  <c r="G348" i="3" s="1"/>
  <c r="F347" i="3"/>
  <c r="G347" i="3" s="1"/>
  <c r="D347" i="3"/>
  <c r="F346" i="3"/>
  <c r="G346" i="3" s="1"/>
  <c r="F345" i="3"/>
  <c r="G345" i="3" s="1"/>
  <c r="F344" i="3"/>
  <c r="G344" i="3" s="1"/>
  <c r="D344" i="3"/>
  <c r="F343" i="3"/>
  <c r="G343" i="3" s="1"/>
  <c r="D343" i="3"/>
  <c r="F342" i="3"/>
  <c r="G342" i="3" s="1"/>
  <c r="F341" i="3"/>
  <c r="F340" i="3"/>
  <c r="G340" i="3" s="1"/>
  <c r="F339" i="3"/>
  <c r="G339" i="3" s="1"/>
  <c r="F338" i="3"/>
  <c r="G338" i="3" s="1"/>
  <c r="F337" i="3"/>
  <c r="D337" i="3"/>
  <c r="F336" i="3"/>
  <c r="G336" i="3" s="1"/>
  <c r="F335" i="3"/>
  <c r="G335" i="3" s="1"/>
  <c r="F334" i="3"/>
  <c r="G334" i="3" s="1"/>
  <c r="F333" i="3"/>
  <c r="G333" i="3" s="1"/>
  <c r="F332" i="3"/>
  <c r="G332" i="3" s="1"/>
  <c r="F331" i="3"/>
  <c r="F330" i="3"/>
  <c r="G330" i="3" s="1"/>
  <c r="F329" i="3"/>
  <c r="G329" i="3" s="1"/>
  <c r="F328" i="3"/>
  <c r="G328" i="3" s="1"/>
  <c r="F327" i="3"/>
  <c r="G327" i="3" s="1"/>
  <c r="F326" i="3"/>
  <c r="G326" i="3" s="1"/>
  <c r="F325" i="3"/>
  <c r="D325" i="3"/>
  <c r="F324" i="3"/>
  <c r="G324" i="3" s="1"/>
  <c r="F323" i="3"/>
  <c r="G323" i="3" s="1"/>
  <c r="F322" i="3"/>
  <c r="G322" i="3" s="1"/>
  <c r="F321" i="3"/>
  <c r="G321" i="3" s="1"/>
  <c r="F320" i="3"/>
  <c r="G320" i="3" s="1"/>
  <c r="F319" i="3"/>
  <c r="F318" i="3"/>
  <c r="G318" i="3" s="1"/>
  <c r="F317" i="3"/>
  <c r="G317" i="3" s="1"/>
  <c r="F316" i="3"/>
  <c r="G316" i="3" s="1"/>
  <c r="F315" i="3"/>
  <c r="G315" i="3" s="1"/>
  <c r="F314" i="3"/>
  <c r="D314" i="3"/>
  <c r="F313" i="3"/>
  <c r="G313" i="3" s="1"/>
  <c r="F312" i="3"/>
  <c r="G312" i="3" s="1"/>
  <c r="F311" i="3"/>
  <c r="G311" i="3" s="1"/>
  <c r="F310" i="3"/>
  <c r="G310" i="3" s="1"/>
  <c r="F309" i="3"/>
  <c r="G309" i="3" s="1"/>
  <c r="F308" i="3"/>
  <c r="D308" i="3"/>
  <c r="F307" i="3"/>
  <c r="G307" i="3" s="1"/>
  <c r="F306" i="3"/>
  <c r="G306" i="3" s="1"/>
  <c r="F305" i="3"/>
  <c r="G305" i="3" s="1"/>
  <c r="F304" i="3"/>
  <c r="G304" i="3" s="1"/>
  <c r="D304" i="3"/>
  <c r="F303" i="3"/>
  <c r="G303" i="3" s="1"/>
  <c r="D303" i="3"/>
  <c r="F302" i="3"/>
  <c r="D302" i="3"/>
  <c r="F301" i="3"/>
  <c r="G301" i="3" s="1"/>
  <c r="D301" i="3"/>
  <c r="F300" i="3"/>
  <c r="G300" i="3" s="1"/>
  <c r="D300" i="3"/>
  <c r="F299" i="3"/>
  <c r="G299" i="3" s="1"/>
  <c r="D299" i="3"/>
  <c r="F298" i="3"/>
  <c r="G298" i="3" s="1"/>
  <c r="D298" i="3"/>
  <c r="F297" i="3"/>
  <c r="G297" i="3" s="1"/>
  <c r="D297" i="3"/>
  <c r="F296" i="3"/>
  <c r="D296" i="3"/>
  <c r="F295" i="3"/>
  <c r="G295" i="3" s="1"/>
  <c r="D295" i="3"/>
  <c r="F294" i="3"/>
  <c r="G294" i="3" s="1"/>
  <c r="D294" i="3"/>
  <c r="F293" i="3"/>
  <c r="G293" i="3" s="1"/>
  <c r="D293" i="3"/>
  <c r="F292" i="3"/>
  <c r="G292" i="3" s="1"/>
  <c r="D292" i="3"/>
  <c r="G291" i="3"/>
  <c r="F291" i="3"/>
  <c r="D291" i="3"/>
  <c r="F290" i="3"/>
  <c r="G290" i="3" s="1"/>
  <c r="D290" i="3"/>
  <c r="F289" i="3"/>
  <c r="G289" i="3" s="1"/>
  <c r="D289" i="3"/>
  <c r="F288" i="3"/>
  <c r="G288" i="3" s="1"/>
  <c r="D288" i="3"/>
  <c r="F287" i="3"/>
  <c r="G287" i="3" s="1"/>
  <c r="D287" i="3"/>
  <c r="F286" i="3"/>
  <c r="G286" i="3" s="1"/>
  <c r="D286" i="3"/>
  <c r="F285" i="3"/>
  <c r="D285" i="3"/>
  <c r="F284" i="3"/>
  <c r="G284" i="3" s="1"/>
  <c r="D284" i="3"/>
  <c r="F283" i="3"/>
  <c r="G283" i="3" s="1"/>
  <c r="D283" i="3"/>
  <c r="F282" i="3"/>
  <c r="G282" i="3" s="1"/>
  <c r="D282" i="3"/>
  <c r="F281" i="3"/>
  <c r="G281" i="3" s="1"/>
  <c r="D281" i="3"/>
  <c r="F280" i="3"/>
  <c r="G280" i="3" s="1"/>
  <c r="D280" i="3"/>
  <c r="F279" i="3"/>
  <c r="G279" i="3" s="1"/>
  <c r="D279" i="3"/>
  <c r="F278" i="3"/>
  <c r="G278" i="3" s="1"/>
  <c r="D278" i="3"/>
  <c r="F277" i="3"/>
  <c r="G277" i="3" s="1"/>
  <c r="D277" i="3"/>
  <c r="F276" i="3"/>
  <c r="G276" i="3" s="1"/>
  <c r="D276" i="3"/>
  <c r="F275" i="3"/>
  <c r="G275" i="3" s="1"/>
  <c r="D275" i="3"/>
  <c r="F274" i="3"/>
  <c r="D274" i="3"/>
  <c r="F273" i="3"/>
  <c r="G273" i="3" s="1"/>
  <c r="D273" i="3"/>
  <c r="F272" i="3"/>
  <c r="G272" i="3" s="1"/>
  <c r="D272" i="3"/>
  <c r="F271" i="3"/>
  <c r="G271" i="3" s="1"/>
  <c r="D271" i="3"/>
  <c r="F270" i="3"/>
  <c r="G270" i="3" s="1"/>
  <c r="D270" i="3"/>
  <c r="F269" i="3"/>
  <c r="G269" i="3" s="1"/>
  <c r="D269" i="3"/>
  <c r="F268" i="3"/>
  <c r="G268" i="3" s="1"/>
  <c r="D268" i="3"/>
  <c r="F267" i="3"/>
  <c r="G267" i="3" s="1"/>
  <c r="D267" i="3"/>
  <c r="F266" i="3"/>
  <c r="G266" i="3" s="1"/>
  <c r="D266" i="3"/>
  <c r="F265" i="3"/>
  <c r="G265" i="3" s="1"/>
  <c r="D265" i="3"/>
  <c r="F264" i="3"/>
  <c r="G264" i="3" s="1"/>
  <c r="D264" i="3"/>
  <c r="F263" i="3"/>
  <c r="D263" i="3"/>
  <c r="F262" i="3"/>
  <c r="G262" i="3" s="1"/>
  <c r="D262" i="3"/>
  <c r="F261" i="3"/>
  <c r="G261" i="3" s="1"/>
  <c r="D261" i="3"/>
  <c r="F260" i="3"/>
  <c r="G260" i="3" s="1"/>
  <c r="D260" i="3"/>
  <c r="F259" i="3"/>
  <c r="G259" i="3" s="1"/>
  <c r="D259" i="3"/>
  <c r="F258" i="3"/>
  <c r="G258" i="3" s="1"/>
  <c r="D258" i="3"/>
  <c r="F257" i="3"/>
  <c r="G257" i="3" s="1"/>
  <c r="D257" i="3"/>
  <c r="G256" i="3"/>
  <c r="F256" i="3"/>
  <c r="D256" i="3"/>
  <c r="F255" i="3"/>
  <c r="G255" i="3" s="1"/>
  <c r="D255" i="3"/>
  <c r="F254" i="3"/>
  <c r="G254" i="3" s="1"/>
  <c r="D254" i="3"/>
  <c r="F253" i="3"/>
  <c r="D253" i="3"/>
  <c r="F252" i="3"/>
  <c r="G252" i="3" s="1"/>
  <c r="D252" i="3"/>
  <c r="F251" i="3"/>
  <c r="G251" i="3" s="1"/>
  <c r="D251" i="3"/>
  <c r="F250" i="3"/>
  <c r="G250" i="3" s="1"/>
  <c r="D250" i="3"/>
  <c r="F249" i="3"/>
  <c r="G249" i="3" s="1"/>
  <c r="D249" i="3"/>
  <c r="F248" i="3"/>
  <c r="G248" i="3" s="1"/>
  <c r="D248" i="3"/>
  <c r="F247" i="3"/>
  <c r="G247" i="3" s="1"/>
  <c r="D247" i="3"/>
  <c r="F246" i="3"/>
  <c r="G246" i="3" s="1"/>
  <c r="D246" i="3"/>
  <c r="F245" i="3"/>
  <c r="G245" i="3" s="1"/>
  <c r="D245" i="3"/>
  <c r="F244" i="3"/>
  <c r="G244" i="3" s="1"/>
  <c r="D244" i="3"/>
  <c r="F243" i="3"/>
  <c r="G243" i="3" s="1"/>
  <c r="D243" i="3"/>
  <c r="F242" i="3"/>
  <c r="D242" i="3"/>
  <c r="F241" i="3"/>
  <c r="G241" i="3" s="1"/>
  <c r="D241" i="3"/>
  <c r="F240" i="3"/>
  <c r="G240" i="3" s="1"/>
  <c r="D240" i="3"/>
  <c r="F239" i="3"/>
  <c r="G239" i="3" s="1"/>
  <c r="D239" i="3"/>
  <c r="F238" i="3"/>
  <c r="G238" i="3" s="1"/>
  <c r="D238" i="3"/>
  <c r="F237" i="3"/>
  <c r="G237" i="3" s="1"/>
  <c r="D237" i="3"/>
  <c r="F236" i="3"/>
  <c r="G236" i="3" s="1"/>
  <c r="D236" i="3"/>
  <c r="F235" i="3"/>
  <c r="G235" i="3" s="1"/>
  <c r="D235" i="3"/>
  <c r="F234" i="3"/>
  <c r="G234" i="3" s="1"/>
  <c r="D234" i="3"/>
  <c r="F233" i="3"/>
  <c r="G233" i="3" s="1"/>
  <c r="D233" i="3"/>
  <c r="F232" i="3"/>
  <c r="G232" i="3" s="1"/>
  <c r="D232" i="3"/>
  <c r="F231" i="3"/>
  <c r="D231" i="3"/>
  <c r="F230" i="3"/>
  <c r="G230" i="3" s="1"/>
  <c r="D230" i="3"/>
  <c r="F229" i="3"/>
  <c r="G229" i="3" s="1"/>
  <c r="D229" i="3"/>
  <c r="F228" i="3"/>
  <c r="G228" i="3" s="1"/>
  <c r="D228" i="3"/>
  <c r="F227" i="3"/>
  <c r="G227" i="3" s="1"/>
  <c r="D227" i="3"/>
  <c r="F226" i="3"/>
  <c r="G226" i="3" s="1"/>
  <c r="D226" i="3"/>
  <c r="F225" i="3"/>
  <c r="G225" i="3" s="1"/>
  <c r="D225" i="3"/>
  <c r="F224" i="3"/>
  <c r="G224" i="3" s="1"/>
  <c r="D224" i="3"/>
  <c r="G223" i="3"/>
  <c r="F223" i="3"/>
  <c r="D223" i="3"/>
  <c r="F222" i="3"/>
  <c r="G222" i="3" s="1"/>
  <c r="D222" i="3"/>
  <c r="F221" i="3"/>
  <c r="G221" i="3" s="1"/>
  <c r="D221" i="3"/>
  <c r="F220" i="3"/>
  <c r="D220" i="3"/>
  <c r="F219" i="3"/>
  <c r="G219" i="3" s="1"/>
  <c r="D219" i="3"/>
  <c r="F218" i="3"/>
  <c r="G218" i="3" s="1"/>
  <c r="D218" i="3"/>
  <c r="F217" i="3"/>
  <c r="G217" i="3" s="1"/>
  <c r="D217" i="3"/>
  <c r="F216" i="3"/>
  <c r="G216" i="3" s="1"/>
  <c r="D216" i="3"/>
  <c r="F215" i="3"/>
  <c r="G215" i="3" s="1"/>
  <c r="D215" i="3"/>
  <c r="F214" i="3"/>
  <c r="G214" i="3" s="1"/>
  <c r="D214" i="3"/>
  <c r="F213" i="3"/>
  <c r="G213" i="3" s="1"/>
  <c r="D213" i="3"/>
  <c r="F212" i="3"/>
  <c r="G212" i="3" s="1"/>
  <c r="D212" i="3"/>
  <c r="F211" i="3"/>
  <c r="G211" i="3" s="1"/>
  <c r="D211" i="3"/>
  <c r="F210" i="3"/>
  <c r="D210" i="3"/>
  <c r="F209" i="3"/>
  <c r="G209" i="3" s="1"/>
  <c r="D209" i="3"/>
  <c r="F208" i="3"/>
  <c r="G208" i="3" s="1"/>
  <c r="D208" i="3"/>
  <c r="F207" i="3"/>
  <c r="G207" i="3" s="1"/>
  <c r="D207" i="3"/>
  <c r="F206" i="3"/>
  <c r="G206" i="3" s="1"/>
  <c r="D206" i="3"/>
  <c r="F205" i="3"/>
  <c r="G205" i="3" s="1"/>
  <c r="D205" i="3"/>
  <c r="F204" i="3"/>
  <c r="G204" i="3" s="1"/>
  <c r="D204" i="3"/>
  <c r="F203" i="3"/>
  <c r="G203" i="3" s="1"/>
  <c r="D203" i="3"/>
  <c r="F202" i="3"/>
  <c r="G202" i="3" s="1"/>
  <c r="D202" i="3"/>
  <c r="F201" i="3"/>
  <c r="G201" i="3" s="1"/>
  <c r="D201" i="3"/>
  <c r="F200" i="3"/>
  <c r="G200" i="3" s="1"/>
  <c r="D200" i="3"/>
  <c r="F199" i="3"/>
  <c r="D199" i="3"/>
  <c r="F198" i="3"/>
  <c r="G198" i="3" s="1"/>
  <c r="D198" i="3"/>
  <c r="F197" i="3"/>
  <c r="G197" i="3" s="1"/>
  <c r="D197" i="3"/>
  <c r="F196" i="3"/>
  <c r="G196" i="3" s="1"/>
  <c r="D196" i="3"/>
  <c r="F195" i="3"/>
  <c r="G195" i="3" s="1"/>
  <c r="D195" i="3"/>
  <c r="F194" i="3"/>
  <c r="G194" i="3" s="1"/>
  <c r="D194" i="3"/>
  <c r="F193" i="3"/>
  <c r="G193" i="3" s="1"/>
  <c r="D193" i="3"/>
  <c r="F192" i="3"/>
  <c r="G192" i="3" s="1"/>
  <c r="D192" i="3"/>
  <c r="F191" i="3"/>
  <c r="G191" i="3" s="1"/>
  <c r="D191" i="3"/>
  <c r="F190" i="3"/>
  <c r="G190" i="3" s="1"/>
  <c r="D190" i="3"/>
  <c r="F189" i="3"/>
  <c r="G189" i="3" s="1"/>
  <c r="D189" i="3"/>
  <c r="F188" i="3"/>
  <c r="D188" i="3"/>
  <c r="F187" i="3"/>
  <c r="G187" i="3" s="1"/>
  <c r="D187" i="3"/>
  <c r="F186" i="3"/>
  <c r="G186" i="3" s="1"/>
  <c r="D186" i="3"/>
  <c r="F185" i="3"/>
  <c r="G185" i="3" s="1"/>
  <c r="D185" i="3"/>
  <c r="G184" i="3"/>
  <c r="F184" i="3"/>
  <c r="D184" i="3"/>
  <c r="F183" i="3"/>
  <c r="G183" i="3" s="1"/>
  <c r="D183" i="3"/>
  <c r="F182" i="3"/>
  <c r="G182" i="3" s="1"/>
  <c r="D182" i="3"/>
  <c r="F181" i="3"/>
  <c r="G181" i="3" s="1"/>
  <c r="D181" i="3"/>
  <c r="F180" i="3"/>
  <c r="G180" i="3" s="1"/>
  <c r="D180" i="3"/>
  <c r="F179" i="3"/>
  <c r="G179" i="3" s="1"/>
  <c r="D179" i="3"/>
  <c r="F178" i="3"/>
  <c r="G178" i="3" s="1"/>
  <c r="D178" i="3"/>
  <c r="F177" i="3"/>
  <c r="D177" i="3"/>
  <c r="F176" i="3"/>
  <c r="G176" i="3" s="1"/>
  <c r="D176" i="3"/>
  <c r="F175" i="3"/>
  <c r="G175" i="3" s="1"/>
  <c r="D175" i="3"/>
  <c r="F174" i="3"/>
  <c r="G174" i="3" s="1"/>
  <c r="D174" i="3"/>
  <c r="F173" i="3"/>
  <c r="G173" i="3" s="1"/>
  <c r="D173" i="3"/>
  <c r="F172" i="3"/>
  <c r="G172" i="3" s="1"/>
  <c r="D172" i="3"/>
  <c r="F171" i="3"/>
  <c r="G171" i="3" s="1"/>
  <c r="D171" i="3"/>
  <c r="F170" i="3"/>
  <c r="G170" i="3" s="1"/>
  <c r="D170" i="3"/>
  <c r="F169" i="3"/>
  <c r="G169" i="3" s="1"/>
  <c r="D169" i="3"/>
  <c r="F168" i="3"/>
  <c r="G168" i="3" s="1"/>
  <c r="D168" i="3"/>
  <c r="F167" i="3"/>
  <c r="D167" i="3"/>
  <c r="F166" i="3"/>
  <c r="G166" i="3" s="1"/>
  <c r="D166" i="3"/>
  <c r="F165" i="3"/>
  <c r="G165" i="3" s="1"/>
  <c r="D165" i="3"/>
  <c r="F164" i="3"/>
  <c r="G164" i="3" s="1"/>
  <c r="D164" i="3"/>
  <c r="F163" i="3"/>
  <c r="G163" i="3" s="1"/>
  <c r="D163" i="3"/>
  <c r="F162" i="3"/>
  <c r="G162" i="3" s="1"/>
  <c r="D162" i="3"/>
  <c r="F161" i="3"/>
  <c r="G161" i="3" s="1"/>
  <c r="D161" i="3"/>
  <c r="F160" i="3"/>
  <c r="G160" i="3" s="1"/>
  <c r="D160" i="3"/>
  <c r="F159" i="3"/>
  <c r="G159" i="3" s="1"/>
  <c r="D159" i="3"/>
  <c r="F158" i="3"/>
  <c r="D158" i="3"/>
  <c r="F157" i="3"/>
  <c r="G157" i="3" s="1"/>
  <c r="D157" i="3"/>
  <c r="F156" i="3"/>
  <c r="G156" i="3" s="1"/>
  <c r="D156" i="3"/>
  <c r="F155" i="3"/>
  <c r="G155" i="3" s="1"/>
  <c r="D155" i="3"/>
  <c r="F154" i="3"/>
  <c r="G154" i="3" s="1"/>
  <c r="D154" i="3"/>
  <c r="F153" i="3"/>
  <c r="G153" i="3" s="1"/>
  <c r="D153" i="3"/>
  <c r="F152" i="3"/>
  <c r="G152" i="3" s="1"/>
  <c r="D152" i="3"/>
  <c r="G151" i="3"/>
  <c r="F151" i="3"/>
  <c r="D151" i="3"/>
  <c r="F150" i="3"/>
  <c r="G150" i="3" s="1"/>
  <c r="D150" i="3"/>
  <c r="F149" i="3"/>
  <c r="D149" i="3"/>
  <c r="F148" i="3"/>
  <c r="G148" i="3" s="1"/>
  <c r="D148" i="3"/>
  <c r="F147" i="3"/>
  <c r="G147" i="3" s="1"/>
  <c r="D147" i="3"/>
  <c r="F146" i="3"/>
  <c r="G146" i="3" s="1"/>
  <c r="D146" i="3"/>
  <c r="F145" i="3"/>
  <c r="G145" i="3" s="1"/>
  <c r="D145" i="3"/>
  <c r="F144" i="3"/>
  <c r="G144" i="3" s="1"/>
  <c r="D144" i="3"/>
  <c r="F143" i="3"/>
  <c r="G143" i="3" s="1"/>
  <c r="D143" i="3"/>
  <c r="F142" i="3"/>
  <c r="G142" i="3" s="1"/>
  <c r="D142" i="3"/>
  <c r="F141" i="3"/>
  <c r="G141" i="3" s="1"/>
  <c r="D141" i="3"/>
  <c r="F140" i="3"/>
  <c r="D140" i="3"/>
  <c r="F139" i="3"/>
  <c r="G139" i="3" s="1"/>
  <c r="D139" i="3"/>
  <c r="F138" i="3"/>
  <c r="G138" i="3" s="1"/>
  <c r="D138" i="3"/>
  <c r="F137" i="3"/>
  <c r="G137" i="3" s="1"/>
  <c r="D137" i="3"/>
  <c r="F136" i="3"/>
  <c r="G136" i="3" s="1"/>
  <c r="D136" i="3"/>
  <c r="F135" i="3"/>
  <c r="G135" i="3" s="1"/>
  <c r="D135" i="3"/>
  <c r="F134" i="3"/>
  <c r="G134" i="3" s="1"/>
  <c r="D134" i="3"/>
  <c r="F133" i="3"/>
  <c r="G133" i="3" s="1"/>
  <c r="D133" i="3"/>
  <c r="F132" i="3"/>
  <c r="D132" i="3"/>
  <c r="F131" i="3"/>
  <c r="G131" i="3" s="1"/>
  <c r="D131" i="3"/>
  <c r="F130" i="3"/>
  <c r="G130" i="3" s="1"/>
  <c r="D130" i="3"/>
  <c r="F129" i="3"/>
  <c r="G129" i="3" s="1"/>
  <c r="D129" i="3"/>
  <c r="F128" i="3"/>
  <c r="G128" i="3" s="1"/>
  <c r="D128" i="3"/>
  <c r="F127" i="3"/>
  <c r="G127" i="3" s="1"/>
  <c r="D127" i="3"/>
  <c r="F126" i="3"/>
  <c r="G126" i="3" s="1"/>
  <c r="D126" i="3"/>
  <c r="F125" i="3"/>
  <c r="G125" i="3" s="1"/>
  <c r="D125" i="3"/>
  <c r="F124" i="3"/>
  <c r="D124" i="3"/>
  <c r="F123" i="3"/>
  <c r="G123" i="3" s="1"/>
  <c r="D123" i="3"/>
  <c r="F122" i="3"/>
  <c r="G122" i="3" s="1"/>
  <c r="D122" i="3"/>
  <c r="F121" i="3"/>
  <c r="G121" i="3" s="1"/>
  <c r="D121" i="3"/>
  <c r="F120" i="3"/>
  <c r="G120" i="3" s="1"/>
  <c r="D120" i="3"/>
  <c r="F119" i="3"/>
  <c r="G119" i="3" s="1"/>
  <c r="D119" i="3"/>
  <c r="F118" i="3"/>
  <c r="G118" i="3" s="1"/>
  <c r="D118" i="3"/>
  <c r="F117" i="3"/>
  <c r="G117" i="3" s="1"/>
  <c r="D117" i="3"/>
  <c r="F116" i="3"/>
  <c r="G116" i="3" s="1"/>
  <c r="D116" i="3"/>
  <c r="F115" i="3"/>
  <c r="G115" i="3" s="1"/>
  <c r="D115" i="3"/>
  <c r="F114" i="3"/>
  <c r="G114" i="3" s="1"/>
  <c r="D114" i="3"/>
  <c r="F113" i="3"/>
  <c r="D113" i="3"/>
  <c r="G112" i="3"/>
  <c r="F112" i="3"/>
  <c r="D112" i="3"/>
  <c r="F111" i="3"/>
  <c r="G111" i="3" s="1"/>
  <c r="D111" i="3"/>
  <c r="F110" i="3"/>
  <c r="G110" i="3" s="1"/>
  <c r="D110" i="3"/>
  <c r="F109" i="3"/>
  <c r="G109" i="3" s="1"/>
  <c r="D109" i="3"/>
  <c r="F108" i="3"/>
  <c r="G108" i="3" s="1"/>
  <c r="D108" i="3"/>
  <c r="F107" i="3"/>
  <c r="G107" i="3" s="1"/>
  <c r="D107" i="3"/>
  <c r="F106" i="3"/>
  <c r="G106" i="3" s="1"/>
  <c r="D106" i="3"/>
  <c r="F105" i="3"/>
  <c r="G105" i="3" s="1"/>
  <c r="D105" i="3"/>
  <c r="F104" i="3"/>
  <c r="G104" i="3" s="1"/>
  <c r="D104" i="3"/>
  <c r="F103" i="3"/>
  <c r="G103" i="3" s="1"/>
  <c r="D103" i="3"/>
  <c r="F102" i="3"/>
  <c r="D102" i="3"/>
  <c r="F101" i="3"/>
  <c r="G101" i="3" s="1"/>
  <c r="D101" i="3"/>
  <c r="F100" i="3"/>
  <c r="G100" i="3" s="1"/>
  <c r="D100" i="3"/>
  <c r="F99" i="3"/>
  <c r="G99" i="3" s="1"/>
  <c r="D99" i="3"/>
  <c r="F98" i="3"/>
  <c r="G98" i="3" s="1"/>
  <c r="D98" i="3"/>
  <c r="F97" i="3"/>
  <c r="G97" i="3" s="1"/>
  <c r="D97" i="3"/>
  <c r="F96" i="3"/>
  <c r="G96" i="3" s="1"/>
  <c r="D96" i="3"/>
  <c r="F95" i="3"/>
  <c r="G95" i="3" s="1"/>
  <c r="D95" i="3"/>
  <c r="F94" i="3"/>
  <c r="G94" i="3" s="1"/>
  <c r="D94" i="3"/>
  <c r="F93" i="3"/>
  <c r="G93" i="3" s="1"/>
  <c r="D93" i="3"/>
  <c r="F92" i="3"/>
  <c r="G92" i="3" s="1"/>
  <c r="D92" i="3"/>
  <c r="F91" i="3"/>
  <c r="D91" i="3"/>
  <c r="F90" i="3"/>
  <c r="G90" i="3" s="1"/>
  <c r="D90" i="3"/>
  <c r="F89" i="3"/>
  <c r="G89" i="3" s="1"/>
  <c r="D89" i="3"/>
  <c r="F88" i="3"/>
  <c r="G88" i="3" s="1"/>
  <c r="D88" i="3"/>
  <c r="F87" i="3"/>
  <c r="G87" i="3" s="1"/>
  <c r="D87" i="3"/>
  <c r="F86" i="3"/>
  <c r="G86" i="3" s="1"/>
  <c r="D86" i="3"/>
  <c r="F85" i="3"/>
  <c r="G85" i="3" s="1"/>
  <c r="D85" i="3"/>
  <c r="F84" i="3"/>
  <c r="G84" i="3" s="1"/>
  <c r="D84" i="3"/>
  <c r="F83" i="3"/>
  <c r="G83" i="3" s="1"/>
  <c r="D83" i="3"/>
  <c r="F82" i="3"/>
  <c r="G82" i="3" s="1"/>
  <c r="D82" i="3"/>
  <c r="F81" i="3"/>
  <c r="D81" i="3"/>
  <c r="F80" i="3"/>
  <c r="G80" i="3" s="1"/>
  <c r="D80" i="3"/>
  <c r="G79" i="3"/>
  <c r="F79" i="3"/>
  <c r="D79" i="3"/>
  <c r="F78" i="3"/>
  <c r="G78" i="3" s="1"/>
  <c r="D78" i="3"/>
  <c r="F77" i="3"/>
  <c r="G77" i="3" s="1"/>
  <c r="D77" i="3"/>
  <c r="F76" i="3"/>
  <c r="D76" i="3"/>
  <c r="F75" i="3"/>
  <c r="G75" i="3" s="1"/>
  <c r="D75" i="3"/>
  <c r="F74" i="3"/>
  <c r="G74" i="3" s="1"/>
  <c r="D74" i="3"/>
  <c r="F73" i="3"/>
  <c r="D73" i="3"/>
  <c r="F72" i="3"/>
  <c r="G72" i="3" s="1"/>
  <c r="D72" i="3"/>
  <c r="F71" i="3"/>
  <c r="G71" i="3" s="1"/>
  <c r="D71" i="3"/>
  <c r="F70" i="3"/>
  <c r="G70" i="3" s="1"/>
  <c r="D70" i="3"/>
  <c r="F69" i="3"/>
  <c r="G69" i="3" s="1"/>
  <c r="D69" i="3"/>
  <c r="F68" i="3"/>
  <c r="D68" i="3"/>
  <c r="F67" i="3"/>
  <c r="G67" i="3" s="1"/>
  <c r="D67" i="3"/>
  <c r="F66" i="3"/>
  <c r="G66" i="3" s="1"/>
  <c r="D66" i="3"/>
  <c r="F65" i="3"/>
  <c r="G65" i="3" s="1"/>
  <c r="D65" i="3"/>
  <c r="F64" i="3"/>
  <c r="G64" i="3" s="1"/>
  <c r="D64" i="3"/>
  <c r="F63" i="3"/>
  <c r="G63" i="3" s="1"/>
  <c r="D63" i="3"/>
  <c r="F62" i="3"/>
  <c r="G62" i="3" s="1"/>
  <c r="D62" i="3"/>
  <c r="F61" i="3"/>
  <c r="G61" i="3" s="1"/>
  <c r="D61" i="3"/>
  <c r="F60" i="3"/>
  <c r="G60" i="3" s="1"/>
  <c r="D60" i="3"/>
  <c r="F59" i="3"/>
  <c r="G59" i="3" s="1"/>
  <c r="D59" i="3"/>
  <c r="F58" i="3"/>
  <c r="G58" i="3" s="1"/>
  <c r="D58" i="3"/>
  <c r="F57" i="3"/>
  <c r="G57" i="3" s="1"/>
  <c r="D57" i="3"/>
  <c r="F56" i="3"/>
  <c r="D56" i="3"/>
  <c r="F55" i="3"/>
  <c r="G55" i="3" s="1"/>
  <c r="D55" i="3"/>
  <c r="F54" i="3"/>
  <c r="G54" i="3" s="1"/>
  <c r="D54" i="3"/>
  <c r="F53" i="3"/>
  <c r="G53" i="3" s="1"/>
  <c r="D53" i="3"/>
  <c r="F52" i="3"/>
  <c r="G52" i="3" s="1"/>
  <c r="D52" i="3"/>
  <c r="F51" i="3"/>
  <c r="G51" i="3" s="1"/>
  <c r="D51" i="3"/>
  <c r="F50" i="3"/>
  <c r="G50" i="3" s="1"/>
  <c r="D50" i="3"/>
  <c r="F49" i="3"/>
  <c r="G49" i="3" s="1"/>
  <c r="D49" i="3"/>
  <c r="F48" i="3"/>
  <c r="G48" i="3" s="1"/>
  <c r="D48" i="3"/>
  <c r="F47" i="3"/>
  <c r="D47" i="3"/>
  <c r="F46" i="3"/>
  <c r="G46" i="3" s="1"/>
  <c r="D46" i="3"/>
  <c r="F45" i="3"/>
  <c r="G45" i="3" s="1"/>
  <c r="D45" i="3"/>
  <c r="F44" i="3"/>
  <c r="G44" i="3" s="1"/>
  <c r="D44" i="3"/>
  <c r="F43" i="3"/>
  <c r="G43" i="3" s="1"/>
  <c r="D43" i="3"/>
  <c r="F42" i="3"/>
  <c r="G42" i="3" s="1"/>
  <c r="D42" i="3"/>
  <c r="F41" i="3"/>
  <c r="G41" i="3" s="1"/>
  <c r="D41" i="3"/>
  <c r="F40" i="3"/>
  <c r="G40" i="3" s="1"/>
  <c r="D40" i="3"/>
  <c r="G39" i="3"/>
  <c r="F39" i="3"/>
  <c r="D39" i="3"/>
  <c r="F38" i="3"/>
  <c r="G38" i="3" s="1"/>
  <c r="D38" i="3"/>
  <c r="F37" i="3"/>
  <c r="D37" i="3"/>
  <c r="F36" i="3"/>
  <c r="G36" i="3" s="1"/>
  <c r="D36" i="3"/>
  <c r="F35" i="3"/>
  <c r="G35" i="3" s="1"/>
  <c r="D35" i="3"/>
  <c r="F34" i="3"/>
  <c r="G34" i="3" s="1"/>
  <c r="D34" i="3"/>
  <c r="F33" i="3"/>
  <c r="G33" i="3" s="1"/>
  <c r="D33" i="3"/>
  <c r="F32" i="3"/>
  <c r="G32" i="3" s="1"/>
  <c r="D32" i="3"/>
  <c r="F31" i="3"/>
  <c r="G31" i="3" s="1"/>
  <c r="D31" i="3"/>
  <c r="F30" i="3"/>
  <c r="G30" i="3" s="1"/>
  <c r="D30" i="3"/>
  <c r="F29" i="3"/>
  <c r="G29" i="3" s="1"/>
  <c r="D29" i="3"/>
  <c r="F28" i="3"/>
  <c r="G28" i="3" s="1"/>
  <c r="D28" i="3"/>
  <c r="F27" i="3"/>
  <c r="D27" i="3"/>
  <c r="F26" i="3"/>
  <c r="G26" i="3" s="1"/>
  <c r="D26" i="3"/>
  <c r="F25" i="3"/>
  <c r="G25" i="3" s="1"/>
  <c r="D25" i="3"/>
  <c r="F24" i="3"/>
  <c r="G24" i="3" s="1"/>
  <c r="D24" i="3"/>
  <c r="F23" i="3"/>
  <c r="G23" i="3" s="1"/>
  <c r="D23" i="3"/>
  <c r="F22" i="3"/>
  <c r="G22" i="3" s="1"/>
  <c r="D22" i="3"/>
  <c r="F21" i="3"/>
  <c r="G21" i="3" s="1"/>
  <c r="D21" i="3"/>
  <c r="F20" i="3"/>
  <c r="G20" i="3" s="1"/>
  <c r="D20" i="3"/>
  <c r="F19" i="3"/>
  <c r="G19" i="3" s="1"/>
  <c r="D19" i="3"/>
  <c r="F18" i="3"/>
  <c r="G18" i="3" s="1"/>
  <c r="D18" i="3"/>
  <c r="F17" i="3"/>
  <c r="D17" i="3"/>
  <c r="F16" i="3"/>
  <c r="G16" i="3" s="1"/>
  <c r="D16" i="3"/>
  <c r="F15" i="3"/>
  <c r="G15" i="3" s="1"/>
  <c r="D15" i="3"/>
  <c r="F14" i="3"/>
  <c r="G14" i="3" s="1"/>
  <c r="D14" i="3"/>
  <c r="F13" i="3"/>
  <c r="G13" i="3" s="1"/>
  <c r="D13" i="3"/>
  <c r="F12" i="3"/>
  <c r="D12" i="3"/>
  <c r="F11" i="3"/>
  <c r="G11" i="3" s="1"/>
  <c r="D11" i="3"/>
  <c r="F10" i="3"/>
  <c r="G10" i="3" s="1"/>
  <c r="D10" i="3"/>
  <c r="F9" i="3"/>
  <c r="G9" i="3" s="1"/>
  <c r="D9" i="3"/>
  <c r="F8" i="3"/>
  <c r="G8" i="3" s="1"/>
  <c r="D8" i="3"/>
  <c r="F7" i="3"/>
  <c r="D7" i="3"/>
  <c r="F6" i="3"/>
  <c r="G6" i="3" s="1"/>
  <c r="D6" i="3"/>
  <c r="F5" i="3"/>
  <c r="G5" i="3" s="1"/>
  <c r="D5" i="3"/>
  <c r="F4" i="3"/>
  <c r="G4" i="3" s="1"/>
  <c r="F3" i="3"/>
  <c r="G3" i="3" s="1"/>
  <c r="F2" i="3"/>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s="1"/>
  <c r="C74" i="2"/>
  <c r="C73" i="2"/>
  <c r="C72" i="2"/>
  <c r="C71" i="2"/>
  <c r="C70" i="2"/>
  <c r="C69" i="2"/>
  <c r="C68" i="2"/>
  <c r="C67" i="2"/>
  <c r="C66" i="2"/>
  <c r="C65" i="2"/>
  <c r="C64" i="2"/>
  <c r="C63" i="2"/>
  <c r="C62" i="2"/>
  <c r="C61" i="2"/>
  <c r="C60" i="2"/>
  <c r="C59" i="2"/>
  <c r="C58" i="2"/>
  <c r="C57" i="2"/>
  <c r="C56" i="2"/>
  <c r="C55" i="2"/>
  <c r="C54" i="2"/>
  <c r="C53" i="2"/>
  <c r="C52"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1" i="2"/>
  <c r="C20" i="2"/>
  <c r="C19" i="2"/>
  <c r="C18" i="2"/>
  <c r="C17" i="2"/>
  <c r="C16" i="2"/>
  <c r="C15" i="2"/>
  <c r="C14" i="2"/>
  <c r="C13" i="2"/>
  <c r="C12" i="2"/>
  <c r="C11" i="2"/>
  <c r="C10" i="2"/>
  <c r="C9" i="2"/>
  <c r="C8" i="2"/>
  <c r="C7" i="2"/>
  <c r="C6" i="2"/>
  <c r="C5" i="2"/>
  <c r="C4" i="2"/>
  <c r="C3" i="2"/>
  <c r="C2" i="2"/>
  <c r="C52" i="1"/>
  <c r="B52" i="1"/>
  <c r="A52" i="1"/>
  <c r="C51" i="1"/>
  <c r="B51" i="1"/>
  <c r="A51" i="1"/>
  <c r="C50" i="1"/>
  <c r="B50" i="1"/>
  <c r="A50" i="1"/>
  <c r="C49" i="1"/>
  <c r="B49" i="1"/>
  <c r="A49" i="1"/>
  <c r="C48" i="1"/>
  <c r="B48" i="1"/>
  <c r="A48" i="1"/>
  <c r="E44" i="1"/>
  <c r="D44" i="1"/>
  <c r="C44" i="1"/>
  <c r="B44" i="1"/>
  <c r="A44" i="1"/>
  <c r="E43" i="1"/>
  <c r="D43" i="1"/>
  <c r="C43" i="1"/>
  <c r="B43" i="1"/>
  <c r="A43" i="1"/>
  <c r="E42" i="1"/>
  <c r="D42" i="1"/>
  <c r="C42" i="1"/>
  <c r="B42" i="1"/>
  <c r="A42" i="1"/>
  <c r="E41" i="1"/>
  <c r="D41" i="1"/>
  <c r="C41" i="1"/>
  <c r="B41" i="1"/>
  <c r="A41" i="1"/>
  <c r="E40" i="1"/>
  <c r="D40" i="1"/>
  <c r="C40" i="1"/>
  <c r="B40" i="1"/>
  <c r="A40" i="1"/>
  <c r="E8" i="1"/>
  <c r="C8" i="1"/>
  <c r="A8" i="1"/>
  <c r="A5" i="1"/>
  <c r="G210" i="3" l="1"/>
  <c r="G325" i="3"/>
  <c r="G308" i="3"/>
  <c r="G102" i="3"/>
  <c r="G113" i="3"/>
  <c r="G177" i="3"/>
  <c r="G341" i="3"/>
  <c r="G81" i="3"/>
  <c r="G158" i="3"/>
  <c r="G274" i="3"/>
  <c r="G285" i="3"/>
  <c r="G17" i="3"/>
  <c r="G242" i="3"/>
  <c r="G337" i="3"/>
  <c r="G365" i="3"/>
  <c r="G73" i="3"/>
  <c r="G253" i="3"/>
  <c r="G302" i="3"/>
  <c r="G37" i="3"/>
  <c r="G149" i="3"/>
  <c r="G314" i="3"/>
  <c r="G349" i="3"/>
  <c r="G357" i="3"/>
  <c r="C53" i="8"/>
  <c r="E53" i="8" s="1"/>
  <c r="F53" i="8" s="1"/>
  <c r="E315" i="8"/>
  <c r="F315" i="8" s="1"/>
  <c r="G15" i="12"/>
  <c r="G25" i="12"/>
  <c r="G30" i="12"/>
  <c r="G42" i="12"/>
  <c r="G45" i="12"/>
  <c r="G47" i="12"/>
  <c r="G57" i="12"/>
  <c r="G62" i="12"/>
  <c r="G74" i="12"/>
  <c r="G3" i="12"/>
  <c r="G12" i="12"/>
  <c r="G17" i="12"/>
  <c r="G20" i="12"/>
  <c r="G22" i="12"/>
  <c r="G27" i="12"/>
  <c r="G32" i="12"/>
  <c r="G34" i="12"/>
  <c r="G37" i="12"/>
  <c r="G39" i="12"/>
  <c r="G49" i="12"/>
  <c r="G52" i="12"/>
  <c r="G54" i="12"/>
  <c r="G59" i="12"/>
  <c r="G64" i="12"/>
  <c r="G66" i="12"/>
  <c r="G69" i="12"/>
  <c r="G71" i="12"/>
  <c r="E299" i="8"/>
  <c r="F299" i="8" s="1"/>
  <c r="E303" i="8"/>
  <c r="F303" i="8" s="1"/>
  <c r="G11" i="12"/>
  <c r="G14" i="12"/>
  <c r="G19" i="12"/>
  <c r="G24" i="12"/>
  <c r="G26" i="12"/>
  <c r="G29" i="12"/>
  <c r="G31" i="12"/>
  <c r="G41" i="12"/>
  <c r="G44" i="12"/>
  <c r="G46" i="12"/>
  <c r="G51" i="12"/>
  <c r="G56" i="12"/>
  <c r="G58" i="12"/>
  <c r="G61" i="12"/>
  <c r="G63" i="12"/>
  <c r="G73" i="12"/>
  <c r="G6" i="12"/>
  <c r="G13" i="12"/>
  <c r="G16" i="12"/>
  <c r="G18" i="12"/>
  <c r="G21" i="12"/>
  <c r="G23" i="12"/>
  <c r="G33" i="12"/>
  <c r="G36" i="12"/>
  <c r="G38" i="12"/>
  <c r="G43" i="12"/>
  <c r="G48" i="12"/>
  <c r="G50" i="12"/>
  <c r="G53" i="12"/>
  <c r="G55" i="12"/>
  <c r="G65" i="12"/>
  <c r="G68" i="12"/>
  <c r="G70" i="12"/>
  <c r="G75" i="12"/>
  <c r="C57" i="8"/>
  <c r="C21" i="8"/>
  <c r="C69" i="8"/>
  <c r="C81" i="8"/>
  <c r="C85" i="8"/>
  <c r="C89" i="8"/>
  <c r="C93" i="8"/>
  <c r="C5" i="8"/>
  <c r="C37" i="8"/>
  <c r="C9" i="8"/>
  <c r="C41" i="8"/>
  <c r="C73" i="8"/>
  <c r="C13" i="8"/>
  <c r="C29" i="8"/>
  <c r="C45" i="8"/>
  <c r="C61" i="8"/>
  <c r="C77" i="8"/>
  <c r="E77" i="8" s="1"/>
  <c r="F77" i="8" s="1"/>
  <c r="C17" i="8"/>
  <c r="C33" i="8"/>
  <c r="C49" i="8"/>
  <c r="C65" i="8"/>
  <c r="C3" i="8"/>
  <c r="C7" i="8"/>
  <c r="E7" i="8" s="1"/>
  <c r="F7" i="8" s="1"/>
  <c r="C11" i="8"/>
  <c r="C15" i="8"/>
  <c r="C19" i="8"/>
  <c r="C23" i="8"/>
  <c r="C27" i="8"/>
  <c r="C31" i="8"/>
  <c r="C35" i="8"/>
  <c r="C39" i="8"/>
  <c r="C43" i="8"/>
  <c r="E43" i="8" s="1"/>
  <c r="F43" i="8" s="1"/>
  <c r="C47" i="8"/>
  <c r="E47" i="8" s="1"/>
  <c r="F47" i="8" s="1"/>
  <c r="C51" i="8"/>
  <c r="E51" i="8" s="1"/>
  <c r="F51" i="8" s="1"/>
  <c r="C55" i="8"/>
  <c r="E55" i="8" s="1"/>
  <c r="F55" i="8" s="1"/>
  <c r="C59" i="8"/>
  <c r="E59" i="8" s="1"/>
  <c r="C63" i="8"/>
  <c r="E63" i="8" s="1"/>
  <c r="F63" i="8" s="1"/>
  <c r="C67" i="8"/>
  <c r="E67" i="8" s="1"/>
  <c r="F67" i="8" s="1"/>
  <c r="C71" i="8"/>
  <c r="E71" i="8" s="1"/>
  <c r="F71" i="8" s="1"/>
  <c r="C75" i="8"/>
  <c r="E75" i="8" s="1"/>
  <c r="F75" i="8" s="1"/>
  <c r="B36" i="1"/>
  <c r="B33" i="1"/>
  <c r="A35" i="1"/>
  <c r="C35" i="1" s="1"/>
  <c r="A32" i="1"/>
  <c r="C32" i="1" s="1"/>
  <c r="B35" i="1"/>
  <c r="A33" i="1"/>
  <c r="C33" i="1" s="1"/>
  <c r="B32" i="1"/>
  <c r="A34" i="1"/>
  <c r="C34" i="1" s="1"/>
  <c r="A36" i="1"/>
  <c r="C36" i="1" s="1"/>
  <c r="B34" i="1"/>
  <c r="E3" i="8"/>
  <c r="F3" i="8" s="1"/>
  <c r="E11" i="8"/>
  <c r="F11" i="8" s="1"/>
  <c r="E15" i="8"/>
  <c r="F15" i="8" s="1"/>
  <c r="E19" i="8"/>
  <c r="F19" i="8" s="1"/>
  <c r="E23" i="8"/>
  <c r="F23" i="8" s="1"/>
  <c r="E27" i="8"/>
  <c r="F27" i="8" s="1"/>
  <c r="E31" i="8"/>
  <c r="F31" i="8" s="1"/>
  <c r="E35" i="8"/>
  <c r="F35" i="8" s="1"/>
  <c r="E39" i="8"/>
  <c r="F39" i="8" s="1"/>
  <c r="E79" i="8"/>
  <c r="F79" i="8" s="1"/>
  <c r="E83" i="8"/>
  <c r="F83" i="8" s="1"/>
  <c r="E87" i="8"/>
  <c r="F87" i="8" s="1"/>
  <c r="E91" i="8"/>
  <c r="F91" i="8" s="1"/>
  <c r="E95" i="8"/>
  <c r="F95" i="8" s="1"/>
  <c r="E99" i="8"/>
  <c r="F99" i="8" s="1"/>
  <c r="E103" i="8"/>
  <c r="F103" i="8" s="1"/>
  <c r="E107" i="8"/>
  <c r="F107" i="8" s="1"/>
  <c r="E111" i="8"/>
  <c r="F111" i="8" s="1"/>
  <c r="E115" i="8"/>
  <c r="F115" i="8" s="1"/>
  <c r="E119" i="8"/>
  <c r="F119" i="8" s="1"/>
  <c r="E123" i="8"/>
  <c r="F123" i="8" s="1"/>
  <c r="E127" i="8"/>
  <c r="F127" i="8" s="1"/>
  <c r="E131" i="8"/>
  <c r="F131" i="8" s="1"/>
  <c r="E135" i="8"/>
  <c r="F135" i="8" s="1"/>
  <c r="E139" i="8"/>
  <c r="F139" i="8" s="1"/>
  <c r="E143" i="8"/>
  <c r="F143" i="8" s="1"/>
  <c r="E147" i="8"/>
  <c r="F147" i="8" s="1"/>
  <c r="E151" i="8"/>
  <c r="F151" i="8" s="1"/>
  <c r="E155" i="8"/>
  <c r="F155" i="8" s="1"/>
  <c r="E159" i="8"/>
  <c r="F159" i="8" s="1"/>
  <c r="E163" i="8"/>
  <c r="F163" i="8" s="1"/>
  <c r="E167" i="8"/>
  <c r="F167" i="8" s="1"/>
  <c r="E171" i="8"/>
  <c r="F171" i="8" s="1"/>
  <c r="E175" i="8"/>
  <c r="F175" i="8" s="1"/>
  <c r="E179" i="8"/>
  <c r="F179" i="8" s="1"/>
  <c r="E183" i="8"/>
  <c r="F183" i="8" s="1"/>
  <c r="E187" i="8"/>
  <c r="F187" i="8" s="1"/>
  <c r="E191" i="8"/>
  <c r="F191" i="8" s="1"/>
  <c r="E195" i="8"/>
  <c r="F195" i="8" s="1"/>
  <c r="E199" i="8"/>
  <c r="F199" i="8" s="1"/>
  <c r="E203" i="8"/>
  <c r="F203" i="8" s="1"/>
  <c r="E207" i="8"/>
  <c r="F207" i="8" s="1"/>
  <c r="E211" i="8"/>
  <c r="F211" i="8" s="1"/>
  <c r="E215" i="8"/>
  <c r="F215" i="8" s="1"/>
  <c r="E219" i="8"/>
  <c r="F219" i="8" s="1"/>
  <c r="E223" i="8"/>
  <c r="F223" i="8" s="1"/>
  <c r="E227" i="8"/>
  <c r="F227" i="8" s="1"/>
  <c r="E231" i="8"/>
  <c r="F231" i="8" s="1"/>
  <c r="E235" i="8"/>
  <c r="F235" i="8" s="1"/>
  <c r="E239" i="8"/>
  <c r="F239" i="8" s="1"/>
  <c r="E243" i="8"/>
  <c r="F243" i="8" s="1"/>
  <c r="E247" i="8"/>
  <c r="F247" i="8" s="1"/>
  <c r="E251" i="8"/>
  <c r="F251" i="8" s="1"/>
  <c r="E255" i="8"/>
  <c r="F255" i="8" s="1"/>
  <c r="E259" i="8"/>
  <c r="F259" i="8" s="1"/>
  <c r="E263" i="8"/>
  <c r="F263" i="8" s="1"/>
  <c r="E267" i="8"/>
  <c r="F267" i="8" s="1"/>
  <c r="E271" i="8"/>
  <c r="F271" i="8" s="1"/>
  <c r="E275" i="8"/>
  <c r="F275" i="8" s="1"/>
  <c r="E279" i="8"/>
  <c r="F279" i="8" s="1"/>
  <c r="E283" i="8"/>
  <c r="F283" i="8" s="1"/>
  <c r="E287" i="8"/>
  <c r="F287" i="8" s="1"/>
  <c r="E291" i="8"/>
  <c r="F291" i="8" s="1"/>
  <c r="E295" i="8"/>
  <c r="F295" i="8" s="1"/>
  <c r="E307" i="8"/>
  <c r="F307" i="8" s="1"/>
  <c r="E311" i="8"/>
  <c r="F311" i="8" s="1"/>
  <c r="E319" i="8"/>
  <c r="F319" i="8" s="1"/>
  <c r="E5" i="8"/>
  <c r="F5" i="8" s="1"/>
  <c r="E9" i="8"/>
  <c r="F9" i="8" s="1"/>
  <c r="E13" i="8"/>
  <c r="F13" i="8" s="1"/>
  <c r="E17" i="8"/>
  <c r="F17" i="8" s="1"/>
  <c r="E21" i="8"/>
  <c r="F21" i="8" s="1"/>
  <c r="E25" i="8"/>
  <c r="F25" i="8" s="1"/>
  <c r="E29" i="8"/>
  <c r="F29" i="8" s="1"/>
  <c r="E33" i="8"/>
  <c r="F33" i="8" s="1"/>
  <c r="E37" i="8"/>
  <c r="F37" i="8" s="1"/>
  <c r="E41" i="8"/>
  <c r="F41" i="8" s="1"/>
  <c r="E45" i="8"/>
  <c r="F45" i="8" s="1"/>
  <c r="E49" i="8"/>
  <c r="F49" i="8" s="1"/>
  <c r="E57" i="8"/>
  <c r="F57" i="8" s="1"/>
  <c r="E61" i="8"/>
  <c r="E65" i="8"/>
  <c r="F65" i="8" s="1"/>
  <c r="E69" i="8"/>
  <c r="F69" i="8" s="1"/>
  <c r="E73" i="8"/>
  <c r="F73" i="8" s="1"/>
  <c r="E81" i="8"/>
  <c r="F81" i="8" s="1"/>
  <c r="E85" i="8"/>
  <c r="F85" i="8" s="1"/>
  <c r="E89" i="8"/>
  <c r="F89" i="8" s="1"/>
  <c r="E93" i="8"/>
  <c r="F93" i="8" s="1"/>
  <c r="E97" i="8"/>
  <c r="F97" i="8" s="1"/>
  <c r="E101" i="8"/>
  <c r="F101" i="8" s="1"/>
  <c r="E105" i="8"/>
  <c r="F105" i="8" s="1"/>
  <c r="E109" i="8"/>
  <c r="F109" i="8" s="1"/>
  <c r="E113" i="8"/>
  <c r="F113" i="8" s="1"/>
  <c r="E117" i="8"/>
  <c r="F117" i="8" s="1"/>
  <c r="E121" i="8"/>
  <c r="F121" i="8" s="1"/>
  <c r="E125" i="8"/>
  <c r="F125" i="8" s="1"/>
  <c r="E129" i="8"/>
  <c r="F129" i="8" s="1"/>
  <c r="E133" i="8"/>
  <c r="F133" i="8" s="1"/>
  <c r="E137" i="8"/>
  <c r="F137" i="8" s="1"/>
  <c r="E141" i="8"/>
  <c r="F141" i="8" s="1"/>
  <c r="E145" i="8"/>
  <c r="F145" i="8" s="1"/>
  <c r="E149" i="8"/>
  <c r="F149" i="8" s="1"/>
  <c r="E153" i="8"/>
  <c r="F153" i="8" s="1"/>
  <c r="E157" i="8"/>
  <c r="F157" i="8" s="1"/>
  <c r="E161" i="8"/>
  <c r="F161" i="8" s="1"/>
  <c r="E165" i="8"/>
  <c r="F165" i="8" s="1"/>
  <c r="E169" i="8"/>
  <c r="F169" i="8" s="1"/>
  <c r="E173" i="8"/>
  <c r="F173" i="8" s="1"/>
  <c r="E177" i="8"/>
  <c r="F177" i="8" s="1"/>
  <c r="E181" i="8"/>
  <c r="F181" i="8" s="1"/>
  <c r="E185" i="8"/>
  <c r="F185" i="8" s="1"/>
  <c r="E189" i="8"/>
  <c r="F189" i="8" s="1"/>
  <c r="E193" i="8"/>
  <c r="F193" i="8" s="1"/>
  <c r="E197" i="8"/>
  <c r="F197" i="8" s="1"/>
  <c r="E201" i="8"/>
  <c r="F201" i="8" s="1"/>
  <c r="E205" i="8"/>
  <c r="F205" i="8" s="1"/>
  <c r="E209" i="8"/>
  <c r="F209" i="8" s="1"/>
  <c r="E213" i="8"/>
  <c r="F213" i="8" s="1"/>
  <c r="E217" i="8"/>
  <c r="F217" i="8" s="1"/>
  <c r="E221" i="8"/>
  <c r="F221" i="8" s="1"/>
  <c r="E225" i="8"/>
  <c r="F225" i="8" s="1"/>
  <c r="E229" i="8"/>
  <c r="F229" i="8" s="1"/>
  <c r="E233" i="8"/>
  <c r="F233" i="8" s="1"/>
  <c r="E237" i="8"/>
  <c r="F237" i="8" s="1"/>
  <c r="E241" i="8"/>
  <c r="F241" i="8" s="1"/>
  <c r="E245" i="8"/>
  <c r="F245" i="8" s="1"/>
  <c r="E249" i="8"/>
  <c r="F249" i="8" s="1"/>
  <c r="E253" i="8"/>
  <c r="F253" i="8" s="1"/>
  <c r="E257" i="8"/>
  <c r="F257" i="8" s="1"/>
  <c r="E261" i="8"/>
  <c r="F261" i="8" s="1"/>
  <c r="E265" i="8"/>
  <c r="F265" i="8" s="1"/>
  <c r="E269" i="8"/>
  <c r="F269" i="8" s="1"/>
  <c r="E273" i="8"/>
  <c r="F273" i="8" s="1"/>
  <c r="E277" i="8"/>
  <c r="F277" i="8" s="1"/>
  <c r="E281" i="8"/>
  <c r="F281" i="8" s="1"/>
  <c r="E285" i="8"/>
  <c r="F285" i="8" s="1"/>
  <c r="E289" i="8"/>
  <c r="F289" i="8" s="1"/>
  <c r="E293" i="8"/>
  <c r="F293" i="8" s="1"/>
  <c r="E297" i="8"/>
  <c r="F297" i="8" s="1"/>
  <c r="E301" i="8"/>
  <c r="F301" i="8" s="1"/>
  <c r="E305" i="8"/>
  <c r="F305" i="8" s="1"/>
  <c r="E309" i="8"/>
  <c r="F309" i="8" s="1"/>
  <c r="E313" i="8"/>
  <c r="F313" i="8" s="1"/>
  <c r="E317" i="8"/>
  <c r="F317" i="8" s="1"/>
  <c r="E1502" i="12"/>
  <c r="C22" i="2"/>
  <c r="G7" i="3"/>
  <c r="G27" i="3"/>
  <c r="G47" i="3"/>
  <c r="G199" i="3"/>
  <c r="G331" i="3"/>
  <c r="E320" i="8"/>
  <c r="F320" i="8" s="1"/>
  <c r="G167" i="3"/>
  <c r="G231" i="3"/>
  <c r="G263" i="3"/>
  <c r="C2" i="8"/>
  <c r="E2" i="8" s="1"/>
  <c r="C4" i="8"/>
  <c r="E4" i="8" s="1"/>
  <c r="F4" i="8" s="1"/>
  <c r="C6" i="8"/>
  <c r="E6" i="8" s="1"/>
  <c r="F6" i="8" s="1"/>
  <c r="C8" i="8"/>
  <c r="C10" i="8"/>
  <c r="E10" i="8" s="1"/>
  <c r="F10" i="8" s="1"/>
  <c r="C12" i="8"/>
  <c r="E12" i="8" s="1"/>
  <c r="F12" i="8" s="1"/>
  <c r="C14" i="8"/>
  <c r="E14" i="8" s="1"/>
  <c r="F14" i="8" s="1"/>
  <c r="C16" i="8"/>
  <c r="C18" i="8"/>
  <c r="E18" i="8" s="1"/>
  <c r="F18" i="8" s="1"/>
  <c r="C20" i="8"/>
  <c r="E20" i="8" s="1"/>
  <c r="F20" i="8" s="1"/>
  <c r="C22" i="8"/>
  <c r="E22" i="8" s="1"/>
  <c r="F22" i="8" s="1"/>
  <c r="C24" i="8"/>
  <c r="E24" i="8" s="1"/>
  <c r="F24" i="8" s="1"/>
  <c r="C26" i="8"/>
  <c r="E26" i="8" s="1"/>
  <c r="F26" i="8" s="1"/>
  <c r="C28" i="8"/>
  <c r="E28" i="8" s="1"/>
  <c r="F28" i="8" s="1"/>
  <c r="C30" i="8"/>
  <c r="E30" i="8" s="1"/>
  <c r="F30" i="8" s="1"/>
  <c r="C32" i="8"/>
  <c r="E32" i="8" s="1"/>
  <c r="F32" i="8" s="1"/>
  <c r="C34" i="8"/>
  <c r="C36" i="8"/>
  <c r="E36" i="8" s="1"/>
  <c r="F36" i="8" s="1"/>
  <c r="C38" i="8"/>
  <c r="E38" i="8" s="1"/>
  <c r="F38" i="8" s="1"/>
  <c r="C40" i="8"/>
  <c r="E40" i="8" s="1"/>
  <c r="F40" i="8" s="1"/>
  <c r="C42" i="8"/>
  <c r="C44" i="8"/>
  <c r="E44" i="8" s="1"/>
  <c r="F44" i="8" s="1"/>
  <c r="C46" i="8"/>
  <c r="E46" i="8" s="1"/>
  <c r="F46" i="8" s="1"/>
  <c r="C48" i="8"/>
  <c r="E48" i="8" s="1"/>
  <c r="F48" i="8" s="1"/>
  <c r="C50" i="8"/>
  <c r="C52" i="8"/>
  <c r="E52" i="8" s="1"/>
  <c r="F52" i="8" s="1"/>
  <c r="C54" i="8"/>
  <c r="E54" i="8" s="1"/>
  <c r="F54" i="8" s="1"/>
  <c r="C56" i="8"/>
  <c r="E56" i="8" s="1"/>
  <c r="F56" i="8" s="1"/>
  <c r="C58" i="8"/>
  <c r="C60" i="8"/>
  <c r="E60" i="8" s="1"/>
  <c r="F60" i="8" s="1"/>
  <c r="C62" i="8"/>
  <c r="E62" i="8" s="1"/>
  <c r="F62" i="8" s="1"/>
  <c r="C64" i="8"/>
  <c r="E64" i="8" s="1"/>
  <c r="F64" i="8" s="1"/>
  <c r="C66" i="8"/>
  <c r="C68" i="8"/>
  <c r="E68" i="8" s="1"/>
  <c r="F68" i="8" s="1"/>
  <c r="C70" i="8"/>
  <c r="E70" i="8" s="1"/>
  <c r="F70" i="8" s="1"/>
  <c r="C72" i="8"/>
  <c r="E72" i="8" s="1"/>
  <c r="F72" i="8" s="1"/>
  <c r="C74" i="8"/>
  <c r="E74" i="8" s="1"/>
  <c r="F74" i="8" s="1"/>
  <c r="C76" i="8"/>
  <c r="E76" i="8" s="1"/>
  <c r="F76" i="8" s="1"/>
  <c r="C78" i="8"/>
  <c r="E78" i="8" s="1"/>
  <c r="F78" i="8" s="1"/>
  <c r="C80" i="8"/>
  <c r="E80" i="8" s="1"/>
  <c r="F80" i="8" s="1"/>
  <c r="C82" i="8"/>
  <c r="C84" i="8"/>
  <c r="E84" i="8" s="1"/>
  <c r="F84" i="8" s="1"/>
  <c r="C86" i="8"/>
  <c r="E86" i="8" s="1"/>
  <c r="F86" i="8" s="1"/>
  <c r="C88" i="8"/>
  <c r="E88" i="8" s="1"/>
  <c r="F88" i="8" s="1"/>
  <c r="C90" i="8"/>
  <c r="E90" i="8" s="1"/>
  <c r="F90" i="8" s="1"/>
  <c r="C92" i="8"/>
  <c r="E92" i="8" s="1"/>
  <c r="F92" i="8" s="1"/>
  <c r="C94" i="8"/>
  <c r="E94" i="8" s="1"/>
  <c r="F94" i="8" s="1"/>
  <c r="C96" i="8"/>
  <c r="E96" i="8" s="1"/>
  <c r="F96" i="8" s="1"/>
  <c r="C98" i="8"/>
  <c r="E98" i="8" s="1"/>
  <c r="F98" i="8" s="1"/>
  <c r="C100" i="8"/>
  <c r="E100" i="8" s="1"/>
  <c r="F100" i="8" s="1"/>
  <c r="C102" i="8"/>
  <c r="E102" i="8" s="1"/>
  <c r="F102" i="8" s="1"/>
  <c r="C104" i="8"/>
  <c r="C106" i="8"/>
  <c r="E106" i="8" s="1"/>
  <c r="F106" i="8" s="1"/>
  <c r="C108" i="8"/>
  <c r="E108" i="8" s="1"/>
  <c r="F108" i="8" s="1"/>
  <c r="C110" i="8"/>
  <c r="E110" i="8" s="1"/>
  <c r="F110" i="8" s="1"/>
  <c r="C112" i="8"/>
  <c r="C114" i="8"/>
  <c r="E114" i="8" s="1"/>
  <c r="F114" i="8" s="1"/>
  <c r="C116" i="8"/>
  <c r="E116" i="8" s="1"/>
  <c r="F116" i="8" s="1"/>
  <c r="C118" i="8"/>
  <c r="E118" i="8" s="1"/>
  <c r="F118" i="8" s="1"/>
  <c r="C120" i="8"/>
  <c r="C122" i="8"/>
  <c r="E122" i="8" s="1"/>
  <c r="F122" i="8" s="1"/>
  <c r="C124" i="8"/>
  <c r="E124" i="8" s="1"/>
  <c r="F124" i="8" s="1"/>
  <c r="C126" i="8"/>
  <c r="E126" i="8" s="1"/>
  <c r="F126" i="8" s="1"/>
  <c r="C128" i="8"/>
  <c r="C130" i="8"/>
  <c r="E130" i="8" s="1"/>
  <c r="F130" i="8" s="1"/>
  <c r="C132" i="8"/>
  <c r="E132" i="8" s="1"/>
  <c r="F132" i="8" s="1"/>
  <c r="C134" i="8"/>
  <c r="E134" i="8" s="1"/>
  <c r="F134" i="8" s="1"/>
  <c r="C136" i="8"/>
  <c r="C138" i="8"/>
  <c r="E138" i="8" s="1"/>
  <c r="F138" i="8" s="1"/>
  <c r="C140" i="8"/>
  <c r="E140" i="8" s="1"/>
  <c r="F140" i="8" s="1"/>
  <c r="C142" i="8"/>
  <c r="C144" i="8"/>
  <c r="E144" i="8" s="1"/>
  <c r="F144" i="8" s="1"/>
  <c r="C146" i="8"/>
  <c r="E146" i="8" s="1"/>
  <c r="F146" i="8" s="1"/>
  <c r="C148" i="8"/>
  <c r="E148" i="8" s="1"/>
  <c r="F148" i="8" s="1"/>
  <c r="C150" i="8"/>
  <c r="C152" i="8"/>
  <c r="E152" i="8" s="1"/>
  <c r="F152" i="8" s="1"/>
  <c r="C154" i="8"/>
  <c r="E154" i="8" s="1"/>
  <c r="F154" i="8" s="1"/>
  <c r="C156" i="8"/>
  <c r="E156" i="8" s="1"/>
  <c r="F156" i="8" s="1"/>
  <c r="C158" i="8"/>
  <c r="E158" i="8" s="1"/>
  <c r="F158" i="8" s="1"/>
  <c r="C160" i="8"/>
  <c r="E160" i="8" s="1"/>
  <c r="F160" i="8" s="1"/>
  <c r="C162" i="8"/>
  <c r="E162" i="8" s="1"/>
  <c r="F162" i="8" s="1"/>
  <c r="C164" i="8"/>
  <c r="E164" i="8" s="1"/>
  <c r="F164" i="8" s="1"/>
  <c r="C166" i="8"/>
  <c r="E166" i="8" s="1"/>
  <c r="F166" i="8" s="1"/>
  <c r="C168" i="8"/>
  <c r="E168" i="8" s="1"/>
  <c r="F168" i="8" s="1"/>
  <c r="C170" i="8"/>
  <c r="E170" i="8" s="1"/>
  <c r="F170" i="8" s="1"/>
  <c r="C172" i="8"/>
  <c r="E172" i="8" s="1"/>
  <c r="F172" i="8" s="1"/>
  <c r="C174" i="8"/>
  <c r="E174" i="8" s="1"/>
  <c r="F174" i="8" s="1"/>
  <c r="C176" i="8"/>
  <c r="E176" i="8" s="1"/>
  <c r="F176" i="8" s="1"/>
  <c r="C178" i="8"/>
  <c r="E178" i="8" s="1"/>
  <c r="F178" i="8" s="1"/>
  <c r="C180" i="8"/>
  <c r="E180" i="8" s="1"/>
  <c r="F180" i="8" s="1"/>
  <c r="C182" i="8"/>
  <c r="E182" i="8" s="1"/>
  <c r="F182" i="8" s="1"/>
  <c r="C184" i="8"/>
  <c r="E184" i="8" s="1"/>
  <c r="F184" i="8" s="1"/>
  <c r="C186" i="8"/>
  <c r="E186" i="8" s="1"/>
  <c r="F186" i="8" s="1"/>
  <c r="C188" i="8"/>
  <c r="E188" i="8" s="1"/>
  <c r="F188" i="8" s="1"/>
  <c r="C190" i="8"/>
  <c r="E190" i="8" s="1"/>
  <c r="F190" i="8" s="1"/>
  <c r="C192" i="8"/>
  <c r="E192" i="8" s="1"/>
  <c r="F192" i="8" s="1"/>
  <c r="C194" i="8"/>
  <c r="E194" i="8" s="1"/>
  <c r="F194" i="8" s="1"/>
  <c r="C196" i="8"/>
  <c r="E196" i="8" s="1"/>
  <c r="F196" i="8" s="1"/>
  <c r="C198" i="8"/>
  <c r="E198" i="8" s="1"/>
  <c r="F198" i="8" s="1"/>
  <c r="C200" i="8"/>
  <c r="E200" i="8" s="1"/>
  <c r="F200" i="8" s="1"/>
  <c r="C202" i="8"/>
  <c r="E202" i="8" s="1"/>
  <c r="F202" i="8" s="1"/>
  <c r="C204" i="8"/>
  <c r="E204" i="8" s="1"/>
  <c r="F204" i="8" s="1"/>
  <c r="C206" i="8"/>
  <c r="E206" i="8" s="1"/>
  <c r="F206" i="8" s="1"/>
  <c r="C208" i="8"/>
  <c r="E208" i="8" s="1"/>
  <c r="F208" i="8" s="1"/>
  <c r="C210" i="8"/>
  <c r="E210" i="8" s="1"/>
  <c r="F210" i="8" s="1"/>
  <c r="C212" i="8"/>
  <c r="E212" i="8" s="1"/>
  <c r="F212" i="8" s="1"/>
  <c r="C214" i="8"/>
  <c r="E214" i="8" s="1"/>
  <c r="F214" i="8" s="1"/>
  <c r="C216" i="8"/>
  <c r="E216" i="8" s="1"/>
  <c r="F216" i="8" s="1"/>
  <c r="C218" i="8"/>
  <c r="E218" i="8" s="1"/>
  <c r="F218" i="8" s="1"/>
  <c r="C220" i="8"/>
  <c r="E220" i="8" s="1"/>
  <c r="F220" i="8" s="1"/>
  <c r="C222" i="8"/>
  <c r="E222" i="8" s="1"/>
  <c r="F222" i="8" s="1"/>
  <c r="C224" i="8"/>
  <c r="E224" i="8" s="1"/>
  <c r="F224" i="8" s="1"/>
  <c r="C226" i="8"/>
  <c r="E226" i="8" s="1"/>
  <c r="F226" i="8" s="1"/>
  <c r="C228" i="8"/>
  <c r="E228" i="8" s="1"/>
  <c r="F228" i="8" s="1"/>
  <c r="C230" i="8"/>
  <c r="E230" i="8" s="1"/>
  <c r="F230" i="8" s="1"/>
  <c r="C232" i="8"/>
  <c r="E232" i="8" s="1"/>
  <c r="F232" i="8" s="1"/>
  <c r="C234" i="8"/>
  <c r="E234" i="8" s="1"/>
  <c r="F234" i="8" s="1"/>
  <c r="C236" i="8"/>
  <c r="E236" i="8" s="1"/>
  <c r="F236" i="8" s="1"/>
  <c r="C238" i="8"/>
  <c r="E238" i="8" s="1"/>
  <c r="F238" i="8" s="1"/>
  <c r="C240" i="8"/>
  <c r="E240" i="8" s="1"/>
  <c r="F240" i="8" s="1"/>
  <c r="C242" i="8"/>
  <c r="E242" i="8" s="1"/>
  <c r="F242" i="8" s="1"/>
  <c r="C244" i="8"/>
  <c r="E244" i="8" s="1"/>
  <c r="F244" i="8" s="1"/>
  <c r="C246" i="8"/>
  <c r="E246" i="8" s="1"/>
  <c r="F246" i="8" s="1"/>
  <c r="C248" i="8"/>
  <c r="E248" i="8" s="1"/>
  <c r="F248" i="8" s="1"/>
  <c r="C250" i="8"/>
  <c r="E250" i="8" s="1"/>
  <c r="F250" i="8" s="1"/>
  <c r="C252" i="8"/>
  <c r="E252" i="8" s="1"/>
  <c r="F252" i="8" s="1"/>
  <c r="C254" i="8"/>
  <c r="E254" i="8" s="1"/>
  <c r="F254" i="8" s="1"/>
  <c r="C256" i="8"/>
  <c r="E256" i="8" s="1"/>
  <c r="F256" i="8" s="1"/>
  <c r="C258" i="8"/>
  <c r="E258" i="8" s="1"/>
  <c r="F258" i="8" s="1"/>
  <c r="C260" i="8"/>
  <c r="E260" i="8" s="1"/>
  <c r="F260" i="8" s="1"/>
  <c r="C262" i="8"/>
  <c r="E262" i="8" s="1"/>
  <c r="F262" i="8" s="1"/>
  <c r="C264" i="8"/>
  <c r="E264" i="8" s="1"/>
  <c r="F264" i="8" s="1"/>
  <c r="C266" i="8"/>
  <c r="E266" i="8" s="1"/>
  <c r="F266" i="8" s="1"/>
  <c r="C268" i="8"/>
  <c r="E268" i="8" s="1"/>
  <c r="F268" i="8" s="1"/>
  <c r="C270" i="8"/>
  <c r="E270" i="8" s="1"/>
  <c r="F270" i="8" s="1"/>
  <c r="C272" i="8"/>
  <c r="E272" i="8" s="1"/>
  <c r="F272" i="8" s="1"/>
  <c r="C274" i="8"/>
  <c r="E274" i="8" s="1"/>
  <c r="F274" i="8" s="1"/>
  <c r="C276" i="8"/>
  <c r="E276" i="8" s="1"/>
  <c r="F276" i="8" s="1"/>
  <c r="C278" i="8"/>
  <c r="E278" i="8" s="1"/>
  <c r="F278" i="8" s="1"/>
  <c r="C280" i="8"/>
  <c r="E280" i="8" s="1"/>
  <c r="F280" i="8" s="1"/>
  <c r="C282" i="8"/>
  <c r="E282" i="8" s="1"/>
  <c r="F282" i="8" s="1"/>
  <c r="C284" i="8"/>
  <c r="E284" i="8" s="1"/>
  <c r="F284" i="8" s="1"/>
  <c r="C286" i="8"/>
  <c r="E286" i="8" s="1"/>
  <c r="F286" i="8" s="1"/>
  <c r="C288" i="8"/>
  <c r="E288" i="8" s="1"/>
  <c r="F288" i="8" s="1"/>
  <c r="C290" i="8"/>
  <c r="E290" i="8" s="1"/>
  <c r="F290" i="8" s="1"/>
  <c r="C292" i="8"/>
  <c r="E292" i="8" s="1"/>
  <c r="F292" i="8" s="1"/>
  <c r="C294" i="8"/>
  <c r="E294" i="8" s="1"/>
  <c r="F294" i="8" s="1"/>
  <c r="C296" i="8"/>
  <c r="E296" i="8" s="1"/>
  <c r="F296" i="8" s="1"/>
  <c r="C298" i="8"/>
  <c r="E298" i="8" s="1"/>
  <c r="F298" i="8" s="1"/>
  <c r="C300" i="8"/>
  <c r="E300" i="8" s="1"/>
  <c r="F300" i="8" s="1"/>
  <c r="C302" i="8"/>
  <c r="E302" i="8" s="1"/>
  <c r="F302" i="8" s="1"/>
  <c r="C304" i="8"/>
  <c r="E304" i="8" s="1"/>
  <c r="F304" i="8" s="1"/>
  <c r="C306" i="8"/>
  <c r="E306" i="8" s="1"/>
  <c r="F306" i="8" s="1"/>
  <c r="C308" i="8"/>
  <c r="E308" i="8" s="1"/>
  <c r="F308" i="8" s="1"/>
  <c r="C310" i="8"/>
  <c r="E310" i="8" s="1"/>
  <c r="F310" i="8" s="1"/>
  <c r="C312" i="8"/>
  <c r="E312" i="8" s="1"/>
  <c r="F312" i="8" s="1"/>
  <c r="C314" i="8"/>
  <c r="E314" i="8" s="1"/>
  <c r="F314" i="8" s="1"/>
  <c r="C316" i="8"/>
  <c r="E316" i="8" s="1"/>
  <c r="F316" i="8" s="1"/>
  <c r="C318" i="8"/>
  <c r="E318" i="8" s="1"/>
  <c r="F318" i="8" s="1"/>
  <c r="G91" i="3"/>
  <c r="G319" i="3"/>
  <c r="E8" i="8"/>
  <c r="F8" i="8" s="1"/>
  <c r="E16" i="8"/>
  <c r="F16" i="8" s="1"/>
  <c r="E34" i="8"/>
  <c r="F34" i="8" s="1"/>
  <c r="E42" i="8"/>
  <c r="F42" i="8" s="1"/>
  <c r="E50" i="8"/>
  <c r="F50" i="8" s="1"/>
  <c r="E58" i="8"/>
  <c r="F58" i="8" s="1"/>
  <c r="E66" i="8"/>
  <c r="F66" i="8" s="1"/>
  <c r="E82" i="8"/>
  <c r="F82" i="8" s="1"/>
  <c r="E104" i="8"/>
  <c r="F104" i="8" s="1"/>
  <c r="E112" i="8"/>
  <c r="F112" i="8" s="1"/>
  <c r="E120" i="8"/>
  <c r="F120" i="8" s="1"/>
  <c r="E128" i="8"/>
  <c r="F128" i="8" s="1"/>
  <c r="E136" i="8"/>
  <c r="F136" i="8" s="1"/>
  <c r="E142" i="8"/>
  <c r="F142" i="8" s="1"/>
  <c r="E150" i="8"/>
  <c r="F150" i="8" s="1"/>
  <c r="G2" i="3"/>
  <c r="G12" i="3"/>
  <c r="G56" i="3"/>
  <c r="G68" i="3"/>
  <c r="G76" i="3"/>
  <c r="G124" i="3"/>
  <c r="G132" i="3"/>
  <c r="G140" i="3"/>
  <c r="G188" i="3"/>
  <c r="G220" i="3"/>
  <c r="G296" i="3"/>
  <c r="G4" i="12"/>
  <c r="G7" i="12"/>
  <c r="G10" i="12"/>
  <c r="G1502" i="12"/>
  <c r="G9" i="12"/>
  <c r="G2" i="12"/>
  <c r="G5" i="12"/>
  <c r="G502" i="12"/>
  <c r="G1002" i="12"/>
  <c r="F61" i="8" l="1"/>
  <c r="F59" i="8"/>
  <c r="C5" i="1"/>
  <c r="F2" i="8"/>
  <c r="B147" i="11"/>
  <c r="D147" i="11" s="1"/>
  <c r="B143" i="11"/>
  <c r="D143" i="11" s="1"/>
  <c r="B139" i="11"/>
  <c r="D139" i="11" s="1"/>
  <c r="B135" i="11"/>
  <c r="D135" i="11" s="1"/>
  <c r="B149" i="11"/>
  <c r="D149" i="11" s="1"/>
  <c r="B145" i="11"/>
  <c r="D145" i="11" s="1"/>
  <c r="B141" i="11"/>
  <c r="D141" i="11" s="1"/>
  <c r="B137" i="11"/>
  <c r="D137" i="11" s="1"/>
  <c r="B133" i="11"/>
  <c r="D133" i="11" s="1"/>
  <c r="B129" i="11"/>
  <c r="D129" i="11" s="1"/>
  <c r="B130" i="11"/>
  <c r="D130" i="11" s="1"/>
  <c r="B127" i="11"/>
  <c r="D127" i="11" s="1"/>
  <c r="B123" i="11"/>
  <c r="D123" i="11" s="1"/>
  <c r="B119" i="11"/>
  <c r="D119" i="11" s="1"/>
  <c r="B115" i="11"/>
  <c r="D115" i="11" s="1"/>
  <c r="B111" i="11"/>
  <c r="D111" i="11" s="1"/>
  <c r="B107" i="11"/>
  <c r="D107" i="11" s="1"/>
  <c r="B103" i="11"/>
  <c r="D103" i="11" s="1"/>
  <c r="B99" i="11"/>
  <c r="D99" i="11" s="1"/>
  <c r="B95" i="11"/>
  <c r="D95" i="11" s="1"/>
  <c r="B91" i="11"/>
  <c r="D91" i="11" s="1"/>
  <c r="B87" i="11"/>
  <c r="D87" i="11" s="1"/>
  <c r="B83" i="11"/>
  <c r="D83" i="11" s="1"/>
  <c r="B128" i="11"/>
  <c r="D128" i="11" s="1"/>
  <c r="B150" i="11"/>
  <c r="D150" i="11" s="1"/>
  <c r="B148" i="11"/>
  <c r="D148" i="11" s="1"/>
  <c r="B146" i="11"/>
  <c r="D146" i="11" s="1"/>
  <c r="B144" i="11"/>
  <c r="D144" i="11" s="1"/>
  <c r="B142" i="11"/>
  <c r="D142" i="11" s="1"/>
  <c r="B140" i="11"/>
  <c r="D140" i="11" s="1"/>
  <c r="B138" i="11"/>
  <c r="D138" i="11" s="1"/>
  <c r="B136" i="11"/>
  <c r="D136" i="11" s="1"/>
  <c r="B134" i="11"/>
  <c r="D134" i="11" s="1"/>
  <c r="B131" i="11"/>
  <c r="D131" i="11" s="1"/>
  <c r="B125" i="11"/>
  <c r="D125" i="11" s="1"/>
  <c r="B121" i="11"/>
  <c r="D121" i="11" s="1"/>
  <c r="B117" i="11"/>
  <c r="D117" i="11" s="1"/>
  <c r="B113" i="11"/>
  <c r="D113" i="11" s="1"/>
  <c r="B109" i="11"/>
  <c r="D109" i="11" s="1"/>
  <c r="B105" i="11"/>
  <c r="D105" i="11" s="1"/>
  <c r="B101" i="11"/>
  <c r="D101" i="11" s="1"/>
  <c r="B97" i="11"/>
  <c r="D97" i="11" s="1"/>
  <c r="B93" i="11"/>
  <c r="D93" i="11" s="1"/>
  <c r="B89" i="11"/>
  <c r="D89" i="11" s="1"/>
  <c r="B85" i="11"/>
  <c r="D85" i="11" s="1"/>
  <c r="B81" i="11"/>
  <c r="D81" i="11" s="1"/>
  <c r="B132" i="11"/>
  <c r="D132" i="11" s="1"/>
  <c r="B126" i="11"/>
  <c r="D126" i="11" s="1"/>
  <c r="B122" i="11"/>
  <c r="D122" i="11" s="1"/>
  <c r="B118" i="11"/>
  <c r="D118" i="11" s="1"/>
  <c r="B114" i="11"/>
  <c r="D114" i="11" s="1"/>
  <c r="B110" i="11"/>
  <c r="D110" i="11" s="1"/>
  <c r="B106" i="11"/>
  <c r="D106" i="11" s="1"/>
  <c r="B102" i="11"/>
  <c r="D102" i="11" s="1"/>
  <c r="B98" i="11"/>
  <c r="D98" i="11" s="1"/>
  <c r="B94" i="11"/>
  <c r="D94" i="11" s="1"/>
  <c r="B90" i="11"/>
  <c r="D90" i="11" s="1"/>
  <c r="B77" i="11"/>
  <c r="D77" i="11" s="1"/>
  <c r="B73" i="11"/>
  <c r="D73" i="11" s="1"/>
  <c r="B69" i="11"/>
  <c r="D69" i="11" s="1"/>
  <c r="B65" i="11"/>
  <c r="D65" i="11" s="1"/>
  <c r="B61" i="11"/>
  <c r="D61" i="11" s="1"/>
  <c r="B57" i="11"/>
  <c r="D57" i="11" s="1"/>
  <c r="B53" i="11"/>
  <c r="D53" i="11" s="1"/>
  <c r="B49" i="11"/>
  <c r="D49" i="11" s="1"/>
  <c r="B45" i="11"/>
  <c r="D45" i="11" s="1"/>
  <c r="B41" i="11"/>
  <c r="D41" i="11" s="1"/>
  <c r="B37" i="11"/>
  <c r="D37" i="11" s="1"/>
  <c r="B33" i="11"/>
  <c r="D33" i="11" s="1"/>
  <c r="B29" i="11"/>
  <c r="D29" i="11" s="1"/>
  <c r="B25" i="11"/>
  <c r="D25" i="11" s="1"/>
  <c r="B21" i="11"/>
  <c r="D21" i="11" s="1"/>
  <c r="B17" i="11"/>
  <c r="D17" i="11" s="1"/>
  <c r="B13" i="11"/>
  <c r="D13" i="11" s="1"/>
  <c r="B9" i="11"/>
  <c r="D9" i="11" s="1"/>
  <c r="B5" i="11"/>
  <c r="D5" i="11" s="1"/>
  <c r="B124" i="11"/>
  <c r="D124" i="11" s="1"/>
  <c r="B120" i="11"/>
  <c r="D120" i="11" s="1"/>
  <c r="B112" i="11"/>
  <c r="D112" i="11" s="1"/>
  <c r="B104" i="11"/>
  <c r="D104" i="11" s="1"/>
  <c r="B96" i="11"/>
  <c r="D96" i="11" s="1"/>
  <c r="B88" i="11"/>
  <c r="D88" i="11" s="1"/>
  <c r="B86" i="11"/>
  <c r="D86" i="11" s="1"/>
  <c r="B84" i="11"/>
  <c r="D84" i="11" s="1"/>
  <c r="B82" i="11"/>
  <c r="D82" i="11" s="1"/>
  <c r="B80" i="11"/>
  <c r="D80" i="11" s="1"/>
  <c r="B72" i="11"/>
  <c r="D72" i="11" s="1"/>
  <c r="B64" i="11"/>
  <c r="D64" i="11" s="1"/>
  <c r="B78" i="11"/>
  <c r="D78" i="11" s="1"/>
  <c r="B75" i="11"/>
  <c r="D75" i="11" s="1"/>
  <c r="B70" i="11"/>
  <c r="D70" i="11" s="1"/>
  <c r="B67" i="11"/>
  <c r="D67" i="11" s="1"/>
  <c r="B62" i="11"/>
  <c r="D62" i="11" s="1"/>
  <c r="B59" i="11"/>
  <c r="D59" i="11" s="1"/>
  <c r="B54" i="11"/>
  <c r="D54" i="11" s="1"/>
  <c r="B51" i="11"/>
  <c r="D51" i="11" s="1"/>
  <c r="B46" i="11"/>
  <c r="D46" i="11" s="1"/>
  <c r="B43" i="11"/>
  <c r="D43" i="11" s="1"/>
  <c r="B38" i="11"/>
  <c r="D38" i="11" s="1"/>
  <c r="B35" i="11"/>
  <c r="D35" i="11" s="1"/>
  <c r="B30" i="11"/>
  <c r="D30" i="11" s="1"/>
  <c r="B27" i="11"/>
  <c r="D27" i="11" s="1"/>
  <c r="B22" i="11"/>
  <c r="D22" i="11" s="1"/>
  <c r="B19" i="11"/>
  <c r="D19" i="11" s="1"/>
  <c r="B14" i="11"/>
  <c r="D14" i="11" s="1"/>
  <c r="B11" i="11"/>
  <c r="D11" i="11" s="1"/>
  <c r="B6" i="11"/>
  <c r="D6" i="11" s="1"/>
  <c r="B3" i="11"/>
  <c r="D3" i="11" s="1"/>
  <c r="B116" i="11"/>
  <c r="D116" i="11" s="1"/>
  <c r="B108" i="11"/>
  <c r="D108" i="11" s="1"/>
  <c r="B100" i="11"/>
  <c r="D100" i="11" s="1"/>
  <c r="B92" i="11"/>
  <c r="D92" i="11" s="1"/>
  <c r="B76" i="11"/>
  <c r="D76" i="11" s="1"/>
  <c r="B68" i="11"/>
  <c r="D68" i="11" s="1"/>
  <c r="B60" i="11"/>
  <c r="D60" i="11" s="1"/>
  <c r="B52" i="11"/>
  <c r="D52" i="11" s="1"/>
  <c r="B44" i="11"/>
  <c r="D44" i="11" s="1"/>
  <c r="B36" i="11"/>
  <c r="D36" i="11" s="1"/>
  <c r="B79" i="11"/>
  <c r="D79" i="11" s="1"/>
  <c r="B74" i="11"/>
  <c r="D74" i="11" s="1"/>
  <c r="B71" i="11"/>
  <c r="D71" i="11" s="1"/>
  <c r="B66" i="11"/>
  <c r="D66" i="11" s="1"/>
  <c r="B63" i="11"/>
  <c r="D63" i="11" s="1"/>
  <c r="B58" i="11"/>
  <c r="D58" i="11" s="1"/>
  <c r="B55" i="11"/>
  <c r="D55" i="11" s="1"/>
  <c r="B50" i="11"/>
  <c r="D50" i="11" s="1"/>
  <c r="B47" i="11"/>
  <c r="D47" i="11" s="1"/>
  <c r="B42" i="11"/>
  <c r="D42" i="11" s="1"/>
  <c r="B39" i="11"/>
  <c r="D39" i="11" s="1"/>
  <c r="B34" i="11"/>
  <c r="D34" i="11" s="1"/>
  <c r="B31" i="11"/>
  <c r="D31" i="11" s="1"/>
  <c r="B26" i="11"/>
  <c r="D26" i="11" s="1"/>
  <c r="B56" i="11"/>
  <c r="D56" i="11" s="1"/>
  <c r="B48" i="11"/>
  <c r="D48" i="11" s="1"/>
  <c r="B40" i="11"/>
  <c r="D40" i="11" s="1"/>
  <c r="B32" i="11"/>
  <c r="D32" i="11" s="1"/>
  <c r="B24" i="11"/>
  <c r="D24" i="11" s="1"/>
  <c r="B15" i="11"/>
  <c r="D15" i="11" s="1"/>
  <c r="B23" i="11"/>
  <c r="D23" i="11" s="1"/>
  <c r="B10" i="11"/>
  <c r="D10" i="11" s="1"/>
  <c r="B8" i="11"/>
  <c r="D8" i="11" s="1"/>
  <c r="B20" i="11"/>
  <c r="D20" i="11" s="1"/>
  <c r="B18" i="11"/>
  <c r="D18" i="11" s="1"/>
  <c r="B16" i="11"/>
  <c r="D16" i="11" s="1"/>
  <c r="B12" i="11"/>
  <c r="D12" i="11" s="1"/>
  <c r="B28" i="11"/>
  <c r="D28" i="11" s="1"/>
  <c r="B4" i="11"/>
  <c r="D4" i="11" s="1"/>
  <c r="B2" i="11"/>
  <c r="B7" i="11"/>
  <c r="D7" i="11" s="1"/>
  <c r="A2001" i="9"/>
  <c r="C2000" i="9"/>
  <c r="A1999" i="9"/>
  <c r="C1998" i="9"/>
  <c r="A1997" i="9"/>
  <c r="C1996" i="9"/>
  <c r="A1995" i="9"/>
  <c r="C1994" i="9"/>
  <c r="A1993" i="9"/>
  <c r="C1992" i="9"/>
  <c r="A1991" i="9"/>
  <c r="C1990" i="9"/>
  <c r="A1989" i="9"/>
  <c r="C1988" i="9"/>
  <c r="A1987" i="9"/>
  <c r="C1986" i="9"/>
  <c r="A1985" i="9"/>
  <c r="C1984" i="9"/>
  <c r="A1983" i="9"/>
  <c r="C1982" i="9"/>
  <c r="A1981" i="9"/>
  <c r="C1980" i="9"/>
  <c r="A1979" i="9"/>
  <c r="C1978" i="9"/>
  <c r="A1977" i="9"/>
  <c r="C1976" i="9"/>
  <c r="A1975" i="9"/>
  <c r="C1974" i="9"/>
  <c r="A1973" i="9"/>
  <c r="C1972" i="9"/>
  <c r="A1971" i="9"/>
  <c r="C1970" i="9"/>
  <c r="A1969" i="9"/>
  <c r="C1968" i="9"/>
  <c r="A1967" i="9"/>
  <c r="C1966" i="9"/>
  <c r="A1965" i="9"/>
  <c r="C1964" i="9"/>
  <c r="A1963" i="9"/>
  <c r="C1962" i="9"/>
  <c r="A1961" i="9"/>
  <c r="C1960" i="9"/>
  <c r="A1959" i="9"/>
  <c r="C1958" i="9"/>
  <c r="A1957" i="9"/>
  <c r="C1956" i="9"/>
  <c r="A1955" i="9"/>
  <c r="C1954" i="9"/>
  <c r="A1953" i="9"/>
  <c r="C1952" i="9"/>
  <c r="A1951" i="9"/>
  <c r="C1950" i="9"/>
  <c r="A1949" i="9"/>
  <c r="C1948" i="9"/>
  <c r="A1947" i="9"/>
  <c r="C1946" i="9"/>
  <c r="A1945" i="9"/>
  <c r="C1944" i="9"/>
  <c r="A1943" i="9"/>
  <c r="C1942" i="9"/>
  <c r="A1941" i="9"/>
  <c r="C1940" i="9"/>
  <c r="A1939" i="9"/>
  <c r="C1938" i="9"/>
  <c r="A1937" i="9"/>
  <c r="C1936" i="9"/>
  <c r="A1935" i="9"/>
  <c r="C1934" i="9"/>
  <c r="A1933" i="9"/>
  <c r="C1932" i="9"/>
  <c r="A1931" i="9"/>
  <c r="C1930" i="9"/>
  <c r="A1929" i="9"/>
  <c r="C1928" i="9"/>
  <c r="A1927" i="9"/>
  <c r="C1926" i="9"/>
  <c r="A1925" i="9"/>
  <c r="C1924" i="9"/>
  <c r="A1923" i="9"/>
  <c r="C1922" i="9"/>
  <c r="A1921" i="9"/>
  <c r="C1920" i="9"/>
  <c r="A1919" i="9"/>
  <c r="C1918" i="9"/>
  <c r="A1917" i="9"/>
  <c r="C1916" i="9"/>
  <c r="A1915" i="9"/>
  <c r="C1914" i="9"/>
  <c r="A1913" i="9"/>
  <c r="C1912" i="9"/>
  <c r="A1911" i="9"/>
  <c r="C1910" i="9"/>
  <c r="A1909" i="9"/>
  <c r="C1908" i="9"/>
  <c r="A1907" i="9"/>
  <c r="C1906" i="9"/>
  <c r="A1905" i="9"/>
  <c r="C1904" i="9"/>
  <c r="A1903" i="9"/>
  <c r="C1902" i="9"/>
  <c r="A1901" i="9"/>
  <c r="C1900" i="9"/>
  <c r="A1899" i="9"/>
  <c r="C1898" i="9"/>
  <c r="A1897" i="9"/>
  <c r="C1896" i="9"/>
  <c r="A1895" i="9"/>
  <c r="C1894" i="9"/>
  <c r="A1893" i="9"/>
  <c r="C1892" i="9"/>
  <c r="A1891" i="9"/>
  <c r="C1890" i="9"/>
  <c r="A1889" i="9"/>
  <c r="C1888" i="9"/>
  <c r="A1887" i="9"/>
  <c r="C1886" i="9"/>
  <c r="A1885" i="9"/>
  <c r="C1884" i="9"/>
  <c r="A1883" i="9"/>
  <c r="C1882" i="9"/>
  <c r="A1881" i="9"/>
  <c r="C1880" i="9"/>
  <c r="A1879" i="9"/>
  <c r="C1878" i="9"/>
  <c r="A1877" i="9"/>
  <c r="C1876" i="9"/>
  <c r="A1875" i="9"/>
  <c r="C1874" i="9"/>
  <c r="A1873" i="9"/>
  <c r="C1872" i="9"/>
  <c r="A1871" i="9"/>
  <c r="C1870" i="9"/>
  <c r="A1869" i="9"/>
  <c r="C1868" i="9"/>
  <c r="A1867" i="9"/>
  <c r="C1866" i="9"/>
  <c r="A1865" i="9"/>
  <c r="C1864" i="9"/>
  <c r="A1863" i="9"/>
  <c r="C1862" i="9"/>
  <c r="A1861" i="9"/>
  <c r="C1860" i="9"/>
  <c r="A1859" i="9"/>
  <c r="C1858" i="9"/>
  <c r="A1857" i="9"/>
  <c r="C1856" i="9"/>
  <c r="A1855" i="9"/>
  <c r="C1854" i="9"/>
  <c r="A1853" i="9"/>
  <c r="C1852" i="9"/>
  <c r="A1851" i="9"/>
  <c r="C1850" i="9"/>
  <c r="D2001" i="9"/>
  <c r="F1999" i="9"/>
  <c r="F1998" i="9"/>
  <c r="A1998" i="9"/>
  <c r="B1997" i="9"/>
  <c r="E1997" i="9" s="1"/>
  <c r="B1996" i="9"/>
  <c r="E1996" i="9" s="1"/>
  <c r="C1995" i="9"/>
  <c r="D1994" i="9"/>
  <c r="D1993" i="9"/>
  <c r="F1991" i="9"/>
  <c r="F1990" i="9"/>
  <c r="A1990" i="9"/>
  <c r="B1989" i="9"/>
  <c r="E1989" i="9" s="1"/>
  <c r="B1988" i="9"/>
  <c r="E1988" i="9" s="1"/>
  <c r="C1987" i="9"/>
  <c r="D1986" i="9"/>
  <c r="D1985" i="9"/>
  <c r="F1983" i="9"/>
  <c r="F1982" i="9"/>
  <c r="A1982" i="9"/>
  <c r="B1981" i="9"/>
  <c r="E1981" i="9" s="1"/>
  <c r="B1980" i="9"/>
  <c r="E1980" i="9" s="1"/>
  <c r="C1979" i="9"/>
  <c r="D1978" i="9"/>
  <c r="D1977" i="9"/>
  <c r="F1975" i="9"/>
  <c r="F1974" i="9"/>
  <c r="A1974" i="9"/>
  <c r="B1973" i="9"/>
  <c r="E1973" i="9" s="1"/>
  <c r="B1972" i="9"/>
  <c r="E1972" i="9" s="1"/>
  <c r="C1971" i="9"/>
  <c r="D1970" i="9"/>
  <c r="D1969" i="9"/>
  <c r="F1967" i="9"/>
  <c r="F1966" i="9"/>
  <c r="A1966" i="9"/>
  <c r="B1965" i="9"/>
  <c r="E1965" i="9" s="1"/>
  <c r="B1964" i="9"/>
  <c r="E1964" i="9" s="1"/>
  <c r="C1963" i="9"/>
  <c r="D1962" i="9"/>
  <c r="D1961" i="9"/>
  <c r="F1959" i="9"/>
  <c r="F1958" i="9"/>
  <c r="A1958" i="9"/>
  <c r="B1957" i="9"/>
  <c r="E1957" i="9" s="1"/>
  <c r="B1956" i="9"/>
  <c r="E1956" i="9" s="1"/>
  <c r="C1955" i="9"/>
  <c r="D1954" i="9"/>
  <c r="D1953" i="9"/>
  <c r="F1951" i="9"/>
  <c r="F1950" i="9"/>
  <c r="A1950" i="9"/>
  <c r="B1949" i="9"/>
  <c r="E1949" i="9" s="1"/>
  <c r="B1948" i="9"/>
  <c r="E1948" i="9" s="1"/>
  <c r="C1947" i="9"/>
  <c r="D1946" i="9"/>
  <c r="D1945" i="9"/>
  <c r="F1943" i="9"/>
  <c r="F1942" i="9"/>
  <c r="A1942" i="9"/>
  <c r="B1941" i="9"/>
  <c r="E1941" i="9" s="1"/>
  <c r="B1940" i="9"/>
  <c r="E1940" i="9" s="1"/>
  <c r="C1939" i="9"/>
  <c r="D1938" i="9"/>
  <c r="D1937" i="9"/>
  <c r="F1935" i="9"/>
  <c r="F1934" i="9"/>
  <c r="A1934" i="9"/>
  <c r="B1933" i="9"/>
  <c r="E1933" i="9" s="1"/>
  <c r="B1932" i="9"/>
  <c r="E1932" i="9" s="1"/>
  <c r="C1931" i="9"/>
  <c r="D1930" i="9"/>
  <c r="D1929" i="9"/>
  <c r="F1927" i="9"/>
  <c r="F1926" i="9"/>
  <c r="A1926" i="9"/>
  <c r="B1925" i="9"/>
  <c r="E1925" i="9" s="1"/>
  <c r="B1924" i="9"/>
  <c r="E1924" i="9" s="1"/>
  <c r="C1923" i="9"/>
  <c r="D1922" i="9"/>
  <c r="D1921" i="9"/>
  <c r="F1919" i="9"/>
  <c r="F1918" i="9"/>
  <c r="A1918" i="9"/>
  <c r="B1917" i="9"/>
  <c r="E1917" i="9" s="1"/>
  <c r="B1916" i="9"/>
  <c r="E1916" i="9" s="1"/>
  <c r="C1915" i="9"/>
  <c r="D1914" i="9"/>
  <c r="D1913" i="9"/>
  <c r="F1911" i="9"/>
  <c r="F1910" i="9"/>
  <c r="A1910" i="9"/>
  <c r="B1909" i="9"/>
  <c r="E1909" i="9" s="1"/>
  <c r="B1908" i="9"/>
  <c r="E1908" i="9" s="1"/>
  <c r="C1907" i="9"/>
  <c r="D1906" i="9"/>
  <c r="D1905" i="9"/>
  <c r="F1903" i="9"/>
  <c r="F1902" i="9"/>
  <c r="A1902" i="9"/>
  <c r="B1901" i="9"/>
  <c r="E1901" i="9" s="1"/>
  <c r="B1900" i="9"/>
  <c r="E1900" i="9" s="1"/>
  <c r="C1899" i="9"/>
  <c r="D1898" i="9"/>
  <c r="D1897" i="9"/>
  <c r="F1895" i="9"/>
  <c r="F1894" i="9"/>
  <c r="A1894" i="9"/>
  <c r="B1893" i="9"/>
  <c r="E1893" i="9" s="1"/>
  <c r="B1892" i="9"/>
  <c r="E1892" i="9" s="1"/>
  <c r="C1891" i="9"/>
  <c r="D1890" i="9"/>
  <c r="D1889" i="9"/>
  <c r="F1887" i="9"/>
  <c r="F1886" i="9"/>
  <c r="A1886" i="9"/>
  <c r="B1885" i="9"/>
  <c r="E1885" i="9" s="1"/>
  <c r="B1884" i="9"/>
  <c r="E1884" i="9" s="1"/>
  <c r="C1883" i="9"/>
  <c r="D1882" i="9"/>
  <c r="D1881" i="9"/>
  <c r="F1879" i="9"/>
  <c r="F1878" i="9"/>
  <c r="A1878" i="9"/>
  <c r="B1877" i="9"/>
  <c r="E1877" i="9" s="1"/>
  <c r="B1876" i="9"/>
  <c r="E1876" i="9" s="1"/>
  <c r="C1875" i="9"/>
  <c r="D1874" i="9"/>
  <c r="D1873" i="9"/>
  <c r="F1871" i="9"/>
  <c r="F1870" i="9"/>
  <c r="A1870" i="9"/>
  <c r="B1869" i="9"/>
  <c r="E1869" i="9" s="1"/>
  <c r="B1868" i="9"/>
  <c r="E1868" i="9" s="1"/>
  <c r="C1867" i="9"/>
  <c r="D1866" i="9"/>
  <c r="D1865" i="9"/>
  <c r="F1863" i="9"/>
  <c r="F1862" i="9"/>
  <c r="A1862" i="9"/>
  <c r="B1861" i="9"/>
  <c r="E1861" i="9" s="1"/>
  <c r="B1860" i="9"/>
  <c r="E1860" i="9" s="1"/>
  <c r="C1859" i="9"/>
  <c r="D1858" i="9"/>
  <c r="D1857" i="9"/>
  <c r="F1855" i="9"/>
  <c r="F1854" i="9"/>
  <c r="A1854" i="9"/>
  <c r="B1853" i="9"/>
  <c r="E1853" i="9" s="1"/>
  <c r="B1852" i="9"/>
  <c r="E1852" i="9" s="1"/>
  <c r="C1851" i="9"/>
  <c r="D1850" i="9"/>
  <c r="A1849" i="9"/>
  <c r="C1848" i="9"/>
  <c r="A1847" i="9"/>
  <c r="C1846" i="9"/>
  <c r="A1845" i="9"/>
  <c r="C1844" i="9"/>
  <c r="A1843" i="9"/>
  <c r="C1842" i="9"/>
  <c r="A1841" i="9"/>
  <c r="C1840" i="9"/>
  <c r="A1839" i="9"/>
  <c r="C1838" i="9"/>
  <c r="A1837" i="9"/>
  <c r="C1836" i="9"/>
  <c r="A1835" i="9"/>
  <c r="C1834" i="9"/>
  <c r="A1833" i="9"/>
  <c r="C1832" i="9"/>
  <c r="A1831" i="9"/>
  <c r="C1830" i="9"/>
  <c r="A1829" i="9"/>
  <c r="C1828" i="9"/>
  <c r="A1827" i="9"/>
  <c r="C1826" i="9"/>
  <c r="A1825" i="9"/>
  <c r="C1824" i="9"/>
  <c r="A1823" i="9"/>
  <c r="C1822" i="9"/>
  <c r="A1821" i="9"/>
  <c r="C1820" i="9"/>
  <c r="A1819" i="9"/>
  <c r="C1818" i="9"/>
  <c r="A1817" i="9"/>
  <c r="C1816" i="9"/>
  <c r="A1815" i="9"/>
  <c r="C1814" i="9"/>
  <c r="A1813" i="9"/>
  <c r="C1812" i="9"/>
  <c r="A1811" i="9"/>
  <c r="C1810" i="9"/>
  <c r="A1809" i="9"/>
  <c r="C1808" i="9"/>
  <c r="A1807" i="9"/>
  <c r="C1806" i="9"/>
  <c r="A1805" i="9"/>
  <c r="C1804" i="9"/>
  <c r="A1803" i="9"/>
  <c r="C1802" i="9"/>
  <c r="A1801" i="9"/>
  <c r="C1800" i="9"/>
  <c r="A1799" i="9"/>
  <c r="C1798" i="9"/>
  <c r="A1797" i="9"/>
  <c r="C1796" i="9"/>
  <c r="A1795" i="9"/>
  <c r="C1794" i="9"/>
  <c r="A1793" i="9"/>
  <c r="C1792" i="9"/>
  <c r="A1791" i="9"/>
  <c r="C1790" i="9"/>
  <c r="A1789" i="9"/>
  <c r="C1788" i="9"/>
  <c r="A1787" i="9"/>
  <c r="C1786" i="9"/>
  <c r="A1785" i="9"/>
  <c r="C1784" i="9"/>
  <c r="A1783" i="9"/>
  <c r="C1782" i="9"/>
  <c r="A1781" i="9"/>
  <c r="C1780" i="9"/>
  <c r="A1779" i="9"/>
  <c r="C1778" i="9"/>
  <c r="A1777" i="9"/>
  <c r="C1776" i="9"/>
  <c r="A1775" i="9"/>
  <c r="C1774" i="9"/>
  <c r="A1773" i="9"/>
  <c r="C1772" i="9"/>
  <c r="A1771" i="9"/>
  <c r="C1770" i="9"/>
  <c r="A1769" i="9"/>
  <c r="C1768" i="9"/>
  <c r="A1767" i="9"/>
  <c r="C1766" i="9"/>
  <c r="A1765" i="9"/>
  <c r="C1764" i="9"/>
  <c r="A1763" i="9"/>
  <c r="C1762" i="9"/>
  <c r="A1761" i="9"/>
  <c r="C1760" i="9"/>
  <c r="A1759" i="9"/>
  <c r="C1758" i="9"/>
  <c r="A1757" i="9"/>
  <c r="C1756" i="9"/>
  <c r="A1755" i="9"/>
  <c r="C1754" i="9"/>
  <c r="A1753" i="9"/>
  <c r="C1752" i="9"/>
  <c r="A1751" i="9"/>
  <c r="C1750" i="9"/>
  <c r="A1749" i="9"/>
  <c r="C1748" i="9"/>
  <c r="A1747" i="9"/>
  <c r="C1746" i="9"/>
  <c r="A1745" i="9"/>
  <c r="C1744" i="9"/>
  <c r="A1743" i="9"/>
  <c r="C1742" i="9"/>
  <c r="A1741" i="9"/>
  <c r="C1740" i="9"/>
  <c r="A1739" i="9"/>
  <c r="C1738" i="9"/>
  <c r="A1737" i="9"/>
  <c r="C1736" i="9"/>
  <c r="A1735" i="9"/>
  <c r="C1734" i="9"/>
  <c r="A1733" i="9"/>
  <c r="C1732" i="9"/>
  <c r="A1731" i="9"/>
  <c r="C1730" i="9"/>
  <c r="A1729" i="9"/>
  <c r="C1728" i="9"/>
  <c r="A1727" i="9"/>
  <c r="C1726" i="9"/>
  <c r="A1725" i="9"/>
  <c r="C1724" i="9"/>
  <c r="A1723" i="9"/>
  <c r="C1722" i="9"/>
  <c r="A1721" i="9"/>
  <c r="C1720" i="9"/>
  <c r="A1719" i="9"/>
  <c r="C1718" i="9"/>
  <c r="A1717" i="9"/>
  <c r="C1716" i="9"/>
  <c r="A1715" i="9"/>
  <c r="C1714" i="9"/>
  <c r="A1713" i="9"/>
  <c r="C1712" i="9"/>
  <c r="A1711" i="9"/>
  <c r="C1710" i="9"/>
  <c r="A1709" i="9"/>
  <c r="C1708" i="9"/>
  <c r="A1707" i="9"/>
  <c r="C1706" i="9"/>
  <c r="A1705" i="9"/>
  <c r="C1704" i="9"/>
  <c r="A1703" i="9"/>
  <c r="C1702" i="9"/>
  <c r="A1701" i="9"/>
  <c r="C1700" i="9"/>
  <c r="A1699" i="9"/>
  <c r="C1698" i="9"/>
  <c r="A1697" i="9"/>
  <c r="C1696" i="9"/>
  <c r="A1695" i="9"/>
  <c r="C1694" i="9"/>
  <c r="A1693" i="9"/>
  <c r="C1692" i="9"/>
  <c r="A1691" i="9"/>
  <c r="C1690" i="9"/>
  <c r="A1689" i="9"/>
  <c r="C1688" i="9"/>
  <c r="A1687" i="9"/>
  <c r="C1686" i="9"/>
  <c r="A1685" i="9"/>
  <c r="C1684" i="9"/>
  <c r="A1683" i="9"/>
  <c r="C1682" i="9"/>
  <c r="A1681" i="9"/>
  <c r="C1680" i="9"/>
  <c r="A1679" i="9"/>
  <c r="C1678" i="9"/>
  <c r="A1677" i="9"/>
  <c r="C1676" i="9"/>
  <c r="A1675" i="9"/>
  <c r="C1674" i="9"/>
  <c r="A1673" i="9"/>
  <c r="C1672" i="9"/>
  <c r="A1671" i="9"/>
  <c r="C1670" i="9"/>
  <c r="A1669" i="9"/>
  <c r="C1668" i="9"/>
  <c r="A1667" i="9"/>
  <c r="C1666" i="9"/>
  <c r="A1665" i="9"/>
  <c r="C1664" i="9"/>
  <c r="A1663" i="9"/>
  <c r="C1662" i="9"/>
  <c r="A1661" i="9"/>
  <c r="C1660" i="9"/>
  <c r="A1659" i="9"/>
  <c r="C1658" i="9"/>
  <c r="A1657" i="9"/>
  <c r="C1656" i="9"/>
  <c r="A1655" i="9"/>
  <c r="C1654" i="9"/>
  <c r="A1653" i="9"/>
  <c r="C1652" i="9"/>
  <c r="A1651" i="9"/>
  <c r="C1650" i="9"/>
  <c r="A1649" i="9"/>
  <c r="C1648" i="9"/>
  <c r="A1647" i="9"/>
  <c r="C1646" i="9"/>
  <c r="A1645" i="9"/>
  <c r="C1644" i="9"/>
  <c r="A1643" i="9"/>
  <c r="C1642" i="9"/>
  <c r="A1641" i="9"/>
  <c r="C1640" i="9"/>
  <c r="A1639" i="9"/>
  <c r="C1638" i="9"/>
  <c r="A1637" i="9"/>
  <c r="C1636" i="9"/>
  <c r="A1635" i="9"/>
  <c r="C1634" i="9"/>
  <c r="A1633" i="9"/>
  <c r="C1632" i="9"/>
  <c r="A1631" i="9"/>
  <c r="C1630" i="9"/>
  <c r="A1629" i="9"/>
  <c r="C1628" i="9"/>
  <c r="A1627" i="9"/>
  <c r="C1626" i="9"/>
  <c r="A1625" i="9"/>
  <c r="C1624" i="9"/>
  <c r="A1623" i="9"/>
  <c r="C1622" i="9"/>
  <c r="A1621" i="9"/>
  <c r="C1620" i="9"/>
  <c r="A1619" i="9"/>
  <c r="C1618" i="9"/>
  <c r="A1617" i="9"/>
  <c r="C1616" i="9"/>
  <c r="A1615" i="9"/>
  <c r="C1614" i="9"/>
  <c r="A1613" i="9"/>
  <c r="C1612" i="9"/>
  <c r="A1611" i="9"/>
  <c r="C1610" i="9"/>
  <c r="A1609" i="9"/>
  <c r="C1608" i="9"/>
  <c r="A1607" i="9"/>
  <c r="C1606" i="9"/>
  <c r="A1605" i="9"/>
  <c r="C1604" i="9"/>
  <c r="A1603" i="9"/>
  <c r="C1602" i="9"/>
  <c r="A1601" i="9"/>
  <c r="C1600" i="9"/>
  <c r="A1599" i="9"/>
  <c r="C1598" i="9"/>
  <c r="A1597" i="9"/>
  <c r="C1596" i="9"/>
  <c r="A1595" i="9"/>
  <c r="C1594" i="9"/>
  <c r="A1593" i="9"/>
  <c r="C1592" i="9"/>
  <c r="A1591" i="9"/>
  <c r="C1590" i="9"/>
  <c r="A1589" i="9"/>
  <c r="C1588" i="9"/>
  <c r="A1587" i="9"/>
  <c r="C1586" i="9"/>
  <c r="A1585" i="9"/>
  <c r="C1584" i="9"/>
  <c r="A1583" i="9"/>
  <c r="C1582" i="9"/>
  <c r="A1581" i="9"/>
  <c r="C1580" i="9"/>
  <c r="A1579" i="9"/>
  <c r="C1578" i="9"/>
  <c r="A1577" i="9"/>
  <c r="C1576" i="9"/>
  <c r="A1575" i="9"/>
  <c r="C1574" i="9"/>
  <c r="A1573" i="9"/>
  <c r="C1572" i="9"/>
  <c r="A1571" i="9"/>
  <c r="C1570" i="9"/>
  <c r="A1569" i="9"/>
  <c r="C1568" i="9"/>
  <c r="A1567" i="9"/>
  <c r="C1566" i="9"/>
  <c r="A1565" i="9"/>
  <c r="C1564" i="9"/>
  <c r="A1563" i="9"/>
  <c r="C1562" i="9"/>
  <c r="A1561" i="9"/>
  <c r="C1560" i="9"/>
  <c r="A1559" i="9"/>
  <c r="C1558" i="9"/>
  <c r="A1557" i="9"/>
  <c r="C1556" i="9"/>
  <c r="A1555" i="9"/>
  <c r="C1554" i="9"/>
  <c r="A1553" i="9"/>
  <c r="C1552" i="9"/>
  <c r="A1551" i="9"/>
  <c r="C1550" i="9"/>
  <c r="A1549" i="9"/>
  <c r="C1548" i="9"/>
  <c r="A1547" i="9"/>
  <c r="C1546" i="9"/>
  <c r="A1545" i="9"/>
  <c r="C1544" i="9"/>
  <c r="A1543" i="9"/>
  <c r="C1542" i="9"/>
  <c r="A1541" i="9"/>
  <c r="C1540" i="9"/>
  <c r="A1539" i="9"/>
  <c r="C1538" i="9"/>
  <c r="A1537" i="9"/>
  <c r="C1536" i="9"/>
  <c r="F2001" i="9"/>
  <c r="D2000" i="9"/>
  <c r="C1999" i="9"/>
  <c r="B1998" i="9"/>
  <c r="E1998" i="9" s="1"/>
  <c r="F1996" i="9"/>
  <c r="F1995" i="9"/>
  <c r="C1993" i="9"/>
  <c r="B1992" i="9"/>
  <c r="E1992" i="9" s="1"/>
  <c r="B1991" i="9"/>
  <c r="E1991" i="9" s="1"/>
  <c r="F1989" i="9"/>
  <c r="D1987" i="9"/>
  <c r="B1986" i="9"/>
  <c r="E1986" i="9" s="1"/>
  <c r="B1985" i="9"/>
  <c r="E1985" i="9" s="1"/>
  <c r="A1984" i="9"/>
  <c r="D1981" i="9"/>
  <c r="D1980" i="9"/>
  <c r="B1979" i="9"/>
  <c r="E1979" i="9" s="1"/>
  <c r="A1978" i="9"/>
  <c r="F1976" i="9"/>
  <c r="D1975" i="9"/>
  <c r="D1974" i="9"/>
  <c r="C1973" i="9"/>
  <c r="A1972" i="9"/>
  <c r="F1970" i="9"/>
  <c r="F1969" i="9"/>
  <c r="D1968" i="9"/>
  <c r="C1967" i="9"/>
  <c r="B1966" i="9"/>
  <c r="E1966" i="9" s="1"/>
  <c r="F1964" i="9"/>
  <c r="F1963" i="9"/>
  <c r="C1961" i="9"/>
  <c r="B1960" i="9"/>
  <c r="E1960" i="9" s="1"/>
  <c r="B1959" i="9"/>
  <c r="E1959" i="9" s="1"/>
  <c r="F1957" i="9"/>
  <c r="D1955" i="9"/>
  <c r="B1954" i="9"/>
  <c r="E1954" i="9" s="1"/>
  <c r="B1953" i="9"/>
  <c r="E1953" i="9" s="1"/>
  <c r="A1952" i="9"/>
  <c r="D1949" i="9"/>
  <c r="D1948" i="9"/>
  <c r="B1947" i="9"/>
  <c r="E1947" i="9" s="1"/>
  <c r="A1946" i="9"/>
  <c r="F1944" i="9"/>
  <c r="D1943" i="9"/>
  <c r="D1942" i="9"/>
  <c r="C1941" i="9"/>
  <c r="A1940" i="9"/>
  <c r="F1938" i="9"/>
  <c r="F1937" i="9"/>
  <c r="D1936" i="9"/>
  <c r="C1935" i="9"/>
  <c r="B1934" i="9"/>
  <c r="E1934" i="9" s="1"/>
  <c r="F1932" i="9"/>
  <c r="F1931" i="9"/>
  <c r="C1929" i="9"/>
  <c r="B1928" i="9"/>
  <c r="E1928" i="9" s="1"/>
  <c r="B1927" i="9"/>
  <c r="E1927" i="9" s="1"/>
  <c r="F1925" i="9"/>
  <c r="D1923" i="9"/>
  <c r="B1922" i="9"/>
  <c r="E1922" i="9" s="1"/>
  <c r="B1921" i="9"/>
  <c r="E1921" i="9" s="1"/>
  <c r="A1920" i="9"/>
  <c r="D1917" i="9"/>
  <c r="D1916" i="9"/>
  <c r="B1915" i="9"/>
  <c r="E1915" i="9" s="1"/>
  <c r="A1914" i="9"/>
  <c r="F1912" i="9"/>
  <c r="D1911" i="9"/>
  <c r="D1910" i="9"/>
  <c r="C1909" i="9"/>
  <c r="A1908" i="9"/>
  <c r="F1906" i="9"/>
  <c r="F1905" i="9"/>
  <c r="D1904" i="9"/>
  <c r="C1903" i="9"/>
  <c r="B1902" i="9"/>
  <c r="E1902" i="9" s="1"/>
  <c r="F1900" i="9"/>
  <c r="F1899" i="9"/>
  <c r="C1897" i="9"/>
  <c r="B1896" i="9"/>
  <c r="E1896" i="9" s="1"/>
  <c r="B1895" i="9"/>
  <c r="E1895" i="9" s="1"/>
  <c r="F1893" i="9"/>
  <c r="D1891" i="9"/>
  <c r="B1890" i="9"/>
  <c r="E1890" i="9" s="1"/>
  <c r="B1889" i="9"/>
  <c r="E1889" i="9" s="1"/>
  <c r="A1888" i="9"/>
  <c r="D1885" i="9"/>
  <c r="D1884" i="9"/>
  <c r="B1883" i="9"/>
  <c r="E1883" i="9" s="1"/>
  <c r="A1882" i="9"/>
  <c r="F1880" i="9"/>
  <c r="D1879" i="9"/>
  <c r="D1878" i="9"/>
  <c r="C1877" i="9"/>
  <c r="A1876" i="9"/>
  <c r="F1874" i="9"/>
  <c r="F1873" i="9"/>
  <c r="D1872" i="9"/>
  <c r="C1871" i="9"/>
  <c r="B1870" i="9"/>
  <c r="E1870" i="9" s="1"/>
  <c r="F1868" i="9"/>
  <c r="F1867" i="9"/>
  <c r="C1865" i="9"/>
  <c r="B1864" i="9"/>
  <c r="E1864" i="9" s="1"/>
  <c r="B1863" i="9"/>
  <c r="E1863" i="9" s="1"/>
  <c r="F1861" i="9"/>
  <c r="D1859" i="9"/>
  <c r="B1858" i="9"/>
  <c r="E1858" i="9" s="1"/>
  <c r="B1857" i="9"/>
  <c r="E1857" i="9" s="1"/>
  <c r="A1856" i="9"/>
  <c r="D1853" i="9"/>
  <c r="D1852" i="9"/>
  <c r="B1851" i="9"/>
  <c r="E1851" i="9" s="1"/>
  <c r="A1850" i="9"/>
  <c r="B1849" i="9"/>
  <c r="E1849" i="9" s="1"/>
  <c r="B1848" i="9"/>
  <c r="E1848" i="9" s="1"/>
  <c r="C1847" i="9"/>
  <c r="D1846" i="9"/>
  <c r="D1845" i="9"/>
  <c r="F1843" i="9"/>
  <c r="F1842" i="9"/>
  <c r="A1842" i="9"/>
  <c r="B1841" i="9"/>
  <c r="E1841" i="9" s="1"/>
  <c r="B1840" i="9"/>
  <c r="E1840" i="9" s="1"/>
  <c r="C1839" i="9"/>
  <c r="D1838" i="9"/>
  <c r="D1837" i="9"/>
  <c r="F1835" i="9"/>
  <c r="F1834" i="9"/>
  <c r="A1834" i="9"/>
  <c r="B1833" i="9"/>
  <c r="E1833" i="9" s="1"/>
  <c r="B1832" i="9"/>
  <c r="E1832" i="9" s="1"/>
  <c r="C1831" i="9"/>
  <c r="D1830" i="9"/>
  <c r="D1829" i="9"/>
  <c r="F1827" i="9"/>
  <c r="F1826" i="9"/>
  <c r="A1826" i="9"/>
  <c r="B1825" i="9"/>
  <c r="E1825" i="9" s="1"/>
  <c r="B1824" i="9"/>
  <c r="E1824" i="9" s="1"/>
  <c r="C1823" i="9"/>
  <c r="D1822" i="9"/>
  <c r="D1821" i="9"/>
  <c r="F1819" i="9"/>
  <c r="F1818" i="9"/>
  <c r="A1818" i="9"/>
  <c r="B1817" i="9"/>
  <c r="E1817" i="9" s="1"/>
  <c r="B1816" i="9"/>
  <c r="E1816" i="9" s="1"/>
  <c r="C1815" i="9"/>
  <c r="D1814" i="9"/>
  <c r="D1813" i="9"/>
  <c r="F1811" i="9"/>
  <c r="F1810" i="9"/>
  <c r="A1810" i="9"/>
  <c r="B1809" i="9"/>
  <c r="E1809" i="9" s="1"/>
  <c r="B1808" i="9"/>
  <c r="E1808" i="9" s="1"/>
  <c r="C1807" i="9"/>
  <c r="D1806" i="9"/>
  <c r="D1805" i="9"/>
  <c r="F1803" i="9"/>
  <c r="F1802" i="9"/>
  <c r="A1802" i="9"/>
  <c r="B1801" i="9"/>
  <c r="E1801" i="9" s="1"/>
  <c r="B1800" i="9"/>
  <c r="E1800" i="9" s="1"/>
  <c r="C1799" i="9"/>
  <c r="D1798" i="9"/>
  <c r="D1797" i="9"/>
  <c r="F1795" i="9"/>
  <c r="F1794" i="9"/>
  <c r="A1794" i="9"/>
  <c r="B1793" i="9"/>
  <c r="E1793" i="9" s="1"/>
  <c r="B1792" i="9"/>
  <c r="E1792" i="9" s="1"/>
  <c r="C1791" i="9"/>
  <c r="D1790" i="9"/>
  <c r="D1789" i="9"/>
  <c r="F1787" i="9"/>
  <c r="F1786" i="9"/>
  <c r="A1786" i="9"/>
  <c r="B1785" i="9"/>
  <c r="E1785" i="9" s="1"/>
  <c r="B1784" i="9"/>
  <c r="E1784" i="9" s="1"/>
  <c r="C1783" i="9"/>
  <c r="D1782" i="9"/>
  <c r="D1781" i="9"/>
  <c r="F1779" i="9"/>
  <c r="F1778" i="9"/>
  <c r="A1778" i="9"/>
  <c r="B1777" i="9"/>
  <c r="E1777" i="9" s="1"/>
  <c r="B1776" i="9"/>
  <c r="E1776" i="9" s="1"/>
  <c r="C1775" i="9"/>
  <c r="D1774" i="9"/>
  <c r="D1773" i="9"/>
  <c r="F1771" i="9"/>
  <c r="F1770" i="9"/>
  <c r="A1770" i="9"/>
  <c r="B1769" i="9"/>
  <c r="E1769" i="9" s="1"/>
  <c r="B1768" i="9"/>
  <c r="E1768" i="9" s="1"/>
  <c r="C1767" i="9"/>
  <c r="D1766" i="9"/>
  <c r="D1765" i="9"/>
  <c r="F1763" i="9"/>
  <c r="F1762" i="9"/>
  <c r="A1762" i="9"/>
  <c r="B1761" i="9"/>
  <c r="E1761" i="9" s="1"/>
  <c r="B1760" i="9"/>
  <c r="E1760" i="9" s="1"/>
  <c r="C1759" i="9"/>
  <c r="D1758" i="9"/>
  <c r="D1757" i="9"/>
  <c r="F1755" i="9"/>
  <c r="F1754" i="9"/>
  <c r="A1754" i="9"/>
  <c r="B1753" i="9"/>
  <c r="E1753" i="9" s="1"/>
  <c r="B1752" i="9"/>
  <c r="E1752" i="9" s="1"/>
  <c r="C1751" i="9"/>
  <c r="D1750" i="9"/>
  <c r="D1749" i="9"/>
  <c r="F1747" i="9"/>
  <c r="F1746" i="9"/>
  <c r="A1746" i="9"/>
  <c r="B1745" i="9"/>
  <c r="E1745" i="9" s="1"/>
  <c r="B1744" i="9"/>
  <c r="E1744" i="9" s="1"/>
  <c r="C1743" i="9"/>
  <c r="D1742" i="9"/>
  <c r="D1741" i="9"/>
  <c r="F1739" i="9"/>
  <c r="F1738" i="9"/>
  <c r="A1738" i="9"/>
  <c r="B1737" i="9"/>
  <c r="E1737" i="9" s="1"/>
  <c r="B1736" i="9"/>
  <c r="E1736" i="9" s="1"/>
  <c r="C1735" i="9"/>
  <c r="D1734" i="9"/>
  <c r="D1733" i="9"/>
  <c r="F1731" i="9"/>
  <c r="F1730" i="9"/>
  <c r="A1730" i="9"/>
  <c r="B1729" i="9"/>
  <c r="E1729" i="9" s="1"/>
  <c r="B1728" i="9"/>
  <c r="E1728" i="9" s="1"/>
  <c r="C1727" i="9"/>
  <c r="D1726" i="9"/>
  <c r="D1725" i="9"/>
  <c r="F1723" i="9"/>
  <c r="F1722" i="9"/>
  <c r="A1722" i="9"/>
  <c r="B1721" i="9"/>
  <c r="E1721" i="9" s="1"/>
  <c r="B1720" i="9"/>
  <c r="E1720" i="9" s="1"/>
  <c r="C1719" i="9"/>
  <c r="D1718" i="9"/>
  <c r="D1717" i="9"/>
  <c r="F1715" i="9"/>
  <c r="F1714" i="9"/>
  <c r="A1714" i="9"/>
  <c r="B1713" i="9"/>
  <c r="E1713" i="9" s="1"/>
  <c r="B1712" i="9"/>
  <c r="E1712" i="9" s="1"/>
  <c r="C1711" i="9"/>
  <c r="D1710" i="9"/>
  <c r="D1709" i="9"/>
  <c r="F1707" i="9"/>
  <c r="F1706" i="9"/>
  <c r="A1706" i="9"/>
  <c r="B1705" i="9"/>
  <c r="E1705" i="9" s="1"/>
  <c r="B1704" i="9"/>
  <c r="E1704" i="9" s="1"/>
  <c r="C1703" i="9"/>
  <c r="D1702" i="9"/>
  <c r="D1701" i="9"/>
  <c r="F1699" i="9"/>
  <c r="F1698" i="9"/>
  <c r="A1698" i="9"/>
  <c r="B1697" i="9"/>
  <c r="E1697" i="9" s="1"/>
  <c r="B1696" i="9"/>
  <c r="E1696" i="9" s="1"/>
  <c r="C1695" i="9"/>
  <c r="D1694" i="9"/>
  <c r="D1693" i="9"/>
  <c r="F1691" i="9"/>
  <c r="F1690" i="9"/>
  <c r="A1690" i="9"/>
  <c r="B1689" i="9"/>
  <c r="E1689" i="9" s="1"/>
  <c r="B1688" i="9"/>
  <c r="E1688" i="9" s="1"/>
  <c r="C1687" i="9"/>
  <c r="B2000" i="9"/>
  <c r="E2000" i="9" s="1"/>
  <c r="C1997" i="9"/>
  <c r="D1995" i="9"/>
  <c r="A1994" i="9"/>
  <c r="D1992" i="9"/>
  <c r="C1989" i="9"/>
  <c r="F1987" i="9"/>
  <c r="A1986" i="9"/>
  <c r="D1984" i="9"/>
  <c r="B1983" i="9"/>
  <c r="E1983" i="9" s="1"/>
  <c r="C1981" i="9"/>
  <c r="F1979" i="9"/>
  <c r="B1978" i="9"/>
  <c r="E1978" i="9" s="1"/>
  <c r="D1976" i="9"/>
  <c r="B1975" i="9"/>
  <c r="E1975" i="9" s="1"/>
  <c r="D1973" i="9"/>
  <c r="F1971" i="9"/>
  <c r="B1970" i="9"/>
  <c r="E1970" i="9" s="1"/>
  <c r="F1968" i="9"/>
  <c r="B1967" i="9"/>
  <c r="E1967" i="9" s="1"/>
  <c r="D1965" i="9"/>
  <c r="A1964" i="9"/>
  <c r="B1962" i="9"/>
  <c r="E1962" i="9" s="1"/>
  <c r="F1960" i="9"/>
  <c r="C1959" i="9"/>
  <c r="D1957" i="9"/>
  <c r="A1956" i="9"/>
  <c r="F1952" i="9"/>
  <c r="C1951" i="9"/>
  <c r="F1949" i="9"/>
  <c r="A1948" i="9"/>
  <c r="B1945" i="9"/>
  <c r="E1945" i="9" s="1"/>
  <c r="C1943" i="9"/>
  <c r="F1941" i="9"/>
  <c r="D1940" i="9"/>
  <c r="B1937" i="9"/>
  <c r="E1937" i="9" s="1"/>
  <c r="D1935" i="9"/>
  <c r="F1933" i="9"/>
  <c r="D1932" i="9"/>
  <c r="F1930" i="9"/>
  <c r="B1929" i="9"/>
  <c r="E1929" i="9" s="1"/>
  <c r="D1927" i="9"/>
  <c r="B1926" i="9"/>
  <c r="E1926" i="9" s="1"/>
  <c r="D1924" i="9"/>
  <c r="F1922" i="9"/>
  <c r="C1921" i="9"/>
  <c r="D1919" i="9"/>
  <c r="B1918" i="9"/>
  <c r="E1918" i="9" s="1"/>
  <c r="F1914" i="9"/>
  <c r="C1913" i="9"/>
  <c r="A1912" i="9"/>
  <c r="B1910" i="9"/>
  <c r="E1910" i="9" s="1"/>
  <c r="B1907" i="9"/>
  <c r="E1907" i="9" s="1"/>
  <c r="C1905" i="9"/>
  <c r="A1904" i="9"/>
  <c r="D1902" i="9"/>
  <c r="B1899" i="9"/>
  <c r="E1899" i="9" s="1"/>
  <c r="F1897" i="9"/>
  <c r="A1896" i="9"/>
  <c r="D1894" i="9"/>
  <c r="F1892" i="9"/>
  <c r="B1891" i="9"/>
  <c r="E1891" i="9" s="1"/>
  <c r="F1889" i="9"/>
  <c r="B1888" i="9"/>
  <c r="E1888" i="9" s="1"/>
  <c r="D1886" i="9"/>
  <c r="F1884" i="9"/>
  <c r="D1883" i="9"/>
  <c r="F1881" i="9"/>
  <c r="B1880" i="9"/>
  <c r="E1880" i="9" s="1"/>
  <c r="F1876" i="9"/>
  <c r="D1875" i="9"/>
  <c r="A1874" i="9"/>
  <c r="B1872" i="9"/>
  <c r="E1872" i="9" s="1"/>
  <c r="C1869" i="9"/>
  <c r="D1867" i="9"/>
  <c r="A1866" i="9"/>
  <c r="D1864" i="9"/>
  <c r="C1861" i="9"/>
  <c r="F1859" i="9"/>
  <c r="A1858" i="9"/>
  <c r="D1856" i="9"/>
  <c r="B1855" i="9"/>
  <c r="E1855" i="9" s="1"/>
  <c r="C1853" i="9"/>
  <c r="F1851" i="9"/>
  <c r="B1850" i="9"/>
  <c r="E1850" i="9" s="1"/>
  <c r="F1848" i="9"/>
  <c r="F1847" i="9"/>
  <c r="C1845" i="9"/>
  <c r="B1844" i="9"/>
  <c r="E1844" i="9" s="1"/>
  <c r="B1843" i="9"/>
  <c r="E1843" i="9" s="1"/>
  <c r="F1841" i="9"/>
  <c r="D1839" i="9"/>
  <c r="B1838" i="9"/>
  <c r="E1838" i="9" s="1"/>
  <c r="B1837" i="9"/>
  <c r="E1837" i="9" s="1"/>
  <c r="A1836" i="9"/>
  <c r="D1833" i="9"/>
  <c r="D1832" i="9"/>
  <c r="B1831" i="9"/>
  <c r="E1831" i="9" s="1"/>
  <c r="A1830" i="9"/>
  <c r="F1828" i="9"/>
  <c r="D1827" i="9"/>
  <c r="D1826" i="9"/>
  <c r="C1825" i="9"/>
  <c r="A1824" i="9"/>
  <c r="F1822" i="9"/>
  <c r="F1821" i="9"/>
  <c r="D1820" i="9"/>
  <c r="C1819" i="9"/>
  <c r="B1818" i="9"/>
  <c r="E1818" i="9" s="1"/>
  <c r="F1816" i="9"/>
  <c r="F1815" i="9"/>
  <c r="C1813" i="9"/>
  <c r="B1812" i="9"/>
  <c r="E1812" i="9" s="1"/>
  <c r="B1811" i="9"/>
  <c r="E1811" i="9" s="1"/>
  <c r="F1809" i="9"/>
  <c r="D1807" i="9"/>
  <c r="B1806" i="9"/>
  <c r="E1806" i="9" s="1"/>
  <c r="B1805" i="9"/>
  <c r="E1805" i="9" s="1"/>
  <c r="A1804" i="9"/>
  <c r="D1801" i="9"/>
  <c r="D1800" i="9"/>
  <c r="B1799" i="9"/>
  <c r="E1799" i="9" s="1"/>
  <c r="A1798" i="9"/>
  <c r="F1796" i="9"/>
  <c r="D1795" i="9"/>
  <c r="D1794" i="9"/>
  <c r="C1793" i="9"/>
  <c r="A1792" i="9"/>
  <c r="F1790" i="9"/>
  <c r="F1789" i="9"/>
  <c r="D1788" i="9"/>
  <c r="C1787" i="9"/>
  <c r="B1786" i="9"/>
  <c r="E1786" i="9" s="1"/>
  <c r="F1784" i="9"/>
  <c r="F1783" i="9"/>
  <c r="C1781" i="9"/>
  <c r="B1780" i="9"/>
  <c r="E1780" i="9" s="1"/>
  <c r="B1779" i="9"/>
  <c r="E1779" i="9" s="1"/>
  <c r="F1777" i="9"/>
  <c r="D1775" i="9"/>
  <c r="B1774" i="9"/>
  <c r="E1774" i="9" s="1"/>
  <c r="B1773" i="9"/>
  <c r="E1773" i="9" s="1"/>
  <c r="A1772" i="9"/>
  <c r="D1769" i="9"/>
  <c r="D1768" i="9"/>
  <c r="B1767" i="9"/>
  <c r="E1767" i="9" s="1"/>
  <c r="A1766" i="9"/>
  <c r="F1764" i="9"/>
  <c r="D1763" i="9"/>
  <c r="D1762" i="9"/>
  <c r="C1761" i="9"/>
  <c r="A1760" i="9"/>
  <c r="F1758" i="9"/>
  <c r="F1757" i="9"/>
  <c r="D1756" i="9"/>
  <c r="C1755" i="9"/>
  <c r="B1754" i="9"/>
  <c r="E1754" i="9" s="1"/>
  <c r="F1752" i="9"/>
  <c r="F1751" i="9"/>
  <c r="C1749" i="9"/>
  <c r="B1748" i="9"/>
  <c r="E1748" i="9" s="1"/>
  <c r="B1747" i="9"/>
  <c r="E1747" i="9" s="1"/>
  <c r="F1745" i="9"/>
  <c r="D1743" i="9"/>
  <c r="B1742" i="9"/>
  <c r="E1742" i="9" s="1"/>
  <c r="B1741" i="9"/>
  <c r="E1741" i="9" s="1"/>
  <c r="A1740" i="9"/>
  <c r="D1737" i="9"/>
  <c r="D1736" i="9"/>
  <c r="B1735" i="9"/>
  <c r="E1735" i="9" s="1"/>
  <c r="A1734" i="9"/>
  <c r="F1732" i="9"/>
  <c r="D1731" i="9"/>
  <c r="D1730" i="9"/>
  <c r="C1729" i="9"/>
  <c r="A1728" i="9"/>
  <c r="F1726" i="9"/>
  <c r="F1725" i="9"/>
  <c r="D1724" i="9"/>
  <c r="C1723" i="9"/>
  <c r="B1722" i="9"/>
  <c r="E1722" i="9" s="1"/>
  <c r="F1720" i="9"/>
  <c r="F1719" i="9"/>
  <c r="C1717" i="9"/>
  <c r="B1716" i="9"/>
  <c r="E1716" i="9" s="1"/>
  <c r="B1715" i="9"/>
  <c r="E1715" i="9" s="1"/>
  <c r="F1713" i="9"/>
  <c r="D1711" i="9"/>
  <c r="B1710" i="9"/>
  <c r="E1710" i="9" s="1"/>
  <c r="B1709" i="9"/>
  <c r="E1709" i="9" s="1"/>
  <c r="A1708" i="9"/>
  <c r="D1705" i="9"/>
  <c r="D1704" i="9"/>
  <c r="B1703" i="9"/>
  <c r="E1703" i="9" s="1"/>
  <c r="A1702" i="9"/>
  <c r="F1700" i="9"/>
  <c r="D1699" i="9"/>
  <c r="D1698" i="9"/>
  <c r="C1697" i="9"/>
  <c r="A1696" i="9"/>
  <c r="F1694" i="9"/>
  <c r="F1693" i="9"/>
  <c r="D1692" i="9"/>
  <c r="C1691" i="9"/>
  <c r="B1690" i="9"/>
  <c r="E1690" i="9" s="1"/>
  <c r="F1688" i="9"/>
  <c r="F1687" i="9"/>
  <c r="F1685" i="9"/>
  <c r="F1684" i="9"/>
  <c r="A1684" i="9"/>
  <c r="B1683" i="9"/>
  <c r="E1683" i="9" s="1"/>
  <c r="B1682" i="9"/>
  <c r="E1682" i="9" s="1"/>
  <c r="C1681" i="9"/>
  <c r="D1680" i="9"/>
  <c r="D1679" i="9"/>
  <c r="F1677" i="9"/>
  <c r="F1676" i="9"/>
  <c r="A1676" i="9"/>
  <c r="B1675" i="9"/>
  <c r="E1675" i="9" s="1"/>
  <c r="B1674" i="9"/>
  <c r="E1674" i="9" s="1"/>
  <c r="C1673" i="9"/>
  <c r="D1672" i="9"/>
  <c r="D1671" i="9"/>
  <c r="F1669" i="9"/>
  <c r="F1668" i="9"/>
  <c r="A1668" i="9"/>
  <c r="B1667" i="9"/>
  <c r="E1667" i="9" s="1"/>
  <c r="B1666" i="9"/>
  <c r="E1666" i="9" s="1"/>
  <c r="C1665" i="9"/>
  <c r="D1664" i="9"/>
  <c r="D1663" i="9"/>
  <c r="F1661" i="9"/>
  <c r="F1660" i="9"/>
  <c r="A1660" i="9"/>
  <c r="B1659" i="9"/>
  <c r="E1659" i="9" s="1"/>
  <c r="B1658" i="9"/>
  <c r="E1658" i="9" s="1"/>
  <c r="C1657" i="9"/>
  <c r="D1656" i="9"/>
  <c r="D1655" i="9"/>
  <c r="F1653" i="9"/>
  <c r="F1652" i="9"/>
  <c r="A1652" i="9"/>
  <c r="B1651" i="9"/>
  <c r="E1651" i="9" s="1"/>
  <c r="B1650" i="9"/>
  <c r="E1650" i="9" s="1"/>
  <c r="C1649" i="9"/>
  <c r="D1648" i="9"/>
  <c r="D1647" i="9"/>
  <c r="F1645" i="9"/>
  <c r="F1644" i="9"/>
  <c r="A1644" i="9"/>
  <c r="B1643" i="9"/>
  <c r="E1643" i="9" s="1"/>
  <c r="B1642" i="9"/>
  <c r="E1642" i="9" s="1"/>
  <c r="C1641" i="9"/>
  <c r="D1640" i="9"/>
  <c r="D1639" i="9"/>
  <c r="F1637" i="9"/>
  <c r="F1636" i="9"/>
  <c r="A1636" i="9"/>
  <c r="B1635" i="9"/>
  <c r="E1635" i="9" s="1"/>
  <c r="B1634" i="9"/>
  <c r="E1634" i="9" s="1"/>
  <c r="C1633" i="9"/>
  <c r="D1632" i="9"/>
  <c r="D1631" i="9"/>
  <c r="F1629" i="9"/>
  <c r="F1628" i="9"/>
  <c r="A1628" i="9"/>
  <c r="B1627" i="9"/>
  <c r="E1627" i="9" s="1"/>
  <c r="B1626" i="9"/>
  <c r="E1626" i="9" s="1"/>
  <c r="C1625" i="9"/>
  <c r="D1624" i="9"/>
  <c r="D1623" i="9"/>
  <c r="F1621" i="9"/>
  <c r="F1620" i="9"/>
  <c r="A1620" i="9"/>
  <c r="B1619" i="9"/>
  <c r="E1619" i="9" s="1"/>
  <c r="B1618" i="9"/>
  <c r="E1618" i="9" s="1"/>
  <c r="C1617" i="9"/>
  <c r="D1616" i="9"/>
  <c r="D1615" i="9"/>
  <c r="F1613" i="9"/>
  <c r="F1612" i="9"/>
  <c r="A1612" i="9"/>
  <c r="B1611" i="9"/>
  <c r="E1611" i="9" s="1"/>
  <c r="B1610" i="9"/>
  <c r="E1610" i="9" s="1"/>
  <c r="C1609" i="9"/>
  <c r="D1608" i="9"/>
  <c r="D1607" i="9"/>
  <c r="F1605" i="9"/>
  <c r="F1604" i="9"/>
  <c r="A1604" i="9"/>
  <c r="B1603" i="9"/>
  <c r="E1603" i="9" s="1"/>
  <c r="B1602" i="9"/>
  <c r="E1602" i="9" s="1"/>
  <c r="C1601" i="9"/>
  <c r="D1600" i="9"/>
  <c r="D1599" i="9"/>
  <c r="F1597" i="9"/>
  <c r="F1596" i="9"/>
  <c r="A1596" i="9"/>
  <c r="A2000" i="9"/>
  <c r="F1997" i="9"/>
  <c r="A1996" i="9"/>
  <c r="F1993" i="9"/>
  <c r="D1991" i="9"/>
  <c r="D1989" i="9"/>
  <c r="B1987" i="9"/>
  <c r="E1987" i="9" s="1"/>
  <c r="C1985" i="9"/>
  <c r="C1983" i="9"/>
  <c r="F1980" i="9"/>
  <c r="F1978" i="9"/>
  <c r="B1977" i="9"/>
  <c r="E1977" i="9" s="1"/>
  <c r="B1968" i="9"/>
  <c r="E1968" i="9" s="1"/>
  <c r="D1966" i="9"/>
  <c r="D1964" i="9"/>
  <c r="A1962" i="9"/>
  <c r="A1960" i="9"/>
  <c r="B1958" i="9"/>
  <c r="E1958" i="9" s="1"/>
  <c r="F1955" i="9"/>
  <c r="F1953" i="9"/>
  <c r="D1951" i="9"/>
  <c r="C1949" i="9"/>
  <c r="D1947" i="9"/>
  <c r="C1945" i="9"/>
  <c r="B1943" i="9"/>
  <c r="E1943" i="9" s="1"/>
  <c r="F1940" i="9"/>
  <c r="B1939" i="9"/>
  <c r="E1939" i="9" s="1"/>
  <c r="F1936" i="9"/>
  <c r="B1930" i="9"/>
  <c r="E1930" i="9" s="1"/>
  <c r="D1928" i="9"/>
  <c r="D1926" i="9"/>
  <c r="A1924" i="9"/>
  <c r="A1922" i="9"/>
  <c r="B1920" i="9"/>
  <c r="E1920" i="9" s="1"/>
  <c r="F1917" i="9"/>
  <c r="F1915" i="9"/>
  <c r="F1913" i="9"/>
  <c r="C1911" i="9"/>
  <c r="D1909" i="9"/>
  <c r="D1907" i="9"/>
  <c r="B1905" i="9"/>
  <c r="E1905" i="9" s="1"/>
  <c r="B1903" i="9"/>
  <c r="E1903" i="9" s="1"/>
  <c r="C1901" i="9"/>
  <c r="F1898" i="9"/>
  <c r="F1896" i="9"/>
  <c r="D1892" i="9"/>
  <c r="D1888" i="9"/>
  <c r="B1886" i="9"/>
  <c r="E1886" i="9" s="1"/>
  <c r="A1884" i="9"/>
  <c r="B1882" i="9"/>
  <c r="E1882" i="9" s="1"/>
  <c r="A1880" i="9"/>
  <c r="F1877" i="9"/>
  <c r="F1875" i="9"/>
  <c r="C1873" i="9"/>
  <c r="D1871" i="9"/>
  <c r="D1869" i="9"/>
  <c r="B1867" i="9"/>
  <c r="E1867" i="9" s="1"/>
  <c r="B1865" i="9"/>
  <c r="E1865" i="9" s="1"/>
  <c r="C1863" i="9"/>
  <c r="F1860" i="9"/>
  <c r="F1858" i="9"/>
  <c r="F1856" i="9"/>
  <c r="D1854" i="9"/>
  <c r="B1847" i="9"/>
  <c r="E1847" i="9" s="1"/>
  <c r="F1845" i="9"/>
  <c r="A1844" i="9"/>
  <c r="D1842" i="9"/>
  <c r="F1840" i="9"/>
  <c r="B1839" i="9"/>
  <c r="E1839" i="9" s="1"/>
  <c r="F1837" i="9"/>
  <c r="B1836" i="9"/>
  <c r="E1836" i="9" s="1"/>
  <c r="D1834" i="9"/>
  <c r="F1832" i="9"/>
  <c r="D1831" i="9"/>
  <c r="F1829" i="9"/>
  <c r="B1828" i="9"/>
  <c r="E1828" i="9" s="1"/>
  <c r="F1824" i="9"/>
  <c r="D1823" i="9"/>
  <c r="A1822" i="9"/>
  <c r="B1820" i="9"/>
  <c r="E1820" i="9" s="1"/>
  <c r="C1817" i="9"/>
  <c r="D1815" i="9"/>
  <c r="A1814" i="9"/>
  <c r="D1812" i="9"/>
  <c r="C1809" i="9"/>
  <c r="F1807" i="9"/>
  <c r="A1806" i="9"/>
  <c r="D1804" i="9"/>
  <c r="B1803" i="9"/>
  <c r="E1803" i="9" s="1"/>
  <c r="C1801" i="9"/>
  <c r="F1799" i="9"/>
  <c r="B1798" i="9"/>
  <c r="E1798" i="9" s="1"/>
  <c r="D1796" i="9"/>
  <c r="B1795" i="9"/>
  <c r="E1795" i="9" s="1"/>
  <c r="D1793" i="9"/>
  <c r="F1791" i="9"/>
  <c r="B1790" i="9"/>
  <c r="E1790" i="9" s="1"/>
  <c r="F1788" i="9"/>
  <c r="B1787" i="9"/>
  <c r="E1787" i="9" s="1"/>
  <c r="D1785" i="9"/>
  <c r="A1784" i="9"/>
  <c r="B1782" i="9"/>
  <c r="E1782" i="9" s="1"/>
  <c r="F1780" i="9"/>
  <c r="C1779" i="9"/>
  <c r="D1777" i="9"/>
  <c r="A1776" i="9"/>
  <c r="F1772" i="9"/>
  <c r="C1771" i="9"/>
  <c r="F1769" i="9"/>
  <c r="A1768" i="9"/>
  <c r="B1765" i="9"/>
  <c r="E1765" i="9" s="1"/>
  <c r="C1763" i="9"/>
  <c r="F1761" i="9"/>
  <c r="D1760" i="9"/>
  <c r="B1757" i="9"/>
  <c r="E1757" i="9" s="1"/>
  <c r="D1755" i="9"/>
  <c r="F1753" i="9"/>
  <c r="D1752" i="9"/>
  <c r="F1750" i="9"/>
  <c r="B1749" i="9"/>
  <c r="E1749" i="9" s="1"/>
  <c r="D1747" i="9"/>
  <c r="B1746" i="9"/>
  <c r="E1746" i="9" s="1"/>
  <c r="D1744" i="9"/>
  <c r="F1742" i="9"/>
  <c r="C1741" i="9"/>
  <c r="D1739" i="9"/>
  <c r="B1738" i="9"/>
  <c r="E1738" i="9" s="1"/>
  <c r="F1734" i="9"/>
  <c r="C1733" i="9"/>
  <c r="A1732" i="9"/>
  <c r="B1730" i="9"/>
  <c r="E1730" i="9" s="1"/>
  <c r="B1727" i="9"/>
  <c r="E1727" i="9" s="1"/>
  <c r="C1725" i="9"/>
  <c r="A1724" i="9"/>
  <c r="D1722" i="9"/>
  <c r="B1719" i="9"/>
  <c r="E1719" i="9" s="1"/>
  <c r="F1717" i="9"/>
  <c r="A1716" i="9"/>
  <c r="D1714" i="9"/>
  <c r="F1712" i="9"/>
  <c r="B1711" i="9"/>
  <c r="E1711" i="9" s="1"/>
  <c r="F1709" i="9"/>
  <c r="B1708" i="9"/>
  <c r="E1708" i="9" s="1"/>
  <c r="D1706" i="9"/>
  <c r="F1704" i="9"/>
  <c r="D1703" i="9"/>
  <c r="F1701" i="9"/>
  <c r="B1700" i="9"/>
  <c r="E1700" i="9" s="1"/>
  <c r="F1696" i="9"/>
  <c r="D1695" i="9"/>
  <c r="A1694" i="9"/>
  <c r="B1692" i="9"/>
  <c r="E1692" i="9" s="1"/>
  <c r="C1689" i="9"/>
  <c r="D1687" i="9"/>
  <c r="B1686" i="9"/>
  <c r="E1686" i="9" s="1"/>
  <c r="B1685" i="9"/>
  <c r="E1685" i="9" s="1"/>
  <c r="F1683" i="9"/>
  <c r="D1681" i="9"/>
  <c r="B1680" i="9"/>
  <c r="E1680" i="9" s="1"/>
  <c r="B1679" i="9"/>
  <c r="E1679" i="9" s="1"/>
  <c r="A1678" i="9"/>
  <c r="D1675" i="9"/>
  <c r="D1674" i="9"/>
  <c r="B1673" i="9"/>
  <c r="E1673" i="9" s="1"/>
  <c r="A1672" i="9"/>
  <c r="F1670" i="9"/>
  <c r="D1669" i="9"/>
  <c r="D1668" i="9"/>
  <c r="C1667" i="9"/>
  <c r="A1666" i="9"/>
  <c r="F1664" i="9"/>
  <c r="F1663" i="9"/>
  <c r="D1662" i="9"/>
  <c r="C1661" i="9"/>
  <c r="B1660" i="9"/>
  <c r="E1660" i="9" s="1"/>
  <c r="F1658" i="9"/>
  <c r="F1657" i="9"/>
  <c r="C1655" i="9"/>
  <c r="B1654" i="9"/>
  <c r="E1654" i="9" s="1"/>
  <c r="B1653" i="9"/>
  <c r="E1653" i="9" s="1"/>
  <c r="F1651" i="9"/>
  <c r="D1649" i="9"/>
  <c r="B1648" i="9"/>
  <c r="E1648" i="9" s="1"/>
  <c r="B1647" i="9"/>
  <c r="E1647" i="9" s="1"/>
  <c r="A1646" i="9"/>
  <c r="D1643" i="9"/>
  <c r="D1642" i="9"/>
  <c r="B1641" i="9"/>
  <c r="E1641" i="9" s="1"/>
  <c r="A1640" i="9"/>
  <c r="F1638" i="9"/>
  <c r="D1637" i="9"/>
  <c r="D1636" i="9"/>
  <c r="C1635" i="9"/>
  <c r="A1634" i="9"/>
  <c r="F1632" i="9"/>
  <c r="F1631" i="9"/>
  <c r="D1630" i="9"/>
  <c r="C1629" i="9"/>
  <c r="B1628" i="9"/>
  <c r="E1628" i="9" s="1"/>
  <c r="F1626" i="9"/>
  <c r="F1625" i="9"/>
  <c r="C1623" i="9"/>
  <c r="B1622" i="9"/>
  <c r="E1622" i="9" s="1"/>
  <c r="B1621" i="9"/>
  <c r="E1621" i="9" s="1"/>
  <c r="F1619" i="9"/>
  <c r="D1617" i="9"/>
  <c r="B1616" i="9"/>
  <c r="E1616" i="9" s="1"/>
  <c r="B1615" i="9"/>
  <c r="E1615" i="9" s="1"/>
  <c r="A1614" i="9"/>
  <c r="D1611" i="9"/>
  <c r="D1610" i="9"/>
  <c r="B1609" i="9"/>
  <c r="E1609" i="9" s="1"/>
  <c r="A1608" i="9"/>
  <c r="F1606" i="9"/>
  <c r="D1605" i="9"/>
  <c r="D1604" i="9"/>
  <c r="C1603" i="9"/>
  <c r="A1602" i="9"/>
  <c r="F1600" i="9"/>
  <c r="F1599" i="9"/>
  <c r="D1598" i="9"/>
  <c r="C1597" i="9"/>
  <c r="B1596" i="9"/>
  <c r="E1596" i="9" s="1"/>
  <c r="B1595" i="9"/>
  <c r="E1595" i="9" s="1"/>
  <c r="B1594" i="9"/>
  <c r="E1594" i="9" s="1"/>
  <c r="C1593" i="9"/>
  <c r="D1592" i="9"/>
  <c r="D1591" i="9"/>
  <c r="F1589" i="9"/>
  <c r="F1588" i="9"/>
  <c r="A1588" i="9"/>
  <c r="B1587" i="9"/>
  <c r="E1587" i="9" s="1"/>
  <c r="B1586" i="9"/>
  <c r="E1586" i="9" s="1"/>
  <c r="C1585" i="9"/>
  <c r="D1584" i="9"/>
  <c r="D1583" i="9"/>
  <c r="F1581" i="9"/>
  <c r="F1580" i="9"/>
  <c r="A1580" i="9"/>
  <c r="B1579" i="9"/>
  <c r="E1579" i="9" s="1"/>
  <c r="B1578" i="9"/>
  <c r="E1578" i="9" s="1"/>
  <c r="C1577" i="9"/>
  <c r="D1576" i="9"/>
  <c r="D1575" i="9"/>
  <c r="F1573" i="9"/>
  <c r="F1572" i="9"/>
  <c r="A1572" i="9"/>
  <c r="B1571" i="9"/>
  <c r="E1571" i="9" s="1"/>
  <c r="B1570" i="9"/>
  <c r="E1570" i="9" s="1"/>
  <c r="C1569" i="9"/>
  <c r="D1568" i="9"/>
  <c r="D1567" i="9"/>
  <c r="F1565" i="9"/>
  <c r="F1564" i="9"/>
  <c r="A1564" i="9"/>
  <c r="B1563" i="9"/>
  <c r="E1563" i="9" s="1"/>
  <c r="B1562" i="9"/>
  <c r="E1562" i="9" s="1"/>
  <c r="C1561" i="9"/>
  <c r="D1560" i="9"/>
  <c r="D1559" i="9"/>
  <c r="F1557" i="9"/>
  <c r="F1556" i="9"/>
  <c r="A1556" i="9"/>
  <c r="B1555" i="9"/>
  <c r="E1555" i="9" s="1"/>
  <c r="B1554" i="9"/>
  <c r="E1554" i="9" s="1"/>
  <c r="C1553" i="9"/>
  <c r="D1552" i="9"/>
  <c r="D1551" i="9"/>
  <c r="F1549" i="9"/>
  <c r="F1548" i="9"/>
  <c r="A1548" i="9"/>
  <c r="B1547" i="9"/>
  <c r="E1547" i="9" s="1"/>
  <c r="B1546" i="9"/>
  <c r="E1546" i="9" s="1"/>
  <c r="C1545" i="9"/>
  <c r="D1544" i="9"/>
  <c r="D1543" i="9"/>
  <c r="F1541" i="9"/>
  <c r="F1540" i="9"/>
  <c r="A1540" i="9"/>
  <c r="B1539" i="9"/>
  <c r="E1539" i="9" s="1"/>
  <c r="B1538" i="9"/>
  <c r="E1538" i="9" s="1"/>
  <c r="C1537" i="9"/>
  <c r="D1536" i="9"/>
  <c r="D1535" i="9"/>
  <c r="F1534" i="9"/>
  <c r="B1534" i="9"/>
  <c r="E1534" i="9" s="1"/>
  <c r="D1533" i="9"/>
  <c r="F1532" i="9"/>
  <c r="B1532" i="9"/>
  <c r="E1532" i="9" s="1"/>
  <c r="D1531" i="9"/>
  <c r="F1530" i="9"/>
  <c r="B1530" i="9"/>
  <c r="E1530" i="9" s="1"/>
  <c r="D1529" i="9"/>
  <c r="F1528" i="9"/>
  <c r="B1528" i="9"/>
  <c r="E1528" i="9" s="1"/>
  <c r="D1527" i="9"/>
  <c r="F1526" i="9"/>
  <c r="B1526" i="9"/>
  <c r="E1526" i="9" s="1"/>
  <c r="D1525" i="9"/>
  <c r="F1524" i="9"/>
  <c r="B1524" i="9"/>
  <c r="E1524" i="9" s="1"/>
  <c r="D1523" i="9"/>
  <c r="F1522" i="9"/>
  <c r="B1522" i="9"/>
  <c r="E1522" i="9" s="1"/>
  <c r="D1521" i="9"/>
  <c r="F1520" i="9"/>
  <c r="B1520" i="9"/>
  <c r="E1520" i="9" s="1"/>
  <c r="D1519" i="9"/>
  <c r="F1518" i="9"/>
  <c r="B1518" i="9"/>
  <c r="E1518" i="9" s="1"/>
  <c r="D1517" i="9"/>
  <c r="F1516" i="9"/>
  <c r="B1516" i="9"/>
  <c r="E1516" i="9" s="1"/>
  <c r="D1515" i="9"/>
  <c r="F1514" i="9"/>
  <c r="B1514" i="9"/>
  <c r="E1514" i="9" s="1"/>
  <c r="D1513" i="9"/>
  <c r="F1512" i="9"/>
  <c r="B1512" i="9"/>
  <c r="E1512" i="9" s="1"/>
  <c r="D1511" i="9"/>
  <c r="F1510" i="9"/>
  <c r="B1510" i="9"/>
  <c r="E1510" i="9" s="1"/>
  <c r="D1509" i="9"/>
  <c r="F1508" i="9"/>
  <c r="B1508" i="9"/>
  <c r="E1508" i="9" s="1"/>
  <c r="D1507" i="9"/>
  <c r="F1506" i="9"/>
  <c r="B1506" i="9"/>
  <c r="E1506" i="9" s="1"/>
  <c r="D1505" i="9"/>
  <c r="F1504" i="9"/>
  <c r="B1504" i="9"/>
  <c r="E1504" i="9" s="1"/>
  <c r="D1503" i="9"/>
  <c r="F1502" i="9"/>
  <c r="B1502" i="9"/>
  <c r="E1502" i="9" s="1"/>
  <c r="D1501" i="9"/>
  <c r="F1500" i="9"/>
  <c r="B1500" i="9"/>
  <c r="E1500" i="9" s="1"/>
  <c r="D1499" i="9"/>
  <c r="F1498" i="9"/>
  <c r="B1498" i="9"/>
  <c r="E1498" i="9" s="1"/>
  <c r="D1497" i="9"/>
  <c r="F1496" i="9"/>
  <c r="B1496" i="9"/>
  <c r="E1496" i="9" s="1"/>
  <c r="D1495" i="9"/>
  <c r="F1494" i="9"/>
  <c r="B1494" i="9"/>
  <c r="E1494" i="9" s="1"/>
  <c r="D1493" i="9"/>
  <c r="F1492" i="9"/>
  <c r="B1492" i="9"/>
  <c r="E1492" i="9" s="1"/>
  <c r="D1491" i="9"/>
  <c r="F1490" i="9"/>
  <c r="B1490" i="9"/>
  <c r="E1490" i="9" s="1"/>
  <c r="D1489" i="9"/>
  <c r="F1488" i="9"/>
  <c r="B1488" i="9"/>
  <c r="E1488" i="9" s="1"/>
  <c r="D1487" i="9"/>
  <c r="F1486" i="9"/>
  <c r="B1486" i="9"/>
  <c r="E1486" i="9" s="1"/>
  <c r="D1485" i="9"/>
  <c r="F1484" i="9"/>
  <c r="B1484" i="9"/>
  <c r="E1484" i="9" s="1"/>
  <c r="D1483" i="9"/>
  <c r="F1482" i="9"/>
  <c r="B1482" i="9"/>
  <c r="E1482" i="9" s="1"/>
  <c r="D1481" i="9"/>
  <c r="F1480" i="9"/>
  <c r="B1480" i="9"/>
  <c r="E1480" i="9" s="1"/>
  <c r="D1479" i="9"/>
  <c r="F1478" i="9"/>
  <c r="B1478" i="9"/>
  <c r="E1478" i="9" s="1"/>
  <c r="D1477" i="9"/>
  <c r="F1476" i="9"/>
  <c r="B1476" i="9"/>
  <c r="E1476" i="9" s="1"/>
  <c r="D1475" i="9"/>
  <c r="F1474" i="9"/>
  <c r="B1474" i="9"/>
  <c r="E1474" i="9" s="1"/>
  <c r="D1473" i="9"/>
  <c r="F1472" i="9"/>
  <c r="B1472" i="9"/>
  <c r="E1472" i="9" s="1"/>
  <c r="D1471" i="9"/>
  <c r="F1470" i="9"/>
  <c r="B1470" i="9"/>
  <c r="E1470" i="9" s="1"/>
  <c r="D1469" i="9"/>
  <c r="F1468" i="9"/>
  <c r="B1468" i="9"/>
  <c r="E1468" i="9" s="1"/>
  <c r="D1467" i="9"/>
  <c r="F1466" i="9"/>
  <c r="B1466" i="9"/>
  <c r="E1466" i="9" s="1"/>
  <c r="D1465" i="9"/>
  <c r="F1464" i="9"/>
  <c r="B1464" i="9"/>
  <c r="E1464" i="9" s="1"/>
  <c r="D1463" i="9"/>
  <c r="F1462" i="9"/>
  <c r="B1462" i="9"/>
  <c r="E1462" i="9" s="1"/>
  <c r="D1461" i="9"/>
  <c r="F1460" i="9"/>
  <c r="B1460" i="9"/>
  <c r="E1460" i="9" s="1"/>
  <c r="D1459" i="9"/>
  <c r="F1458" i="9"/>
  <c r="B1458" i="9"/>
  <c r="E1458" i="9" s="1"/>
  <c r="D1457" i="9"/>
  <c r="F1456" i="9"/>
  <c r="B1456" i="9"/>
  <c r="E1456" i="9" s="1"/>
  <c r="D1455" i="9"/>
  <c r="F1454" i="9"/>
  <c r="B1454" i="9"/>
  <c r="E1454" i="9" s="1"/>
  <c r="D1453" i="9"/>
  <c r="F1452" i="9"/>
  <c r="B1452" i="9"/>
  <c r="E1452" i="9" s="1"/>
  <c r="D1451" i="9"/>
  <c r="F1450" i="9"/>
  <c r="B1450" i="9"/>
  <c r="E1450" i="9" s="1"/>
  <c r="D1449" i="9"/>
  <c r="F1448" i="9"/>
  <c r="B1448" i="9"/>
  <c r="E1448" i="9" s="1"/>
  <c r="D1447" i="9"/>
  <c r="F1446" i="9"/>
  <c r="B1446" i="9"/>
  <c r="E1446" i="9" s="1"/>
  <c r="D1445" i="9"/>
  <c r="F1444" i="9"/>
  <c r="B1444" i="9"/>
  <c r="E1444" i="9" s="1"/>
  <c r="D1443" i="9"/>
  <c r="F1442" i="9"/>
  <c r="B1442" i="9"/>
  <c r="E1442" i="9" s="1"/>
  <c r="D1441" i="9"/>
  <c r="F1440" i="9"/>
  <c r="B1440" i="9"/>
  <c r="E1440" i="9" s="1"/>
  <c r="D1439" i="9"/>
  <c r="F1438" i="9"/>
  <c r="B1438" i="9"/>
  <c r="E1438" i="9" s="1"/>
  <c r="D1437" i="9"/>
  <c r="F1436" i="9"/>
  <c r="B1436" i="9"/>
  <c r="E1436" i="9" s="1"/>
  <c r="D1435" i="9"/>
  <c r="F1434" i="9"/>
  <c r="B1434" i="9"/>
  <c r="E1434" i="9" s="1"/>
  <c r="D1433" i="9"/>
  <c r="F1432" i="9"/>
  <c r="B1432" i="9"/>
  <c r="E1432" i="9" s="1"/>
  <c r="D1431" i="9"/>
  <c r="F1430" i="9"/>
  <c r="B1430" i="9"/>
  <c r="E1430" i="9" s="1"/>
  <c r="D1429" i="9"/>
  <c r="F1428" i="9"/>
  <c r="B1428" i="9"/>
  <c r="E1428" i="9" s="1"/>
  <c r="D1427" i="9"/>
  <c r="F1426" i="9"/>
  <c r="B1426" i="9"/>
  <c r="E1426" i="9" s="1"/>
  <c r="D1425" i="9"/>
  <c r="F1424" i="9"/>
  <c r="B1424" i="9"/>
  <c r="E1424" i="9" s="1"/>
  <c r="D1423" i="9"/>
  <c r="F1422" i="9"/>
  <c r="B1422" i="9"/>
  <c r="E1422" i="9" s="1"/>
  <c r="D1421" i="9"/>
  <c r="F1420" i="9"/>
  <c r="B1420" i="9"/>
  <c r="E1420" i="9" s="1"/>
  <c r="D1419" i="9"/>
  <c r="F1418" i="9"/>
  <c r="B1418" i="9"/>
  <c r="E1418" i="9" s="1"/>
  <c r="D1417" i="9"/>
  <c r="F1416" i="9"/>
  <c r="B1416" i="9"/>
  <c r="E1416" i="9" s="1"/>
  <c r="D1415" i="9"/>
  <c r="F1414" i="9"/>
  <c r="B1414" i="9"/>
  <c r="E1414" i="9" s="1"/>
  <c r="D1413" i="9"/>
  <c r="F1412" i="9"/>
  <c r="B1412" i="9"/>
  <c r="E1412" i="9" s="1"/>
  <c r="D1411" i="9"/>
  <c r="F1410" i="9"/>
  <c r="B1410" i="9"/>
  <c r="E1410" i="9" s="1"/>
  <c r="D1409" i="9"/>
  <c r="F1408" i="9"/>
  <c r="B1408" i="9"/>
  <c r="E1408" i="9" s="1"/>
  <c r="D1407" i="9"/>
  <c r="F1406" i="9"/>
  <c r="B1406" i="9"/>
  <c r="E1406" i="9" s="1"/>
  <c r="D1405" i="9"/>
  <c r="F1404" i="9"/>
  <c r="B1404" i="9"/>
  <c r="E1404" i="9" s="1"/>
  <c r="D1403" i="9"/>
  <c r="F1402" i="9"/>
  <c r="B1402" i="9"/>
  <c r="E1402" i="9" s="1"/>
  <c r="D1401" i="9"/>
  <c r="F1400" i="9"/>
  <c r="B1400" i="9"/>
  <c r="E1400" i="9" s="1"/>
  <c r="D1399" i="9"/>
  <c r="F1398" i="9"/>
  <c r="B1398" i="9"/>
  <c r="E1398" i="9" s="1"/>
  <c r="D1397" i="9"/>
  <c r="F1396" i="9"/>
  <c r="B1396" i="9"/>
  <c r="E1396" i="9" s="1"/>
  <c r="D1395" i="9"/>
  <c r="F1394" i="9"/>
  <c r="B1394" i="9"/>
  <c r="E1394" i="9" s="1"/>
  <c r="D1393" i="9"/>
  <c r="F1392" i="9"/>
  <c r="B1392" i="9"/>
  <c r="E1392" i="9" s="1"/>
  <c r="D1391" i="9"/>
  <c r="F1390" i="9"/>
  <c r="B1390" i="9"/>
  <c r="E1390" i="9" s="1"/>
  <c r="D1389" i="9"/>
  <c r="F1388" i="9"/>
  <c r="B1388" i="9"/>
  <c r="E1388" i="9" s="1"/>
  <c r="D1387" i="9"/>
  <c r="F1386" i="9"/>
  <c r="B1386" i="9"/>
  <c r="E1386" i="9" s="1"/>
  <c r="D1385" i="9"/>
  <c r="F1384" i="9"/>
  <c r="B1384" i="9"/>
  <c r="E1384" i="9" s="1"/>
  <c r="D1383" i="9"/>
  <c r="F1382" i="9"/>
  <c r="B1382" i="9"/>
  <c r="E1382" i="9" s="1"/>
  <c r="D1381" i="9"/>
  <c r="F1380" i="9"/>
  <c r="B1380" i="9"/>
  <c r="E1380" i="9" s="1"/>
  <c r="D1379" i="9"/>
  <c r="F1378" i="9"/>
  <c r="B1378" i="9"/>
  <c r="E1378" i="9" s="1"/>
  <c r="D1377" i="9"/>
  <c r="F1376" i="9"/>
  <c r="B1376" i="9"/>
  <c r="E1376" i="9" s="1"/>
  <c r="D1375" i="9"/>
  <c r="F1374" i="9"/>
  <c r="B1374" i="9"/>
  <c r="E1374" i="9" s="1"/>
  <c r="D1373" i="9"/>
  <c r="F1372" i="9"/>
  <c r="B1372" i="9"/>
  <c r="E1372" i="9" s="1"/>
  <c r="D1371" i="9"/>
  <c r="F1370" i="9"/>
  <c r="B1370" i="9"/>
  <c r="E1370" i="9" s="1"/>
  <c r="D1369" i="9"/>
  <c r="F1368" i="9"/>
  <c r="B1368" i="9"/>
  <c r="E1368" i="9" s="1"/>
  <c r="D1367" i="9"/>
  <c r="F1366" i="9"/>
  <c r="B1366" i="9"/>
  <c r="E1366" i="9" s="1"/>
  <c r="D1365" i="9"/>
  <c r="F1364" i="9"/>
  <c r="B1364" i="9"/>
  <c r="E1364" i="9" s="1"/>
  <c r="D1363" i="9"/>
  <c r="F1362" i="9"/>
  <c r="B1362" i="9"/>
  <c r="E1362" i="9" s="1"/>
  <c r="D1361" i="9"/>
  <c r="F1360" i="9"/>
  <c r="B1360" i="9"/>
  <c r="E1360" i="9" s="1"/>
  <c r="D1359" i="9"/>
  <c r="F1358" i="9"/>
  <c r="B1358" i="9"/>
  <c r="E1358" i="9" s="1"/>
  <c r="D1357" i="9"/>
  <c r="F1356" i="9"/>
  <c r="B1356" i="9"/>
  <c r="E1356" i="9" s="1"/>
  <c r="D1355" i="9"/>
  <c r="F1354" i="9"/>
  <c r="B1354" i="9"/>
  <c r="E1354" i="9" s="1"/>
  <c r="D1353" i="9"/>
  <c r="F1352" i="9"/>
  <c r="B1352" i="9"/>
  <c r="E1352" i="9" s="1"/>
  <c r="D1351" i="9"/>
  <c r="F1350" i="9"/>
  <c r="B1350" i="9"/>
  <c r="E1350" i="9" s="1"/>
  <c r="D1349" i="9"/>
  <c r="F1348" i="9"/>
  <c r="B1348" i="9"/>
  <c r="E1348" i="9" s="1"/>
  <c r="D1347" i="9"/>
  <c r="F1346" i="9"/>
  <c r="B1346" i="9"/>
  <c r="E1346" i="9" s="1"/>
  <c r="D1345" i="9"/>
  <c r="F1344" i="9"/>
  <c r="B1344" i="9"/>
  <c r="E1344" i="9" s="1"/>
  <c r="D1343" i="9"/>
  <c r="F1342" i="9"/>
  <c r="B1342" i="9"/>
  <c r="E1342" i="9" s="1"/>
  <c r="D1341" i="9"/>
  <c r="F1340" i="9"/>
  <c r="B1340" i="9"/>
  <c r="E1340" i="9" s="1"/>
  <c r="D1339" i="9"/>
  <c r="F1338" i="9"/>
  <c r="B1338" i="9"/>
  <c r="E1338" i="9" s="1"/>
  <c r="D1337" i="9"/>
  <c r="F1336" i="9"/>
  <c r="B1336" i="9"/>
  <c r="E1336" i="9" s="1"/>
  <c r="D1335" i="9"/>
  <c r="F1334" i="9"/>
  <c r="B1334" i="9"/>
  <c r="E1334" i="9" s="1"/>
  <c r="D1333" i="9"/>
  <c r="F1332" i="9"/>
  <c r="B1332" i="9"/>
  <c r="E1332" i="9" s="1"/>
  <c r="D1331" i="9"/>
  <c r="F1330" i="9"/>
  <c r="B1330" i="9"/>
  <c r="E1330" i="9" s="1"/>
  <c r="D1329" i="9"/>
  <c r="F1328" i="9"/>
  <c r="B1328" i="9"/>
  <c r="E1328" i="9" s="1"/>
  <c r="D1327" i="9"/>
  <c r="F1326" i="9"/>
  <c r="B1326" i="9"/>
  <c r="E1326" i="9" s="1"/>
  <c r="D1325" i="9"/>
  <c r="F1324" i="9"/>
  <c r="B1324" i="9"/>
  <c r="E1324" i="9" s="1"/>
  <c r="D1323" i="9"/>
  <c r="F1322" i="9"/>
  <c r="B1322" i="9"/>
  <c r="E1322" i="9" s="1"/>
  <c r="D1321" i="9"/>
  <c r="F1320" i="9"/>
  <c r="B1320" i="9"/>
  <c r="E1320" i="9" s="1"/>
  <c r="D1319" i="9"/>
  <c r="F1318" i="9"/>
  <c r="B1318" i="9"/>
  <c r="E1318" i="9" s="1"/>
  <c r="D1317" i="9"/>
  <c r="F1316" i="9"/>
  <c r="B1316" i="9"/>
  <c r="E1316" i="9" s="1"/>
  <c r="D1315" i="9"/>
  <c r="F1314" i="9"/>
  <c r="B1314" i="9"/>
  <c r="E1314" i="9" s="1"/>
  <c r="D1313" i="9"/>
  <c r="F1312" i="9"/>
  <c r="B1312" i="9"/>
  <c r="E1312" i="9" s="1"/>
  <c r="D1311" i="9"/>
  <c r="F1310" i="9"/>
  <c r="B1310" i="9"/>
  <c r="E1310" i="9" s="1"/>
  <c r="D1309" i="9"/>
  <c r="F1308" i="9"/>
  <c r="B1308" i="9"/>
  <c r="E1308" i="9" s="1"/>
  <c r="D1307" i="9"/>
  <c r="F1306" i="9"/>
  <c r="B1306" i="9"/>
  <c r="E1306" i="9" s="1"/>
  <c r="D1305" i="9"/>
  <c r="F1304" i="9"/>
  <c r="B1304" i="9"/>
  <c r="E1304" i="9" s="1"/>
  <c r="D1303" i="9"/>
  <c r="F1302" i="9"/>
  <c r="B1302" i="9"/>
  <c r="E1302" i="9" s="1"/>
  <c r="D1301" i="9"/>
  <c r="F1300" i="9"/>
  <c r="B1300" i="9"/>
  <c r="E1300" i="9" s="1"/>
  <c r="D1299" i="9"/>
  <c r="F1298" i="9"/>
  <c r="B1298" i="9"/>
  <c r="E1298" i="9" s="1"/>
  <c r="D1297" i="9"/>
  <c r="F1296" i="9"/>
  <c r="B1296" i="9"/>
  <c r="E1296" i="9" s="1"/>
  <c r="D1295" i="9"/>
  <c r="D1999" i="9"/>
  <c r="B1994" i="9"/>
  <c r="E1994" i="9" s="1"/>
  <c r="C1991" i="9"/>
  <c r="D1988" i="9"/>
  <c r="F1985" i="9"/>
  <c r="D1982" i="9"/>
  <c r="A1980" i="9"/>
  <c r="C1977" i="9"/>
  <c r="B1974" i="9"/>
  <c r="E1974" i="9" s="1"/>
  <c r="D1971" i="9"/>
  <c r="B1969" i="9"/>
  <c r="E1969" i="9" s="1"/>
  <c r="F1965" i="9"/>
  <c r="B1963" i="9"/>
  <c r="E1963" i="9" s="1"/>
  <c r="D1960" i="9"/>
  <c r="C1957" i="9"/>
  <c r="F1954" i="9"/>
  <c r="B1952" i="9"/>
  <c r="E1952" i="9" s="1"/>
  <c r="F1948" i="9"/>
  <c r="B1946" i="9"/>
  <c r="E1946" i="9" s="1"/>
  <c r="A1944" i="9"/>
  <c r="A1938" i="9"/>
  <c r="B1935" i="9"/>
  <c r="E1935" i="9" s="1"/>
  <c r="A1932" i="9"/>
  <c r="F1929" i="9"/>
  <c r="F1923" i="9"/>
  <c r="F1920" i="9"/>
  <c r="D1918" i="9"/>
  <c r="D1915" i="9"/>
  <c r="D1912" i="9"/>
  <c r="F1909" i="9"/>
  <c r="B1904" i="9"/>
  <c r="E1904" i="9" s="1"/>
  <c r="D1901" i="9"/>
  <c r="B1898" i="9"/>
  <c r="E1898" i="9" s="1"/>
  <c r="D1895" i="9"/>
  <c r="C1893" i="9"/>
  <c r="A1890" i="9"/>
  <c r="C1887" i="9"/>
  <c r="C1881" i="9"/>
  <c r="B1879" i="9"/>
  <c r="E1879" i="9" s="1"/>
  <c r="D1876" i="9"/>
  <c r="B1873" i="9"/>
  <c r="E1873" i="9" s="1"/>
  <c r="D1870" i="9"/>
  <c r="A1868" i="9"/>
  <c r="F1864" i="9"/>
  <c r="B1862" i="9"/>
  <c r="E1862" i="9" s="1"/>
  <c r="B1859" i="9"/>
  <c r="E1859" i="9" s="1"/>
  <c r="B1856" i="9"/>
  <c r="E1856" i="9" s="1"/>
  <c r="F1853" i="9"/>
  <c r="F1850" i="9"/>
  <c r="D1848" i="9"/>
  <c r="B1846" i="9"/>
  <c r="E1846" i="9" s="1"/>
  <c r="D1844" i="9"/>
  <c r="B1842" i="9"/>
  <c r="E1842" i="9" s="1"/>
  <c r="A1840" i="9"/>
  <c r="A1838" i="9"/>
  <c r="D1835" i="9"/>
  <c r="F1833" i="9"/>
  <c r="F1831" i="9"/>
  <c r="C1829" i="9"/>
  <c r="C1827" i="9"/>
  <c r="D1825" i="9"/>
  <c r="B1823" i="9"/>
  <c r="E1823" i="9" s="1"/>
  <c r="B1821" i="9"/>
  <c r="E1821" i="9" s="1"/>
  <c r="B1819" i="9"/>
  <c r="E1819" i="9" s="1"/>
  <c r="F1814" i="9"/>
  <c r="F1812" i="9"/>
  <c r="D1810" i="9"/>
  <c r="D1808" i="9"/>
  <c r="B1804" i="9"/>
  <c r="E1804" i="9" s="1"/>
  <c r="B1802" i="9"/>
  <c r="E1802" i="9" s="1"/>
  <c r="A1800" i="9"/>
  <c r="F1797" i="9"/>
  <c r="A1796" i="9"/>
  <c r="F1793" i="9"/>
  <c r="D1791" i="9"/>
  <c r="C1789" i="9"/>
  <c r="D1787" i="9"/>
  <c r="C1785" i="9"/>
  <c r="B1783" i="9"/>
  <c r="E1783" i="9" s="1"/>
  <c r="B1781" i="9"/>
  <c r="E1781" i="9" s="1"/>
  <c r="F1776" i="9"/>
  <c r="F1774" i="9"/>
  <c r="D1772" i="9"/>
  <c r="D1770" i="9"/>
  <c r="B1766" i="9"/>
  <c r="E1766" i="9" s="1"/>
  <c r="B1764" i="9"/>
  <c r="E1764" i="9" s="1"/>
  <c r="B1762" i="9"/>
  <c r="E1762" i="9" s="1"/>
  <c r="F1759" i="9"/>
  <c r="A1758" i="9"/>
  <c r="A1756" i="9"/>
  <c r="D1753" i="9"/>
  <c r="D1751" i="9"/>
  <c r="F1749" i="9"/>
  <c r="C1747" i="9"/>
  <c r="C1745" i="9"/>
  <c r="B1743" i="9"/>
  <c r="E1743" i="9" s="1"/>
  <c r="F1740" i="9"/>
  <c r="B1739" i="9"/>
  <c r="E1739" i="9" s="1"/>
  <c r="F1736" i="9"/>
  <c r="D1732" i="9"/>
  <c r="D1728" i="9"/>
  <c r="B1726" i="9"/>
  <c r="E1726" i="9" s="1"/>
  <c r="B1724" i="9"/>
  <c r="E1724" i="9" s="1"/>
  <c r="F1721" i="9"/>
  <c r="A1720" i="9"/>
  <c r="A1718" i="9"/>
  <c r="D1715" i="9"/>
  <c r="D1713" i="9"/>
  <c r="F1711" i="9"/>
  <c r="C1709" i="9"/>
  <c r="C1707" i="9"/>
  <c r="C1705" i="9"/>
  <c r="F1702" i="9"/>
  <c r="B1701" i="9"/>
  <c r="E1701" i="9" s="1"/>
  <c r="B1699" i="9"/>
  <c r="E1699" i="9" s="1"/>
  <c r="F1692" i="9"/>
  <c r="D1690" i="9"/>
  <c r="D1688" i="9"/>
  <c r="D1686" i="9"/>
  <c r="C1683" i="9"/>
  <c r="F1681" i="9"/>
  <c r="A1680" i="9"/>
  <c r="D1678" i="9"/>
  <c r="B1677" i="9"/>
  <c r="E1677" i="9" s="1"/>
  <c r="C1675" i="9"/>
  <c r="F1673" i="9"/>
  <c r="B1672" i="9"/>
  <c r="E1672" i="9" s="1"/>
  <c r="D1670" i="9"/>
  <c r="B1669" i="9"/>
  <c r="E1669" i="9" s="1"/>
  <c r="D1667" i="9"/>
  <c r="F1665" i="9"/>
  <c r="B1664" i="9"/>
  <c r="E1664" i="9" s="1"/>
  <c r="F1662" i="9"/>
  <c r="B1661" i="9"/>
  <c r="E1661" i="9" s="1"/>
  <c r="D1659" i="9"/>
  <c r="A1658" i="9"/>
  <c r="B1656" i="9"/>
  <c r="E1656" i="9" s="1"/>
  <c r="F1654" i="9"/>
  <c r="C1653" i="9"/>
  <c r="D1651" i="9"/>
  <c r="A1650" i="9"/>
  <c r="F1646" i="9"/>
  <c r="C1645" i="9"/>
  <c r="F1643" i="9"/>
  <c r="A1642" i="9"/>
  <c r="B1639" i="9"/>
  <c r="E1639" i="9" s="1"/>
  <c r="C1637" i="9"/>
  <c r="F1635" i="9"/>
  <c r="D1634" i="9"/>
  <c r="B1631" i="9"/>
  <c r="E1631" i="9" s="1"/>
  <c r="D1629" i="9"/>
  <c r="F1627" i="9"/>
  <c r="D1626" i="9"/>
  <c r="F1624" i="9"/>
  <c r="B1623" i="9"/>
  <c r="E1623" i="9" s="1"/>
  <c r="D1621" i="9"/>
  <c r="B1620" i="9"/>
  <c r="E1620" i="9" s="1"/>
  <c r="D1618" i="9"/>
  <c r="F1616" i="9"/>
  <c r="C1615" i="9"/>
  <c r="D1613" i="9"/>
  <c r="B1612" i="9"/>
  <c r="E1612" i="9" s="1"/>
  <c r="F1608" i="9"/>
  <c r="C1607" i="9"/>
  <c r="A1606" i="9"/>
  <c r="B1604" i="9"/>
  <c r="E1604" i="9" s="1"/>
  <c r="B1601" i="9"/>
  <c r="E1601" i="9" s="1"/>
  <c r="C1599" i="9"/>
  <c r="A1598" i="9"/>
  <c r="D1596" i="9"/>
  <c r="F1594" i="9"/>
  <c r="F1593" i="9"/>
  <c r="C1591" i="9"/>
  <c r="B1590" i="9"/>
  <c r="E1590" i="9" s="1"/>
  <c r="B1589" i="9"/>
  <c r="E1589" i="9" s="1"/>
  <c r="F1587" i="9"/>
  <c r="D1585" i="9"/>
  <c r="B1584" i="9"/>
  <c r="E1584" i="9" s="1"/>
  <c r="B1583" i="9"/>
  <c r="E1583" i="9" s="1"/>
  <c r="A1582" i="9"/>
  <c r="D1579" i="9"/>
  <c r="D1578" i="9"/>
  <c r="B1577" i="9"/>
  <c r="E1577" i="9" s="1"/>
  <c r="A1576" i="9"/>
  <c r="F1574" i="9"/>
  <c r="D1573" i="9"/>
  <c r="D1572" i="9"/>
  <c r="C1571" i="9"/>
  <c r="A1570" i="9"/>
  <c r="F1568" i="9"/>
  <c r="F1567" i="9"/>
  <c r="D1566" i="9"/>
  <c r="C1565" i="9"/>
  <c r="B1564" i="9"/>
  <c r="E1564" i="9" s="1"/>
  <c r="F1562" i="9"/>
  <c r="F1561" i="9"/>
  <c r="C1559" i="9"/>
  <c r="B1558" i="9"/>
  <c r="E1558" i="9" s="1"/>
  <c r="B1557" i="9"/>
  <c r="E1557" i="9" s="1"/>
  <c r="F1555" i="9"/>
  <c r="D1553" i="9"/>
  <c r="B1552" i="9"/>
  <c r="E1552" i="9" s="1"/>
  <c r="B1551" i="9"/>
  <c r="E1551" i="9" s="1"/>
  <c r="A1550" i="9"/>
  <c r="D1547" i="9"/>
  <c r="D1546" i="9"/>
  <c r="B1545" i="9"/>
  <c r="E1545" i="9" s="1"/>
  <c r="A1544" i="9"/>
  <c r="F1542" i="9"/>
  <c r="D1541" i="9"/>
  <c r="D1540" i="9"/>
  <c r="C1539" i="9"/>
  <c r="A1538" i="9"/>
  <c r="F1536" i="9"/>
  <c r="F1535" i="9"/>
  <c r="F1533" i="9"/>
  <c r="A1533" i="9"/>
  <c r="A1532" i="9"/>
  <c r="B1531" i="9"/>
  <c r="E1531" i="9" s="1"/>
  <c r="C1530" i="9"/>
  <c r="C1529" i="9"/>
  <c r="D1528" i="9"/>
  <c r="F1525" i="9"/>
  <c r="A1525" i="9"/>
  <c r="A1524" i="9"/>
  <c r="B1523" i="9"/>
  <c r="E1523" i="9" s="1"/>
  <c r="C1522" i="9"/>
  <c r="C1521" i="9"/>
  <c r="D1520" i="9"/>
  <c r="F1517" i="9"/>
  <c r="A1517" i="9"/>
  <c r="A1516" i="9"/>
  <c r="B1515" i="9"/>
  <c r="E1515" i="9" s="1"/>
  <c r="C1514" i="9"/>
  <c r="C1513" i="9"/>
  <c r="D1512" i="9"/>
  <c r="F1509" i="9"/>
  <c r="A1509" i="9"/>
  <c r="A1508" i="9"/>
  <c r="B1507" i="9"/>
  <c r="E1507" i="9" s="1"/>
  <c r="C1506" i="9"/>
  <c r="C1505" i="9"/>
  <c r="D1504" i="9"/>
  <c r="F1501" i="9"/>
  <c r="A1501" i="9"/>
  <c r="A1500" i="9"/>
  <c r="B1499" i="9"/>
  <c r="E1499" i="9" s="1"/>
  <c r="C1498" i="9"/>
  <c r="C1497" i="9"/>
  <c r="D1496" i="9"/>
  <c r="F1493" i="9"/>
  <c r="A1493" i="9"/>
  <c r="A1492" i="9"/>
  <c r="B1491" i="9"/>
  <c r="E1491" i="9" s="1"/>
  <c r="C1490" i="9"/>
  <c r="C1489" i="9"/>
  <c r="D1488" i="9"/>
  <c r="F1485" i="9"/>
  <c r="A1485" i="9"/>
  <c r="A1484" i="9"/>
  <c r="B1483" i="9"/>
  <c r="E1483" i="9" s="1"/>
  <c r="C1482" i="9"/>
  <c r="C1481" i="9"/>
  <c r="D1480" i="9"/>
  <c r="F1477" i="9"/>
  <c r="A1477" i="9"/>
  <c r="A1476" i="9"/>
  <c r="B1475" i="9"/>
  <c r="E1475" i="9" s="1"/>
  <c r="C1474" i="9"/>
  <c r="C1473" i="9"/>
  <c r="D1472" i="9"/>
  <c r="F1469" i="9"/>
  <c r="A1469" i="9"/>
  <c r="A1468" i="9"/>
  <c r="B1467" i="9"/>
  <c r="E1467" i="9" s="1"/>
  <c r="C1466" i="9"/>
  <c r="C1465" i="9"/>
  <c r="D1464" i="9"/>
  <c r="F1461" i="9"/>
  <c r="A1461" i="9"/>
  <c r="A1460" i="9"/>
  <c r="B1459" i="9"/>
  <c r="E1459" i="9" s="1"/>
  <c r="C1458" i="9"/>
  <c r="C1457" i="9"/>
  <c r="D1456" i="9"/>
  <c r="F1453" i="9"/>
  <c r="A1453" i="9"/>
  <c r="A1452" i="9"/>
  <c r="B1451" i="9"/>
  <c r="E1451" i="9" s="1"/>
  <c r="C1450" i="9"/>
  <c r="C1449" i="9"/>
  <c r="D1448" i="9"/>
  <c r="F1445" i="9"/>
  <c r="A1445" i="9"/>
  <c r="A1444" i="9"/>
  <c r="B1443" i="9"/>
  <c r="E1443" i="9" s="1"/>
  <c r="C1442" i="9"/>
  <c r="C1441" i="9"/>
  <c r="D1440" i="9"/>
  <c r="F1437" i="9"/>
  <c r="A1437" i="9"/>
  <c r="A1436" i="9"/>
  <c r="B1435" i="9"/>
  <c r="E1435" i="9" s="1"/>
  <c r="C1434" i="9"/>
  <c r="C1433" i="9"/>
  <c r="D1432" i="9"/>
  <c r="F1429" i="9"/>
  <c r="A1429" i="9"/>
  <c r="A1428" i="9"/>
  <c r="B1427" i="9"/>
  <c r="E1427" i="9" s="1"/>
  <c r="C1426" i="9"/>
  <c r="C1425" i="9"/>
  <c r="D1424" i="9"/>
  <c r="F1421" i="9"/>
  <c r="A1421" i="9"/>
  <c r="A1420" i="9"/>
  <c r="B1419" i="9"/>
  <c r="E1419" i="9" s="1"/>
  <c r="C1418" i="9"/>
  <c r="C1417" i="9"/>
  <c r="D1416" i="9"/>
  <c r="F1413" i="9"/>
  <c r="A1413" i="9"/>
  <c r="A1412" i="9"/>
  <c r="B1411" i="9"/>
  <c r="E1411" i="9" s="1"/>
  <c r="C1410" i="9"/>
  <c r="C1409" i="9"/>
  <c r="D1408" i="9"/>
  <c r="F1405" i="9"/>
  <c r="A1405" i="9"/>
  <c r="A1404" i="9"/>
  <c r="B1403" i="9"/>
  <c r="E1403" i="9" s="1"/>
  <c r="C1402" i="9"/>
  <c r="C1401" i="9"/>
  <c r="D1400" i="9"/>
  <c r="F1397" i="9"/>
  <c r="A1397" i="9"/>
  <c r="A1396" i="9"/>
  <c r="B1395" i="9"/>
  <c r="E1395" i="9" s="1"/>
  <c r="C1394" i="9"/>
  <c r="C1393" i="9"/>
  <c r="D1392" i="9"/>
  <c r="F1389" i="9"/>
  <c r="A1389" i="9"/>
  <c r="A1388" i="9"/>
  <c r="B1387" i="9"/>
  <c r="E1387" i="9" s="1"/>
  <c r="C1386" i="9"/>
  <c r="C1385" i="9"/>
  <c r="D1384" i="9"/>
  <c r="F1381" i="9"/>
  <c r="A1381" i="9"/>
  <c r="A1380" i="9"/>
  <c r="B1379" i="9"/>
  <c r="E1379" i="9" s="1"/>
  <c r="C1378" i="9"/>
  <c r="C1377" i="9"/>
  <c r="D1376" i="9"/>
  <c r="F1373" i="9"/>
  <c r="A1373" i="9"/>
  <c r="A1372" i="9"/>
  <c r="B1371" i="9"/>
  <c r="E1371" i="9" s="1"/>
  <c r="C1370" i="9"/>
  <c r="C1369" i="9"/>
  <c r="D1368" i="9"/>
  <c r="F1365" i="9"/>
  <c r="A1365" i="9"/>
  <c r="A1364" i="9"/>
  <c r="B1363" i="9"/>
  <c r="E1363" i="9" s="1"/>
  <c r="C1362" i="9"/>
  <c r="C1361" i="9"/>
  <c r="D1360" i="9"/>
  <c r="F1357" i="9"/>
  <c r="A1357" i="9"/>
  <c r="A1356" i="9"/>
  <c r="B1355" i="9"/>
  <c r="E1355" i="9" s="1"/>
  <c r="C1354" i="9"/>
  <c r="C1353" i="9"/>
  <c r="D1352" i="9"/>
  <c r="F1349" i="9"/>
  <c r="A1349" i="9"/>
  <c r="A1348" i="9"/>
  <c r="B1347" i="9"/>
  <c r="E1347" i="9" s="1"/>
  <c r="C1346" i="9"/>
  <c r="C1345" i="9"/>
  <c r="D1344" i="9"/>
  <c r="F1341" i="9"/>
  <c r="A1341" i="9"/>
  <c r="A1340" i="9"/>
  <c r="B1339" i="9"/>
  <c r="E1339" i="9" s="1"/>
  <c r="C1338" i="9"/>
  <c r="C1337" i="9"/>
  <c r="D1336" i="9"/>
  <c r="F1333" i="9"/>
  <c r="A1333" i="9"/>
  <c r="A1332" i="9"/>
  <c r="B1331" i="9"/>
  <c r="E1331" i="9" s="1"/>
  <c r="C1330" i="9"/>
  <c r="C1329" i="9"/>
  <c r="D1328" i="9"/>
  <c r="F1325" i="9"/>
  <c r="A1325" i="9"/>
  <c r="A1324" i="9"/>
  <c r="B1323" i="9"/>
  <c r="E1323" i="9" s="1"/>
  <c r="C1322" i="9"/>
  <c r="C1321" i="9"/>
  <c r="D1320" i="9"/>
  <c r="F1317" i="9"/>
  <c r="A1317" i="9"/>
  <c r="A1316" i="9"/>
  <c r="B1315" i="9"/>
  <c r="E1315" i="9" s="1"/>
  <c r="C1314" i="9"/>
  <c r="C1313" i="9"/>
  <c r="D1312" i="9"/>
  <c r="F1309" i="9"/>
  <c r="A1309" i="9"/>
  <c r="A1308" i="9"/>
  <c r="B1307" i="9"/>
  <c r="E1307" i="9" s="1"/>
  <c r="C1306" i="9"/>
  <c r="C1305" i="9"/>
  <c r="D1304" i="9"/>
  <c r="F1301" i="9"/>
  <c r="A1301" i="9"/>
  <c r="A1300" i="9"/>
  <c r="B1299" i="9"/>
  <c r="E1299" i="9" s="1"/>
  <c r="C1298" i="9"/>
  <c r="C1297" i="9"/>
  <c r="D1296" i="9"/>
  <c r="F1294" i="9"/>
  <c r="B1294" i="9"/>
  <c r="E1294" i="9" s="1"/>
  <c r="D1293" i="9"/>
  <c r="F1292" i="9"/>
  <c r="B1292" i="9"/>
  <c r="E1292" i="9" s="1"/>
  <c r="D1291" i="9"/>
  <c r="F1290" i="9"/>
  <c r="B1290" i="9"/>
  <c r="E1290" i="9" s="1"/>
  <c r="D1289" i="9"/>
  <c r="F1288" i="9"/>
  <c r="B1288" i="9"/>
  <c r="E1288" i="9" s="1"/>
  <c r="D1287" i="9"/>
  <c r="F1286" i="9"/>
  <c r="B1286" i="9"/>
  <c r="E1286" i="9" s="1"/>
  <c r="D1285" i="9"/>
  <c r="F1284" i="9"/>
  <c r="B1284" i="9"/>
  <c r="E1284" i="9" s="1"/>
  <c r="D1283" i="9"/>
  <c r="F1282" i="9"/>
  <c r="B1282" i="9"/>
  <c r="E1282" i="9" s="1"/>
  <c r="D1281" i="9"/>
  <c r="F1280" i="9"/>
  <c r="B1280" i="9"/>
  <c r="E1280" i="9" s="1"/>
  <c r="D1279" i="9"/>
  <c r="F1278" i="9"/>
  <c r="B1278" i="9"/>
  <c r="E1278" i="9" s="1"/>
  <c r="D1277" i="9"/>
  <c r="F1276" i="9"/>
  <c r="B1276" i="9"/>
  <c r="E1276" i="9" s="1"/>
  <c r="D1275" i="9"/>
  <c r="F1274" i="9"/>
  <c r="B1274" i="9"/>
  <c r="E1274" i="9" s="1"/>
  <c r="D1273" i="9"/>
  <c r="F1272" i="9"/>
  <c r="B1272" i="9"/>
  <c r="E1272" i="9" s="1"/>
  <c r="D1271" i="9"/>
  <c r="F1270" i="9"/>
  <c r="B1270" i="9"/>
  <c r="E1270" i="9" s="1"/>
  <c r="D1269" i="9"/>
  <c r="F1268" i="9"/>
  <c r="B1268" i="9"/>
  <c r="E1268" i="9" s="1"/>
  <c r="D1267" i="9"/>
  <c r="F1266" i="9"/>
  <c r="B1266" i="9"/>
  <c r="E1266" i="9" s="1"/>
  <c r="D1265" i="9"/>
  <c r="F1264" i="9"/>
  <c r="B1264" i="9"/>
  <c r="E1264" i="9" s="1"/>
  <c r="D1263" i="9"/>
  <c r="F1262" i="9"/>
  <c r="B1262" i="9"/>
  <c r="E1262" i="9" s="1"/>
  <c r="D1261" i="9"/>
  <c r="F1260" i="9"/>
  <c r="B1260" i="9"/>
  <c r="E1260" i="9" s="1"/>
  <c r="D1259" i="9"/>
  <c r="F1258" i="9"/>
  <c r="B1258" i="9"/>
  <c r="E1258" i="9" s="1"/>
  <c r="D1257" i="9"/>
  <c r="F1256" i="9"/>
  <c r="B1256" i="9"/>
  <c r="E1256" i="9" s="1"/>
  <c r="D1255" i="9"/>
  <c r="F1254" i="9"/>
  <c r="B1254" i="9"/>
  <c r="E1254" i="9" s="1"/>
  <c r="D1253" i="9"/>
  <c r="F1252" i="9"/>
  <c r="B1252" i="9"/>
  <c r="E1252" i="9" s="1"/>
  <c r="D1251" i="9"/>
  <c r="F1250" i="9"/>
  <c r="B1250" i="9"/>
  <c r="E1250" i="9" s="1"/>
  <c r="D1249" i="9"/>
  <c r="F1248" i="9"/>
  <c r="B1248" i="9"/>
  <c r="E1248" i="9" s="1"/>
  <c r="D1247" i="9"/>
  <c r="F1246" i="9"/>
  <c r="B1246" i="9"/>
  <c r="E1246" i="9" s="1"/>
  <c r="D1245" i="9"/>
  <c r="F1244" i="9"/>
  <c r="B1244" i="9"/>
  <c r="E1244" i="9" s="1"/>
  <c r="D1243" i="9"/>
  <c r="F1242" i="9"/>
  <c r="B1242" i="9"/>
  <c r="E1242" i="9" s="1"/>
  <c r="D1241" i="9"/>
  <c r="F1240" i="9"/>
  <c r="B1240" i="9"/>
  <c r="E1240" i="9" s="1"/>
  <c r="D1239" i="9"/>
  <c r="F1238" i="9"/>
  <c r="B1238" i="9"/>
  <c r="E1238" i="9" s="1"/>
  <c r="D1237" i="9"/>
  <c r="F1236" i="9"/>
  <c r="B1236" i="9"/>
  <c r="E1236" i="9" s="1"/>
  <c r="D1235" i="9"/>
  <c r="F1234" i="9"/>
  <c r="B1234" i="9"/>
  <c r="E1234" i="9" s="1"/>
  <c r="D1233" i="9"/>
  <c r="F1232" i="9"/>
  <c r="B1232" i="9"/>
  <c r="E1232" i="9" s="1"/>
  <c r="D1231" i="9"/>
  <c r="F1230" i="9"/>
  <c r="B1230" i="9"/>
  <c r="E1230" i="9" s="1"/>
  <c r="D1229" i="9"/>
  <c r="F1228" i="9"/>
  <c r="B1228" i="9"/>
  <c r="E1228" i="9" s="1"/>
  <c r="D1227" i="9"/>
  <c r="F1226" i="9"/>
  <c r="B1226" i="9"/>
  <c r="E1226" i="9" s="1"/>
  <c r="D1225" i="9"/>
  <c r="F1224" i="9"/>
  <c r="B1224" i="9"/>
  <c r="E1224" i="9" s="1"/>
  <c r="D1223" i="9"/>
  <c r="F1222" i="9"/>
  <c r="B1222" i="9"/>
  <c r="E1222" i="9" s="1"/>
  <c r="D1221" i="9"/>
  <c r="F1220" i="9"/>
  <c r="B1220" i="9"/>
  <c r="E1220" i="9" s="1"/>
  <c r="D1219" i="9"/>
  <c r="F1218" i="9"/>
  <c r="B1218" i="9"/>
  <c r="E1218" i="9" s="1"/>
  <c r="D1217" i="9"/>
  <c r="F1216" i="9"/>
  <c r="B1216" i="9"/>
  <c r="E1216" i="9" s="1"/>
  <c r="D1215" i="9"/>
  <c r="F1214" i="9"/>
  <c r="B1214" i="9"/>
  <c r="E1214" i="9" s="1"/>
  <c r="D1213" i="9"/>
  <c r="F1212" i="9"/>
  <c r="B1212" i="9"/>
  <c r="E1212" i="9" s="1"/>
  <c r="D1211" i="9"/>
  <c r="F1210" i="9"/>
  <c r="B1210" i="9"/>
  <c r="E1210" i="9" s="1"/>
  <c r="D1209" i="9"/>
  <c r="F1208" i="9"/>
  <c r="B1208" i="9"/>
  <c r="E1208" i="9" s="1"/>
  <c r="D1207" i="9"/>
  <c r="F1206" i="9"/>
  <c r="B1206" i="9"/>
  <c r="E1206" i="9" s="1"/>
  <c r="D1205" i="9"/>
  <c r="F1204" i="9"/>
  <c r="B1204" i="9"/>
  <c r="E1204" i="9" s="1"/>
  <c r="D1203" i="9"/>
  <c r="F1202" i="9"/>
  <c r="B1202" i="9"/>
  <c r="E1202" i="9" s="1"/>
  <c r="D1201" i="9"/>
  <c r="F1200" i="9"/>
  <c r="B1200" i="9"/>
  <c r="E1200" i="9" s="1"/>
  <c r="D1199" i="9"/>
  <c r="F1198" i="9"/>
  <c r="B1198" i="9"/>
  <c r="E1198" i="9" s="1"/>
  <c r="D1197" i="9"/>
  <c r="F1196" i="9"/>
  <c r="B1196" i="9"/>
  <c r="E1196" i="9" s="1"/>
  <c r="D1195" i="9"/>
  <c r="F1194" i="9"/>
  <c r="B1194" i="9"/>
  <c r="E1194" i="9" s="1"/>
  <c r="D1193" i="9"/>
  <c r="F1192" i="9"/>
  <c r="B1192" i="9"/>
  <c r="E1192" i="9" s="1"/>
  <c r="D1191" i="9"/>
  <c r="F1190" i="9"/>
  <c r="B1190" i="9"/>
  <c r="E1190" i="9" s="1"/>
  <c r="D1189" i="9"/>
  <c r="F1188" i="9"/>
  <c r="B1188" i="9"/>
  <c r="E1188" i="9" s="1"/>
  <c r="D1187" i="9"/>
  <c r="F1186" i="9"/>
  <c r="B1186" i="9"/>
  <c r="E1186" i="9" s="1"/>
  <c r="D1185" i="9"/>
  <c r="F1184" i="9"/>
  <c r="B1184" i="9"/>
  <c r="E1184" i="9" s="1"/>
  <c r="D1183" i="9"/>
  <c r="F1182" i="9"/>
  <c r="B1182" i="9"/>
  <c r="E1182" i="9" s="1"/>
  <c r="D1181" i="9"/>
  <c r="F1180" i="9"/>
  <c r="B1180" i="9"/>
  <c r="E1180" i="9" s="1"/>
  <c r="D1179" i="9"/>
  <c r="F1178" i="9"/>
  <c r="B1178" i="9"/>
  <c r="E1178" i="9" s="1"/>
  <c r="D1177" i="9"/>
  <c r="F1176" i="9"/>
  <c r="B1176" i="9"/>
  <c r="E1176" i="9" s="1"/>
  <c r="D1175" i="9"/>
  <c r="F1174" i="9"/>
  <c r="B1174" i="9"/>
  <c r="E1174" i="9" s="1"/>
  <c r="D1173" i="9"/>
  <c r="F1172" i="9"/>
  <c r="B1172" i="9"/>
  <c r="E1172" i="9" s="1"/>
  <c r="D1171" i="9"/>
  <c r="F1170" i="9"/>
  <c r="B1170" i="9"/>
  <c r="E1170" i="9" s="1"/>
  <c r="D1169" i="9"/>
  <c r="F1168" i="9"/>
  <c r="B1168" i="9"/>
  <c r="E1168" i="9" s="1"/>
  <c r="D1167" i="9"/>
  <c r="F1166" i="9"/>
  <c r="B1166" i="9"/>
  <c r="E1166" i="9" s="1"/>
  <c r="D1165" i="9"/>
  <c r="F1164" i="9"/>
  <c r="B1164" i="9"/>
  <c r="E1164" i="9" s="1"/>
  <c r="D1163" i="9"/>
  <c r="F1162" i="9"/>
  <c r="B1162" i="9"/>
  <c r="E1162" i="9" s="1"/>
  <c r="D1161" i="9"/>
  <c r="F1160" i="9"/>
  <c r="B1160" i="9"/>
  <c r="E1160" i="9" s="1"/>
  <c r="D1159" i="9"/>
  <c r="F1158" i="9"/>
  <c r="B1158" i="9"/>
  <c r="E1158" i="9" s="1"/>
  <c r="D1157" i="9"/>
  <c r="F1156" i="9"/>
  <c r="B1156" i="9"/>
  <c r="E1156" i="9" s="1"/>
  <c r="D1155" i="9"/>
  <c r="F1154" i="9"/>
  <c r="B1154" i="9"/>
  <c r="E1154" i="9" s="1"/>
  <c r="D1153" i="9"/>
  <c r="F1152" i="9"/>
  <c r="B1152" i="9"/>
  <c r="E1152" i="9" s="1"/>
  <c r="D1151" i="9"/>
  <c r="F1150" i="9"/>
  <c r="B1150" i="9"/>
  <c r="E1150" i="9" s="1"/>
  <c r="D1149" i="9"/>
  <c r="F1148" i="9"/>
  <c r="B1148" i="9"/>
  <c r="E1148" i="9" s="1"/>
  <c r="D1147" i="9"/>
  <c r="F1146" i="9"/>
  <c r="B1146" i="9"/>
  <c r="E1146" i="9" s="1"/>
  <c r="D1145" i="9"/>
  <c r="F1144" i="9"/>
  <c r="B1144" i="9"/>
  <c r="E1144" i="9" s="1"/>
  <c r="D1143" i="9"/>
  <c r="F1142" i="9"/>
  <c r="B1142" i="9"/>
  <c r="E1142" i="9" s="1"/>
  <c r="D1141" i="9"/>
  <c r="F1140" i="9"/>
  <c r="B1140" i="9"/>
  <c r="E1140" i="9" s="1"/>
  <c r="D1139" i="9"/>
  <c r="F1138" i="9"/>
  <c r="B1138" i="9"/>
  <c r="E1138" i="9" s="1"/>
  <c r="D1137" i="9"/>
  <c r="F1136" i="9"/>
  <c r="B1136" i="9"/>
  <c r="E1136" i="9" s="1"/>
  <c r="D1135" i="9"/>
  <c r="F1134" i="9"/>
  <c r="B1134" i="9"/>
  <c r="E1134" i="9" s="1"/>
  <c r="D1133" i="9"/>
  <c r="F1132" i="9"/>
  <c r="B1132" i="9"/>
  <c r="E1132" i="9" s="1"/>
  <c r="D1131" i="9"/>
  <c r="F1130" i="9"/>
  <c r="B1130" i="9"/>
  <c r="E1130" i="9" s="1"/>
  <c r="D1129" i="9"/>
  <c r="F1128" i="9"/>
  <c r="B1128" i="9"/>
  <c r="E1128" i="9" s="1"/>
  <c r="D1127" i="9"/>
  <c r="F1126" i="9"/>
  <c r="B1126" i="9"/>
  <c r="E1126" i="9" s="1"/>
  <c r="D1125" i="9"/>
  <c r="F1124" i="9"/>
  <c r="B1124" i="9"/>
  <c r="E1124" i="9" s="1"/>
  <c r="D1123" i="9"/>
  <c r="F1122" i="9"/>
  <c r="B1122" i="9"/>
  <c r="E1122" i="9" s="1"/>
  <c r="D1121" i="9"/>
  <c r="F1120" i="9"/>
  <c r="B1120" i="9"/>
  <c r="E1120" i="9" s="1"/>
  <c r="D1119" i="9"/>
  <c r="F1118" i="9"/>
  <c r="B1118" i="9"/>
  <c r="E1118" i="9" s="1"/>
  <c r="D1117" i="9"/>
  <c r="F1116" i="9"/>
  <c r="B1116" i="9"/>
  <c r="E1116" i="9" s="1"/>
  <c r="D1115" i="9"/>
  <c r="F1114" i="9"/>
  <c r="B1114" i="9"/>
  <c r="E1114" i="9" s="1"/>
  <c r="D1113" i="9"/>
  <c r="F1112" i="9"/>
  <c r="B1112" i="9"/>
  <c r="E1112" i="9" s="1"/>
  <c r="D1111" i="9"/>
  <c r="F1110" i="9"/>
  <c r="B1110" i="9"/>
  <c r="E1110" i="9" s="1"/>
  <c r="D1109" i="9"/>
  <c r="F1108" i="9"/>
  <c r="B1108" i="9"/>
  <c r="E1108" i="9" s="1"/>
  <c r="D1107" i="9"/>
  <c r="F1106" i="9"/>
  <c r="B1106" i="9"/>
  <c r="E1106" i="9" s="1"/>
  <c r="D1105" i="9"/>
  <c r="F1104" i="9"/>
  <c r="B1104" i="9"/>
  <c r="E1104" i="9" s="1"/>
  <c r="D1103" i="9"/>
  <c r="F1102" i="9"/>
  <c r="B1102" i="9"/>
  <c r="E1102" i="9" s="1"/>
  <c r="D1101" i="9"/>
  <c r="F1100" i="9"/>
  <c r="B1100" i="9"/>
  <c r="E1100" i="9" s="1"/>
  <c r="D1099" i="9"/>
  <c r="F1098" i="9"/>
  <c r="B1098" i="9"/>
  <c r="E1098" i="9" s="1"/>
  <c r="D1097" i="9"/>
  <c r="F1096" i="9"/>
  <c r="B1096" i="9"/>
  <c r="E1096" i="9" s="1"/>
  <c r="D1095" i="9"/>
  <c r="F1094" i="9"/>
  <c r="B1094" i="9"/>
  <c r="E1094" i="9" s="1"/>
  <c r="D1093" i="9"/>
  <c r="F1092" i="9"/>
  <c r="B1092" i="9"/>
  <c r="E1092" i="9" s="1"/>
  <c r="D1091" i="9"/>
  <c r="F1090" i="9"/>
  <c r="B1090" i="9"/>
  <c r="E1090" i="9" s="1"/>
  <c r="D1089" i="9"/>
  <c r="F1088" i="9"/>
  <c r="B1088" i="9"/>
  <c r="E1088" i="9" s="1"/>
  <c r="D1087" i="9"/>
  <c r="F1086" i="9"/>
  <c r="B1086" i="9"/>
  <c r="E1086" i="9" s="1"/>
  <c r="D1085" i="9"/>
  <c r="F1084" i="9"/>
  <c r="B1084" i="9"/>
  <c r="E1084" i="9" s="1"/>
  <c r="D1083" i="9"/>
  <c r="F1082" i="9"/>
  <c r="B1082" i="9"/>
  <c r="E1082" i="9" s="1"/>
  <c r="D1081" i="9"/>
  <c r="F1080" i="9"/>
  <c r="B1080" i="9"/>
  <c r="E1080" i="9" s="1"/>
  <c r="D1079" i="9"/>
  <c r="F1078" i="9"/>
  <c r="B1078" i="9"/>
  <c r="E1078" i="9" s="1"/>
  <c r="D1077" i="9"/>
  <c r="F1076" i="9"/>
  <c r="B1076" i="9"/>
  <c r="E1076" i="9" s="1"/>
  <c r="D1075" i="9"/>
  <c r="F1074" i="9"/>
  <c r="B1074" i="9"/>
  <c r="E1074" i="9" s="1"/>
  <c r="D1073" i="9"/>
  <c r="F1072" i="9"/>
  <c r="B1072" i="9"/>
  <c r="E1072" i="9" s="1"/>
  <c r="D1071" i="9"/>
  <c r="F1070" i="9"/>
  <c r="B1070" i="9"/>
  <c r="E1070" i="9" s="1"/>
  <c r="D1069" i="9"/>
  <c r="F1068" i="9"/>
  <c r="B1068" i="9"/>
  <c r="E1068" i="9" s="1"/>
  <c r="D1067" i="9"/>
  <c r="F1066" i="9"/>
  <c r="B1066" i="9"/>
  <c r="E1066" i="9" s="1"/>
  <c r="D1065" i="9"/>
  <c r="F1064" i="9"/>
  <c r="B1064" i="9"/>
  <c r="E1064" i="9" s="1"/>
  <c r="D1063" i="9"/>
  <c r="F1062" i="9"/>
  <c r="B1062" i="9"/>
  <c r="E1062" i="9" s="1"/>
  <c r="D1061" i="9"/>
  <c r="F1060" i="9"/>
  <c r="B1060" i="9"/>
  <c r="E1060" i="9" s="1"/>
  <c r="D1059" i="9"/>
  <c r="F1058" i="9"/>
  <c r="B1058" i="9"/>
  <c r="E1058" i="9" s="1"/>
  <c r="D1057" i="9"/>
  <c r="F1056" i="9"/>
  <c r="B1056" i="9"/>
  <c r="E1056" i="9" s="1"/>
  <c r="D1055" i="9"/>
  <c r="F1054" i="9"/>
  <c r="B1054" i="9"/>
  <c r="E1054" i="9" s="1"/>
  <c r="D1053" i="9"/>
  <c r="F1052" i="9"/>
  <c r="B1052" i="9"/>
  <c r="E1052" i="9" s="1"/>
  <c r="D1051" i="9"/>
  <c r="F1050" i="9"/>
  <c r="B1050" i="9"/>
  <c r="E1050" i="9" s="1"/>
  <c r="D1049" i="9"/>
  <c r="F1048" i="9"/>
  <c r="B1048" i="9"/>
  <c r="E1048" i="9" s="1"/>
  <c r="D1047" i="9"/>
  <c r="F1046" i="9"/>
  <c r="B1046" i="9"/>
  <c r="E1046" i="9" s="1"/>
  <c r="D1045" i="9"/>
  <c r="F1044" i="9"/>
  <c r="B1044" i="9"/>
  <c r="E1044" i="9" s="1"/>
  <c r="D1043" i="9"/>
  <c r="F1042" i="9"/>
  <c r="B1042" i="9"/>
  <c r="E1042" i="9" s="1"/>
  <c r="D1041" i="9"/>
  <c r="F1040" i="9"/>
  <c r="B1040" i="9"/>
  <c r="E1040" i="9" s="1"/>
  <c r="D1039" i="9"/>
  <c r="F1038" i="9"/>
  <c r="B1038" i="9"/>
  <c r="E1038" i="9" s="1"/>
  <c r="D1037" i="9"/>
  <c r="F1036" i="9"/>
  <c r="B1036" i="9"/>
  <c r="E1036" i="9" s="1"/>
  <c r="D1035" i="9"/>
  <c r="F1034" i="9"/>
  <c r="B1034" i="9"/>
  <c r="E1034" i="9" s="1"/>
  <c r="D1033" i="9"/>
  <c r="F1032" i="9"/>
  <c r="B1032" i="9"/>
  <c r="E1032" i="9" s="1"/>
  <c r="D1031" i="9"/>
  <c r="F1030" i="9"/>
  <c r="B1030" i="9"/>
  <c r="E1030" i="9" s="1"/>
  <c r="D1029" i="9"/>
  <c r="F1028" i="9"/>
  <c r="B1028" i="9"/>
  <c r="E1028" i="9" s="1"/>
  <c r="D1027" i="9"/>
  <c r="F1026" i="9"/>
  <c r="B1026" i="9"/>
  <c r="E1026" i="9" s="1"/>
  <c r="D1025" i="9"/>
  <c r="F1024" i="9"/>
  <c r="B1024" i="9"/>
  <c r="E1024" i="9" s="1"/>
  <c r="D1023" i="9"/>
  <c r="F1022" i="9"/>
  <c r="B1022" i="9"/>
  <c r="E1022" i="9" s="1"/>
  <c r="D1021" i="9"/>
  <c r="F1020" i="9"/>
  <c r="B1020" i="9"/>
  <c r="E1020" i="9" s="1"/>
  <c r="D1019" i="9"/>
  <c r="F1018" i="9"/>
  <c r="B1018" i="9"/>
  <c r="E1018" i="9" s="1"/>
  <c r="D1017" i="9"/>
  <c r="F1016" i="9"/>
  <c r="B1016" i="9"/>
  <c r="E1016" i="9" s="1"/>
  <c r="D1015" i="9"/>
  <c r="F1014" i="9"/>
  <c r="B1014" i="9"/>
  <c r="E1014" i="9" s="1"/>
  <c r="D1013" i="9"/>
  <c r="F1012" i="9"/>
  <c r="B1012" i="9"/>
  <c r="E1012" i="9" s="1"/>
  <c r="D1011" i="9"/>
  <c r="F1010" i="9"/>
  <c r="B1010" i="9"/>
  <c r="E1010" i="9" s="1"/>
  <c r="D1009" i="9"/>
  <c r="F1008" i="9"/>
  <c r="B1008" i="9"/>
  <c r="E1008" i="9" s="1"/>
  <c r="D1007" i="9"/>
  <c r="F1006" i="9"/>
  <c r="B1006" i="9"/>
  <c r="E1006" i="9" s="1"/>
  <c r="D1005" i="9"/>
  <c r="F1004" i="9"/>
  <c r="B1004" i="9"/>
  <c r="E1004" i="9" s="1"/>
  <c r="D1003" i="9"/>
  <c r="F1002" i="9"/>
  <c r="B1002" i="9"/>
  <c r="E1002" i="9" s="1"/>
  <c r="D1001" i="9"/>
  <c r="F1000" i="9"/>
  <c r="B1000" i="9"/>
  <c r="E1000" i="9" s="1"/>
  <c r="D999" i="9"/>
  <c r="F998" i="9"/>
  <c r="B998" i="9"/>
  <c r="E998" i="9" s="1"/>
  <c r="D997" i="9"/>
  <c r="F996" i="9"/>
  <c r="B996" i="9"/>
  <c r="E996" i="9" s="1"/>
  <c r="D995" i="9"/>
  <c r="F994" i="9"/>
  <c r="B994" i="9"/>
  <c r="E994" i="9" s="1"/>
  <c r="D993" i="9"/>
  <c r="F992" i="9"/>
  <c r="B992" i="9"/>
  <c r="E992" i="9" s="1"/>
  <c r="D991" i="9"/>
  <c r="F990" i="9"/>
  <c r="B990" i="9"/>
  <c r="E990" i="9" s="1"/>
  <c r="D989" i="9"/>
  <c r="F988" i="9"/>
  <c r="B988" i="9"/>
  <c r="E988" i="9" s="1"/>
  <c r="D987" i="9"/>
  <c r="F986" i="9"/>
  <c r="B986" i="9"/>
  <c r="E986" i="9" s="1"/>
  <c r="D985" i="9"/>
  <c r="F984" i="9"/>
  <c r="B984" i="9"/>
  <c r="E984" i="9" s="1"/>
  <c r="D983" i="9"/>
  <c r="F982" i="9"/>
  <c r="B982" i="9"/>
  <c r="E982" i="9" s="1"/>
  <c r="D981" i="9"/>
  <c r="F980" i="9"/>
  <c r="B980" i="9"/>
  <c r="E980" i="9" s="1"/>
  <c r="D979" i="9"/>
  <c r="F978" i="9"/>
  <c r="B978" i="9"/>
  <c r="E978" i="9" s="1"/>
  <c r="D977" i="9"/>
  <c r="F976" i="9"/>
  <c r="B976" i="9"/>
  <c r="E976" i="9" s="1"/>
  <c r="D975" i="9"/>
  <c r="F974" i="9"/>
  <c r="B974" i="9"/>
  <c r="E974" i="9" s="1"/>
  <c r="D973" i="9"/>
  <c r="F972" i="9"/>
  <c r="B972" i="9"/>
  <c r="E972" i="9" s="1"/>
  <c r="D971" i="9"/>
  <c r="F970" i="9"/>
  <c r="B970" i="9"/>
  <c r="E970" i="9" s="1"/>
  <c r="D969" i="9"/>
  <c r="F968" i="9"/>
  <c r="B968" i="9"/>
  <c r="E968" i="9" s="1"/>
  <c r="D967" i="9"/>
  <c r="F966" i="9"/>
  <c r="B966" i="9"/>
  <c r="E966" i="9" s="1"/>
  <c r="D965" i="9"/>
  <c r="F964" i="9"/>
  <c r="B964" i="9"/>
  <c r="E964" i="9" s="1"/>
  <c r="D963" i="9"/>
  <c r="F962" i="9"/>
  <c r="B962" i="9"/>
  <c r="E962" i="9" s="1"/>
  <c r="D961" i="9"/>
  <c r="F960" i="9"/>
  <c r="B960" i="9"/>
  <c r="E960" i="9" s="1"/>
  <c r="D959" i="9"/>
  <c r="F958" i="9"/>
  <c r="B958" i="9"/>
  <c r="E958" i="9" s="1"/>
  <c r="D957" i="9"/>
  <c r="F956" i="9"/>
  <c r="B956" i="9"/>
  <c r="E956" i="9" s="1"/>
  <c r="D955" i="9"/>
  <c r="F954" i="9"/>
  <c r="B954" i="9"/>
  <c r="E954" i="9" s="1"/>
  <c r="D953" i="9"/>
  <c r="F952" i="9"/>
  <c r="B952" i="9"/>
  <c r="E952" i="9" s="1"/>
  <c r="D951" i="9"/>
  <c r="F950" i="9"/>
  <c r="B950" i="9"/>
  <c r="E950" i="9" s="1"/>
  <c r="D949" i="9"/>
  <c r="F948" i="9"/>
  <c r="B948" i="9"/>
  <c r="E948" i="9" s="1"/>
  <c r="D947" i="9"/>
  <c r="F946" i="9"/>
  <c r="B946" i="9"/>
  <c r="E946" i="9" s="1"/>
  <c r="D945" i="9"/>
  <c r="F944" i="9"/>
  <c r="B944" i="9"/>
  <c r="E944" i="9" s="1"/>
  <c r="D943" i="9"/>
  <c r="F942" i="9"/>
  <c r="B942" i="9"/>
  <c r="E942" i="9" s="1"/>
  <c r="D941" i="9"/>
  <c r="F940" i="9"/>
  <c r="B940" i="9"/>
  <c r="E940" i="9" s="1"/>
  <c r="D939" i="9"/>
  <c r="F938" i="9"/>
  <c r="B938" i="9"/>
  <c r="E938" i="9" s="1"/>
  <c r="D937" i="9"/>
  <c r="F936" i="9"/>
  <c r="B936" i="9"/>
  <c r="E936" i="9" s="1"/>
  <c r="D935" i="9"/>
  <c r="F934" i="9"/>
  <c r="B934" i="9"/>
  <c r="E934" i="9" s="1"/>
  <c r="D933" i="9"/>
  <c r="F932" i="9"/>
  <c r="B932" i="9"/>
  <c r="E932" i="9" s="1"/>
  <c r="D931" i="9"/>
  <c r="F930" i="9"/>
  <c r="B930" i="9"/>
  <c r="E930" i="9" s="1"/>
  <c r="D929" i="9"/>
  <c r="F928" i="9"/>
  <c r="B928" i="9"/>
  <c r="E928" i="9" s="1"/>
  <c r="D927" i="9"/>
  <c r="F926" i="9"/>
  <c r="B926" i="9"/>
  <c r="E926" i="9" s="1"/>
  <c r="D925" i="9"/>
  <c r="F924" i="9"/>
  <c r="B924" i="9"/>
  <c r="E924" i="9" s="1"/>
  <c r="D923" i="9"/>
  <c r="F922" i="9"/>
  <c r="B922" i="9"/>
  <c r="E922" i="9" s="1"/>
  <c r="D921" i="9"/>
  <c r="F920" i="9"/>
  <c r="B920" i="9"/>
  <c r="E920" i="9" s="1"/>
  <c r="D919" i="9"/>
  <c r="F918" i="9"/>
  <c r="B918" i="9"/>
  <c r="E918" i="9" s="1"/>
  <c r="D917" i="9"/>
  <c r="F916" i="9"/>
  <c r="B916" i="9"/>
  <c r="E916" i="9" s="1"/>
  <c r="D915" i="9"/>
  <c r="F914" i="9"/>
  <c r="B914" i="9"/>
  <c r="E914" i="9" s="1"/>
  <c r="D913" i="9"/>
  <c r="F912" i="9"/>
  <c r="B912" i="9"/>
  <c r="E912" i="9" s="1"/>
  <c r="D911" i="9"/>
  <c r="F910" i="9"/>
  <c r="B910" i="9"/>
  <c r="E910" i="9" s="1"/>
  <c r="D909" i="9"/>
  <c r="F908" i="9"/>
  <c r="B908" i="9"/>
  <c r="E908" i="9" s="1"/>
  <c r="D907" i="9"/>
  <c r="F906" i="9"/>
  <c r="B906" i="9"/>
  <c r="E906" i="9" s="1"/>
  <c r="D905" i="9"/>
  <c r="F904" i="9"/>
  <c r="B904" i="9"/>
  <c r="E904" i="9" s="1"/>
  <c r="D903" i="9"/>
  <c r="F902" i="9"/>
  <c r="B902" i="9"/>
  <c r="E902" i="9" s="1"/>
  <c r="D901" i="9"/>
  <c r="F900" i="9"/>
  <c r="B900" i="9"/>
  <c r="E900" i="9" s="1"/>
  <c r="D899" i="9"/>
  <c r="F898" i="9"/>
  <c r="B898" i="9"/>
  <c r="E898" i="9" s="1"/>
  <c r="D897" i="9"/>
  <c r="F896" i="9"/>
  <c r="B896" i="9"/>
  <c r="E896" i="9" s="1"/>
  <c r="D895" i="9"/>
  <c r="F894" i="9"/>
  <c r="B894" i="9"/>
  <c r="E894" i="9" s="1"/>
  <c r="D893" i="9"/>
  <c r="F892" i="9"/>
  <c r="B892" i="9"/>
  <c r="E892" i="9" s="1"/>
  <c r="D891" i="9"/>
  <c r="F890" i="9"/>
  <c r="B890" i="9"/>
  <c r="E890" i="9" s="1"/>
  <c r="D889" i="9"/>
  <c r="F888" i="9"/>
  <c r="B888" i="9"/>
  <c r="E888" i="9" s="1"/>
  <c r="D887" i="9"/>
  <c r="F886" i="9"/>
  <c r="B886" i="9"/>
  <c r="E886" i="9" s="1"/>
  <c r="D885" i="9"/>
  <c r="F884" i="9"/>
  <c r="B884" i="9"/>
  <c r="E884" i="9" s="1"/>
  <c r="D883" i="9"/>
  <c r="F882" i="9"/>
  <c r="B882" i="9"/>
  <c r="E882" i="9" s="1"/>
  <c r="D881" i="9"/>
  <c r="F880" i="9"/>
  <c r="B880" i="9"/>
  <c r="E880" i="9" s="1"/>
  <c r="D879" i="9"/>
  <c r="F878" i="9"/>
  <c r="B878" i="9"/>
  <c r="E878" i="9" s="1"/>
  <c r="D877" i="9"/>
  <c r="F876" i="9"/>
  <c r="B876" i="9"/>
  <c r="E876" i="9" s="1"/>
  <c r="D875" i="9"/>
  <c r="F874" i="9"/>
  <c r="B874" i="9"/>
  <c r="E874" i="9" s="1"/>
  <c r="D873" i="9"/>
  <c r="F872" i="9"/>
  <c r="B872" i="9"/>
  <c r="E872" i="9" s="1"/>
  <c r="D871" i="9"/>
  <c r="F870" i="9"/>
  <c r="B870" i="9"/>
  <c r="E870" i="9" s="1"/>
  <c r="D869" i="9"/>
  <c r="F868" i="9"/>
  <c r="B868" i="9"/>
  <c r="E868" i="9" s="1"/>
  <c r="D867" i="9"/>
  <c r="F866" i="9"/>
  <c r="B866" i="9"/>
  <c r="E866" i="9" s="1"/>
  <c r="D865" i="9"/>
  <c r="F864" i="9"/>
  <c r="B864" i="9"/>
  <c r="E864" i="9" s="1"/>
  <c r="D863" i="9"/>
  <c r="F862" i="9"/>
  <c r="B862" i="9"/>
  <c r="E862" i="9" s="1"/>
  <c r="D861" i="9"/>
  <c r="F860" i="9"/>
  <c r="B860" i="9"/>
  <c r="E860" i="9" s="1"/>
  <c r="D859" i="9"/>
  <c r="F858" i="9"/>
  <c r="B858" i="9"/>
  <c r="E858" i="9" s="1"/>
  <c r="D857" i="9"/>
  <c r="F856" i="9"/>
  <c r="B856" i="9"/>
  <c r="E856" i="9" s="1"/>
  <c r="D855" i="9"/>
  <c r="F854" i="9"/>
  <c r="B854" i="9"/>
  <c r="E854" i="9" s="1"/>
  <c r="D853" i="9"/>
  <c r="F852" i="9"/>
  <c r="B852" i="9"/>
  <c r="E852" i="9" s="1"/>
  <c r="D851" i="9"/>
  <c r="F850" i="9"/>
  <c r="B850" i="9"/>
  <c r="E850" i="9" s="1"/>
  <c r="D849" i="9"/>
  <c r="F848" i="9"/>
  <c r="B848" i="9"/>
  <c r="E848" i="9" s="1"/>
  <c r="D847" i="9"/>
  <c r="F846" i="9"/>
  <c r="B846" i="9"/>
  <c r="E846" i="9" s="1"/>
  <c r="D845" i="9"/>
  <c r="F844" i="9"/>
  <c r="B844" i="9"/>
  <c r="E844" i="9" s="1"/>
  <c r="D843" i="9"/>
  <c r="F842" i="9"/>
  <c r="B842" i="9"/>
  <c r="E842" i="9" s="1"/>
  <c r="D841" i="9"/>
  <c r="F840" i="9"/>
  <c r="B840" i="9"/>
  <c r="E840" i="9" s="1"/>
  <c r="D839" i="9"/>
  <c r="F838" i="9"/>
  <c r="B838" i="9"/>
  <c r="E838" i="9" s="1"/>
  <c r="D837" i="9"/>
  <c r="F836" i="9"/>
  <c r="B836" i="9"/>
  <c r="E836" i="9" s="1"/>
  <c r="D835" i="9"/>
  <c r="F834" i="9"/>
  <c r="B834" i="9"/>
  <c r="E834" i="9" s="1"/>
  <c r="D833" i="9"/>
  <c r="F832" i="9"/>
  <c r="B832" i="9"/>
  <c r="E832" i="9" s="1"/>
  <c r="D831" i="9"/>
  <c r="F830" i="9"/>
  <c r="B830" i="9"/>
  <c r="E830" i="9" s="1"/>
  <c r="D829" i="9"/>
  <c r="F828" i="9"/>
  <c r="B828" i="9"/>
  <c r="E828" i="9" s="1"/>
  <c r="D827" i="9"/>
  <c r="F826" i="9"/>
  <c r="B826" i="9"/>
  <c r="E826" i="9" s="1"/>
  <c r="D825" i="9"/>
  <c r="F824" i="9"/>
  <c r="B824" i="9"/>
  <c r="E824" i="9" s="1"/>
  <c r="D823" i="9"/>
  <c r="F822" i="9"/>
  <c r="B822" i="9"/>
  <c r="E822" i="9" s="1"/>
  <c r="D821" i="9"/>
  <c r="F820" i="9"/>
  <c r="B820" i="9"/>
  <c r="E820" i="9" s="1"/>
  <c r="D819" i="9"/>
  <c r="F818" i="9"/>
  <c r="B818" i="9"/>
  <c r="E818" i="9" s="1"/>
  <c r="D817" i="9"/>
  <c r="F816" i="9"/>
  <c r="B816" i="9"/>
  <c r="E816" i="9" s="1"/>
  <c r="D815" i="9"/>
  <c r="F814" i="9"/>
  <c r="B814" i="9"/>
  <c r="E814" i="9" s="1"/>
  <c r="D813" i="9"/>
  <c r="F812" i="9"/>
  <c r="B812" i="9"/>
  <c r="E812" i="9" s="1"/>
  <c r="D811" i="9"/>
  <c r="F810" i="9"/>
  <c r="B810" i="9"/>
  <c r="E810" i="9" s="1"/>
  <c r="D809" i="9"/>
  <c r="F808" i="9"/>
  <c r="B808" i="9"/>
  <c r="E808" i="9" s="1"/>
  <c r="D807" i="9"/>
  <c r="F806" i="9"/>
  <c r="B806" i="9"/>
  <c r="E806" i="9" s="1"/>
  <c r="D805" i="9"/>
  <c r="F804" i="9"/>
  <c r="B804" i="9"/>
  <c r="E804" i="9" s="1"/>
  <c r="D803" i="9"/>
  <c r="F802" i="9"/>
  <c r="B802" i="9"/>
  <c r="E802" i="9" s="1"/>
  <c r="D801" i="9"/>
  <c r="F800" i="9"/>
  <c r="B800" i="9"/>
  <c r="E800" i="9" s="1"/>
  <c r="D799" i="9"/>
  <c r="F798" i="9"/>
  <c r="B798" i="9"/>
  <c r="E798" i="9" s="1"/>
  <c r="D797" i="9"/>
  <c r="F796" i="9"/>
  <c r="B796" i="9"/>
  <c r="E796" i="9" s="1"/>
  <c r="D795" i="9"/>
  <c r="F794" i="9"/>
  <c r="B794" i="9"/>
  <c r="E794" i="9" s="1"/>
  <c r="D793" i="9"/>
  <c r="F792" i="9"/>
  <c r="B792" i="9"/>
  <c r="E792" i="9" s="1"/>
  <c r="D791" i="9"/>
  <c r="F790" i="9"/>
  <c r="B790" i="9"/>
  <c r="E790" i="9" s="1"/>
  <c r="D789" i="9"/>
  <c r="F788" i="9"/>
  <c r="B788" i="9"/>
  <c r="E788" i="9" s="1"/>
  <c r="D787" i="9"/>
  <c r="F786" i="9"/>
  <c r="B786" i="9"/>
  <c r="E786" i="9" s="1"/>
  <c r="D785" i="9"/>
  <c r="F784" i="9"/>
  <c r="B784" i="9"/>
  <c r="E784" i="9" s="1"/>
  <c r="D783" i="9"/>
  <c r="F782" i="9"/>
  <c r="B782" i="9"/>
  <c r="E782" i="9" s="1"/>
  <c r="D781" i="9"/>
  <c r="F780" i="9"/>
  <c r="B780" i="9"/>
  <c r="E780" i="9" s="1"/>
  <c r="D779" i="9"/>
  <c r="F778" i="9"/>
  <c r="B778" i="9"/>
  <c r="E778" i="9" s="1"/>
  <c r="D777" i="9"/>
  <c r="F776" i="9"/>
  <c r="B776" i="9"/>
  <c r="E776" i="9" s="1"/>
  <c r="D775" i="9"/>
  <c r="F774" i="9"/>
  <c r="B774" i="9"/>
  <c r="E774" i="9" s="1"/>
  <c r="D773" i="9"/>
  <c r="F772" i="9"/>
  <c r="B772" i="9"/>
  <c r="E772" i="9" s="1"/>
  <c r="D771" i="9"/>
  <c r="F770" i="9"/>
  <c r="B770" i="9"/>
  <c r="E770" i="9" s="1"/>
  <c r="D769" i="9"/>
  <c r="F768" i="9"/>
  <c r="B768" i="9"/>
  <c r="E768" i="9" s="1"/>
  <c r="D767" i="9"/>
  <c r="F766" i="9"/>
  <c r="B766" i="9"/>
  <c r="E766" i="9" s="1"/>
  <c r="D765" i="9"/>
  <c r="F764" i="9"/>
  <c r="B764" i="9"/>
  <c r="E764" i="9" s="1"/>
  <c r="D763" i="9"/>
  <c r="F762" i="9"/>
  <c r="B762" i="9"/>
  <c r="E762" i="9" s="1"/>
  <c r="D761" i="9"/>
  <c r="F760" i="9"/>
  <c r="B760" i="9"/>
  <c r="E760" i="9" s="1"/>
  <c r="D759" i="9"/>
  <c r="F758" i="9"/>
  <c r="B758" i="9"/>
  <c r="E758" i="9" s="1"/>
  <c r="D757" i="9"/>
  <c r="F756" i="9"/>
  <c r="B756" i="9"/>
  <c r="E756" i="9" s="1"/>
  <c r="D755" i="9"/>
  <c r="F754" i="9"/>
  <c r="B754" i="9"/>
  <c r="E754" i="9" s="1"/>
  <c r="D753" i="9"/>
  <c r="F752" i="9"/>
  <c r="B752" i="9"/>
  <c r="E752" i="9" s="1"/>
  <c r="D751" i="9"/>
  <c r="F750" i="9"/>
  <c r="B750" i="9"/>
  <c r="E750" i="9" s="1"/>
  <c r="D749" i="9"/>
  <c r="F748" i="9"/>
  <c r="B748" i="9"/>
  <c r="E748" i="9" s="1"/>
  <c r="D747" i="9"/>
  <c r="F746" i="9"/>
  <c r="B746" i="9"/>
  <c r="E746" i="9" s="1"/>
  <c r="D745" i="9"/>
  <c r="F744" i="9"/>
  <c r="B744" i="9"/>
  <c r="E744" i="9" s="1"/>
  <c r="D743" i="9"/>
  <c r="F742" i="9"/>
  <c r="B742" i="9"/>
  <c r="E742" i="9" s="1"/>
  <c r="D741" i="9"/>
  <c r="F740" i="9"/>
  <c r="B740" i="9"/>
  <c r="E740" i="9" s="1"/>
  <c r="D739" i="9"/>
  <c r="F738" i="9"/>
  <c r="B738" i="9"/>
  <c r="E738" i="9" s="1"/>
  <c r="D737" i="9"/>
  <c r="F736" i="9"/>
  <c r="B736" i="9"/>
  <c r="E736" i="9" s="1"/>
  <c r="D735" i="9"/>
  <c r="F734" i="9"/>
  <c r="B734" i="9"/>
  <c r="E734" i="9" s="1"/>
  <c r="D733" i="9"/>
  <c r="F732" i="9"/>
  <c r="B732" i="9"/>
  <c r="E732" i="9" s="1"/>
  <c r="D731" i="9"/>
  <c r="F730" i="9"/>
  <c r="B730" i="9"/>
  <c r="E730" i="9" s="1"/>
  <c r="D729" i="9"/>
  <c r="F728" i="9"/>
  <c r="B728" i="9"/>
  <c r="E728" i="9" s="1"/>
  <c r="D727" i="9"/>
  <c r="F726" i="9"/>
  <c r="B726" i="9"/>
  <c r="E726" i="9" s="1"/>
  <c r="D725" i="9"/>
  <c r="F2000" i="9"/>
  <c r="D1996" i="9"/>
  <c r="F1992" i="9"/>
  <c r="F1988" i="9"/>
  <c r="F1984" i="9"/>
  <c r="F1981" i="9"/>
  <c r="F1977" i="9"/>
  <c r="F1973" i="9"/>
  <c r="A1970" i="9"/>
  <c r="F1962" i="9"/>
  <c r="B1955" i="9"/>
  <c r="E1955" i="9" s="1"/>
  <c r="B1951" i="9"/>
  <c r="E1951" i="9" s="1"/>
  <c r="F1947" i="9"/>
  <c r="B1944" i="9"/>
  <c r="E1944" i="9" s="1"/>
  <c r="F1939" i="9"/>
  <c r="B1936" i="9"/>
  <c r="E1936" i="9" s="1"/>
  <c r="C1933" i="9"/>
  <c r="F1928" i="9"/>
  <c r="C1925" i="9"/>
  <c r="F1921" i="9"/>
  <c r="C1917" i="9"/>
  <c r="B1914" i="9"/>
  <c r="E1914" i="9" s="1"/>
  <c r="B1906" i="9"/>
  <c r="E1906" i="9" s="1"/>
  <c r="D1899" i="9"/>
  <c r="C1895" i="9"/>
  <c r="F1891" i="9"/>
  <c r="D1887" i="9"/>
  <c r="F1883" i="9"/>
  <c r="D1880" i="9"/>
  <c r="F1872" i="9"/>
  <c r="F1865" i="9"/>
  <c r="D1861" i="9"/>
  <c r="F1857" i="9"/>
  <c r="B1854" i="9"/>
  <c r="E1854" i="9" s="1"/>
  <c r="F1849" i="9"/>
  <c r="D1847" i="9"/>
  <c r="F1844" i="9"/>
  <c r="D1841" i="9"/>
  <c r="F1838" i="9"/>
  <c r="D1836" i="9"/>
  <c r="C1833" i="9"/>
  <c r="A1828" i="9"/>
  <c r="B1822" i="9"/>
  <c r="E1822" i="9" s="1"/>
  <c r="D1819" i="9"/>
  <c r="D1816" i="9"/>
  <c r="F1813" i="9"/>
  <c r="C1811" i="9"/>
  <c r="A1808" i="9"/>
  <c r="C1805" i="9"/>
  <c r="D1802" i="9"/>
  <c r="D1799" i="9"/>
  <c r="B1797" i="9"/>
  <c r="E1797" i="9" s="1"/>
  <c r="B1794" i="9"/>
  <c r="E1794" i="9" s="1"/>
  <c r="B1791" i="9"/>
  <c r="E1791" i="9" s="1"/>
  <c r="B1788" i="9"/>
  <c r="E1788" i="9" s="1"/>
  <c r="F1785" i="9"/>
  <c r="F1782" i="9"/>
  <c r="A1780" i="9"/>
  <c r="C1777" i="9"/>
  <c r="A1774" i="9"/>
  <c r="D1771" i="9"/>
  <c r="F1768" i="9"/>
  <c r="F1765" i="9"/>
  <c r="B1763" i="9"/>
  <c r="E1763" i="9" s="1"/>
  <c r="C1757" i="9"/>
  <c r="A1752" i="9"/>
  <c r="F1748" i="9"/>
  <c r="D1746" i="9"/>
  <c r="F1743" i="9"/>
  <c r="D1740" i="9"/>
  <c r="F1737" i="9"/>
  <c r="D1735" i="9"/>
  <c r="B1732" i="9"/>
  <c r="E1732" i="9" s="1"/>
  <c r="D1729" i="9"/>
  <c r="D1723" i="9"/>
  <c r="C1721" i="9"/>
  <c r="B1718" i="9"/>
  <c r="E1718" i="9" s="1"/>
  <c r="C1715" i="9"/>
  <c r="D1712" i="9"/>
  <c r="A1710" i="9"/>
  <c r="B1707" i="9"/>
  <c r="E1707" i="9" s="1"/>
  <c r="A1704" i="9"/>
  <c r="C1701" i="9"/>
  <c r="B1698" i="9"/>
  <c r="E1698" i="9" s="1"/>
  <c r="F1695" i="9"/>
  <c r="B1693" i="9"/>
  <c r="E1693" i="9" s="1"/>
  <c r="F1689" i="9"/>
  <c r="B1687" i="9"/>
  <c r="E1687" i="9" s="1"/>
  <c r="C1685" i="9"/>
  <c r="F1682" i="9"/>
  <c r="F1680" i="9"/>
  <c r="F1678" i="9"/>
  <c r="D1676" i="9"/>
  <c r="B1670" i="9"/>
  <c r="E1670" i="9" s="1"/>
  <c r="B1668" i="9"/>
  <c r="E1668" i="9" s="1"/>
  <c r="D1666" i="9"/>
  <c r="A1664" i="9"/>
  <c r="A1662" i="9"/>
  <c r="F1659" i="9"/>
  <c r="D1657" i="9"/>
  <c r="F1655" i="9"/>
  <c r="D1653" i="9"/>
  <c r="C1651" i="9"/>
  <c r="B1649" i="9"/>
  <c r="E1649" i="9" s="1"/>
  <c r="C1647" i="9"/>
  <c r="B1645" i="9"/>
  <c r="E1645" i="9" s="1"/>
  <c r="F1642" i="9"/>
  <c r="F1640" i="9"/>
  <c r="D1638" i="9"/>
  <c r="B1632" i="9"/>
  <c r="E1632" i="9" s="1"/>
  <c r="B1630" i="9"/>
  <c r="E1630" i="9" s="1"/>
  <c r="D1628" i="9"/>
  <c r="A1626" i="9"/>
  <c r="A1624" i="9"/>
  <c r="A1622" i="9"/>
  <c r="D1619" i="9"/>
  <c r="F1617" i="9"/>
  <c r="F1615" i="9"/>
  <c r="C1613" i="9"/>
  <c r="C1611" i="9"/>
  <c r="D1609" i="9"/>
  <c r="B1607" i="9"/>
  <c r="E1607" i="9" s="1"/>
  <c r="B1605" i="9"/>
  <c r="E1605" i="9" s="1"/>
  <c r="F1602" i="9"/>
  <c r="F1598" i="9"/>
  <c r="B1593" i="9"/>
  <c r="E1593" i="9" s="1"/>
  <c r="F1591" i="9"/>
  <c r="A1590" i="9"/>
  <c r="D1588" i="9"/>
  <c r="F1586" i="9"/>
  <c r="B1585" i="9"/>
  <c r="E1585" i="9" s="1"/>
  <c r="F1583" i="9"/>
  <c r="B1582" i="9"/>
  <c r="E1582" i="9" s="1"/>
  <c r="D1580" i="9"/>
  <c r="F1578" i="9"/>
  <c r="D1577" i="9"/>
  <c r="F1575" i="9"/>
  <c r="B1574" i="9"/>
  <c r="E1574" i="9" s="1"/>
  <c r="F1570" i="9"/>
  <c r="D1569" i="9"/>
  <c r="A1568" i="9"/>
  <c r="B1566" i="9"/>
  <c r="E1566" i="9" s="1"/>
  <c r="C1563" i="9"/>
  <c r="D1561" i="9"/>
  <c r="A1560" i="9"/>
  <c r="D1558" i="9"/>
  <c r="C1555" i="9"/>
  <c r="F1553" i="9"/>
  <c r="A1552" i="9"/>
  <c r="D1550" i="9"/>
  <c r="B1549" i="9"/>
  <c r="E1549" i="9" s="1"/>
  <c r="C1547" i="9"/>
  <c r="F1545" i="9"/>
  <c r="B1544" i="9"/>
  <c r="E1544" i="9" s="1"/>
  <c r="D1542" i="9"/>
  <c r="B1541" i="9"/>
  <c r="E1541" i="9" s="1"/>
  <c r="D1539" i="9"/>
  <c r="F1537" i="9"/>
  <c r="B1536" i="9"/>
  <c r="E1536" i="9" s="1"/>
  <c r="A1535" i="9"/>
  <c r="D1532" i="9"/>
  <c r="C1531" i="9"/>
  <c r="A1530" i="9"/>
  <c r="A1529" i="9"/>
  <c r="F1527" i="9"/>
  <c r="D1526" i="9"/>
  <c r="C1525" i="9"/>
  <c r="C1524" i="9"/>
  <c r="A1523" i="9"/>
  <c r="F1521" i="9"/>
  <c r="C1519" i="9"/>
  <c r="C1518" i="9"/>
  <c r="B1517" i="9"/>
  <c r="E1517" i="9" s="1"/>
  <c r="F1515" i="9"/>
  <c r="C1512" i="9"/>
  <c r="B1511" i="9"/>
  <c r="E1511" i="9" s="1"/>
  <c r="A1510" i="9"/>
  <c r="D1506" i="9"/>
  <c r="B1505" i="9"/>
  <c r="E1505" i="9" s="1"/>
  <c r="A1504" i="9"/>
  <c r="A1503" i="9"/>
  <c r="D1500" i="9"/>
  <c r="C1499" i="9"/>
  <c r="A1498" i="9"/>
  <c r="A1497" i="9"/>
  <c r="F1495" i="9"/>
  <c r="D1494" i="9"/>
  <c r="C1493" i="9"/>
  <c r="C1492" i="9"/>
  <c r="A1491" i="9"/>
  <c r="F1489" i="9"/>
  <c r="C1487" i="9"/>
  <c r="C1486" i="9"/>
  <c r="B1485" i="9"/>
  <c r="E1485" i="9" s="1"/>
  <c r="F1483" i="9"/>
  <c r="C1480" i="9"/>
  <c r="B1479" i="9"/>
  <c r="E1479" i="9" s="1"/>
  <c r="A1478" i="9"/>
  <c r="D1474" i="9"/>
  <c r="B1473" i="9"/>
  <c r="E1473" i="9" s="1"/>
  <c r="A1472" i="9"/>
  <c r="A1471" i="9"/>
  <c r="D1468" i="9"/>
  <c r="C1467" i="9"/>
  <c r="A1466" i="9"/>
  <c r="A1465" i="9"/>
  <c r="F1463" i="9"/>
  <c r="D1462" i="9"/>
  <c r="C1461" i="9"/>
  <c r="C1460" i="9"/>
  <c r="A1459" i="9"/>
  <c r="F1457" i="9"/>
  <c r="C1455" i="9"/>
  <c r="C1454" i="9"/>
  <c r="B1453" i="9"/>
  <c r="E1453" i="9" s="1"/>
  <c r="F1451" i="9"/>
  <c r="C1448" i="9"/>
  <c r="B1447" i="9"/>
  <c r="E1447" i="9" s="1"/>
  <c r="A1446" i="9"/>
  <c r="D1442" i="9"/>
  <c r="B1441" i="9"/>
  <c r="E1441" i="9" s="1"/>
  <c r="A1440" i="9"/>
  <c r="A1439" i="9"/>
  <c r="D1436" i="9"/>
  <c r="C1435" i="9"/>
  <c r="A1434" i="9"/>
  <c r="A1433" i="9"/>
  <c r="F1431" i="9"/>
  <c r="D1430" i="9"/>
  <c r="C1429" i="9"/>
  <c r="C1428" i="9"/>
  <c r="A1427" i="9"/>
  <c r="F1425" i="9"/>
  <c r="C1423" i="9"/>
  <c r="C1422" i="9"/>
  <c r="B1421" i="9"/>
  <c r="E1421" i="9" s="1"/>
  <c r="F1419" i="9"/>
  <c r="C1416" i="9"/>
  <c r="B1415" i="9"/>
  <c r="E1415" i="9" s="1"/>
  <c r="A1414" i="9"/>
  <c r="D1410" i="9"/>
  <c r="B1409" i="9"/>
  <c r="E1409" i="9" s="1"/>
  <c r="A1408" i="9"/>
  <c r="A1407" i="9"/>
  <c r="D1404" i="9"/>
  <c r="C1403" i="9"/>
  <c r="A1402" i="9"/>
  <c r="A1401" i="9"/>
  <c r="F1399" i="9"/>
  <c r="D1398" i="9"/>
  <c r="C1397" i="9"/>
  <c r="C1396" i="9"/>
  <c r="A1395" i="9"/>
  <c r="F1393" i="9"/>
  <c r="C1391" i="9"/>
  <c r="C1390" i="9"/>
  <c r="B1389" i="9"/>
  <c r="E1389" i="9" s="1"/>
  <c r="F1387" i="9"/>
  <c r="C1384" i="9"/>
  <c r="B1383" i="9"/>
  <c r="E1383" i="9" s="1"/>
  <c r="A1382" i="9"/>
  <c r="D1378" i="9"/>
  <c r="B1377" i="9"/>
  <c r="E1377" i="9" s="1"/>
  <c r="A1376" i="9"/>
  <c r="A1375" i="9"/>
  <c r="D1372" i="9"/>
  <c r="C1371" i="9"/>
  <c r="A1370" i="9"/>
  <c r="A1369" i="9"/>
  <c r="F1367" i="9"/>
  <c r="D1366" i="9"/>
  <c r="C1365" i="9"/>
  <c r="C1364" i="9"/>
  <c r="A1363" i="9"/>
  <c r="F1361" i="9"/>
  <c r="C1359" i="9"/>
  <c r="C1358" i="9"/>
  <c r="B1357" i="9"/>
  <c r="E1357" i="9" s="1"/>
  <c r="F1355" i="9"/>
  <c r="C1352" i="9"/>
  <c r="B1351" i="9"/>
  <c r="E1351" i="9" s="1"/>
  <c r="A1350" i="9"/>
  <c r="D1346" i="9"/>
  <c r="B1345" i="9"/>
  <c r="E1345" i="9" s="1"/>
  <c r="A1344" i="9"/>
  <c r="A1343" i="9"/>
  <c r="D1340" i="9"/>
  <c r="C1339" i="9"/>
  <c r="A1338" i="9"/>
  <c r="A1337" i="9"/>
  <c r="F1335" i="9"/>
  <c r="D1334" i="9"/>
  <c r="C1333" i="9"/>
  <c r="C1332" i="9"/>
  <c r="A1331" i="9"/>
  <c r="F1329" i="9"/>
  <c r="C1327" i="9"/>
  <c r="C1326" i="9"/>
  <c r="B1325" i="9"/>
  <c r="E1325" i="9" s="1"/>
  <c r="F1323" i="9"/>
  <c r="C1320" i="9"/>
  <c r="B1319" i="9"/>
  <c r="E1319" i="9" s="1"/>
  <c r="A1318" i="9"/>
  <c r="D1314" i="9"/>
  <c r="B1313" i="9"/>
  <c r="E1313" i="9" s="1"/>
  <c r="A1312" i="9"/>
  <c r="A1311" i="9"/>
  <c r="D1308" i="9"/>
  <c r="C1307" i="9"/>
  <c r="A1306" i="9"/>
  <c r="A1305" i="9"/>
  <c r="F1303" i="9"/>
  <c r="D1302" i="9"/>
  <c r="C1301" i="9"/>
  <c r="C1300" i="9"/>
  <c r="A1299" i="9"/>
  <c r="F1297" i="9"/>
  <c r="C1295" i="9"/>
  <c r="D1294" i="9"/>
  <c r="F1291" i="9"/>
  <c r="A1291" i="9"/>
  <c r="A1290" i="9"/>
  <c r="B1289" i="9"/>
  <c r="E1289" i="9" s="1"/>
  <c r="C1288" i="9"/>
  <c r="C1287" i="9"/>
  <c r="D1286" i="9"/>
  <c r="F1283" i="9"/>
  <c r="A1283" i="9"/>
  <c r="A1282" i="9"/>
  <c r="B1281" i="9"/>
  <c r="E1281" i="9" s="1"/>
  <c r="C1280" i="9"/>
  <c r="C1279" i="9"/>
  <c r="D1278" i="9"/>
  <c r="F1275" i="9"/>
  <c r="A1275" i="9"/>
  <c r="A1274" i="9"/>
  <c r="B1273" i="9"/>
  <c r="E1273" i="9" s="1"/>
  <c r="C1272" i="9"/>
  <c r="C1271" i="9"/>
  <c r="D1270" i="9"/>
  <c r="F1267" i="9"/>
  <c r="A1267" i="9"/>
  <c r="A1266" i="9"/>
  <c r="B1265" i="9"/>
  <c r="E1265" i="9" s="1"/>
  <c r="C1264" i="9"/>
  <c r="C1263" i="9"/>
  <c r="D1262" i="9"/>
  <c r="F1259" i="9"/>
  <c r="A1259" i="9"/>
  <c r="A1258" i="9"/>
  <c r="B1257" i="9"/>
  <c r="E1257" i="9" s="1"/>
  <c r="C1256" i="9"/>
  <c r="C1255" i="9"/>
  <c r="D1254" i="9"/>
  <c r="F1251" i="9"/>
  <c r="A1251" i="9"/>
  <c r="A1250" i="9"/>
  <c r="B1249" i="9"/>
  <c r="E1249" i="9" s="1"/>
  <c r="C1248" i="9"/>
  <c r="C1247" i="9"/>
  <c r="D1246" i="9"/>
  <c r="F1243" i="9"/>
  <c r="A1243" i="9"/>
  <c r="A1242" i="9"/>
  <c r="B1241" i="9"/>
  <c r="E1241" i="9" s="1"/>
  <c r="C1240" i="9"/>
  <c r="C1239" i="9"/>
  <c r="D1238" i="9"/>
  <c r="F1235" i="9"/>
  <c r="A1235" i="9"/>
  <c r="A1234" i="9"/>
  <c r="B1233" i="9"/>
  <c r="E1233" i="9" s="1"/>
  <c r="C1232" i="9"/>
  <c r="C1231" i="9"/>
  <c r="D1230" i="9"/>
  <c r="F1227" i="9"/>
  <c r="A1227" i="9"/>
  <c r="A1226" i="9"/>
  <c r="B1225" i="9"/>
  <c r="E1225" i="9" s="1"/>
  <c r="C1224" i="9"/>
  <c r="C1223" i="9"/>
  <c r="D1222" i="9"/>
  <c r="F1219" i="9"/>
  <c r="A1219" i="9"/>
  <c r="A1218" i="9"/>
  <c r="B1217" i="9"/>
  <c r="E1217" i="9" s="1"/>
  <c r="C1216" i="9"/>
  <c r="C1215" i="9"/>
  <c r="D1214" i="9"/>
  <c r="F1211" i="9"/>
  <c r="A1211" i="9"/>
  <c r="A1210" i="9"/>
  <c r="B1209" i="9"/>
  <c r="E1209" i="9" s="1"/>
  <c r="C1208" i="9"/>
  <c r="C1207" i="9"/>
  <c r="D1206" i="9"/>
  <c r="F1203" i="9"/>
  <c r="A1203" i="9"/>
  <c r="A1202" i="9"/>
  <c r="B1201" i="9"/>
  <c r="E1201" i="9" s="1"/>
  <c r="C1200" i="9"/>
  <c r="C1199" i="9"/>
  <c r="D1198" i="9"/>
  <c r="F1195" i="9"/>
  <c r="A1195" i="9"/>
  <c r="A1194" i="9"/>
  <c r="B1193" i="9"/>
  <c r="E1193" i="9" s="1"/>
  <c r="C1192" i="9"/>
  <c r="C1191" i="9"/>
  <c r="D1190" i="9"/>
  <c r="F1187" i="9"/>
  <c r="A1187" i="9"/>
  <c r="A1186" i="9"/>
  <c r="B1185" i="9"/>
  <c r="E1185" i="9" s="1"/>
  <c r="C1184" i="9"/>
  <c r="C1183" i="9"/>
  <c r="D1182" i="9"/>
  <c r="F1179" i="9"/>
  <c r="A1179" i="9"/>
  <c r="A1178" i="9"/>
  <c r="B1177" i="9"/>
  <c r="E1177" i="9" s="1"/>
  <c r="C1176" i="9"/>
  <c r="C1175" i="9"/>
  <c r="D1174" i="9"/>
  <c r="F1171" i="9"/>
  <c r="A1171" i="9"/>
  <c r="A1170" i="9"/>
  <c r="B1169" i="9"/>
  <c r="E1169" i="9" s="1"/>
  <c r="C1168" i="9"/>
  <c r="C1167" i="9"/>
  <c r="D1166" i="9"/>
  <c r="F1163" i="9"/>
  <c r="A1163" i="9"/>
  <c r="A1162" i="9"/>
  <c r="B1161" i="9"/>
  <c r="E1161" i="9" s="1"/>
  <c r="C1160" i="9"/>
  <c r="C1159" i="9"/>
  <c r="D1158" i="9"/>
  <c r="F1155" i="9"/>
  <c r="A1155" i="9"/>
  <c r="A1154" i="9"/>
  <c r="B1153" i="9"/>
  <c r="E1153" i="9" s="1"/>
  <c r="C1152" i="9"/>
  <c r="C1151" i="9"/>
  <c r="D1150" i="9"/>
  <c r="F1147" i="9"/>
  <c r="A1147" i="9"/>
  <c r="A1146" i="9"/>
  <c r="B1145" i="9"/>
  <c r="E1145" i="9" s="1"/>
  <c r="C1144" i="9"/>
  <c r="C1143" i="9"/>
  <c r="D1142" i="9"/>
  <c r="F1139" i="9"/>
  <c r="A1139" i="9"/>
  <c r="A1138" i="9"/>
  <c r="B1137" i="9"/>
  <c r="E1137" i="9" s="1"/>
  <c r="C1136" i="9"/>
  <c r="C1135" i="9"/>
  <c r="D1134" i="9"/>
  <c r="F1131" i="9"/>
  <c r="A1131" i="9"/>
  <c r="A1130" i="9"/>
  <c r="B1129" i="9"/>
  <c r="E1129" i="9" s="1"/>
  <c r="C1128" i="9"/>
  <c r="C1127" i="9"/>
  <c r="D1126" i="9"/>
  <c r="F1123" i="9"/>
  <c r="A1123" i="9"/>
  <c r="A1122" i="9"/>
  <c r="B1121" i="9"/>
  <c r="E1121" i="9" s="1"/>
  <c r="C1120" i="9"/>
  <c r="C1119" i="9"/>
  <c r="D1118" i="9"/>
  <c r="F1115" i="9"/>
  <c r="A1115" i="9"/>
  <c r="A1114" i="9"/>
  <c r="B1113" i="9"/>
  <c r="E1113" i="9" s="1"/>
  <c r="C1112" i="9"/>
  <c r="C1111" i="9"/>
  <c r="D1110" i="9"/>
  <c r="F1107" i="9"/>
  <c r="A1107" i="9"/>
  <c r="A1106" i="9"/>
  <c r="B1105" i="9"/>
  <c r="E1105" i="9" s="1"/>
  <c r="C1104" i="9"/>
  <c r="C1103" i="9"/>
  <c r="D1102" i="9"/>
  <c r="F1099" i="9"/>
  <c r="A1099" i="9"/>
  <c r="A1098" i="9"/>
  <c r="B1097" i="9"/>
  <c r="E1097" i="9" s="1"/>
  <c r="C1096" i="9"/>
  <c r="C1095" i="9"/>
  <c r="D1094" i="9"/>
  <c r="F1091" i="9"/>
  <c r="A1091" i="9"/>
  <c r="A1090" i="9"/>
  <c r="B1089" i="9"/>
  <c r="E1089" i="9" s="1"/>
  <c r="C1088" i="9"/>
  <c r="C1087" i="9"/>
  <c r="D1086" i="9"/>
  <c r="F1083" i="9"/>
  <c r="A1083" i="9"/>
  <c r="A1082" i="9"/>
  <c r="B1081" i="9"/>
  <c r="E1081" i="9" s="1"/>
  <c r="C1080" i="9"/>
  <c r="C1079" i="9"/>
  <c r="D1078" i="9"/>
  <c r="F1075" i="9"/>
  <c r="A1075" i="9"/>
  <c r="A1074" i="9"/>
  <c r="B1073" i="9"/>
  <c r="E1073" i="9" s="1"/>
  <c r="C1072" i="9"/>
  <c r="C1071" i="9"/>
  <c r="D1070" i="9"/>
  <c r="F1067" i="9"/>
  <c r="A1067" i="9"/>
  <c r="A1066" i="9"/>
  <c r="B1065" i="9"/>
  <c r="E1065" i="9" s="1"/>
  <c r="C1064" i="9"/>
  <c r="C1063" i="9"/>
  <c r="D1062" i="9"/>
  <c r="F1059" i="9"/>
  <c r="A1059" i="9"/>
  <c r="A1058" i="9"/>
  <c r="B1057" i="9"/>
  <c r="E1057" i="9" s="1"/>
  <c r="C1056" i="9"/>
  <c r="C1055" i="9"/>
  <c r="D1054" i="9"/>
  <c r="F1051" i="9"/>
  <c r="A1051" i="9"/>
  <c r="A1050" i="9"/>
  <c r="B1049" i="9"/>
  <c r="E1049" i="9" s="1"/>
  <c r="C1048" i="9"/>
  <c r="C1047" i="9"/>
  <c r="D1046" i="9"/>
  <c r="F1043" i="9"/>
  <c r="A1043" i="9"/>
  <c r="A1042" i="9"/>
  <c r="B1041" i="9"/>
  <c r="E1041" i="9" s="1"/>
  <c r="C1040" i="9"/>
  <c r="C1039" i="9"/>
  <c r="D1038" i="9"/>
  <c r="F1035" i="9"/>
  <c r="A1035" i="9"/>
  <c r="A1034" i="9"/>
  <c r="B1033" i="9"/>
  <c r="E1033" i="9" s="1"/>
  <c r="C1032" i="9"/>
  <c r="C1031" i="9"/>
  <c r="D1030" i="9"/>
  <c r="F1027" i="9"/>
  <c r="A1027" i="9"/>
  <c r="A1026" i="9"/>
  <c r="B1025" i="9"/>
  <c r="E1025" i="9" s="1"/>
  <c r="C1024" i="9"/>
  <c r="C1023" i="9"/>
  <c r="D1022" i="9"/>
  <c r="F1019" i="9"/>
  <c r="A1019" i="9"/>
  <c r="A1018" i="9"/>
  <c r="B1017" i="9"/>
  <c r="E1017" i="9" s="1"/>
  <c r="C1016" i="9"/>
  <c r="C1015" i="9"/>
  <c r="D1014" i="9"/>
  <c r="F1011" i="9"/>
  <c r="A1011" i="9"/>
  <c r="A1010" i="9"/>
  <c r="B1009" i="9"/>
  <c r="E1009" i="9" s="1"/>
  <c r="C1008" i="9"/>
  <c r="C1007" i="9"/>
  <c r="D1006" i="9"/>
  <c r="F1003" i="9"/>
  <c r="A1003" i="9"/>
  <c r="A1002" i="9"/>
  <c r="B1001" i="9"/>
  <c r="E1001" i="9" s="1"/>
  <c r="C1000" i="9"/>
  <c r="C999" i="9"/>
  <c r="D998" i="9"/>
  <c r="F995" i="9"/>
  <c r="A995" i="9"/>
  <c r="A994" i="9"/>
  <c r="B993" i="9"/>
  <c r="E993" i="9" s="1"/>
  <c r="C992" i="9"/>
  <c r="C991" i="9"/>
  <c r="D990" i="9"/>
  <c r="F987" i="9"/>
  <c r="A987" i="9"/>
  <c r="A986" i="9"/>
  <c r="B985" i="9"/>
  <c r="E985" i="9" s="1"/>
  <c r="C984" i="9"/>
  <c r="C983" i="9"/>
  <c r="D982" i="9"/>
  <c r="F979" i="9"/>
  <c r="A979" i="9"/>
  <c r="A978" i="9"/>
  <c r="B977" i="9"/>
  <c r="E977" i="9" s="1"/>
  <c r="C976" i="9"/>
  <c r="C975" i="9"/>
  <c r="D974" i="9"/>
  <c r="F971" i="9"/>
  <c r="A971" i="9"/>
  <c r="A970" i="9"/>
  <c r="B969" i="9"/>
  <c r="E969" i="9" s="1"/>
  <c r="C968" i="9"/>
  <c r="C967" i="9"/>
  <c r="D966" i="9"/>
  <c r="F963" i="9"/>
  <c r="A963" i="9"/>
  <c r="A962" i="9"/>
  <c r="B961" i="9"/>
  <c r="E961" i="9" s="1"/>
  <c r="C960" i="9"/>
  <c r="C959" i="9"/>
  <c r="D958" i="9"/>
  <c r="F955" i="9"/>
  <c r="A955" i="9"/>
  <c r="A954" i="9"/>
  <c r="B953" i="9"/>
  <c r="E953" i="9" s="1"/>
  <c r="C952" i="9"/>
  <c r="C951" i="9"/>
  <c r="D950" i="9"/>
  <c r="F947" i="9"/>
  <c r="A947" i="9"/>
  <c r="A946" i="9"/>
  <c r="B945" i="9"/>
  <c r="E945" i="9" s="1"/>
  <c r="C944" i="9"/>
  <c r="C943" i="9"/>
  <c r="D942" i="9"/>
  <c r="F939" i="9"/>
  <c r="A939" i="9"/>
  <c r="A938" i="9"/>
  <c r="B937" i="9"/>
  <c r="E937" i="9" s="1"/>
  <c r="C936" i="9"/>
  <c r="C935" i="9"/>
  <c r="D934" i="9"/>
  <c r="F931" i="9"/>
  <c r="A931" i="9"/>
  <c r="A930" i="9"/>
  <c r="B929" i="9"/>
  <c r="E929" i="9" s="1"/>
  <c r="C928" i="9"/>
  <c r="C927" i="9"/>
  <c r="D926" i="9"/>
  <c r="F923" i="9"/>
  <c r="A923" i="9"/>
  <c r="A922" i="9"/>
  <c r="B921" i="9"/>
  <c r="E921" i="9" s="1"/>
  <c r="C920" i="9"/>
  <c r="C919" i="9"/>
  <c r="D918" i="9"/>
  <c r="F915" i="9"/>
  <c r="A915" i="9"/>
  <c r="A914" i="9"/>
  <c r="B913" i="9"/>
  <c r="E913" i="9" s="1"/>
  <c r="C912" i="9"/>
  <c r="C911" i="9"/>
  <c r="D910" i="9"/>
  <c r="F907" i="9"/>
  <c r="A907" i="9"/>
  <c r="A906" i="9"/>
  <c r="B905" i="9"/>
  <c r="E905" i="9" s="1"/>
  <c r="C904" i="9"/>
  <c r="C903" i="9"/>
  <c r="D902" i="9"/>
  <c r="F899" i="9"/>
  <c r="A899" i="9"/>
  <c r="A898" i="9"/>
  <c r="B897" i="9"/>
  <c r="E897" i="9" s="1"/>
  <c r="C896" i="9"/>
  <c r="C895" i="9"/>
  <c r="D894" i="9"/>
  <c r="F891" i="9"/>
  <c r="A891" i="9"/>
  <c r="A890" i="9"/>
  <c r="B889" i="9"/>
  <c r="E889" i="9" s="1"/>
  <c r="C888" i="9"/>
  <c r="C887" i="9"/>
  <c r="D886" i="9"/>
  <c r="F883" i="9"/>
  <c r="A883" i="9"/>
  <c r="A882" i="9"/>
  <c r="B881" i="9"/>
  <c r="E881" i="9" s="1"/>
  <c r="C880" i="9"/>
  <c r="C879" i="9"/>
  <c r="D878" i="9"/>
  <c r="F875" i="9"/>
  <c r="A875" i="9"/>
  <c r="A874" i="9"/>
  <c r="B873" i="9"/>
  <c r="E873" i="9" s="1"/>
  <c r="C872" i="9"/>
  <c r="C871" i="9"/>
  <c r="D870" i="9"/>
  <c r="F867" i="9"/>
  <c r="A867" i="9"/>
  <c r="A866" i="9"/>
  <c r="B865" i="9"/>
  <c r="E865" i="9" s="1"/>
  <c r="C864" i="9"/>
  <c r="C863" i="9"/>
  <c r="D862" i="9"/>
  <c r="F859" i="9"/>
  <c r="A859" i="9"/>
  <c r="A858" i="9"/>
  <c r="B857" i="9"/>
  <c r="E857" i="9" s="1"/>
  <c r="C856" i="9"/>
  <c r="C855" i="9"/>
  <c r="D854" i="9"/>
  <c r="F851" i="9"/>
  <c r="A851" i="9"/>
  <c r="A850" i="9"/>
  <c r="B849" i="9"/>
  <c r="E849" i="9" s="1"/>
  <c r="C848" i="9"/>
  <c r="C847" i="9"/>
  <c r="D846" i="9"/>
  <c r="F843" i="9"/>
  <c r="A843" i="9"/>
  <c r="A842" i="9"/>
  <c r="B841" i="9"/>
  <c r="E841" i="9" s="1"/>
  <c r="C840" i="9"/>
  <c r="C839" i="9"/>
  <c r="D838" i="9"/>
  <c r="F835" i="9"/>
  <c r="A835" i="9"/>
  <c r="A834" i="9"/>
  <c r="B833" i="9"/>
  <c r="E833" i="9" s="1"/>
  <c r="C832" i="9"/>
  <c r="C831" i="9"/>
  <c r="D830" i="9"/>
  <c r="F827" i="9"/>
  <c r="A827" i="9"/>
  <c r="A826" i="9"/>
  <c r="B825" i="9"/>
  <c r="E825" i="9" s="1"/>
  <c r="C824" i="9"/>
  <c r="C823" i="9"/>
  <c r="D822" i="9"/>
  <c r="F819" i="9"/>
  <c r="A819" i="9"/>
  <c r="A818" i="9"/>
  <c r="B817" i="9"/>
  <c r="E817" i="9" s="1"/>
  <c r="C816" i="9"/>
  <c r="C815" i="9"/>
  <c r="D814" i="9"/>
  <c r="F811" i="9"/>
  <c r="A811" i="9"/>
  <c r="A810" i="9"/>
  <c r="B809" i="9"/>
  <c r="E809" i="9" s="1"/>
  <c r="C808" i="9"/>
  <c r="C807" i="9"/>
  <c r="D806" i="9"/>
  <c r="F803" i="9"/>
  <c r="A803" i="9"/>
  <c r="A802" i="9"/>
  <c r="B801" i="9"/>
  <c r="E801" i="9" s="1"/>
  <c r="C800" i="9"/>
  <c r="C799" i="9"/>
  <c r="D798" i="9"/>
  <c r="F795" i="9"/>
  <c r="A795" i="9"/>
  <c r="A794" i="9"/>
  <c r="B793" i="9"/>
  <c r="E793" i="9" s="1"/>
  <c r="C792" i="9"/>
  <c r="C791" i="9"/>
  <c r="D790" i="9"/>
  <c r="F787" i="9"/>
  <c r="A787" i="9"/>
  <c r="A786" i="9"/>
  <c r="B785" i="9"/>
  <c r="E785" i="9" s="1"/>
  <c r="C784" i="9"/>
  <c r="C783" i="9"/>
  <c r="D782" i="9"/>
  <c r="F779" i="9"/>
  <c r="A779" i="9"/>
  <c r="A778" i="9"/>
  <c r="B777" i="9"/>
  <c r="E777" i="9" s="1"/>
  <c r="C776" i="9"/>
  <c r="C775" i="9"/>
  <c r="D774" i="9"/>
  <c r="F771" i="9"/>
  <c r="A771" i="9"/>
  <c r="A770" i="9"/>
  <c r="B769" i="9"/>
  <c r="E769" i="9" s="1"/>
  <c r="C768" i="9"/>
  <c r="C767" i="9"/>
  <c r="D766" i="9"/>
  <c r="F763" i="9"/>
  <c r="A763" i="9"/>
  <c r="A762" i="9"/>
  <c r="B761" i="9"/>
  <c r="E761" i="9" s="1"/>
  <c r="C760" i="9"/>
  <c r="C759" i="9"/>
  <c r="D758" i="9"/>
  <c r="F755" i="9"/>
  <c r="A755" i="9"/>
  <c r="A754" i="9"/>
  <c r="B753" i="9"/>
  <c r="E753" i="9" s="1"/>
  <c r="C752" i="9"/>
  <c r="C751" i="9"/>
  <c r="D750" i="9"/>
  <c r="F747" i="9"/>
  <c r="A747" i="9"/>
  <c r="A746" i="9"/>
  <c r="B745" i="9"/>
  <c r="E745" i="9" s="1"/>
  <c r="C744" i="9"/>
  <c r="C743" i="9"/>
  <c r="D742" i="9"/>
  <c r="F739" i="9"/>
  <c r="A739" i="9"/>
  <c r="A738" i="9"/>
  <c r="B737" i="9"/>
  <c r="E737" i="9" s="1"/>
  <c r="C736" i="9"/>
  <c r="C735" i="9"/>
  <c r="D734" i="9"/>
  <c r="F731" i="9"/>
  <c r="A731" i="9"/>
  <c r="A730" i="9"/>
  <c r="B729" i="9"/>
  <c r="E729" i="9" s="1"/>
  <c r="C728" i="9"/>
  <c r="C727" i="9"/>
  <c r="D726" i="9"/>
  <c r="F724" i="9"/>
  <c r="B724" i="9"/>
  <c r="E724" i="9" s="1"/>
  <c r="D723" i="9"/>
  <c r="F722" i="9"/>
  <c r="B722" i="9"/>
  <c r="E722" i="9" s="1"/>
  <c r="D721" i="9"/>
  <c r="F720" i="9"/>
  <c r="B720" i="9"/>
  <c r="E720" i="9" s="1"/>
  <c r="D719" i="9"/>
  <c r="F718" i="9"/>
  <c r="B718" i="9"/>
  <c r="E718" i="9" s="1"/>
  <c r="D717" i="9"/>
  <c r="F716" i="9"/>
  <c r="B716" i="9"/>
  <c r="E716" i="9" s="1"/>
  <c r="D715" i="9"/>
  <c r="F714" i="9"/>
  <c r="B714" i="9"/>
  <c r="E714" i="9" s="1"/>
  <c r="D713" i="9"/>
  <c r="F712" i="9"/>
  <c r="B712" i="9"/>
  <c r="E712" i="9" s="1"/>
  <c r="D711" i="9"/>
  <c r="F710" i="9"/>
  <c r="B710" i="9"/>
  <c r="E710" i="9" s="1"/>
  <c r="D709" i="9"/>
  <c r="F708" i="9"/>
  <c r="B708" i="9"/>
  <c r="E708" i="9" s="1"/>
  <c r="D707" i="9"/>
  <c r="F706" i="9"/>
  <c r="B706" i="9"/>
  <c r="E706" i="9" s="1"/>
  <c r="D705" i="9"/>
  <c r="F704" i="9"/>
  <c r="B704" i="9"/>
  <c r="E704" i="9" s="1"/>
  <c r="D703" i="9"/>
  <c r="F702" i="9"/>
  <c r="B702" i="9"/>
  <c r="E702" i="9" s="1"/>
  <c r="D701" i="9"/>
  <c r="F700" i="9"/>
  <c r="B700" i="9"/>
  <c r="E700" i="9" s="1"/>
  <c r="D699" i="9"/>
  <c r="F698" i="9"/>
  <c r="B698" i="9"/>
  <c r="E698" i="9" s="1"/>
  <c r="D697" i="9"/>
  <c r="F696" i="9"/>
  <c r="B696" i="9"/>
  <c r="E696" i="9" s="1"/>
  <c r="D695" i="9"/>
  <c r="F694" i="9"/>
  <c r="B694" i="9"/>
  <c r="E694" i="9" s="1"/>
  <c r="D693" i="9"/>
  <c r="F692" i="9"/>
  <c r="B692" i="9"/>
  <c r="E692" i="9" s="1"/>
  <c r="D691" i="9"/>
  <c r="F690" i="9"/>
  <c r="B690" i="9"/>
  <c r="E690" i="9" s="1"/>
  <c r="D689" i="9"/>
  <c r="F688" i="9"/>
  <c r="B688" i="9"/>
  <c r="E688" i="9" s="1"/>
  <c r="D687" i="9"/>
  <c r="F686" i="9"/>
  <c r="B686" i="9"/>
  <c r="E686" i="9" s="1"/>
  <c r="D685" i="9"/>
  <c r="F684" i="9"/>
  <c r="B684" i="9"/>
  <c r="E684" i="9" s="1"/>
  <c r="D683" i="9"/>
  <c r="F682" i="9"/>
  <c r="B682" i="9"/>
  <c r="E682" i="9" s="1"/>
  <c r="D681" i="9"/>
  <c r="F680" i="9"/>
  <c r="B680" i="9"/>
  <c r="E680" i="9" s="1"/>
  <c r="D679" i="9"/>
  <c r="F678" i="9"/>
  <c r="B678" i="9"/>
  <c r="E678" i="9" s="1"/>
  <c r="D677" i="9"/>
  <c r="F676" i="9"/>
  <c r="B676" i="9"/>
  <c r="E676" i="9" s="1"/>
  <c r="D675" i="9"/>
  <c r="F674" i="9"/>
  <c r="B674" i="9"/>
  <c r="E674" i="9" s="1"/>
  <c r="D673" i="9"/>
  <c r="F672" i="9"/>
  <c r="B672" i="9"/>
  <c r="E672" i="9" s="1"/>
  <c r="D671" i="9"/>
  <c r="F670" i="9"/>
  <c r="B670" i="9"/>
  <c r="E670" i="9" s="1"/>
  <c r="D669" i="9"/>
  <c r="F668" i="9"/>
  <c r="B668" i="9"/>
  <c r="E668" i="9" s="1"/>
  <c r="D667" i="9"/>
  <c r="F666" i="9"/>
  <c r="B666" i="9"/>
  <c r="E666" i="9" s="1"/>
  <c r="D665" i="9"/>
  <c r="F664" i="9"/>
  <c r="B664" i="9"/>
  <c r="E664" i="9" s="1"/>
  <c r="D663" i="9"/>
  <c r="F662" i="9"/>
  <c r="B662" i="9"/>
  <c r="E662" i="9" s="1"/>
  <c r="D661" i="9"/>
  <c r="F660" i="9"/>
  <c r="B660" i="9"/>
  <c r="E660" i="9" s="1"/>
  <c r="D659" i="9"/>
  <c r="F658" i="9"/>
  <c r="B658" i="9"/>
  <c r="E658" i="9" s="1"/>
  <c r="D657" i="9"/>
  <c r="F656" i="9"/>
  <c r="B656" i="9"/>
  <c r="E656" i="9" s="1"/>
  <c r="D655" i="9"/>
  <c r="F654" i="9"/>
  <c r="B654" i="9"/>
  <c r="E654" i="9" s="1"/>
  <c r="D653" i="9"/>
  <c r="F652" i="9"/>
  <c r="B652" i="9"/>
  <c r="E652" i="9" s="1"/>
  <c r="D651" i="9"/>
  <c r="F650" i="9"/>
  <c r="B650" i="9"/>
  <c r="E650" i="9" s="1"/>
  <c r="D649" i="9"/>
  <c r="F648" i="9"/>
  <c r="B648" i="9"/>
  <c r="E648" i="9" s="1"/>
  <c r="D647" i="9"/>
  <c r="F646" i="9"/>
  <c r="B646" i="9"/>
  <c r="E646" i="9" s="1"/>
  <c r="D645" i="9"/>
  <c r="F644" i="9"/>
  <c r="B644" i="9"/>
  <c r="E644" i="9" s="1"/>
  <c r="D643" i="9"/>
  <c r="F642" i="9"/>
  <c r="B642" i="9"/>
  <c r="E642" i="9" s="1"/>
  <c r="D641" i="9"/>
  <c r="F640" i="9"/>
  <c r="B640" i="9"/>
  <c r="E640" i="9" s="1"/>
  <c r="D639" i="9"/>
  <c r="F638" i="9"/>
  <c r="B638" i="9"/>
  <c r="E638" i="9" s="1"/>
  <c r="D637" i="9"/>
  <c r="F636" i="9"/>
  <c r="B636" i="9"/>
  <c r="E636" i="9" s="1"/>
  <c r="D635" i="9"/>
  <c r="F634" i="9"/>
  <c r="B634" i="9"/>
  <c r="E634" i="9" s="1"/>
  <c r="D633" i="9"/>
  <c r="F632" i="9"/>
  <c r="B632" i="9"/>
  <c r="E632" i="9" s="1"/>
  <c r="D631" i="9"/>
  <c r="F630" i="9"/>
  <c r="B630" i="9"/>
  <c r="E630" i="9" s="1"/>
  <c r="D629" i="9"/>
  <c r="F628" i="9"/>
  <c r="B628" i="9"/>
  <c r="E628" i="9" s="1"/>
  <c r="D627" i="9"/>
  <c r="F626" i="9"/>
  <c r="B626" i="9"/>
  <c r="E626" i="9" s="1"/>
  <c r="D625" i="9"/>
  <c r="F624" i="9"/>
  <c r="B624" i="9"/>
  <c r="E624" i="9" s="1"/>
  <c r="D623" i="9"/>
  <c r="F622" i="9"/>
  <c r="B622" i="9"/>
  <c r="E622" i="9" s="1"/>
  <c r="D621" i="9"/>
  <c r="F620" i="9"/>
  <c r="B620" i="9"/>
  <c r="E620" i="9" s="1"/>
  <c r="D619" i="9"/>
  <c r="F618" i="9"/>
  <c r="B618" i="9"/>
  <c r="E618" i="9" s="1"/>
  <c r="D617" i="9"/>
  <c r="F616" i="9"/>
  <c r="B616" i="9"/>
  <c r="E616" i="9" s="1"/>
  <c r="D615" i="9"/>
  <c r="F614" i="9"/>
  <c r="B614" i="9"/>
  <c r="E614" i="9" s="1"/>
  <c r="D613" i="9"/>
  <c r="F612" i="9"/>
  <c r="B612" i="9"/>
  <c r="E612" i="9" s="1"/>
  <c r="D611" i="9"/>
  <c r="F610" i="9"/>
  <c r="B610" i="9"/>
  <c r="E610" i="9" s="1"/>
  <c r="D609" i="9"/>
  <c r="F608" i="9"/>
  <c r="B608" i="9"/>
  <c r="E608" i="9" s="1"/>
  <c r="D607" i="9"/>
  <c r="F606" i="9"/>
  <c r="B606" i="9"/>
  <c r="E606" i="9" s="1"/>
  <c r="D605" i="9"/>
  <c r="F604" i="9"/>
  <c r="B604" i="9"/>
  <c r="E604" i="9" s="1"/>
  <c r="D603" i="9"/>
  <c r="F602" i="9"/>
  <c r="B602" i="9"/>
  <c r="E602" i="9" s="1"/>
  <c r="D601" i="9"/>
  <c r="F600" i="9"/>
  <c r="B600" i="9"/>
  <c r="E600" i="9" s="1"/>
  <c r="D599" i="9"/>
  <c r="F598" i="9"/>
  <c r="B598" i="9"/>
  <c r="E598" i="9" s="1"/>
  <c r="D597" i="9"/>
  <c r="F596" i="9"/>
  <c r="B596" i="9"/>
  <c r="E596" i="9" s="1"/>
  <c r="D595" i="9"/>
  <c r="F594" i="9"/>
  <c r="B594" i="9"/>
  <c r="E594" i="9" s="1"/>
  <c r="D593" i="9"/>
  <c r="F592" i="9"/>
  <c r="B592" i="9"/>
  <c r="E592" i="9" s="1"/>
  <c r="D591" i="9"/>
  <c r="F590" i="9"/>
  <c r="B590" i="9"/>
  <c r="E590" i="9" s="1"/>
  <c r="D589" i="9"/>
  <c r="F588" i="9"/>
  <c r="B588" i="9"/>
  <c r="E588" i="9" s="1"/>
  <c r="D587" i="9"/>
  <c r="F586" i="9"/>
  <c r="B586" i="9"/>
  <c r="E586" i="9" s="1"/>
  <c r="D585" i="9"/>
  <c r="F584" i="9"/>
  <c r="B584" i="9"/>
  <c r="E584" i="9" s="1"/>
  <c r="D583" i="9"/>
  <c r="F582" i="9"/>
  <c r="B582" i="9"/>
  <c r="E582" i="9" s="1"/>
  <c r="D581" i="9"/>
  <c r="F580" i="9"/>
  <c r="B580" i="9"/>
  <c r="E580" i="9" s="1"/>
  <c r="D579" i="9"/>
  <c r="F578" i="9"/>
  <c r="B578" i="9"/>
  <c r="E578" i="9" s="1"/>
  <c r="D577" i="9"/>
  <c r="F576" i="9"/>
  <c r="B576" i="9"/>
  <c r="E576" i="9" s="1"/>
  <c r="D575" i="9"/>
  <c r="F574" i="9"/>
  <c r="B574" i="9"/>
  <c r="E574" i="9" s="1"/>
  <c r="D573" i="9"/>
  <c r="F572" i="9"/>
  <c r="B572" i="9"/>
  <c r="E572" i="9" s="1"/>
  <c r="D571" i="9"/>
  <c r="F570" i="9"/>
  <c r="B570" i="9"/>
  <c r="E570" i="9" s="1"/>
  <c r="D569" i="9"/>
  <c r="F568" i="9"/>
  <c r="B568" i="9"/>
  <c r="E568" i="9" s="1"/>
  <c r="D567" i="9"/>
  <c r="F566" i="9"/>
  <c r="B566" i="9"/>
  <c r="E566" i="9" s="1"/>
  <c r="D565" i="9"/>
  <c r="F564" i="9"/>
  <c r="B564" i="9"/>
  <c r="E564" i="9" s="1"/>
  <c r="D563" i="9"/>
  <c r="F562" i="9"/>
  <c r="B562" i="9"/>
  <c r="E562" i="9" s="1"/>
  <c r="D561" i="9"/>
  <c r="F560" i="9"/>
  <c r="B560" i="9"/>
  <c r="E560" i="9" s="1"/>
  <c r="D559" i="9"/>
  <c r="F558" i="9"/>
  <c r="B558" i="9"/>
  <c r="E558" i="9" s="1"/>
  <c r="D557" i="9"/>
  <c r="F556" i="9"/>
  <c r="B556" i="9"/>
  <c r="E556" i="9" s="1"/>
  <c r="D555" i="9"/>
  <c r="F554" i="9"/>
  <c r="B554" i="9"/>
  <c r="E554" i="9" s="1"/>
  <c r="D553" i="9"/>
  <c r="F552" i="9"/>
  <c r="B552" i="9"/>
  <c r="E552" i="9" s="1"/>
  <c r="D551" i="9"/>
  <c r="F550" i="9"/>
  <c r="B550" i="9"/>
  <c r="E550" i="9" s="1"/>
  <c r="D549" i="9"/>
  <c r="F548" i="9"/>
  <c r="B548" i="9"/>
  <c r="E548" i="9" s="1"/>
  <c r="D547" i="9"/>
  <c r="F546" i="9"/>
  <c r="B546" i="9"/>
  <c r="E546" i="9" s="1"/>
  <c r="D545" i="9"/>
  <c r="F544" i="9"/>
  <c r="B544" i="9"/>
  <c r="E544" i="9" s="1"/>
  <c r="D543" i="9"/>
  <c r="F542" i="9"/>
  <c r="B542" i="9"/>
  <c r="E542" i="9" s="1"/>
  <c r="D541" i="9"/>
  <c r="F540" i="9"/>
  <c r="B540" i="9"/>
  <c r="E540" i="9" s="1"/>
  <c r="D539" i="9"/>
  <c r="F538" i="9"/>
  <c r="B538" i="9"/>
  <c r="E538" i="9" s="1"/>
  <c r="D537" i="9"/>
  <c r="F536" i="9"/>
  <c r="B536" i="9"/>
  <c r="E536" i="9" s="1"/>
  <c r="D535" i="9"/>
  <c r="F534" i="9"/>
  <c r="B534" i="9"/>
  <c r="E534" i="9" s="1"/>
  <c r="D533" i="9"/>
  <c r="F532" i="9"/>
  <c r="B532" i="9"/>
  <c r="E532" i="9" s="1"/>
  <c r="D531" i="9"/>
  <c r="F530" i="9"/>
  <c r="B530" i="9"/>
  <c r="E530" i="9" s="1"/>
  <c r="D529" i="9"/>
  <c r="F528" i="9"/>
  <c r="B528" i="9"/>
  <c r="E528" i="9" s="1"/>
  <c r="D527" i="9"/>
  <c r="F526" i="9"/>
  <c r="B526" i="9"/>
  <c r="E526" i="9" s="1"/>
  <c r="D525" i="9"/>
  <c r="F524" i="9"/>
  <c r="B524" i="9"/>
  <c r="E524" i="9" s="1"/>
  <c r="D523" i="9"/>
  <c r="F522" i="9"/>
  <c r="B522" i="9"/>
  <c r="E522" i="9" s="1"/>
  <c r="D521" i="9"/>
  <c r="F520" i="9"/>
  <c r="B520" i="9"/>
  <c r="E520" i="9" s="1"/>
  <c r="D519" i="9"/>
  <c r="F518" i="9"/>
  <c r="B518" i="9"/>
  <c r="E518" i="9" s="1"/>
  <c r="D517" i="9"/>
  <c r="F516" i="9"/>
  <c r="B516" i="9"/>
  <c r="E516" i="9" s="1"/>
  <c r="D515" i="9"/>
  <c r="F514" i="9"/>
  <c r="B514" i="9"/>
  <c r="E514" i="9" s="1"/>
  <c r="D513" i="9"/>
  <c r="F512" i="9"/>
  <c r="B512" i="9"/>
  <c r="E512" i="9" s="1"/>
  <c r="D511" i="9"/>
  <c r="F510" i="9"/>
  <c r="B510" i="9"/>
  <c r="E510" i="9" s="1"/>
  <c r="D509" i="9"/>
  <c r="F508" i="9"/>
  <c r="B508" i="9"/>
  <c r="E508" i="9" s="1"/>
  <c r="D507" i="9"/>
  <c r="F506" i="9"/>
  <c r="B506" i="9"/>
  <c r="E506" i="9" s="1"/>
  <c r="D505" i="9"/>
  <c r="F504" i="9"/>
  <c r="B504" i="9"/>
  <c r="E504" i="9" s="1"/>
  <c r="D503" i="9"/>
  <c r="F502" i="9"/>
  <c r="B502" i="9"/>
  <c r="E502" i="9" s="1"/>
  <c r="D501" i="9"/>
  <c r="F500" i="9"/>
  <c r="B500" i="9"/>
  <c r="E500" i="9" s="1"/>
  <c r="D499" i="9"/>
  <c r="B1999" i="9"/>
  <c r="E1999" i="9" s="1"/>
  <c r="B1995" i="9"/>
  <c r="E1995" i="9" s="1"/>
  <c r="A1992" i="9"/>
  <c r="A1988" i="9"/>
  <c r="B1984" i="9"/>
  <c r="E1984" i="9" s="1"/>
  <c r="B1976" i="9"/>
  <c r="E1976" i="9" s="1"/>
  <c r="F1972" i="9"/>
  <c r="C1969" i="9"/>
  <c r="C1965" i="9"/>
  <c r="F1961" i="9"/>
  <c r="D1958" i="9"/>
  <c r="A1954" i="9"/>
  <c r="D1950" i="9"/>
  <c r="F1946" i="9"/>
  <c r="D1939" i="9"/>
  <c r="A1936" i="9"/>
  <c r="D1931" i="9"/>
  <c r="A1928" i="9"/>
  <c r="F1924" i="9"/>
  <c r="D1920" i="9"/>
  <c r="F1916" i="9"/>
  <c r="B1913" i="9"/>
  <c r="E1913" i="9" s="1"/>
  <c r="F1908" i="9"/>
  <c r="A1906" i="9"/>
  <c r="F1901" i="9"/>
  <c r="A1898" i="9"/>
  <c r="B1894" i="9"/>
  <c r="E1894" i="9" s="1"/>
  <c r="F1890" i="9"/>
  <c r="B1887" i="9"/>
  <c r="E1887" i="9" s="1"/>
  <c r="F1882" i="9"/>
  <c r="C1879" i="9"/>
  <c r="B1875" i="9"/>
  <c r="E1875" i="9" s="1"/>
  <c r="A1872" i="9"/>
  <c r="D1868" i="9"/>
  <c r="A1864" i="9"/>
  <c r="D1860" i="9"/>
  <c r="C1857" i="9"/>
  <c r="F1852" i="9"/>
  <c r="D1849" i="9"/>
  <c r="F1846" i="9"/>
  <c r="D1843" i="9"/>
  <c r="C1841" i="9"/>
  <c r="C1835" i="9"/>
  <c r="B1830" i="9"/>
  <c r="E1830" i="9" s="1"/>
  <c r="B1827" i="9"/>
  <c r="E1827" i="9" s="1"/>
  <c r="D1824" i="9"/>
  <c r="C1821" i="9"/>
  <c r="D1818" i="9"/>
  <c r="A1816" i="9"/>
  <c r="B1813" i="9"/>
  <c r="E1813" i="9" s="1"/>
  <c r="B1810" i="9"/>
  <c r="E1810" i="9" s="1"/>
  <c r="B1807" i="9"/>
  <c r="E1807" i="9" s="1"/>
  <c r="F1804" i="9"/>
  <c r="F1801" i="9"/>
  <c r="F1798" i="9"/>
  <c r="B1796" i="9"/>
  <c r="E1796" i="9" s="1"/>
  <c r="F1792" i="9"/>
  <c r="A1788" i="9"/>
  <c r="A1782" i="9"/>
  <c r="D1779" i="9"/>
  <c r="D1776" i="9"/>
  <c r="F1773" i="9"/>
  <c r="B1771" i="9"/>
  <c r="E1771" i="9" s="1"/>
  <c r="F1767" i="9"/>
  <c r="C1765" i="9"/>
  <c r="D1759" i="9"/>
  <c r="F1756" i="9"/>
  <c r="D1754" i="9"/>
  <c r="B1751" i="9"/>
  <c r="E1751" i="9" s="1"/>
  <c r="D1748" i="9"/>
  <c r="D1745" i="9"/>
  <c r="B1740" i="9"/>
  <c r="E1740" i="9" s="1"/>
  <c r="C1737" i="9"/>
  <c r="B1734" i="9"/>
  <c r="E1734" i="9" s="1"/>
  <c r="C1731" i="9"/>
  <c r="F1728" i="9"/>
  <c r="A1726" i="9"/>
  <c r="B1723" i="9"/>
  <c r="E1723" i="9" s="1"/>
  <c r="D1720" i="9"/>
  <c r="B1717" i="9"/>
  <c r="E1717" i="9" s="1"/>
  <c r="A1712" i="9"/>
  <c r="F1708" i="9"/>
  <c r="B1706" i="9"/>
  <c r="E1706" i="9" s="1"/>
  <c r="F1703" i="9"/>
  <c r="D1700" i="9"/>
  <c r="F1697" i="9"/>
  <c r="B1695" i="9"/>
  <c r="E1695" i="9" s="1"/>
  <c r="A1692" i="9"/>
  <c r="D1689" i="9"/>
  <c r="F1686" i="9"/>
  <c r="D1684" i="9"/>
  <c r="D1682" i="9"/>
  <c r="B1678" i="9"/>
  <c r="E1678" i="9" s="1"/>
  <c r="B1676" i="9"/>
  <c r="E1676" i="9" s="1"/>
  <c r="A1674" i="9"/>
  <c r="F1671" i="9"/>
  <c r="A1670" i="9"/>
  <c r="F1667" i="9"/>
  <c r="D1665" i="9"/>
  <c r="C1663" i="9"/>
  <c r="D1661" i="9"/>
  <c r="C1659" i="9"/>
  <c r="B1657" i="9"/>
  <c r="E1657" i="9" s="1"/>
  <c r="B1655" i="9"/>
  <c r="E1655" i="9" s="1"/>
  <c r="F1650" i="9"/>
  <c r="F1648" i="9"/>
  <c r="D1646" i="9"/>
  <c r="D1644" i="9"/>
  <c r="B1640" i="9"/>
  <c r="E1640" i="9" s="1"/>
  <c r="B1638" i="9"/>
  <c r="E1638" i="9" s="1"/>
  <c r="B1636" i="9"/>
  <c r="E1636" i="9" s="1"/>
  <c r="F1633" i="9"/>
  <c r="A1632" i="9"/>
  <c r="A1630" i="9"/>
  <c r="D1627" i="9"/>
  <c r="D1625" i="9"/>
  <c r="F1623" i="9"/>
  <c r="C1621" i="9"/>
  <c r="C1619" i="9"/>
  <c r="B1617" i="9"/>
  <c r="E1617" i="9" s="1"/>
  <c r="F1614" i="9"/>
  <c r="B1613" i="9"/>
  <c r="E1613" i="9" s="1"/>
  <c r="F1610" i="9"/>
  <c r="D1606" i="9"/>
  <c r="D1602" i="9"/>
  <c r="B1600" i="9"/>
  <c r="E1600" i="9" s="1"/>
  <c r="B1598" i="9"/>
  <c r="E1598" i="9" s="1"/>
  <c r="F1595" i="9"/>
  <c r="D1594" i="9"/>
  <c r="F1592" i="9"/>
  <c r="B1591" i="9"/>
  <c r="E1591" i="9" s="1"/>
  <c r="D1589" i="9"/>
  <c r="B1588" i="9"/>
  <c r="E1588" i="9" s="1"/>
  <c r="D1586" i="9"/>
  <c r="F1584" i="9"/>
  <c r="C1583" i="9"/>
  <c r="D1581" i="9"/>
  <c r="B1580" i="9"/>
  <c r="E1580" i="9" s="1"/>
  <c r="F1576" i="9"/>
  <c r="C1575" i="9"/>
  <c r="A1574" i="9"/>
  <c r="B1572" i="9"/>
  <c r="E1572" i="9" s="1"/>
  <c r="B1569" i="9"/>
  <c r="E1569" i="9" s="1"/>
  <c r="C1567" i="9"/>
  <c r="A1566" i="9"/>
  <c r="D1564" i="9"/>
  <c r="B1561" i="9"/>
  <c r="E1561" i="9" s="1"/>
  <c r="F1559" i="9"/>
  <c r="A1558" i="9"/>
  <c r="D1556" i="9"/>
  <c r="F1554" i="9"/>
  <c r="B1553" i="9"/>
  <c r="E1553" i="9" s="1"/>
  <c r="F1551" i="9"/>
  <c r="B1550" i="9"/>
  <c r="E1550" i="9" s="1"/>
  <c r="D1548" i="9"/>
  <c r="F1546" i="9"/>
  <c r="D1545" i="9"/>
  <c r="F1543" i="9"/>
  <c r="B1542" i="9"/>
  <c r="E1542" i="9" s="1"/>
  <c r="F1538" i="9"/>
  <c r="D1537" i="9"/>
  <c r="A1536" i="9"/>
  <c r="D1534" i="9"/>
  <c r="C1533" i="9"/>
  <c r="C1532" i="9"/>
  <c r="A1531" i="9"/>
  <c r="F1529" i="9"/>
  <c r="C1527" i="9"/>
  <c r="C1526" i="9"/>
  <c r="B1525" i="9"/>
  <c r="E1525" i="9" s="1"/>
  <c r="F1523" i="9"/>
  <c r="C1520" i="9"/>
  <c r="B1519" i="9"/>
  <c r="E1519" i="9" s="1"/>
  <c r="A1518" i="9"/>
  <c r="D1514" i="9"/>
  <c r="B1513" i="9"/>
  <c r="E1513" i="9" s="1"/>
  <c r="A1512" i="9"/>
  <c r="A1511" i="9"/>
  <c r="D1508" i="9"/>
  <c r="C1507" i="9"/>
  <c r="A1506" i="9"/>
  <c r="A1505" i="9"/>
  <c r="F1503" i="9"/>
  <c r="D1502" i="9"/>
  <c r="C1501" i="9"/>
  <c r="C1500" i="9"/>
  <c r="A1499" i="9"/>
  <c r="F1497" i="9"/>
  <c r="C1495" i="9"/>
  <c r="C1494" i="9"/>
  <c r="B1493" i="9"/>
  <c r="E1493" i="9" s="1"/>
  <c r="F1491" i="9"/>
  <c r="C1488" i="9"/>
  <c r="B1487" i="9"/>
  <c r="E1487" i="9" s="1"/>
  <c r="A1486" i="9"/>
  <c r="D1482" i="9"/>
  <c r="B1481" i="9"/>
  <c r="E1481" i="9" s="1"/>
  <c r="A1480" i="9"/>
  <c r="A1479" i="9"/>
  <c r="D1476" i="9"/>
  <c r="C1475" i="9"/>
  <c r="A1474" i="9"/>
  <c r="A1473" i="9"/>
  <c r="F1471" i="9"/>
  <c r="D1470" i="9"/>
  <c r="C1469" i="9"/>
  <c r="C1468" i="9"/>
  <c r="A1467" i="9"/>
  <c r="F1465" i="9"/>
  <c r="C1463" i="9"/>
  <c r="C1462" i="9"/>
  <c r="B1461" i="9"/>
  <c r="E1461" i="9" s="1"/>
  <c r="F1459" i="9"/>
  <c r="C1456" i="9"/>
  <c r="B1455" i="9"/>
  <c r="E1455" i="9" s="1"/>
  <c r="A1454" i="9"/>
  <c r="D1450" i="9"/>
  <c r="B1449" i="9"/>
  <c r="E1449" i="9" s="1"/>
  <c r="A1448" i="9"/>
  <c r="A1447" i="9"/>
  <c r="D1444" i="9"/>
  <c r="C1443" i="9"/>
  <c r="A1442" i="9"/>
  <c r="A1441" i="9"/>
  <c r="F1439" i="9"/>
  <c r="D1438" i="9"/>
  <c r="C1437" i="9"/>
  <c r="C1436" i="9"/>
  <c r="A1435" i="9"/>
  <c r="F1433" i="9"/>
  <c r="C1431" i="9"/>
  <c r="C1430" i="9"/>
  <c r="B1429" i="9"/>
  <c r="E1429" i="9" s="1"/>
  <c r="F1427" i="9"/>
  <c r="C1424" i="9"/>
  <c r="B1423" i="9"/>
  <c r="E1423" i="9" s="1"/>
  <c r="A1422" i="9"/>
  <c r="D1418" i="9"/>
  <c r="B1417" i="9"/>
  <c r="E1417" i="9" s="1"/>
  <c r="A1416" i="9"/>
  <c r="A1415" i="9"/>
  <c r="D1412" i="9"/>
  <c r="C1411" i="9"/>
  <c r="A1410" i="9"/>
  <c r="A1409" i="9"/>
  <c r="F1407" i="9"/>
  <c r="D1406" i="9"/>
  <c r="C1405" i="9"/>
  <c r="C1404" i="9"/>
  <c r="A1403" i="9"/>
  <c r="F1401" i="9"/>
  <c r="C1399" i="9"/>
  <c r="C1398" i="9"/>
  <c r="B1397" i="9"/>
  <c r="E1397" i="9" s="1"/>
  <c r="F1395" i="9"/>
  <c r="C1392" i="9"/>
  <c r="B1391" i="9"/>
  <c r="E1391" i="9" s="1"/>
  <c r="A1390" i="9"/>
  <c r="D1386" i="9"/>
  <c r="B1385" i="9"/>
  <c r="E1385" i="9" s="1"/>
  <c r="A1384" i="9"/>
  <c r="A1383" i="9"/>
  <c r="D1380" i="9"/>
  <c r="C1379" i="9"/>
  <c r="A1378" i="9"/>
  <c r="A1377" i="9"/>
  <c r="F1375" i="9"/>
  <c r="D1374" i="9"/>
  <c r="C1373" i="9"/>
  <c r="C1372" i="9"/>
  <c r="A1371" i="9"/>
  <c r="F1369" i="9"/>
  <c r="C1367" i="9"/>
  <c r="C1366" i="9"/>
  <c r="B1365" i="9"/>
  <c r="E1365" i="9" s="1"/>
  <c r="F1363" i="9"/>
  <c r="C1360" i="9"/>
  <c r="B1359" i="9"/>
  <c r="E1359" i="9" s="1"/>
  <c r="A1358" i="9"/>
  <c r="D1354" i="9"/>
  <c r="B1353" i="9"/>
  <c r="E1353" i="9" s="1"/>
  <c r="A1352" i="9"/>
  <c r="A1351" i="9"/>
  <c r="D1348" i="9"/>
  <c r="C1347" i="9"/>
  <c r="A1346" i="9"/>
  <c r="A1345" i="9"/>
  <c r="F1343" i="9"/>
  <c r="D1342" i="9"/>
  <c r="C1341" i="9"/>
  <c r="C1340" i="9"/>
  <c r="A1339" i="9"/>
  <c r="F1337" i="9"/>
  <c r="C1335" i="9"/>
  <c r="C1334" i="9"/>
  <c r="B1333" i="9"/>
  <c r="E1333" i="9" s="1"/>
  <c r="F1331" i="9"/>
  <c r="C1328" i="9"/>
  <c r="B1327" i="9"/>
  <c r="E1327" i="9" s="1"/>
  <c r="A1326" i="9"/>
  <c r="D1322" i="9"/>
  <c r="B1321" i="9"/>
  <c r="E1321" i="9" s="1"/>
  <c r="A1320" i="9"/>
  <c r="A1319" i="9"/>
  <c r="D1316" i="9"/>
  <c r="C1315" i="9"/>
  <c r="A1314" i="9"/>
  <c r="A1313" i="9"/>
  <c r="F1311" i="9"/>
  <c r="D1310" i="9"/>
  <c r="C1309" i="9"/>
  <c r="C1308" i="9"/>
  <c r="A1307" i="9"/>
  <c r="F1305" i="9"/>
  <c r="C1303" i="9"/>
  <c r="C1302" i="9"/>
  <c r="B1301" i="9"/>
  <c r="E1301" i="9" s="1"/>
  <c r="F1299" i="9"/>
  <c r="C1296" i="9"/>
  <c r="B1295" i="9"/>
  <c r="E1295" i="9" s="1"/>
  <c r="C1294" i="9"/>
  <c r="C1293" i="9"/>
  <c r="D1292" i="9"/>
  <c r="F1289" i="9"/>
  <c r="A1289" i="9"/>
  <c r="A1288" i="9"/>
  <c r="B1287" i="9"/>
  <c r="E1287" i="9" s="1"/>
  <c r="C1286" i="9"/>
  <c r="C1285" i="9"/>
  <c r="D1284" i="9"/>
  <c r="F1281" i="9"/>
  <c r="A1281" i="9"/>
  <c r="A1280" i="9"/>
  <c r="B1279" i="9"/>
  <c r="E1279" i="9" s="1"/>
  <c r="C1278" i="9"/>
  <c r="C1277" i="9"/>
  <c r="D1276" i="9"/>
  <c r="F1273" i="9"/>
  <c r="A1273" i="9"/>
  <c r="A1272" i="9"/>
  <c r="B1271" i="9"/>
  <c r="E1271" i="9" s="1"/>
  <c r="C1270" i="9"/>
  <c r="C1269" i="9"/>
  <c r="D1268" i="9"/>
  <c r="F1265" i="9"/>
  <c r="A1265" i="9"/>
  <c r="A1264" i="9"/>
  <c r="B1263" i="9"/>
  <c r="E1263" i="9" s="1"/>
  <c r="C1262" i="9"/>
  <c r="C1261" i="9"/>
  <c r="D1260" i="9"/>
  <c r="F1257" i="9"/>
  <c r="A1257" i="9"/>
  <c r="A1256" i="9"/>
  <c r="B1255" i="9"/>
  <c r="E1255" i="9" s="1"/>
  <c r="C1254" i="9"/>
  <c r="C1253" i="9"/>
  <c r="D1252" i="9"/>
  <c r="F1249" i="9"/>
  <c r="A1249" i="9"/>
  <c r="A1248" i="9"/>
  <c r="B1247" i="9"/>
  <c r="E1247" i="9" s="1"/>
  <c r="C1246" i="9"/>
  <c r="C1245" i="9"/>
  <c r="D1244" i="9"/>
  <c r="F1241" i="9"/>
  <c r="A1241" i="9"/>
  <c r="A1240" i="9"/>
  <c r="B1239" i="9"/>
  <c r="E1239" i="9" s="1"/>
  <c r="C1238" i="9"/>
  <c r="C1237" i="9"/>
  <c r="D1236" i="9"/>
  <c r="F1233" i="9"/>
  <c r="A1233" i="9"/>
  <c r="A1232" i="9"/>
  <c r="B1231" i="9"/>
  <c r="E1231" i="9" s="1"/>
  <c r="C1230" i="9"/>
  <c r="C1229" i="9"/>
  <c r="D1228" i="9"/>
  <c r="F1225" i="9"/>
  <c r="A1225" i="9"/>
  <c r="A1224" i="9"/>
  <c r="B1223" i="9"/>
  <c r="E1223" i="9" s="1"/>
  <c r="C1222" i="9"/>
  <c r="C1221" i="9"/>
  <c r="D1220" i="9"/>
  <c r="F1217" i="9"/>
  <c r="A1217" i="9"/>
  <c r="A1216" i="9"/>
  <c r="B1215" i="9"/>
  <c r="E1215" i="9" s="1"/>
  <c r="C1214" i="9"/>
  <c r="C1213" i="9"/>
  <c r="D1212" i="9"/>
  <c r="F1209" i="9"/>
  <c r="A1209" i="9"/>
  <c r="A1208" i="9"/>
  <c r="B1207" i="9"/>
  <c r="E1207" i="9" s="1"/>
  <c r="C1206" i="9"/>
  <c r="C1205" i="9"/>
  <c r="D1204" i="9"/>
  <c r="F1201" i="9"/>
  <c r="A1201" i="9"/>
  <c r="A1200" i="9"/>
  <c r="B1199" i="9"/>
  <c r="E1199" i="9" s="1"/>
  <c r="C1198" i="9"/>
  <c r="C1197" i="9"/>
  <c r="D1196" i="9"/>
  <c r="F1193" i="9"/>
  <c r="A1193" i="9"/>
  <c r="A1192" i="9"/>
  <c r="B1191" i="9"/>
  <c r="E1191" i="9" s="1"/>
  <c r="C1190" i="9"/>
  <c r="C1189" i="9"/>
  <c r="D1188" i="9"/>
  <c r="F1185" i="9"/>
  <c r="A1185" i="9"/>
  <c r="A1184" i="9"/>
  <c r="B1183" i="9"/>
  <c r="E1183" i="9" s="1"/>
  <c r="C1182" i="9"/>
  <c r="C1181" i="9"/>
  <c r="D1180" i="9"/>
  <c r="F1177" i="9"/>
  <c r="A1177" i="9"/>
  <c r="A1176" i="9"/>
  <c r="B1175" i="9"/>
  <c r="E1175" i="9" s="1"/>
  <c r="C1174" i="9"/>
  <c r="C1173" i="9"/>
  <c r="D1172" i="9"/>
  <c r="F1169" i="9"/>
  <c r="A1169" i="9"/>
  <c r="A1168" i="9"/>
  <c r="B1167" i="9"/>
  <c r="E1167" i="9" s="1"/>
  <c r="C1166" i="9"/>
  <c r="C1165" i="9"/>
  <c r="D1164" i="9"/>
  <c r="F1161" i="9"/>
  <c r="A1161" i="9"/>
  <c r="A1160" i="9"/>
  <c r="B1159" i="9"/>
  <c r="E1159" i="9" s="1"/>
  <c r="C1158" i="9"/>
  <c r="C1157" i="9"/>
  <c r="D1156" i="9"/>
  <c r="F1153" i="9"/>
  <c r="A1153" i="9"/>
  <c r="A1152" i="9"/>
  <c r="B1151" i="9"/>
  <c r="E1151" i="9" s="1"/>
  <c r="C1150" i="9"/>
  <c r="C1149" i="9"/>
  <c r="D1148" i="9"/>
  <c r="F1145" i="9"/>
  <c r="A1145" i="9"/>
  <c r="A1144" i="9"/>
  <c r="B1143" i="9"/>
  <c r="E1143" i="9" s="1"/>
  <c r="C1142" i="9"/>
  <c r="C1141" i="9"/>
  <c r="D1140" i="9"/>
  <c r="F1137" i="9"/>
  <c r="A1137" i="9"/>
  <c r="A1136" i="9"/>
  <c r="B1135" i="9"/>
  <c r="E1135" i="9" s="1"/>
  <c r="C1134" i="9"/>
  <c r="C1133" i="9"/>
  <c r="D1132" i="9"/>
  <c r="F1129" i="9"/>
  <c r="A1129" i="9"/>
  <c r="A1128" i="9"/>
  <c r="B1127" i="9"/>
  <c r="E1127" i="9" s="1"/>
  <c r="C1126" i="9"/>
  <c r="C1125" i="9"/>
  <c r="D1124" i="9"/>
  <c r="F1121" i="9"/>
  <c r="A1121" i="9"/>
  <c r="A1120" i="9"/>
  <c r="B1119" i="9"/>
  <c r="E1119" i="9" s="1"/>
  <c r="C1118" i="9"/>
  <c r="C1117" i="9"/>
  <c r="D1116" i="9"/>
  <c r="F1113" i="9"/>
  <c r="A1113" i="9"/>
  <c r="A1112" i="9"/>
  <c r="B1111" i="9"/>
  <c r="E1111" i="9" s="1"/>
  <c r="C1110" i="9"/>
  <c r="C1109" i="9"/>
  <c r="D1108" i="9"/>
  <c r="F1105" i="9"/>
  <c r="A1105" i="9"/>
  <c r="A1104" i="9"/>
  <c r="B1103" i="9"/>
  <c r="E1103" i="9" s="1"/>
  <c r="C1102" i="9"/>
  <c r="C1101" i="9"/>
  <c r="D1100" i="9"/>
  <c r="F1097" i="9"/>
  <c r="A1097" i="9"/>
  <c r="A1096" i="9"/>
  <c r="B1095" i="9"/>
  <c r="E1095" i="9" s="1"/>
  <c r="C1094" i="9"/>
  <c r="C1093" i="9"/>
  <c r="D1092" i="9"/>
  <c r="F1089" i="9"/>
  <c r="A1089" i="9"/>
  <c r="A1088" i="9"/>
  <c r="B1087" i="9"/>
  <c r="E1087" i="9" s="1"/>
  <c r="C1086" i="9"/>
  <c r="C1085" i="9"/>
  <c r="D1084" i="9"/>
  <c r="F1081" i="9"/>
  <c r="A1081" i="9"/>
  <c r="A1080" i="9"/>
  <c r="B1079" i="9"/>
  <c r="E1079" i="9" s="1"/>
  <c r="C1078" i="9"/>
  <c r="C1077" i="9"/>
  <c r="D1076" i="9"/>
  <c r="F1073" i="9"/>
  <c r="A1073" i="9"/>
  <c r="A1072" i="9"/>
  <c r="B1071" i="9"/>
  <c r="E1071" i="9" s="1"/>
  <c r="C1070" i="9"/>
  <c r="C1069" i="9"/>
  <c r="D1068" i="9"/>
  <c r="F1065" i="9"/>
  <c r="A1065" i="9"/>
  <c r="A1064" i="9"/>
  <c r="B1063" i="9"/>
  <c r="E1063" i="9" s="1"/>
  <c r="C1062" i="9"/>
  <c r="C1061" i="9"/>
  <c r="D1060" i="9"/>
  <c r="F1057" i="9"/>
  <c r="A1057" i="9"/>
  <c r="A1056" i="9"/>
  <c r="B1055" i="9"/>
  <c r="E1055" i="9" s="1"/>
  <c r="C1054" i="9"/>
  <c r="C1053" i="9"/>
  <c r="D1052" i="9"/>
  <c r="F1049" i="9"/>
  <c r="A1049" i="9"/>
  <c r="A1048" i="9"/>
  <c r="B1047" i="9"/>
  <c r="E1047" i="9" s="1"/>
  <c r="C1046" i="9"/>
  <c r="C1045" i="9"/>
  <c r="D1044" i="9"/>
  <c r="F1041" i="9"/>
  <c r="A1041" i="9"/>
  <c r="A1040" i="9"/>
  <c r="B1039" i="9"/>
  <c r="E1039" i="9" s="1"/>
  <c r="C1038" i="9"/>
  <c r="C1037" i="9"/>
  <c r="D1036" i="9"/>
  <c r="F1033" i="9"/>
  <c r="A1033" i="9"/>
  <c r="A1032" i="9"/>
  <c r="B1031" i="9"/>
  <c r="E1031" i="9" s="1"/>
  <c r="C1030" i="9"/>
  <c r="C1029" i="9"/>
  <c r="D1028" i="9"/>
  <c r="F1025" i="9"/>
  <c r="A1025" i="9"/>
  <c r="A1024" i="9"/>
  <c r="B1023" i="9"/>
  <c r="E1023" i="9" s="1"/>
  <c r="C1022" i="9"/>
  <c r="C1021" i="9"/>
  <c r="D1020" i="9"/>
  <c r="F1017" i="9"/>
  <c r="A1017" i="9"/>
  <c r="A1016" i="9"/>
  <c r="B1015" i="9"/>
  <c r="E1015" i="9" s="1"/>
  <c r="C1014" i="9"/>
  <c r="C1013" i="9"/>
  <c r="D1012" i="9"/>
  <c r="F1009" i="9"/>
  <c r="A1009" i="9"/>
  <c r="A1008" i="9"/>
  <c r="B1007" i="9"/>
  <c r="E1007" i="9" s="1"/>
  <c r="C1006" i="9"/>
  <c r="C1005" i="9"/>
  <c r="D1004" i="9"/>
  <c r="F1001" i="9"/>
  <c r="A1001" i="9"/>
  <c r="A1000" i="9"/>
  <c r="B999" i="9"/>
  <c r="E999" i="9" s="1"/>
  <c r="C998" i="9"/>
  <c r="C997" i="9"/>
  <c r="D996" i="9"/>
  <c r="F993" i="9"/>
  <c r="A993" i="9"/>
  <c r="A992" i="9"/>
  <c r="B991" i="9"/>
  <c r="E991" i="9" s="1"/>
  <c r="C990" i="9"/>
  <c r="C989" i="9"/>
  <c r="D988" i="9"/>
  <c r="F985" i="9"/>
  <c r="A985" i="9"/>
  <c r="A984" i="9"/>
  <c r="B983" i="9"/>
  <c r="E983" i="9" s="1"/>
  <c r="C982" i="9"/>
  <c r="C981" i="9"/>
  <c r="D980" i="9"/>
  <c r="F977" i="9"/>
  <c r="A977" i="9"/>
  <c r="A976" i="9"/>
  <c r="B975" i="9"/>
  <c r="E975" i="9" s="1"/>
  <c r="C974" i="9"/>
  <c r="C973" i="9"/>
  <c r="D972" i="9"/>
  <c r="F969" i="9"/>
  <c r="A969" i="9"/>
  <c r="A968" i="9"/>
  <c r="B967" i="9"/>
  <c r="E967" i="9" s="1"/>
  <c r="C966" i="9"/>
  <c r="C965" i="9"/>
  <c r="D964" i="9"/>
  <c r="F961" i="9"/>
  <c r="A961" i="9"/>
  <c r="A960" i="9"/>
  <c r="B959" i="9"/>
  <c r="E959" i="9" s="1"/>
  <c r="C958" i="9"/>
  <c r="C957" i="9"/>
  <c r="D956" i="9"/>
  <c r="F953" i="9"/>
  <c r="A953" i="9"/>
  <c r="A952" i="9"/>
  <c r="B951" i="9"/>
  <c r="E951" i="9" s="1"/>
  <c r="C950" i="9"/>
  <c r="C949" i="9"/>
  <c r="D948" i="9"/>
  <c r="F945" i="9"/>
  <c r="A945" i="9"/>
  <c r="A944" i="9"/>
  <c r="B943" i="9"/>
  <c r="E943" i="9" s="1"/>
  <c r="C942" i="9"/>
  <c r="C941" i="9"/>
  <c r="D940" i="9"/>
  <c r="F937" i="9"/>
  <c r="A937" i="9"/>
  <c r="A936" i="9"/>
  <c r="B935" i="9"/>
  <c r="E935" i="9" s="1"/>
  <c r="C934" i="9"/>
  <c r="C933" i="9"/>
  <c r="D932" i="9"/>
  <c r="F929" i="9"/>
  <c r="A929" i="9"/>
  <c r="A928" i="9"/>
  <c r="B927" i="9"/>
  <c r="E927" i="9" s="1"/>
  <c r="C926" i="9"/>
  <c r="C925" i="9"/>
  <c r="D924" i="9"/>
  <c r="F921" i="9"/>
  <c r="A921" i="9"/>
  <c r="A920" i="9"/>
  <c r="B919" i="9"/>
  <c r="E919" i="9" s="1"/>
  <c r="C918" i="9"/>
  <c r="C917" i="9"/>
  <c r="D916" i="9"/>
  <c r="F913" i="9"/>
  <c r="A913" i="9"/>
  <c r="A912" i="9"/>
  <c r="B911" i="9"/>
  <c r="E911" i="9" s="1"/>
  <c r="C910" i="9"/>
  <c r="C909" i="9"/>
  <c r="D908" i="9"/>
  <c r="F905" i="9"/>
  <c r="A905" i="9"/>
  <c r="A904" i="9"/>
  <c r="B903" i="9"/>
  <c r="E903" i="9" s="1"/>
  <c r="C902" i="9"/>
  <c r="C901" i="9"/>
  <c r="D900" i="9"/>
  <c r="F897" i="9"/>
  <c r="A897" i="9"/>
  <c r="A896" i="9"/>
  <c r="B895" i="9"/>
  <c r="E895" i="9" s="1"/>
  <c r="C894" i="9"/>
  <c r="C893" i="9"/>
  <c r="D892" i="9"/>
  <c r="F889" i="9"/>
  <c r="A889" i="9"/>
  <c r="A888" i="9"/>
  <c r="B887" i="9"/>
  <c r="E887" i="9" s="1"/>
  <c r="C886" i="9"/>
  <c r="C885" i="9"/>
  <c r="D884" i="9"/>
  <c r="F881" i="9"/>
  <c r="A881" i="9"/>
  <c r="A880" i="9"/>
  <c r="B879" i="9"/>
  <c r="E879" i="9" s="1"/>
  <c r="C878" i="9"/>
  <c r="C877" i="9"/>
  <c r="D876" i="9"/>
  <c r="F873" i="9"/>
  <c r="A873" i="9"/>
  <c r="A872" i="9"/>
  <c r="B871" i="9"/>
  <c r="E871" i="9" s="1"/>
  <c r="C870" i="9"/>
  <c r="C869" i="9"/>
  <c r="D868" i="9"/>
  <c r="F865" i="9"/>
  <c r="A865" i="9"/>
  <c r="A864" i="9"/>
  <c r="B863" i="9"/>
  <c r="E863" i="9" s="1"/>
  <c r="C862" i="9"/>
  <c r="C861" i="9"/>
  <c r="D860" i="9"/>
  <c r="F857" i="9"/>
  <c r="A857" i="9"/>
  <c r="A856" i="9"/>
  <c r="B855" i="9"/>
  <c r="E855" i="9" s="1"/>
  <c r="C854" i="9"/>
  <c r="C853" i="9"/>
  <c r="D852" i="9"/>
  <c r="F849" i="9"/>
  <c r="A849" i="9"/>
  <c r="A848" i="9"/>
  <c r="B847" i="9"/>
  <c r="E847" i="9" s="1"/>
  <c r="C846" i="9"/>
  <c r="C845" i="9"/>
  <c r="D844" i="9"/>
  <c r="F841" i="9"/>
  <c r="A841" i="9"/>
  <c r="A840" i="9"/>
  <c r="B839" i="9"/>
  <c r="E839" i="9" s="1"/>
  <c r="C838" i="9"/>
  <c r="C837" i="9"/>
  <c r="D836" i="9"/>
  <c r="F833" i="9"/>
  <c r="A833" i="9"/>
  <c r="A832" i="9"/>
  <c r="B831" i="9"/>
  <c r="E831" i="9" s="1"/>
  <c r="C830" i="9"/>
  <c r="C829" i="9"/>
  <c r="D828" i="9"/>
  <c r="F825" i="9"/>
  <c r="A825" i="9"/>
  <c r="A824" i="9"/>
  <c r="B823" i="9"/>
  <c r="E823" i="9" s="1"/>
  <c r="C822" i="9"/>
  <c r="C821" i="9"/>
  <c r="D820" i="9"/>
  <c r="F817" i="9"/>
  <c r="A817" i="9"/>
  <c r="A816" i="9"/>
  <c r="B815" i="9"/>
  <c r="E815" i="9" s="1"/>
  <c r="C814" i="9"/>
  <c r="C813" i="9"/>
  <c r="D812" i="9"/>
  <c r="F809" i="9"/>
  <c r="A809" i="9"/>
  <c r="A808" i="9"/>
  <c r="B807" i="9"/>
  <c r="E807" i="9" s="1"/>
  <c r="C806" i="9"/>
  <c r="C805" i="9"/>
  <c r="D804" i="9"/>
  <c r="F801" i="9"/>
  <c r="A801" i="9"/>
  <c r="A800" i="9"/>
  <c r="B799" i="9"/>
  <c r="E799" i="9" s="1"/>
  <c r="C798" i="9"/>
  <c r="C797" i="9"/>
  <c r="D796" i="9"/>
  <c r="F793" i="9"/>
  <c r="A793" i="9"/>
  <c r="A792" i="9"/>
  <c r="B791" i="9"/>
  <c r="E791" i="9" s="1"/>
  <c r="C790" i="9"/>
  <c r="C789" i="9"/>
  <c r="D788" i="9"/>
  <c r="F785" i="9"/>
  <c r="A785" i="9"/>
  <c r="A784" i="9"/>
  <c r="B783" i="9"/>
  <c r="E783" i="9" s="1"/>
  <c r="C782" i="9"/>
  <c r="C781" i="9"/>
  <c r="D780" i="9"/>
  <c r="F777" i="9"/>
  <c r="A777" i="9"/>
  <c r="A776" i="9"/>
  <c r="B775" i="9"/>
  <c r="E775" i="9" s="1"/>
  <c r="C774" i="9"/>
  <c r="C773" i="9"/>
  <c r="D772" i="9"/>
  <c r="F769" i="9"/>
  <c r="A769" i="9"/>
  <c r="A768" i="9"/>
  <c r="B767" i="9"/>
  <c r="E767" i="9" s="1"/>
  <c r="C766" i="9"/>
  <c r="C765" i="9"/>
  <c r="D764" i="9"/>
  <c r="F761" i="9"/>
  <c r="A761" i="9"/>
  <c r="A760" i="9"/>
  <c r="B759" i="9"/>
  <c r="E759" i="9" s="1"/>
  <c r="C758" i="9"/>
  <c r="C757" i="9"/>
  <c r="D756" i="9"/>
  <c r="F753" i="9"/>
  <c r="A753" i="9"/>
  <c r="A752" i="9"/>
  <c r="B751" i="9"/>
  <c r="E751" i="9" s="1"/>
  <c r="C750" i="9"/>
  <c r="C749" i="9"/>
  <c r="D748" i="9"/>
  <c r="F745" i="9"/>
  <c r="A745" i="9"/>
  <c r="A744" i="9"/>
  <c r="B743" i="9"/>
  <c r="E743" i="9" s="1"/>
  <c r="C742" i="9"/>
  <c r="C741" i="9"/>
  <c r="D740" i="9"/>
  <c r="F737" i="9"/>
  <c r="A737" i="9"/>
  <c r="A736" i="9"/>
  <c r="B735" i="9"/>
  <c r="E735" i="9" s="1"/>
  <c r="C734" i="9"/>
  <c r="C733" i="9"/>
  <c r="D732" i="9"/>
  <c r="F729" i="9"/>
  <c r="A729" i="9"/>
  <c r="A728" i="9"/>
  <c r="B727" i="9"/>
  <c r="E727" i="9" s="1"/>
  <c r="C726" i="9"/>
  <c r="C725" i="9"/>
  <c r="A724" i="9"/>
  <c r="C723" i="9"/>
  <c r="A722" i="9"/>
  <c r="C721" i="9"/>
  <c r="A720" i="9"/>
  <c r="C719" i="9"/>
  <c r="A718" i="9"/>
  <c r="C717" i="9"/>
  <c r="A716" i="9"/>
  <c r="C715" i="9"/>
  <c r="A714" i="9"/>
  <c r="C713" i="9"/>
  <c r="A712" i="9"/>
  <c r="C711" i="9"/>
  <c r="A710" i="9"/>
  <c r="C709" i="9"/>
  <c r="A708" i="9"/>
  <c r="C707" i="9"/>
  <c r="A706" i="9"/>
  <c r="C705" i="9"/>
  <c r="A704" i="9"/>
  <c r="C703" i="9"/>
  <c r="A702" i="9"/>
  <c r="C701" i="9"/>
  <c r="A700" i="9"/>
  <c r="C699" i="9"/>
  <c r="A698" i="9"/>
  <c r="C697" i="9"/>
  <c r="A696" i="9"/>
  <c r="C695" i="9"/>
  <c r="A694" i="9"/>
  <c r="C693" i="9"/>
  <c r="A692" i="9"/>
  <c r="C691" i="9"/>
  <c r="A690" i="9"/>
  <c r="C689" i="9"/>
  <c r="A688" i="9"/>
  <c r="C687" i="9"/>
  <c r="A686" i="9"/>
  <c r="C685" i="9"/>
  <c r="A684" i="9"/>
  <c r="C683" i="9"/>
  <c r="A682" i="9"/>
  <c r="C681" i="9"/>
  <c r="A680" i="9"/>
  <c r="C679" i="9"/>
  <c r="A678" i="9"/>
  <c r="C677" i="9"/>
  <c r="A676" i="9"/>
  <c r="C675" i="9"/>
  <c r="A674" i="9"/>
  <c r="C673" i="9"/>
  <c r="A672" i="9"/>
  <c r="C671" i="9"/>
  <c r="A670" i="9"/>
  <c r="C669" i="9"/>
  <c r="A668" i="9"/>
  <c r="C667" i="9"/>
  <c r="A666" i="9"/>
  <c r="C665" i="9"/>
  <c r="A664" i="9"/>
  <c r="C663" i="9"/>
  <c r="A662" i="9"/>
  <c r="C661" i="9"/>
  <c r="A660" i="9"/>
  <c r="C659" i="9"/>
  <c r="A658" i="9"/>
  <c r="C657" i="9"/>
  <c r="A656" i="9"/>
  <c r="C655" i="9"/>
  <c r="A654" i="9"/>
  <c r="C653" i="9"/>
  <c r="A652" i="9"/>
  <c r="C651" i="9"/>
  <c r="A650" i="9"/>
  <c r="C649" i="9"/>
  <c r="A648" i="9"/>
  <c r="C647" i="9"/>
  <c r="A646" i="9"/>
  <c r="C645" i="9"/>
  <c r="A644" i="9"/>
  <c r="C643" i="9"/>
  <c r="A642" i="9"/>
  <c r="C641" i="9"/>
  <c r="A640" i="9"/>
  <c r="C639" i="9"/>
  <c r="A638" i="9"/>
  <c r="C637" i="9"/>
  <c r="A636" i="9"/>
  <c r="C635" i="9"/>
  <c r="A634" i="9"/>
  <c r="C633" i="9"/>
  <c r="A632" i="9"/>
  <c r="C631" i="9"/>
  <c r="A630" i="9"/>
  <c r="C629" i="9"/>
  <c r="A628" i="9"/>
  <c r="C627" i="9"/>
  <c r="A626" i="9"/>
  <c r="C625" i="9"/>
  <c r="A624" i="9"/>
  <c r="C623" i="9"/>
  <c r="A622" i="9"/>
  <c r="C621" i="9"/>
  <c r="A620" i="9"/>
  <c r="C619" i="9"/>
  <c r="A618" i="9"/>
  <c r="C617" i="9"/>
  <c r="A616" i="9"/>
  <c r="C615" i="9"/>
  <c r="A614" i="9"/>
  <c r="C613" i="9"/>
  <c r="A612" i="9"/>
  <c r="C611" i="9"/>
  <c r="A610" i="9"/>
  <c r="C609" i="9"/>
  <c r="A608" i="9"/>
  <c r="C607" i="9"/>
  <c r="A606" i="9"/>
  <c r="C605" i="9"/>
  <c r="A604" i="9"/>
  <c r="C603" i="9"/>
  <c r="A602" i="9"/>
  <c r="C601" i="9"/>
  <c r="A600" i="9"/>
  <c r="C599" i="9"/>
  <c r="A598" i="9"/>
  <c r="C597" i="9"/>
  <c r="A596" i="9"/>
  <c r="C595" i="9"/>
  <c r="A594" i="9"/>
  <c r="C593" i="9"/>
  <c r="A592" i="9"/>
  <c r="C591" i="9"/>
  <c r="A590" i="9"/>
  <c r="C589" i="9"/>
  <c r="A588" i="9"/>
  <c r="C587" i="9"/>
  <c r="A586" i="9"/>
  <c r="C585" i="9"/>
  <c r="C2001" i="9"/>
  <c r="F1994" i="9"/>
  <c r="F1986" i="9"/>
  <c r="D1979" i="9"/>
  <c r="D1972" i="9"/>
  <c r="F1956" i="9"/>
  <c r="B1950" i="9"/>
  <c r="E1950" i="9" s="1"/>
  <c r="B1942" i="9"/>
  <c r="E1942" i="9" s="1"/>
  <c r="D1934" i="9"/>
  <c r="C1927" i="9"/>
  <c r="C1919" i="9"/>
  <c r="B1912" i="9"/>
  <c r="E1912" i="9" s="1"/>
  <c r="F1904" i="9"/>
  <c r="B1897" i="9"/>
  <c r="E1897" i="9" s="1"/>
  <c r="C1889" i="9"/>
  <c r="F1866" i="9"/>
  <c r="A1860" i="9"/>
  <c r="A1852" i="9"/>
  <c r="A1846" i="9"/>
  <c r="D1840" i="9"/>
  <c r="B1835" i="9"/>
  <c r="E1835" i="9" s="1"/>
  <c r="B1829" i="9"/>
  <c r="E1829" i="9" s="1"/>
  <c r="F1823" i="9"/>
  <c r="F1817" i="9"/>
  <c r="A1812" i="9"/>
  <c r="F1806" i="9"/>
  <c r="F1800" i="9"/>
  <c r="C1795" i="9"/>
  <c r="A1790" i="9"/>
  <c r="D1784" i="9"/>
  <c r="D1778" i="9"/>
  <c r="C1773" i="9"/>
  <c r="D1767" i="9"/>
  <c r="D1761" i="9"/>
  <c r="B1756" i="9"/>
  <c r="E1756" i="9" s="1"/>
  <c r="B1750" i="9"/>
  <c r="E1750" i="9" s="1"/>
  <c r="F1744" i="9"/>
  <c r="C1739" i="9"/>
  <c r="F1733" i="9"/>
  <c r="F1727" i="9"/>
  <c r="F1716" i="9"/>
  <c r="F1710" i="9"/>
  <c r="F1705" i="9"/>
  <c r="A1700" i="9"/>
  <c r="B1694" i="9"/>
  <c r="E1694" i="9" s="1"/>
  <c r="B1684" i="9"/>
  <c r="E1684" i="9" s="1"/>
  <c r="F1679" i="9"/>
  <c r="F1675" i="9"/>
  <c r="C1671" i="9"/>
  <c r="F1666" i="9"/>
  <c r="B1663" i="9"/>
  <c r="E1663" i="9" s="1"/>
  <c r="D1654" i="9"/>
  <c r="D1650" i="9"/>
  <c r="B1646" i="9"/>
  <c r="E1646" i="9" s="1"/>
  <c r="F1641" i="9"/>
  <c r="A1638" i="9"/>
  <c r="D1633" i="9"/>
  <c r="B1629" i="9"/>
  <c r="E1629" i="9" s="1"/>
  <c r="B1625" i="9"/>
  <c r="E1625" i="9" s="1"/>
  <c r="D1612" i="9"/>
  <c r="B1608" i="9"/>
  <c r="E1608" i="9" s="1"/>
  <c r="F1603" i="9"/>
  <c r="A1600" i="9"/>
  <c r="D1595" i="9"/>
  <c r="B1592" i="9"/>
  <c r="E1592" i="9" s="1"/>
  <c r="C1589" i="9"/>
  <c r="A1586" i="9"/>
  <c r="F1582" i="9"/>
  <c r="F1579" i="9"/>
  <c r="C1573" i="9"/>
  <c r="D1570" i="9"/>
  <c r="B1567" i="9"/>
  <c r="E1567" i="9" s="1"/>
  <c r="F1563" i="9"/>
  <c r="F1560" i="9"/>
  <c r="D1557" i="9"/>
  <c r="D1554" i="9"/>
  <c r="C1551" i="9"/>
  <c r="B1548" i="9"/>
  <c r="E1548" i="9" s="1"/>
  <c r="F1544" i="9"/>
  <c r="A1542" i="9"/>
  <c r="C1535" i="9"/>
  <c r="B1533" i="9"/>
  <c r="E1533" i="9" s="1"/>
  <c r="C1528" i="9"/>
  <c r="A1526" i="9"/>
  <c r="B1521" i="9"/>
  <c r="E1521" i="9" s="1"/>
  <c r="A1519" i="9"/>
  <c r="D1516" i="9"/>
  <c r="A1514" i="9"/>
  <c r="F1511" i="9"/>
  <c r="C1509" i="9"/>
  <c r="A1507" i="9"/>
  <c r="C1502" i="9"/>
  <c r="F1499" i="9"/>
  <c r="B1495" i="9"/>
  <c r="E1495" i="9" s="1"/>
  <c r="D1490" i="9"/>
  <c r="A1488" i="9"/>
  <c r="C1483" i="9"/>
  <c r="A1481" i="9"/>
  <c r="D1478" i="9"/>
  <c r="C1476" i="9"/>
  <c r="F1473" i="9"/>
  <c r="C1471" i="9"/>
  <c r="B1469" i="9"/>
  <c r="E1469" i="9" s="1"/>
  <c r="C1464" i="9"/>
  <c r="A1462" i="9"/>
  <c r="B1457" i="9"/>
  <c r="E1457" i="9" s="1"/>
  <c r="A1455" i="9"/>
  <c r="D1452" i="9"/>
  <c r="A1450" i="9"/>
  <c r="F1447" i="9"/>
  <c r="C1445" i="9"/>
  <c r="A1443" i="9"/>
  <c r="C1438" i="9"/>
  <c r="F1435" i="9"/>
  <c r="B1431" i="9"/>
  <c r="E1431" i="9" s="1"/>
  <c r="D1426" i="9"/>
  <c r="A1424" i="9"/>
  <c r="C1419" i="9"/>
  <c r="A1417" i="9"/>
  <c r="D1414" i="9"/>
  <c r="C1412" i="9"/>
  <c r="F1409" i="9"/>
  <c r="C1407" i="9"/>
  <c r="B1405" i="9"/>
  <c r="E1405" i="9" s="1"/>
  <c r="C1400" i="9"/>
  <c r="A1398" i="9"/>
  <c r="B1393" i="9"/>
  <c r="E1393" i="9" s="1"/>
  <c r="A1391" i="9"/>
  <c r="B2001" i="9"/>
  <c r="E2001" i="9" s="1"/>
  <c r="B1993" i="9"/>
  <c r="E1993" i="9" s="1"/>
  <c r="B1971" i="9"/>
  <c r="E1971" i="9" s="1"/>
  <c r="D1963" i="9"/>
  <c r="D1956" i="9"/>
  <c r="D1941" i="9"/>
  <c r="D1933" i="9"/>
  <c r="D1925" i="9"/>
  <c r="B1919" i="9"/>
  <c r="E1919" i="9" s="1"/>
  <c r="B1911" i="9"/>
  <c r="E1911" i="9" s="1"/>
  <c r="D1903" i="9"/>
  <c r="D1896" i="9"/>
  <c r="F1888" i="9"/>
  <c r="B1881" i="9"/>
  <c r="E1881" i="9" s="1"/>
  <c r="B1874" i="9"/>
  <c r="E1874" i="9" s="1"/>
  <c r="B1866" i="9"/>
  <c r="E1866" i="9" s="1"/>
  <c r="D1851" i="9"/>
  <c r="B1845" i="9"/>
  <c r="E1845" i="9" s="1"/>
  <c r="F1839" i="9"/>
  <c r="B1834" i="9"/>
  <c r="E1834" i="9" s="1"/>
  <c r="D1828" i="9"/>
  <c r="D1817" i="9"/>
  <c r="D1811" i="9"/>
  <c r="F1805" i="9"/>
  <c r="B1789" i="9"/>
  <c r="E1789" i="9" s="1"/>
  <c r="D1783" i="9"/>
  <c r="B1778" i="9"/>
  <c r="E1778" i="9" s="1"/>
  <c r="B1772" i="9"/>
  <c r="E1772" i="9" s="1"/>
  <c r="F1766" i="9"/>
  <c r="F1760" i="9"/>
  <c r="B1755" i="9"/>
  <c r="E1755" i="9" s="1"/>
  <c r="A1750" i="9"/>
  <c r="A1744" i="9"/>
  <c r="D1738" i="9"/>
  <c r="B1733" i="9"/>
  <c r="E1733" i="9" s="1"/>
  <c r="D1727" i="9"/>
  <c r="D1721" i="9"/>
  <c r="D1716" i="9"/>
  <c r="C1699" i="9"/>
  <c r="C1693" i="9"/>
  <c r="A1688" i="9"/>
  <c r="D1683" i="9"/>
  <c r="C1679" i="9"/>
  <c r="F1674" i="9"/>
  <c r="B1671" i="9"/>
  <c r="E1671" i="9" s="1"/>
  <c r="B1662" i="9"/>
  <c r="E1662" i="9" s="1"/>
  <c r="D1658" i="9"/>
  <c r="A1654" i="9"/>
  <c r="F1649" i="9"/>
  <c r="D1645" i="9"/>
  <c r="D1641" i="9"/>
  <c r="B1637" i="9"/>
  <c r="E1637" i="9" s="1"/>
  <c r="B1633" i="9"/>
  <c r="E1633" i="9" s="1"/>
  <c r="B1624" i="9"/>
  <c r="E1624" i="9" s="1"/>
  <c r="D1620" i="9"/>
  <c r="A1616" i="9"/>
  <c r="F1611" i="9"/>
  <c r="F1607" i="9"/>
  <c r="D1603" i="9"/>
  <c r="B1599" i="9"/>
  <c r="E1599" i="9" s="1"/>
  <c r="C1595" i="9"/>
  <c r="A1592" i="9"/>
  <c r="F1585" i="9"/>
  <c r="D1582" i="9"/>
  <c r="C1579" i="9"/>
  <c r="B1576" i="9"/>
  <c r="E1576" i="9" s="1"/>
  <c r="B1573" i="9"/>
  <c r="E1573" i="9" s="1"/>
  <c r="F1569" i="9"/>
  <c r="F1566" i="9"/>
  <c r="D1563" i="9"/>
  <c r="B1560" i="9"/>
  <c r="E1560" i="9" s="1"/>
  <c r="C1557" i="9"/>
  <c r="A1554" i="9"/>
  <c r="F1550" i="9"/>
  <c r="F1547" i="9"/>
  <c r="C1541" i="9"/>
  <c r="D1538" i="9"/>
  <c r="B1535" i="9"/>
  <c r="E1535" i="9" s="1"/>
  <c r="D1530" i="9"/>
  <c r="A1528" i="9"/>
  <c r="C1523" i="9"/>
  <c r="A1521" i="9"/>
  <c r="D1518" i="9"/>
  <c r="C1516" i="9"/>
  <c r="F1513" i="9"/>
  <c r="C1511" i="9"/>
  <c r="B1509" i="9"/>
  <c r="E1509" i="9" s="1"/>
  <c r="C1504" i="9"/>
  <c r="A1502" i="9"/>
  <c r="B1497" i="9"/>
  <c r="E1497" i="9" s="1"/>
  <c r="A1495" i="9"/>
  <c r="D1492" i="9"/>
  <c r="A1490" i="9"/>
  <c r="F1487" i="9"/>
  <c r="C1485" i="9"/>
  <c r="A1483" i="9"/>
  <c r="C1478" i="9"/>
  <c r="F1475" i="9"/>
  <c r="B1471" i="9"/>
  <c r="E1471" i="9" s="1"/>
  <c r="D1466" i="9"/>
  <c r="A1464" i="9"/>
  <c r="C1459" i="9"/>
  <c r="A1457" i="9"/>
  <c r="D1454" i="9"/>
  <c r="C1452" i="9"/>
  <c r="F1449" i="9"/>
  <c r="C1447" i="9"/>
  <c r="B1445" i="9"/>
  <c r="E1445" i="9" s="1"/>
  <c r="C1440" i="9"/>
  <c r="A1438" i="9"/>
  <c r="B1433" i="9"/>
  <c r="E1433" i="9" s="1"/>
  <c r="A1431" i="9"/>
  <c r="D1428" i="9"/>
  <c r="A1426" i="9"/>
  <c r="F1423" i="9"/>
  <c r="C1421" i="9"/>
  <c r="A1419" i="9"/>
  <c r="C1414" i="9"/>
  <c r="F1411" i="9"/>
  <c r="B1407" i="9"/>
  <c r="E1407" i="9" s="1"/>
  <c r="D1402" i="9"/>
  <c r="A1400" i="9"/>
  <c r="C1395" i="9"/>
  <c r="A1393" i="9"/>
  <c r="D1390" i="9"/>
  <c r="C1388" i="9"/>
  <c r="F1385" i="9"/>
  <c r="C1383" i="9"/>
  <c r="B1381" i="9"/>
  <c r="E1381" i="9" s="1"/>
  <c r="C1376" i="9"/>
  <c r="A1374" i="9"/>
  <c r="B1369" i="9"/>
  <c r="E1369" i="9" s="1"/>
  <c r="A1367" i="9"/>
  <c r="D1364" i="9"/>
  <c r="A1362" i="9"/>
  <c r="F1359" i="9"/>
  <c r="C1357" i="9"/>
  <c r="A1355" i="9"/>
  <c r="C1350" i="9"/>
  <c r="F1347" i="9"/>
  <c r="D1998" i="9"/>
  <c r="D1990" i="9"/>
  <c r="D1983" i="9"/>
  <c r="A1976" i="9"/>
  <c r="A1968" i="9"/>
  <c r="B1961" i="9"/>
  <c r="E1961" i="9" s="1"/>
  <c r="C1953" i="9"/>
  <c r="F1945" i="9"/>
  <c r="B1938" i="9"/>
  <c r="E1938" i="9" s="1"/>
  <c r="B1931" i="9"/>
  <c r="E1931" i="9" s="1"/>
  <c r="B1923" i="9"/>
  <c r="E1923" i="9" s="1"/>
  <c r="A1916" i="9"/>
  <c r="D1908" i="9"/>
  <c r="D1900" i="9"/>
  <c r="D1893" i="9"/>
  <c r="F1885" i="9"/>
  <c r="B1878" i="9"/>
  <c r="E1878" i="9" s="1"/>
  <c r="B1871" i="9"/>
  <c r="E1871" i="9" s="1"/>
  <c r="D1863" i="9"/>
  <c r="D1855" i="9"/>
  <c r="C1849" i="9"/>
  <c r="C1843" i="9"/>
  <c r="C1837" i="9"/>
  <c r="A1832" i="9"/>
  <c r="B1826" i="9"/>
  <c r="E1826" i="9" s="1"/>
  <c r="F1820" i="9"/>
  <c r="B1815" i="9"/>
  <c r="E1815" i="9" s="1"/>
  <c r="D1809" i="9"/>
  <c r="D1803" i="9"/>
  <c r="F1781" i="9"/>
  <c r="F1775" i="9"/>
  <c r="B1770" i="9"/>
  <c r="E1770" i="9" s="1"/>
  <c r="D1764" i="9"/>
  <c r="B1759" i="9"/>
  <c r="E1759" i="9" s="1"/>
  <c r="C1753" i="9"/>
  <c r="A1748" i="9"/>
  <c r="A1742" i="9"/>
  <c r="A1736" i="9"/>
  <c r="B1731" i="9"/>
  <c r="E1731" i="9" s="1"/>
  <c r="B1725" i="9"/>
  <c r="E1725" i="9" s="1"/>
  <c r="D1719" i="9"/>
  <c r="B1714" i="9"/>
  <c r="E1714" i="9" s="1"/>
  <c r="D1708" i="9"/>
  <c r="D1697" i="9"/>
  <c r="D1691" i="9"/>
  <c r="A1686" i="9"/>
  <c r="A1682" i="9"/>
  <c r="D1677" i="9"/>
  <c r="D1673" i="9"/>
  <c r="C1669" i="9"/>
  <c r="B1665" i="9"/>
  <c r="E1665" i="9" s="1"/>
  <c r="F1656" i="9"/>
  <c r="D1652" i="9"/>
  <c r="A1648" i="9"/>
  <c r="B1644" i="9"/>
  <c r="E1644" i="9" s="1"/>
  <c r="F1639" i="9"/>
  <c r="D1635" i="9"/>
  <c r="C1631" i="9"/>
  <c r="C1627" i="9"/>
  <c r="F1622" i="9"/>
  <c r="F1618" i="9"/>
  <c r="D1614" i="9"/>
  <c r="A1610" i="9"/>
  <c r="B1606" i="9"/>
  <c r="E1606" i="9" s="1"/>
  <c r="F1601" i="9"/>
  <c r="D1597" i="9"/>
  <c r="A1594" i="9"/>
  <c r="F1590" i="9"/>
  <c r="D1587" i="9"/>
  <c r="C1581" i="9"/>
  <c r="A1578" i="9"/>
  <c r="B1575" i="9"/>
  <c r="E1575" i="9" s="1"/>
  <c r="F1571" i="9"/>
  <c r="D1565" i="9"/>
  <c r="D1562" i="9"/>
  <c r="B1559" i="9"/>
  <c r="E1559" i="9" s="1"/>
  <c r="B1556" i="9"/>
  <c r="E1556" i="9" s="1"/>
  <c r="F1552" i="9"/>
  <c r="D1549" i="9"/>
  <c r="C1543" i="9"/>
  <c r="B1540" i="9"/>
  <c r="E1540" i="9" s="1"/>
  <c r="B1537" i="9"/>
  <c r="E1537" i="9" s="1"/>
  <c r="C1534" i="9"/>
  <c r="F1531" i="9"/>
  <c r="B1527" i="9"/>
  <c r="E1527" i="9" s="1"/>
  <c r="D1522" i="9"/>
  <c r="A1520" i="9"/>
  <c r="C1515" i="9"/>
  <c r="A1513" i="9"/>
  <c r="D1510" i="9"/>
  <c r="C1508" i="9"/>
  <c r="F1505" i="9"/>
  <c r="C1503" i="9"/>
  <c r="B1501" i="9"/>
  <c r="E1501" i="9" s="1"/>
  <c r="C1496" i="9"/>
  <c r="A1494" i="9"/>
  <c r="B1489" i="9"/>
  <c r="E1489" i="9" s="1"/>
  <c r="A1487" i="9"/>
  <c r="D1484" i="9"/>
  <c r="A1482" i="9"/>
  <c r="F1479" i="9"/>
  <c r="C1477" i="9"/>
  <c r="A1475" i="9"/>
  <c r="C1470" i="9"/>
  <c r="F1467" i="9"/>
  <c r="B1463" i="9"/>
  <c r="E1463" i="9" s="1"/>
  <c r="D1458" i="9"/>
  <c r="A1456" i="9"/>
  <c r="C1451" i="9"/>
  <c r="A1449" i="9"/>
  <c r="D1446" i="9"/>
  <c r="C1444" i="9"/>
  <c r="F1441" i="9"/>
  <c r="C1439" i="9"/>
  <c r="B1437" i="9"/>
  <c r="E1437" i="9" s="1"/>
  <c r="C1432" i="9"/>
  <c r="A1430" i="9"/>
  <c r="B1425" i="9"/>
  <c r="E1425" i="9" s="1"/>
  <c r="A1423" i="9"/>
  <c r="D1420" i="9"/>
  <c r="A1418" i="9"/>
  <c r="F1415" i="9"/>
  <c r="C1413" i="9"/>
  <c r="A1411" i="9"/>
  <c r="C1406" i="9"/>
  <c r="F1403" i="9"/>
  <c r="B1399" i="9"/>
  <c r="E1399" i="9" s="1"/>
  <c r="D1394" i="9"/>
  <c r="A1392" i="9"/>
  <c r="C1387" i="9"/>
  <c r="D1997" i="9"/>
  <c r="B1990" i="9"/>
  <c r="E1990" i="9" s="1"/>
  <c r="B1982" i="9"/>
  <c r="E1982" i="9" s="1"/>
  <c r="C1975" i="9"/>
  <c r="D1967" i="9"/>
  <c r="D1959" i="9"/>
  <c r="D1952" i="9"/>
  <c r="D1944" i="9"/>
  <c r="C1937" i="9"/>
  <c r="A1930" i="9"/>
  <c r="F1907" i="9"/>
  <c r="A1900" i="9"/>
  <c r="A1892" i="9"/>
  <c r="C1885" i="9"/>
  <c r="D1877" i="9"/>
  <c r="F1869" i="9"/>
  <c r="D1862" i="9"/>
  <c r="C1855" i="9"/>
  <c r="A1848" i="9"/>
  <c r="F1836" i="9"/>
  <c r="F1830" i="9"/>
  <c r="F1825" i="9"/>
  <c r="A1820" i="9"/>
  <c r="B1814" i="9"/>
  <c r="E1814" i="9" s="1"/>
  <c r="F1808" i="9"/>
  <c r="C1803" i="9"/>
  <c r="C1797" i="9"/>
  <c r="D1792" i="9"/>
  <c r="D1786" i="9"/>
  <c r="D1780" i="9"/>
  <c r="B1775" i="9"/>
  <c r="E1775" i="9" s="1"/>
  <c r="C1769" i="9"/>
  <c r="A1764" i="9"/>
  <c r="B1758" i="9"/>
  <c r="E1758" i="9" s="1"/>
  <c r="F1741" i="9"/>
  <c r="F1735" i="9"/>
  <c r="F1729" i="9"/>
  <c r="F1724" i="9"/>
  <c r="F1718" i="9"/>
  <c r="C1713" i="9"/>
  <c r="D1707" i="9"/>
  <c r="B1702" i="9"/>
  <c r="E1702" i="9" s="1"/>
  <c r="D1696" i="9"/>
  <c r="B1691" i="9"/>
  <c r="E1691" i="9" s="1"/>
  <c r="D1685" i="9"/>
  <c r="B1681" i="9"/>
  <c r="E1681" i="9" s="1"/>
  <c r="C1677" i="9"/>
  <c r="F1672" i="9"/>
  <c r="D1660" i="9"/>
  <c r="A1656" i="9"/>
  <c r="B1652" i="9"/>
  <c r="E1652" i="9" s="1"/>
  <c r="F1647" i="9"/>
  <c r="C1643" i="9"/>
  <c r="C1639" i="9"/>
  <c r="F1634" i="9"/>
  <c r="F1630" i="9"/>
  <c r="D1622" i="9"/>
  <c r="A1618" i="9"/>
  <c r="B1614" i="9"/>
  <c r="E1614" i="9" s="1"/>
  <c r="F1609" i="9"/>
  <c r="C1605" i="9"/>
  <c r="D1601" i="9"/>
  <c r="B1597" i="9"/>
  <c r="E1597" i="9" s="1"/>
  <c r="D1593" i="9"/>
  <c r="D1590" i="9"/>
  <c r="C1587" i="9"/>
  <c r="A1584" i="9"/>
  <c r="B1581" i="9"/>
  <c r="E1581" i="9" s="1"/>
  <c r="F1577" i="9"/>
  <c r="D1574" i="9"/>
  <c r="D1571" i="9"/>
  <c r="B1568" i="9"/>
  <c r="E1568" i="9" s="1"/>
  <c r="B1565" i="9"/>
  <c r="E1565" i="9" s="1"/>
  <c r="A1562" i="9"/>
  <c r="F1558" i="9"/>
  <c r="D1555" i="9"/>
  <c r="C1549" i="9"/>
  <c r="A1546" i="9"/>
  <c r="B1543" i="9"/>
  <c r="E1543" i="9" s="1"/>
  <c r="F1539" i="9"/>
  <c r="A1534" i="9"/>
  <c r="B1529" i="9"/>
  <c r="E1529" i="9" s="1"/>
  <c r="A1527" i="9"/>
  <c r="D1524" i="9"/>
  <c r="A1522" i="9"/>
  <c r="F1519" i="9"/>
  <c r="C1517" i="9"/>
  <c r="A1515" i="9"/>
  <c r="C1510" i="9"/>
  <c r="F1507" i="9"/>
  <c r="B1503" i="9"/>
  <c r="E1503" i="9" s="1"/>
  <c r="D1498" i="9"/>
  <c r="A1496" i="9"/>
  <c r="C1491" i="9"/>
  <c r="A1489" i="9"/>
  <c r="D1486" i="9"/>
  <c r="C1484" i="9"/>
  <c r="F1481" i="9"/>
  <c r="C1479" i="9"/>
  <c r="B1477" i="9"/>
  <c r="E1477" i="9" s="1"/>
  <c r="C1472" i="9"/>
  <c r="A1470" i="9"/>
  <c r="B1465" i="9"/>
  <c r="E1465" i="9" s="1"/>
  <c r="A1463" i="9"/>
  <c r="D1460" i="9"/>
  <c r="A1458" i="9"/>
  <c r="F1455" i="9"/>
  <c r="C1453" i="9"/>
  <c r="A1451" i="9"/>
  <c r="C1446" i="9"/>
  <c r="F1443" i="9"/>
  <c r="B1439" i="9"/>
  <c r="E1439" i="9" s="1"/>
  <c r="D1434" i="9"/>
  <c r="A1432" i="9"/>
  <c r="C1427" i="9"/>
  <c r="A1425" i="9"/>
  <c r="D1422" i="9"/>
  <c r="C1420" i="9"/>
  <c r="F1417" i="9"/>
  <c r="C1415" i="9"/>
  <c r="B1413" i="9"/>
  <c r="E1413" i="9" s="1"/>
  <c r="C1408" i="9"/>
  <c r="A1406" i="9"/>
  <c r="B1401" i="9"/>
  <c r="E1401" i="9" s="1"/>
  <c r="A1399" i="9"/>
  <c r="D1396" i="9"/>
  <c r="A1394" i="9"/>
  <c r="F1391" i="9"/>
  <c r="C1389" i="9"/>
  <c r="A1387" i="9"/>
  <c r="C1382" i="9"/>
  <c r="F1379" i="9"/>
  <c r="B1375" i="9"/>
  <c r="E1375" i="9" s="1"/>
  <c r="D1370" i="9"/>
  <c r="A1368" i="9"/>
  <c r="C1363" i="9"/>
  <c r="A1361" i="9"/>
  <c r="D1358" i="9"/>
  <c r="C1356" i="9"/>
  <c r="F1353" i="9"/>
  <c r="C1351" i="9"/>
  <c r="B1349" i="9"/>
  <c r="E1349" i="9" s="1"/>
  <c r="F1383" i="9"/>
  <c r="A1379" i="9"/>
  <c r="C1374" i="9"/>
  <c r="A1360" i="9"/>
  <c r="C1355" i="9"/>
  <c r="D1350" i="9"/>
  <c r="C1343" i="9"/>
  <c r="B1341" i="9"/>
  <c r="E1341" i="9" s="1"/>
  <c r="C1336" i="9"/>
  <c r="A1334" i="9"/>
  <c r="B1329" i="9"/>
  <c r="E1329" i="9" s="1"/>
  <c r="A1327" i="9"/>
  <c r="D1324" i="9"/>
  <c r="A1322" i="9"/>
  <c r="F1319" i="9"/>
  <c r="C1317" i="9"/>
  <c r="A1315" i="9"/>
  <c r="C1310" i="9"/>
  <c r="F1307" i="9"/>
  <c r="B1303" i="9"/>
  <c r="E1303" i="9" s="1"/>
  <c r="D1298" i="9"/>
  <c r="A1296" i="9"/>
  <c r="A1294" i="9"/>
  <c r="C1292" i="9"/>
  <c r="D1290" i="9"/>
  <c r="A1287" i="9"/>
  <c r="B1285" i="9"/>
  <c r="E1285" i="9" s="1"/>
  <c r="C1283" i="9"/>
  <c r="F1279" i="9"/>
  <c r="A1278" i="9"/>
  <c r="C1276" i="9"/>
  <c r="D1274" i="9"/>
  <c r="A1271" i="9"/>
  <c r="B1269" i="9"/>
  <c r="E1269" i="9" s="1"/>
  <c r="C1267" i="9"/>
  <c r="F1263" i="9"/>
  <c r="A1262" i="9"/>
  <c r="C1260" i="9"/>
  <c r="D1258" i="9"/>
  <c r="A1255" i="9"/>
  <c r="B1253" i="9"/>
  <c r="E1253" i="9" s="1"/>
  <c r="C1251" i="9"/>
  <c r="F1247" i="9"/>
  <c r="A1246" i="9"/>
  <c r="C1244" i="9"/>
  <c r="D1242" i="9"/>
  <c r="A1239" i="9"/>
  <c r="B1237" i="9"/>
  <c r="E1237" i="9" s="1"/>
  <c r="C1235" i="9"/>
  <c r="F1231" i="9"/>
  <c r="A1230" i="9"/>
  <c r="C1228" i="9"/>
  <c r="D1226" i="9"/>
  <c r="A1223" i="9"/>
  <c r="B1221" i="9"/>
  <c r="E1221" i="9" s="1"/>
  <c r="C1219" i="9"/>
  <c r="F1215" i="9"/>
  <c r="A1214" i="9"/>
  <c r="C1212" i="9"/>
  <c r="D1210" i="9"/>
  <c r="A1207" i="9"/>
  <c r="B1205" i="9"/>
  <c r="E1205" i="9" s="1"/>
  <c r="C1203" i="9"/>
  <c r="F1199" i="9"/>
  <c r="A1198" i="9"/>
  <c r="C1196" i="9"/>
  <c r="D1194" i="9"/>
  <c r="A1191" i="9"/>
  <c r="B1189" i="9"/>
  <c r="E1189" i="9" s="1"/>
  <c r="C1187" i="9"/>
  <c r="F1183" i="9"/>
  <c r="A1182" i="9"/>
  <c r="C1180" i="9"/>
  <c r="D1178" i="9"/>
  <c r="A1175" i="9"/>
  <c r="B1173" i="9"/>
  <c r="E1173" i="9" s="1"/>
  <c r="C1171" i="9"/>
  <c r="F1167" i="9"/>
  <c r="A1166" i="9"/>
  <c r="C1164" i="9"/>
  <c r="D1162" i="9"/>
  <c r="A1159" i="9"/>
  <c r="B1157" i="9"/>
  <c r="E1157" i="9" s="1"/>
  <c r="C1155" i="9"/>
  <c r="F1151" i="9"/>
  <c r="A1150" i="9"/>
  <c r="C1148" i="9"/>
  <c r="D1146" i="9"/>
  <c r="A1143" i="9"/>
  <c r="B1141" i="9"/>
  <c r="E1141" i="9" s="1"/>
  <c r="C1139" i="9"/>
  <c r="F1135" i="9"/>
  <c r="A1134" i="9"/>
  <c r="C1132" i="9"/>
  <c r="D1130" i="9"/>
  <c r="A1127" i="9"/>
  <c r="B1125" i="9"/>
  <c r="E1125" i="9" s="1"/>
  <c r="C1123" i="9"/>
  <c r="F1119" i="9"/>
  <c r="A1118" i="9"/>
  <c r="C1116" i="9"/>
  <c r="D1114" i="9"/>
  <c r="A1111" i="9"/>
  <c r="B1109" i="9"/>
  <c r="E1109" i="9" s="1"/>
  <c r="C1107" i="9"/>
  <c r="F1103" i="9"/>
  <c r="A1102" i="9"/>
  <c r="C1100" i="9"/>
  <c r="D1098" i="9"/>
  <c r="A1095" i="9"/>
  <c r="B1093" i="9"/>
  <c r="E1093" i="9" s="1"/>
  <c r="C1091" i="9"/>
  <c r="F1087" i="9"/>
  <c r="A1086" i="9"/>
  <c r="C1084" i="9"/>
  <c r="D1082" i="9"/>
  <c r="A1079" i="9"/>
  <c r="B1077" i="9"/>
  <c r="E1077" i="9" s="1"/>
  <c r="C1075" i="9"/>
  <c r="F1071" i="9"/>
  <c r="A1070" i="9"/>
  <c r="C1068" i="9"/>
  <c r="D1066" i="9"/>
  <c r="A1063" i="9"/>
  <c r="B1061" i="9"/>
  <c r="E1061" i="9" s="1"/>
  <c r="C1059" i="9"/>
  <c r="F1055" i="9"/>
  <c r="A1054" i="9"/>
  <c r="C1052" i="9"/>
  <c r="D1050" i="9"/>
  <c r="A1047" i="9"/>
  <c r="B1045" i="9"/>
  <c r="E1045" i="9" s="1"/>
  <c r="C1043" i="9"/>
  <c r="F1039" i="9"/>
  <c r="A1038" i="9"/>
  <c r="C1036" i="9"/>
  <c r="D1034" i="9"/>
  <c r="A1031" i="9"/>
  <c r="B1029" i="9"/>
  <c r="E1029" i="9" s="1"/>
  <c r="C1027" i="9"/>
  <c r="F1023" i="9"/>
  <c r="A1022" i="9"/>
  <c r="C1020" i="9"/>
  <c r="D1018" i="9"/>
  <c r="A1015" i="9"/>
  <c r="B1013" i="9"/>
  <c r="E1013" i="9" s="1"/>
  <c r="C1011" i="9"/>
  <c r="F1007" i="9"/>
  <c r="A1006" i="9"/>
  <c r="C1004" i="9"/>
  <c r="D1002" i="9"/>
  <c r="A999" i="9"/>
  <c r="B997" i="9"/>
  <c r="E997" i="9" s="1"/>
  <c r="C995" i="9"/>
  <c r="F991" i="9"/>
  <c r="A990" i="9"/>
  <c r="C988" i="9"/>
  <c r="D986" i="9"/>
  <c r="A983" i="9"/>
  <c r="B981" i="9"/>
  <c r="E981" i="9" s="1"/>
  <c r="C979" i="9"/>
  <c r="F975" i="9"/>
  <c r="A974" i="9"/>
  <c r="C972" i="9"/>
  <c r="D970" i="9"/>
  <c r="A967" i="9"/>
  <c r="B965" i="9"/>
  <c r="E965" i="9" s="1"/>
  <c r="C963" i="9"/>
  <c r="F959" i="9"/>
  <c r="A958" i="9"/>
  <c r="C956" i="9"/>
  <c r="D954" i="9"/>
  <c r="A951" i="9"/>
  <c r="B949" i="9"/>
  <c r="E949" i="9" s="1"/>
  <c r="C947" i="9"/>
  <c r="F943" i="9"/>
  <c r="A942" i="9"/>
  <c r="C940" i="9"/>
  <c r="D938" i="9"/>
  <c r="A935" i="9"/>
  <c r="B933" i="9"/>
  <c r="E933" i="9" s="1"/>
  <c r="C931" i="9"/>
  <c r="F927" i="9"/>
  <c r="A926" i="9"/>
  <c r="C924" i="9"/>
  <c r="D922" i="9"/>
  <c r="A919" i="9"/>
  <c r="B917" i="9"/>
  <c r="E917" i="9" s="1"/>
  <c r="C915" i="9"/>
  <c r="F911" i="9"/>
  <c r="A910" i="9"/>
  <c r="C908" i="9"/>
  <c r="D906" i="9"/>
  <c r="A903" i="9"/>
  <c r="B901" i="9"/>
  <c r="E901" i="9" s="1"/>
  <c r="C899" i="9"/>
  <c r="F895" i="9"/>
  <c r="A894" i="9"/>
  <c r="C892" i="9"/>
  <c r="D890" i="9"/>
  <c r="A887" i="9"/>
  <c r="B885" i="9"/>
  <c r="E885" i="9" s="1"/>
  <c r="C883" i="9"/>
  <c r="F879" i="9"/>
  <c r="A878" i="9"/>
  <c r="C876" i="9"/>
  <c r="D874" i="9"/>
  <c r="A871" i="9"/>
  <c r="B869" i="9"/>
  <c r="E869" i="9" s="1"/>
  <c r="C867" i="9"/>
  <c r="F863" i="9"/>
  <c r="A862" i="9"/>
  <c r="C860" i="9"/>
  <c r="D858" i="9"/>
  <c r="A855" i="9"/>
  <c r="B853" i="9"/>
  <c r="E853" i="9" s="1"/>
  <c r="C851" i="9"/>
  <c r="F847" i="9"/>
  <c r="A846" i="9"/>
  <c r="C844" i="9"/>
  <c r="D842" i="9"/>
  <c r="A839" i="9"/>
  <c r="B837" i="9"/>
  <c r="E837" i="9" s="1"/>
  <c r="C835" i="9"/>
  <c r="F831" i="9"/>
  <c r="A830" i="9"/>
  <c r="C828" i="9"/>
  <c r="D826" i="9"/>
  <c r="A823" i="9"/>
  <c r="B821" i="9"/>
  <c r="E821" i="9" s="1"/>
  <c r="C819" i="9"/>
  <c r="F815" i="9"/>
  <c r="A814" i="9"/>
  <c r="C812" i="9"/>
  <c r="D810" i="9"/>
  <c r="A807" i="9"/>
  <c r="B805" i="9"/>
  <c r="E805" i="9" s="1"/>
  <c r="C803" i="9"/>
  <c r="F799" i="9"/>
  <c r="A798" i="9"/>
  <c r="C796" i="9"/>
  <c r="D794" i="9"/>
  <c r="A791" i="9"/>
  <c r="B789" i="9"/>
  <c r="E789" i="9" s="1"/>
  <c r="C787" i="9"/>
  <c r="F783" i="9"/>
  <c r="A782" i="9"/>
  <c r="C780" i="9"/>
  <c r="D778" i="9"/>
  <c r="A775" i="9"/>
  <c r="B773" i="9"/>
  <c r="E773" i="9" s="1"/>
  <c r="C771" i="9"/>
  <c r="D1388" i="9"/>
  <c r="D1382" i="9"/>
  <c r="F1377" i="9"/>
  <c r="B1373" i="9"/>
  <c r="E1373" i="9" s="1"/>
  <c r="C1368" i="9"/>
  <c r="A1359" i="9"/>
  <c r="A1354" i="9"/>
  <c r="C1349" i="9"/>
  <c r="F1345" i="9"/>
  <c r="B1343" i="9"/>
  <c r="E1343" i="9" s="1"/>
  <c r="D1338" i="9"/>
  <c r="A1336" i="9"/>
  <c r="C1331" i="9"/>
  <c r="A1329" i="9"/>
  <c r="D1326" i="9"/>
  <c r="C1324" i="9"/>
  <c r="F1321" i="9"/>
  <c r="C1319" i="9"/>
  <c r="B1317" i="9"/>
  <c r="E1317" i="9" s="1"/>
  <c r="C1312" i="9"/>
  <c r="A1310" i="9"/>
  <c r="B1305" i="9"/>
  <c r="E1305" i="9" s="1"/>
  <c r="A1303" i="9"/>
  <c r="D1300" i="9"/>
  <c r="A1298" i="9"/>
  <c r="F1295" i="9"/>
  <c r="F1293" i="9"/>
  <c r="A1292" i="9"/>
  <c r="C1290" i="9"/>
  <c r="D1288" i="9"/>
  <c r="A1285" i="9"/>
  <c r="B1283" i="9"/>
  <c r="E1283" i="9" s="1"/>
  <c r="C1281" i="9"/>
  <c r="F1277" i="9"/>
  <c r="A1276" i="9"/>
  <c r="C1274" i="9"/>
  <c r="D1272" i="9"/>
  <c r="A1269" i="9"/>
  <c r="B1267" i="9"/>
  <c r="E1267" i="9" s="1"/>
  <c r="C1265" i="9"/>
  <c r="F1261" i="9"/>
  <c r="A1260" i="9"/>
  <c r="C1258" i="9"/>
  <c r="D1256" i="9"/>
  <c r="A1253" i="9"/>
  <c r="B1251" i="9"/>
  <c r="E1251" i="9" s="1"/>
  <c r="C1249" i="9"/>
  <c r="F1245" i="9"/>
  <c r="A1244" i="9"/>
  <c r="C1242" i="9"/>
  <c r="D1240" i="9"/>
  <c r="A1237" i="9"/>
  <c r="B1235" i="9"/>
  <c r="E1235" i="9" s="1"/>
  <c r="C1233" i="9"/>
  <c r="F1229" i="9"/>
  <c r="A1228" i="9"/>
  <c r="C1226" i="9"/>
  <c r="D1224" i="9"/>
  <c r="A1221" i="9"/>
  <c r="B1219" i="9"/>
  <c r="E1219" i="9" s="1"/>
  <c r="C1217" i="9"/>
  <c r="F1213" i="9"/>
  <c r="A1212" i="9"/>
  <c r="C1210" i="9"/>
  <c r="D1208" i="9"/>
  <c r="A1205" i="9"/>
  <c r="B1203" i="9"/>
  <c r="E1203" i="9" s="1"/>
  <c r="C1201" i="9"/>
  <c r="F1197" i="9"/>
  <c r="A1196" i="9"/>
  <c r="C1194" i="9"/>
  <c r="D1192" i="9"/>
  <c r="A1189" i="9"/>
  <c r="B1187" i="9"/>
  <c r="E1187" i="9" s="1"/>
  <c r="C1185" i="9"/>
  <c r="F1181" i="9"/>
  <c r="A1180" i="9"/>
  <c r="C1178" i="9"/>
  <c r="D1176" i="9"/>
  <c r="A1173" i="9"/>
  <c r="B1171" i="9"/>
  <c r="E1171" i="9" s="1"/>
  <c r="C1169" i="9"/>
  <c r="F1165" i="9"/>
  <c r="A1164" i="9"/>
  <c r="C1162" i="9"/>
  <c r="D1160" i="9"/>
  <c r="A1157" i="9"/>
  <c r="B1155" i="9"/>
  <c r="E1155" i="9" s="1"/>
  <c r="C1153" i="9"/>
  <c r="F1149" i="9"/>
  <c r="A1148" i="9"/>
  <c r="C1146" i="9"/>
  <c r="D1144" i="9"/>
  <c r="A1141" i="9"/>
  <c r="B1139" i="9"/>
  <c r="E1139" i="9" s="1"/>
  <c r="C1137" i="9"/>
  <c r="F1133" i="9"/>
  <c r="A1132" i="9"/>
  <c r="C1130" i="9"/>
  <c r="D1128" i="9"/>
  <c r="A1125" i="9"/>
  <c r="B1123" i="9"/>
  <c r="E1123" i="9" s="1"/>
  <c r="C1121" i="9"/>
  <c r="F1117" i="9"/>
  <c r="A1116" i="9"/>
  <c r="A1386" i="9"/>
  <c r="C1381" i="9"/>
  <c r="F1371" i="9"/>
  <c r="B1367" i="9"/>
  <c r="E1367" i="9" s="1"/>
  <c r="D1362" i="9"/>
  <c r="A1353" i="9"/>
  <c r="C1348" i="9"/>
  <c r="C1342" i="9"/>
  <c r="F1339" i="9"/>
  <c r="B1335" i="9"/>
  <c r="E1335" i="9" s="1"/>
  <c r="D1330" i="9"/>
  <c r="A1328" i="9"/>
  <c r="C1323" i="9"/>
  <c r="A1321" i="9"/>
  <c r="D1318" i="9"/>
  <c r="C1316" i="9"/>
  <c r="F1313" i="9"/>
  <c r="C1311" i="9"/>
  <c r="B1309" i="9"/>
  <c r="E1309" i="9" s="1"/>
  <c r="C1304" i="9"/>
  <c r="A1302" i="9"/>
  <c r="B1297" i="9"/>
  <c r="E1297" i="9" s="1"/>
  <c r="A1295" i="9"/>
  <c r="B1293" i="9"/>
  <c r="E1293" i="9" s="1"/>
  <c r="C1291" i="9"/>
  <c r="F1287" i="9"/>
  <c r="A1286" i="9"/>
  <c r="C1284" i="9"/>
  <c r="D1282" i="9"/>
  <c r="A1279" i="9"/>
  <c r="B1277" i="9"/>
  <c r="E1277" i="9" s="1"/>
  <c r="C1275" i="9"/>
  <c r="F1271" i="9"/>
  <c r="A1270" i="9"/>
  <c r="C1268" i="9"/>
  <c r="D1266" i="9"/>
  <c r="A1263" i="9"/>
  <c r="B1261" i="9"/>
  <c r="E1261" i="9" s="1"/>
  <c r="C1259" i="9"/>
  <c r="F1255" i="9"/>
  <c r="A1254" i="9"/>
  <c r="C1252" i="9"/>
  <c r="D1250" i="9"/>
  <c r="A1247" i="9"/>
  <c r="B1245" i="9"/>
  <c r="E1245" i="9" s="1"/>
  <c r="C1243" i="9"/>
  <c r="F1239" i="9"/>
  <c r="A1238" i="9"/>
  <c r="C1236" i="9"/>
  <c r="D1234" i="9"/>
  <c r="A1231" i="9"/>
  <c r="B1229" i="9"/>
  <c r="E1229" i="9" s="1"/>
  <c r="C1227" i="9"/>
  <c r="F1223" i="9"/>
  <c r="A1222" i="9"/>
  <c r="C1220" i="9"/>
  <c r="D1218" i="9"/>
  <c r="A1215" i="9"/>
  <c r="B1213" i="9"/>
  <c r="E1213" i="9" s="1"/>
  <c r="C1211" i="9"/>
  <c r="F1207" i="9"/>
  <c r="A1206" i="9"/>
  <c r="C1204" i="9"/>
  <c r="D1202" i="9"/>
  <c r="A1199" i="9"/>
  <c r="B1197" i="9"/>
  <c r="E1197" i="9" s="1"/>
  <c r="C1195" i="9"/>
  <c r="F1191" i="9"/>
  <c r="A1190" i="9"/>
  <c r="C1188" i="9"/>
  <c r="D1186" i="9"/>
  <c r="A1183" i="9"/>
  <c r="B1181" i="9"/>
  <c r="E1181" i="9" s="1"/>
  <c r="C1179" i="9"/>
  <c r="F1175" i="9"/>
  <c r="A1174" i="9"/>
  <c r="C1172" i="9"/>
  <c r="D1170" i="9"/>
  <c r="A1167" i="9"/>
  <c r="B1165" i="9"/>
  <c r="E1165" i="9" s="1"/>
  <c r="C1163" i="9"/>
  <c r="F1159" i="9"/>
  <c r="A1158" i="9"/>
  <c r="C1156" i="9"/>
  <c r="D1154" i="9"/>
  <c r="A1151" i="9"/>
  <c r="B1149" i="9"/>
  <c r="E1149" i="9" s="1"/>
  <c r="C1147" i="9"/>
  <c r="F1143" i="9"/>
  <c r="A1142" i="9"/>
  <c r="C1140" i="9"/>
  <c r="D1138" i="9"/>
  <c r="A1135" i="9"/>
  <c r="B1133" i="9"/>
  <c r="E1133" i="9" s="1"/>
  <c r="C1131" i="9"/>
  <c r="F1127" i="9"/>
  <c r="A1126" i="9"/>
  <c r="C1124" i="9"/>
  <c r="D1122" i="9"/>
  <c r="A1119" i="9"/>
  <c r="B1117" i="9"/>
  <c r="E1117" i="9" s="1"/>
  <c r="C1115" i="9"/>
  <c r="F1111" i="9"/>
  <c r="A1110" i="9"/>
  <c r="C1108" i="9"/>
  <c r="D1106" i="9"/>
  <c r="A1103" i="9"/>
  <c r="B1101" i="9"/>
  <c r="E1101" i="9" s="1"/>
  <c r="C1099" i="9"/>
  <c r="F1095" i="9"/>
  <c r="A1094" i="9"/>
  <c r="C1092" i="9"/>
  <c r="D1090" i="9"/>
  <c r="A1087" i="9"/>
  <c r="B1085" i="9"/>
  <c r="E1085" i="9" s="1"/>
  <c r="C1083" i="9"/>
  <c r="F1079" i="9"/>
  <c r="A1078" i="9"/>
  <c r="C1076" i="9"/>
  <c r="D1074" i="9"/>
  <c r="A1071" i="9"/>
  <c r="B1069" i="9"/>
  <c r="E1069" i="9" s="1"/>
  <c r="C1067" i="9"/>
  <c r="F1063" i="9"/>
  <c r="A1062" i="9"/>
  <c r="C1060" i="9"/>
  <c r="D1058" i="9"/>
  <c r="A1055" i="9"/>
  <c r="B1053" i="9"/>
  <c r="E1053" i="9" s="1"/>
  <c r="C1051" i="9"/>
  <c r="F1047" i="9"/>
  <c r="A1046" i="9"/>
  <c r="C1044" i="9"/>
  <c r="D1042" i="9"/>
  <c r="A1039" i="9"/>
  <c r="B1037" i="9"/>
  <c r="E1037" i="9" s="1"/>
  <c r="C1035" i="9"/>
  <c r="F1031" i="9"/>
  <c r="A1030" i="9"/>
  <c r="C1028" i="9"/>
  <c r="D1026" i="9"/>
  <c r="A1023" i="9"/>
  <c r="B1021" i="9"/>
  <c r="E1021" i="9" s="1"/>
  <c r="C1019" i="9"/>
  <c r="F1015" i="9"/>
  <c r="A1014" i="9"/>
  <c r="C1012" i="9"/>
  <c r="D1010" i="9"/>
  <c r="A1007" i="9"/>
  <c r="B1005" i="9"/>
  <c r="E1005" i="9" s="1"/>
  <c r="C1003" i="9"/>
  <c r="F999" i="9"/>
  <c r="A998" i="9"/>
  <c r="C996" i="9"/>
  <c r="D994" i="9"/>
  <c r="A991" i="9"/>
  <c r="B989" i="9"/>
  <c r="E989" i="9" s="1"/>
  <c r="C987" i="9"/>
  <c r="F983" i="9"/>
  <c r="A982" i="9"/>
  <c r="C980" i="9"/>
  <c r="D978" i="9"/>
  <c r="A975" i="9"/>
  <c r="B973" i="9"/>
  <c r="E973" i="9" s="1"/>
  <c r="C971" i="9"/>
  <c r="F967" i="9"/>
  <c r="A966" i="9"/>
  <c r="C964" i="9"/>
  <c r="D962" i="9"/>
  <c r="A959" i="9"/>
  <c r="B957" i="9"/>
  <c r="E957" i="9" s="1"/>
  <c r="C955" i="9"/>
  <c r="F951" i="9"/>
  <c r="A950" i="9"/>
  <c r="C948" i="9"/>
  <c r="D946" i="9"/>
  <c r="A943" i="9"/>
  <c r="B941" i="9"/>
  <c r="E941" i="9" s="1"/>
  <c r="C939" i="9"/>
  <c r="F935" i="9"/>
  <c r="A934" i="9"/>
  <c r="C932" i="9"/>
  <c r="D930" i="9"/>
  <c r="A927" i="9"/>
  <c r="B925" i="9"/>
  <c r="E925" i="9" s="1"/>
  <c r="C923" i="9"/>
  <c r="F919" i="9"/>
  <c r="A918" i="9"/>
  <c r="C916" i="9"/>
  <c r="D914" i="9"/>
  <c r="A911" i="9"/>
  <c r="B909" i="9"/>
  <c r="E909" i="9" s="1"/>
  <c r="C907" i="9"/>
  <c r="F903" i="9"/>
  <c r="A902" i="9"/>
  <c r="C900" i="9"/>
  <c r="D898" i="9"/>
  <c r="A895" i="9"/>
  <c r="B893" i="9"/>
  <c r="E893" i="9" s="1"/>
  <c r="C891" i="9"/>
  <c r="F887" i="9"/>
  <c r="A886" i="9"/>
  <c r="C884" i="9"/>
  <c r="D882" i="9"/>
  <c r="A879" i="9"/>
  <c r="B877" i="9"/>
  <c r="E877" i="9" s="1"/>
  <c r="C875" i="9"/>
  <c r="F871" i="9"/>
  <c r="A870" i="9"/>
  <c r="C868" i="9"/>
  <c r="D866" i="9"/>
  <c r="A863" i="9"/>
  <c r="B861" i="9"/>
  <c r="E861" i="9" s="1"/>
  <c r="C859" i="9"/>
  <c r="F855" i="9"/>
  <c r="A854" i="9"/>
  <c r="C852" i="9"/>
  <c r="D850" i="9"/>
  <c r="A847" i="9"/>
  <c r="B845" i="9"/>
  <c r="E845" i="9" s="1"/>
  <c r="C843" i="9"/>
  <c r="F839" i="9"/>
  <c r="A838" i="9"/>
  <c r="C836" i="9"/>
  <c r="D834" i="9"/>
  <c r="A831" i="9"/>
  <c r="B829" i="9"/>
  <c r="E829" i="9" s="1"/>
  <c r="C827" i="9"/>
  <c r="F823" i="9"/>
  <c r="A822" i="9"/>
  <c r="C820" i="9"/>
  <c r="D818" i="9"/>
  <c r="A815" i="9"/>
  <c r="B813" i="9"/>
  <c r="E813" i="9" s="1"/>
  <c r="C811" i="9"/>
  <c r="F807" i="9"/>
  <c r="A806" i="9"/>
  <c r="C804" i="9"/>
  <c r="D802" i="9"/>
  <c r="A799" i="9"/>
  <c r="B797" i="9"/>
  <c r="E797" i="9" s="1"/>
  <c r="C795" i="9"/>
  <c r="F791" i="9"/>
  <c r="A790" i="9"/>
  <c r="C788" i="9"/>
  <c r="D786" i="9"/>
  <c r="A783" i="9"/>
  <c r="B781" i="9"/>
  <c r="E781" i="9" s="1"/>
  <c r="C779" i="9"/>
  <c r="F775" i="9"/>
  <c r="A774" i="9"/>
  <c r="C772" i="9"/>
  <c r="D770" i="9"/>
  <c r="A767" i="9"/>
  <c r="B765" i="9"/>
  <c r="E765" i="9" s="1"/>
  <c r="C763" i="9"/>
  <c r="F759" i="9"/>
  <c r="A758" i="9"/>
  <c r="C756" i="9"/>
  <c r="D754" i="9"/>
  <c r="A751" i="9"/>
  <c r="B749" i="9"/>
  <c r="E749" i="9" s="1"/>
  <c r="C747" i="9"/>
  <c r="F743" i="9"/>
  <c r="C1375" i="9"/>
  <c r="D1356" i="9"/>
  <c r="A1342" i="9"/>
  <c r="D1332" i="9"/>
  <c r="A1323" i="9"/>
  <c r="A1304" i="9"/>
  <c r="D1280" i="9"/>
  <c r="C1273" i="9"/>
  <c r="C1266" i="9"/>
  <c r="B1259" i="9"/>
  <c r="E1259" i="9" s="1"/>
  <c r="A1252" i="9"/>
  <c r="A1245" i="9"/>
  <c r="F1237" i="9"/>
  <c r="D1216" i="9"/>
  <c r="C1209" i="9"/>
  <c r="C1202" i="9"/>
  <c r="B1195" i="9"/>
  <c r="E1195" i="9" s="1"/>
  <c r="A1188" i="9"/>
  <c r="A1181" i="9"/>
  <c r="F1173" i="9"/>
  <c r="D1152" i="9"/>
  <c r="C1145" i="9"/>
  <c r="C1138" i="9"/>
  <c r="B1131" i="9"/>
  <c r="E1131" i="9" s="1"/>
  <c r="A1124" i="9"/>
  <c r="A1117" i="9"/>
  <c r="D1112" i="9"/>
  <c r="A1109" i="9"/>
  <c r="C1105" i="9"/>
  <c r="F1101" i="9"/>
  <c r="C1098" i="9"/>
  <c r="B1091" i="9"/>
  <c r="E1091" i="9" s="1"/>
  <c r="A1084" i="9"/>
  <c r="D1080" i="9"/>
  <c r="A1077" i="9"/>
  <c r="C1073" i="9"/>
  <c r="F1069" i="9"/>
  <c r="C1066" i="9"/>
  <c r="B1059" i="9"/>
  <c r="E1059" i="9" s="1"/>
  <c r="A1052" i="9"/>
  <c r="D1048" i="9"/>
  <c r="A1045" i="9"/>
  <c r="C1041" i="9"/>
  <c r="F1037" i="9"/>
  <c r="C1034" i="9"/>
  <c r="B1027" i="9"/>
  <c r="E1027" i="9" s="1"/>
  <c r="A1020" i="9"/>
  <c r="D1016" i="9"/>
  <c r="A1013" i="9"/>
  <c r="C1009" i="9"/>
  <c r="F1005" i="9"/>
  <c r="C1002" i="9"/>
  <c r="B995" i="9"/>
  <c r="E995" i="9" s="1"/>
  <c r="A988" i="9"/>
  <c r="D984" i="9"/>
  <c r="A981" i="9"/>
  <c r="C977" i="9"/>
  <c r="F973" i="9"/>
  <c r="C970" i="9"/>
  <c r="B963" i="9"/>
  <c r="E963" i="9" s="1"/>
  <c r="A956" i="9"/>
  <c r="D952" i="9"/>
  <c r="A949" i="9"/>
  <c r="C945" i="9"/>
  <c r="F941" i="9"/>
  <c r="C938" i="9"/>
  <c r="B931" i="9"/>
  <c r="E931" i="9" s="1"/>
  <c r="A924" i="9"/>
  <c r="D920" i="9"/>
  <c r="A917" i="9"/>
  <c r="C913" i="9"/>
  <c r="F909" i="9"/>
  <c r="C906" i="9"/>
  <c r="B899" i="9"/>
  <c r="E899" i="9" s="1"/>
  <c r="A892" i="9"/>
  <c r="D888" i="9"/>
  <c r="A885" i="9"/>
  <c r="C881" i="9"/>
  <c r="F877" i="9"/>
  <c r="C874" i="9"/>
  <c r="B867" i="9"/>
  <c r="E867" i="9" s="1"/>
  <c r="A860" i="9"/>
  <c r="D856" i="9"/>
  <c r="A853" i="9"/>
  <c r="C849" i="9"/>
  <c r="F845" i="9"/>
  <c r="C842" i="9"/>
  <c r="B835" i="9"/>
  <c r="E835" i="9" s="1"/>
  <c r="A828" i="9"/>
  <c r="D824" i="9"/>
  <c r="A821" i="9"/>
  <c r="C817" i="9"/>
  <c r="F813" i="9"/>
  <c r="C810" i="9"/>
  <c r="B803" i="9"/>
  <c r="E803" i="9" s="1"/>
  <c r="A796" i="9"/>
  <c r="D792" i="9"/>
  <c r="A789" i="9"/>
  <c r="C785" i="9"/>
  <c r="F781" i="9"/>
  <c r="C778" i="9"/>
  <c r="B771" i="9"/>
  <c r="E771" i="9" s="1"/>
  <c r="D768" i="9"/>
  <c r="A766" i="9"/>
  <c r="A764" i="9"/>
  <c r="C761" i="9"/>
  <c r="A759" i="9"/>
  <c r="A757" i="9"/>
  <c r="C754" i="9"/>
  <c r="F751" i="9"/>
  <c r="F749" i="9"/>
  <c r="B747" i="9"/>
  <c r="E747" i="9" s="1"/>
  <c r="A741" i="9"/>
  <c r="B739" i="9"/>
  <c r="E739" i="9" s="1"/>
  <c r="C737" i="9"/>
  <c r="F733" i="9"/>
  <c r="A732" i="9"/>
  <c r="C730" i="9"/>
  <c r="D728" i="9"/>
  <c r="A725" i="9"/>
  <c r="C722" i="9"/>
  <c r="A721" i="9"/>
  <c r="C718" i="9"/>
  <c r="A717" i="9"/>
  <c r="C714" i="9"/>
  <c r="A713" i="9"/>
  <c r="C710" i="9"/>
  <c r="A709" i="9"/>
  <c r="C706" i="9"/>
  <c r="A705" i="9"/>
  <c r="C702" i="9"/>
  <c r="A701" i="9"/>
  <c r="C698" i="9"/>
  <c r="A697" i="9"/>
  <c r="C694" i="9"/>
  <c r="A693" i="9"/>
  <c r="C690" i="9"/>
  <c r="A689" i="9"/>
  <c r="C686" i="9"/>
  <c r="A685" i="9"/>
  <c r="C682" i="9"/>
  <c r="A681" i="9"/>
  <c r="C678" i="9"/>
  <c r="A677" i="9"/>
  <c r="C674" i="9"/>
  <c r="A673" i="9"/>
  <c r="C670" i="9"/>
  <c r="A669" i="9"/>
  <c r="C666" i="9"/>
  <c r="A665" i="9"/>
  <c r="C662" i="9"/>
  <c r="A661" i="9"/>
  <c r="C658" i="9"/>
  <c r="A657" i="9"/>
  <c r="C654" i="9"/>
  <c r="A653" i="9"/>
  <c r="C650" i="9"/>
  <c r="A649" i="9"/>
  <c r="C646" i="9"/>
  <c r="A645" i="9"/>
  <c r="C642" i="9"/>
  <c r="A641" i="9"/>
  <c r="C638" i="9"/>
  <c r="A637" i="9"/>
  <c r="C634" i="9"/>
  <c r="A633" i="9"/>
  <c r="C630" i="9"/>
  <c r="A629" i="9"/>
  <c r="C626" i="9"/>
  <c r="A625" i="9"/>
  <c r="C622" i="9"/>
  <c r="A621" i="9"/>
  <c r="C618" i="9"/>
  <c r="A617" i="9"/>
  <c r="C614" i="9"/>
  <c r="A613" i="9"/>
  <c r="C610" i="9"/>
  <c r="A609" i="9"/>
  <c r="C606" i="9"/>
  <c r="A605" i="9"/>
  <c r="C602" i="9"/>
  <c r="A601" i="9"/>
  <c r="C598" i="9"/>
  <c r="A597" i="9"/>
  <c r="C594" i="9"/>
  <c r="A593" i="9"/>
  <c r="C590" i="9"/>
  <c r="A589" i="9"/>
  <c r="C586" i="9"/>
  <c r="A585" i="9"/>
  <c r="F583" i="9"/>
  <c r="A583" i="9"/>
  <c r="A582" i="9"/>
  <c r="B581" i="9"/>
  <c r="E581" i="9" s="1"/>
  <c r="C580" i="9"/>
  <c r="C579" i="9"/>
  <c r="D578" i="9"/>
  <c r="F575" i="9"/>
  <c r="A575" i="9"/>
  <c r="A574" i="9"/>
  <c r="B573" i="9"/>
  <c r="E573" i="9" s="1"/>
  <c r="C572" i="9"/>
  <c r="C571" i="9"/>
  <c r="D570" i="9"/>
  <c r="F567" i="9"/>
  <c r="A567" i="9"/>
  <c r="A566" i="9"/>
  <c r="B565" i="9"/>
  <c r="E565" i="9" s="1"/>
  <c r="C564" i="9"/>
  <c r="C563" i="9"/>
  <c r="D562" i="9"/>
  <c r="F559" i="9"/>
  <c r="A559" i="9"/>
  <c r="A558" i="9"/>
  <c r="B557" i="9"/>
  <c r="E557" i="9" s="1"/>
  <c r="C556" i="9"/>
  <c r="C555" i="9"/>
  <c r="D554" i="9"/>
  <c r="F551" i="9"/>
  <c r="A551" i="9"/>
  <c r="A550" i="9"/>
  <c r="B549" i="9"/>
  <c r="E549" i="9" s="1"/>
  <c r="C548" i="9"/>
  <c r="C547" i="9"/>
  <c r="D546" i="9"/>
  <c r="F543" i="9"/>
  <c r="A543" i="9"/>
  <c r="A542" i="9"/>
  <c r="B541" i="9"/>
  <c r="E541" i="9" s="1"/>
  <c r="C540" i="9"/>
  <c r="C539" i="9"/>
  <c r="D538" i="9"/>
  <c r="F535" i="9"/>
  <c r="A535" i="9"/>
  <c r="A534" i="9"/>
  <c r="B533" i="9"/>
  <c r="E533" i="9" s="1"/>
  <c r="C532" i="9"/>
  <c r="C531" i="9"/>
  <c r="D530" i="9"/>
  <c r="F527" i="9"/>
  <c r="A527" i="9"/>
  <c r="A526" i="9"/>
  <c r="B525" i="9"/>
  <c r="E525" i="9" s="1"/>
  <c r="C524" i="9"/>
  <c r="C523" i="9"/>
  <c r="D522" i="9"/>
  <c r="F519" i="9"/>
  <c r="A519" i="9"/>
  <c r="A518" i="9"/>
  <c r="B517" i="9"/>
  <c r="E517" i="9" s="1"/>
  <c r="C516" i="9"/>
  <c r="C515" i="9"/>
  <c r="D514" i="9"/>
  <c r="F511" i="9"/>
  <c r="A511" i="9"/>
  <c r="A510" i="9"/>
  <c r="B509" i="9"/>
  <c r="E509" i="9" s="1"/>
  <c r="C508" i="9"/>
  <c r="C507" i="9"/>
  <c r="D506" i="9"/>
  <c r="F503" i="9"/>
  <c r="A503" i="9"/>
  <c r="A502" i="9"/>
  <c r="B501" i="9"/>
  <c r="E501" i="9" s="1"/>
  <c r="C500" i="9"/>
  <c r="C499" i="9"/>
  <c r="A498" i="9"/>
  <c r="C497" i="9"/>
  <c r="A496" i="9"/>
  <c r="C495" i="9"/>
  <c r="A494" i="9"/>
  <c r="C493" i="9"/>
  <c r="A492" i="9"/>
  <c r="C491" i="9"/>
  <c r="A490" i="9"/>
  <c r="C489" i="9"/>
  <c r="A488" i="9"/>
  <c r="C487" i="9"/>
  <c r="A486" i="9"/>
  <c r="C485" i="9"/>
  <c r="A484" i="9"/>
  <c r="C483" i="9"/>
  <c r="A482" i="9"/>
  <c r="C481" i="9"/>
  <c r="A480" i="9"/>
  <c r="C479" i="9"/>
  <c r="A478" i="9"/>
  <c r="C477" i="9"/>
  <c r="A476" i="9"/>
  <c r="C475" i="9"/>
  <c r="A474" i="9"/>
  <c r="C473" i="9"/>
  <c r="A472" i="9"/>
  <c r="C471" i="9"/>
  <c r="A470" i="9"/>
  <c r="C469" i="9"/>
  <c r="A468" i="9"/>
  <c r="C467" i="9"/>
  <c r="A466" i="9"/>
  <c r="C465" i="9"/>
  <c r="A464" i="9"/>
  <c r="C463" i="9"/>
  <c r="A462" i="9"/>
  <c r="C461" i="9"/>
  <c r="A460" i="9"/>
  <c r="C459" i="9"/>
  <c r="A458" i="9"/>
  <c r="C457" i="9"/>
  <c r="A456" i="9"/>
  <c r="C455" i="9"/>
  <c r="A454" i="9"/>
  <c r="C453" i="9"/>
  <c r="A452" i="9"/>
  <c r="C451" i="9"/>
  <c r="A450" i="9"/>
  <c r="C449" i="9"/>
  <c r="A448" i="9"/>
  <c r="C447" i="9"/>
  <c r="A446" i="9"/>
  <c r="C445" i="9"/>
  <c r="A444" i="9"/>
  <c r="C443" i="9"/>
  <c r="A442" i="9"/>
  <c r="C441" i="9"/>
  <c r="A440" i="9"/>
  <c r="C439" i="9"/>
  <c r="A438" i="9"/>
  <c r="C437" i="9"/>
  <c r="A436" i="9"/>
  <c r="C435" i="9"/>
  <c r="A434" i="9"/>
  <c r="C433" i="9"/>
  <c r="A432" i="9"/>
  <c r="C431" i="9"/>
  <c r="A430" i="9"/>
  <c r="C429" i="9"/>
  <c r="A428" i="9"/>
  <c r="C427" i="9"/>
  <c r="A426" i="9"/>
  <c r="C425" i="9"/>
  <c r="A424" i="9"/>
  <c r="C423" i="9"/>
  <c r="A422" i="9"/>
  <c r="C421" i="9"/>
  <c r="A420" i="9"/>
  <c r="C419" i="9"/>
  <c r="A418" i="9"/>
  <c r="C417" i="9"/>
  <c r="A416" i="9"/>
  <c r="C415" i="9"/>
  <c r="A414" i="9"/>
  <c r="C413" i="9"/>
  <c r="A412" i="9"/>
  <c r="C411" i="9"/>
  <c r="A410" i="9"/>
  <c r="C409" i="9"/>
  <c r="A408" i="9"/>
  <c r="C407" i="9"/>
  <c r="A406" i="9"/>
  <c r="C405" i="9"/>
  <c r="A404" i="9"/>
  <c r="C403" i="9"/>
  <c r="A402" i="9"/>
  <c r="C401" i="9"/>
  <c r="A400" i="9"/>
  <c r="C399" i="9"/>
  <c r="A398" i="9"/>
  <c r="C397" i="9"/>
  <c r="A396" i="9"/>
  <c r="C395" i="9"/>
  <c r="A394" i="9"/>
  <c r="C393" i="9"/>
  <c r="A392" i="9"/>
  <c r="C391" i="9"/>
  <c r="A390" i="9"/>
  <c r="C389" i="9"/>
  <c r="A388" i="9"/>
  <c r="C387" i="9"/>
  <c r="A386" i="9"/>
  <c r="C385" i="9"/>
  <c r="A384" i="9"/>
  <c r="C383" i="9"/>
  <c r="A382" i="9"/>
  <c r="C381" i="9"/>
  <c r="A380" i="9"/>
  <c r="C379" i="9"/>
  <c r="A378" i="9"/>
  <c r="C377" i="9"/>
  <c r="A376" i="9"/>
  <c r="C375" i="9"/>
  <c r="A374" i="9"/>
  <c r="C373" i="9"/>
  <c r="A372" i="9"/>
  <c r="C371" i="9"/>
  <c r="A370" i="9"/>
  <c r="C369" i="9"/>
  <c r="A368" i="9"/>
  <c r="C367" i="9"/>
  <c r="A366" i="9"/>
  <c r="C365" i="9"/>
  <c r="A364" i="9"/>
  <c r="C363" i="9"/>
  <c r="A362" i="9"/>
  <c r="C361" i="9"/>
  <c r="A360" i="9"/>
  <c r="C359" i="9"/>
  <c r="A358" i="9"/>
  <c r="C357" i="9"/>
  <c r="A356" i="9"/>
  <c r="C355" i="9"/>
  <c r="A354" i="9"/>
  <c r="C353" i="9"/>
  <c r="A352" i="9"/>
  <c r="C351" i="9"/>
  <c r="A350" i="9"/>
  <c r="C349" i="9"/>
  <c r="A348" i="9"/>
  <c r="C347" i="9"/>
  <c r="A346" i="9"/>
  <c r="C345" i="9"/>
  <c r="A344" i="9"/>
  <c r="C343" i="9"/>
  <c r="A342" i="9"/>
  <c r="C341" i="9"/>
  <c r="A340" i="9"/>
  <c r="C339" i="9"/>
  <c r="A338" i="9"/>
  <c r="C337" i="9"/>
  <c r="A336" i="9"/>
  <c r="C335" i="9"/>
  <c r="A334" i="9"/>
  <c r="C333" i="9"/>
  <c r="A332" i="9"/>
  <c r="C331" i="9"/>
  <c r="A330" i="9"/>
  <c r="C329" i="9"/>
  <c r="A328" i="9"/>
  <c r="C327" i="9"/>
  <c r="A326" i="9"/>
  <c r="C325" i="9"/>
  <c r="A324" i="9"/>
  <c r="C323" i="9"/>
  <c r="A322" i="9"/>
  <c r="C321" i="9"/>
  <c r="A320" i="9"/>
  <c r="C319" i="9"/>
  <c r="A318" i="9"/>
  <c r="C317" i="9"/>
  <c r="A316" i="9"/>
  <c r="C315" i="9"/>
  <c r="A314" i="9"/>
  <c r="C313" i="9"/>
  <c r="A312" i="9"/>
  <c r="C311" i="9"/>
  <c r="A310" i="9"/>
  <c r="C309" i="9"/>
  <c r="A308" i="9"/>
  <c r="C307" i="9"/>
  <c r="A306" i="9"/>
  <c r="C305" i="9"/>
  <c r="A304" i="9"/>
  <c r="C303" i="9"/>
  <c r="A302" i="9"/>
  <c r="C301" i="9"/>
  <c r="A300" i="9"/>
  <c r="C299" i="9"/>
  <c r="A298" i="9"/>
  <c r="C297" i="9"/>
  <c r="A296" i="9"/>
  <c r="C295" i="9"/>
  <c r="A294" i="9"/>
  <c r="C293" i="9"/>
  <c r="A292" i="9"/>
  <c r="C291" i="9"/>
  <c r="A290" i="9"/>
  <c r="C289" i="9"/>
  <c r="A288" i="9"/>
  <c r="C287" i="9"/>
  <c r="A286" i="9"/>
  <c r="C285" i="9"/>
  <c r="A284" i="9"/>
  <c r="C283" i="9"/>
  <c r="A282" i="9"/>
  <c r="C281" i="9"/>
  <c r="F1351" i="9"/>
  <c r="A1330" i="9"/>
  <c r="B1311" i="9"/>
  <c r="E1311" i="9" s="1"/>
  <c r="A1293" i="9"/>
  <c r="F1285" i="9"/>
  <c r="D1264" i="9"/>
  <c r="C1257" i="9"/>
  <c r="C1250" i="9"/>
  <c r="B1243" i="9"/>
  <c r="E1243" i="9" s="1"/>
  <c r="A1236" i="9"/>
  <c r="A1229" i="9"/>
  <c r="F1221" i="9"/>
  <c r="D1200" i="9"/>
  <c r="C1193" i="9"/>
  <c r="C1186" i="9"/>
  <c r="B1179" i="9"/>
  <c r="E1179" i="9" s="1"/>
  <c r="A1172" i="9"/>
  <c r="A1165" i="9"/>
  <c r="F1157" i="9"/>
  <c r="D1136" i="9"/>
  <c r="C1129" i="9"/>
  <c r="C1122" i="9"/>
  <c r="B1115" i="9"/>
  <c r="E1115" i="9" s="1"/>
  <c r="A1108" i="9"/>
  <c r="D1104" i="9"/>
  <c r="A1101" i="9"/>
  <c r="C1097" i="9"/>
  <c r="F1093" i="9"/>
  <c r="C1090" i="9"/>
  <c r="B1083" i="9"/>
  <c r="E1083" i="9" s="1"/>
  <c r="A1076" i="9"/>
  <c r="D1072" i="9"/>
  <c r="A1069" i="9"/>
  <c r="C1065" i="9"/>
  <c r="F1061" i="9"/>
  <c r="C1058" i="9"/>
  <c r="B1051" i="9"/>
  <c r="E1051" i="9" s="1"/>
  <c r="A1044" i="9"/>
  <c r="D1040" i="9"/>
  <c r="A1037" i="9"/>
  <c r="C1033" i="9"/>
  <c r="F1029" i="9"/>
  <c r="C1026" i="9"/>
  <c r="B1019" i="9"/>
  <c r="E1019" i="9" s="1"/>
  <c r="A1012" i="9"/>
  <c r="D1008" i="9"/>
  <c r="A1005" i="9"/>
  <c r="C1001" i="9"/>
  <c r="F997" i="9"/>
  <c r="C994" i="9"/>
  <c r="B987" i="9"/>
  <c r="E987" i="9" s="1"/>
  <c r="A980" i="9"/>
  <c r="D976" i="9"/>
  <c r="A973" i="9"/>
  <c r="C969" i="9"/>
  <c r="F965" i="9"/>
  <c r="C962" i="9"/>
  <c r="B955" i="9"/>
  <c r="E955" i="9" s="1"/>
  <c r="A948" i="9"/>
  <c r="D944" i="9"/>
  <c r="A941" i="9"/>
  <c r="C937" i="9"/>
  <c r="F933" i="9"/>
  <c r="C930" i="9"/>
  <c r="B923" i="9"/>
  <c r="E923" i="9" s="1"/>
  <c r="A916" i="9"/>
  <c r="D912" i="9"/>
  <c r="A909" i="9"/>
  <c r="C905" i="9"/>
  <c r="F901" i="9"/>
  <c r="C898" i="9"/>
  <c r="B891" i="9"/>
  <c r="E891" i="9" s="1"/>
  <c r="A884" i="9"/>
  <c r="D880" i="9"/>
  <c r="A877" i="9"/>
  <c r="C873" i="9"/>
  <c r="F869" i="9"/>
  <c r="C866" i="9"/>
  <c r="B859" i="9"/>
  <c r="E859" i="9" s="1"/>
  <c r="A852" i="9"/>
  <c r="D848" i="9"/>
  <c r="A845" i="9"/>
  <c r="C841" i="9"/>
  <c r="F837" i="9"/>
  <c r="C834" i="9"/>
  <c r="B827" i="9"/>
  <c r="E827" i="9" s="1"/>
  <c r="A820" i="9"/>
  <c r="D816" i="9"/>
  <c r="A813" i="9"/>
  <c r="C809" i="9"/>
  <c r="F805" i="9"/>
  <c r="C802" i="9"/>
  <c r="B795" i="9"/>
  <c r="E795" i="9" s="1"/>
  <c r="A788" i="9"/>
  <c r="D784" i="9"/>
  <c r="A781" i="9"/>
  <c r="C777" i="9"/>
  <c r="F773" i="9"/>
  <c r="C770" i="9"/>
  <c r="F767" i="9"/>
  <c r="F765" i="9"/>
  <c r="B763" i="9"/>
  <c r="E763" i="9" s="1"/>
  <c r="A756" i="9"/>
  <c r="A749" i="9"/>
  <c r="D746" i="9"/>
  <c r="D744" i="9"/>
  <c r="A742" i="9"/>
  <c r="C740" i="9"/>
  <c r="D738" i="9"/>
  <c r="A735" i="9"/>
  <c r="B733" i="9"/>
  <c r="E733" i="9" s="1"/>
  <c r="C731" i="9"/>
  <c r="F727" i="9"/>
  <c r="A726" i="9"/>
  <c r="D724" i="9"/>
  <c r="B723" i="9"/>
  <c r="E723" i="9" s="1"/>
  <c r="F721" i="9"/>
  <c r="D720" i="9"/>
  <c r="B719" i="9"/>
  <c r="E719" i="9" s="1"/>
  <c r="F717" i="9"/>
  <c r="D716" i="9"/>
  <c r="B715" i="9"/>
  <c r="E715" i="9" s="1"/>
  <c r="F713" i="9"/>
  <c r="D712" i="9"/>
  <c r="B711" i="9"/>
  <c r="E711" i="9" s="1"/>
  <c r="F709" i="9"/>
  <c r="D708" i="9"/>
  <c r="B707" i="9"/>
  <c r="E707" i="9" s="1"/>
  <c r="F705" i="9"/>
  <c r="D704" i="9"/>
  <c r="B703" i="9"/>
  <c r="E703" i="9" s="1"/>
  <c r="F701" i="9"/>
  <c r="D700" i="9"/>
  <c r="B699" i="9"/>
  <c r="E699" i="9" s="1"/>
  <c r="F697" i="9"/>
  <c r="D696" i="9"/>
  <c r="B695" i="9"/>
  <c r="E695" i="9" s="1"/>
  <c r="F693" i="9"/>
  <c r="D692" i="9"/>
  <c r="B691" i="9"/>
  <c r="E691" i="9" s="1"/>
  <c r="F689" i="9"/>
  <c r="D688" i="9"/>
  <c r="B687" i="9"/>
  <c r="E687" i="9" s="1"/>
  <c r="F685" i="9"/>
  <c r="D684" i="9"/>
  <c r="B683" i="9"/>
  <c r="E683" i="9" s="1"/>
  <c r="F681" i="9"/>
  <c r="D680" i="9"/>
  <c r="B679" i="9"/>
  <c r="E679" i="9" s="1"/>
  <c r="F677" i="9"/>
  <c r="D676" i="9"/>
  <c r="B675" i="9"/>
  <c r="E675" i="9" s="1"/>
  <c r="F673" i="9"/>
  <c r="D672" i="9"/>
  <c r="B671" i="9"/>
  <c r="E671" i="9" s="1"/>
  <c r="F669" i="9"/>
  <c r="D668" i="9"/>
  <c r="B667" i="9"/>
  <c r="E667" i="9" s="1"/>
  <c r="F665" i="9"/>
  <c r="D664" i="9"/>
  <c r="B663" i="9"/>
  <c r="E663" i="9" s="1"/>
  <c r="F661" i="9"/>
  <c r="D660" i="9"/>
  <c r="B659" i="9"/>
  <c r="E659" i="9" s="1"/>
  <c r="F657" i="9"/>
  <c r="D656" i="9"/>
  <c r="B655" i="9"/>
  <c r="E655" i="9" s="1"/>
  <c r="F653" i="9"/>
  <c r="D652" i="9"/>
  <c r="B651" i="9"/>
  <c r="E651" i="9" s="1"/>
  <c r="F649" i="9"/>
  <c r="D648" i="9"/>
  <c r="B647" i="9"/>
  <c r="E647" i="9" s="1"/>
  <c r="F645" i="9"/>
  <c r="D644" i="9"/>
  <c r="B643" i="9"/>
  <c r="E643" i="9" s="1"/>
  <c r="F641" i="9"/>
  <c r="D640" i="9"/>
  <c r="B639" i="9"/>
  <c r="E639" i="9" s="1"/>
  <c r="F637" i="9"/>
  <c r="D636" i="9"/>
  <c r="B635" i="9"/>
  <c r="E635" i="9" s="1"/>
  <c r="F633" i="9"/>
  <c r="D632" i="9"/>
  <c r="B631" i="9"/>
  <c r="E631" i="9" s="1"/>
  <c r="F629" i="9"/>
  <c r="D628" i="9"/>
  <c r="B627" i="9"/>
  <c r="E627" i="9" s="1"/>
  <c r="F625" i="9"/>
  <c r="D624" i="9"/>
  <c r="B623" i="9"/>
  <c r="E623" i="9" s="1"/>
  <c r="F621" i="9"/>
  <c r="D620" i="9"/>
  <c r="B619" i="9"/>
  <c r="E619" i="9" s="1"/>
  <c r="F617" i="9"/>
  <c r="D616" i="9"/>
  <c r="B615" i="9"/>
  <c r="E615" i="9" s="1"/>
  <c r="F613" i="9"/>
  <c r="D612" i="9"/>
  <c r="B611" i="9"/>
  <c r="E611" i="9" s="1"/>
  <c r="F609" i="9"/>
  <c r="D608" i="9"/>
  <c r="B607" i="9"/>
  <c r="E607" i="9" s="1"/>
  <c r="F605" i="9"/>
  <c r="D604" i="9"/>
  <c r="B603" i="9"/>
  <c r="E603" i="9" s="1"/>
  <c r="F601" i="9"/>
  <c r="D600" i="9"/>
  <c r="B599" i="9"/>
  <c r="E599" i="9" s="1"/>
  <c r="F597" i="9"/>
  <c r="D596" i="9"/>
  <c r="B595" i="9"/>
  <c r="E595" i="9" s="1"/>
  <c r="F593" i="9"/>
  <c r="D592" i="9"/>
  <c r="B591" i="9"/>
  <c r="E591" i="9" s="1"/>
  <c r="F589" i="9"/>
  <c r="D588" i="9"/>
  <c r="B587" i="9"/>
  <c r="E587" i="9" s="1"/>
  <c r="F585" i="9"/>
  <c r="D584" i="9"/>
  <c r="F581" i="9"/>
  <c r="A581" i="9"/>
  <c r="A580" i="9"/>
  <c r="B579" i="9"/>
  <c r="E579" i="9" s="1"/>
  <c r="C578" i="9"/>
  <c r="C577" i="9"/>
  <c r="D576" i="9"/>
  <c r="F573" i="9"/>
  <c r="A573" i="9"/>
  <c r="A572" i="9"/>
  <c r="B571" i="9"/>
  <c r="E571" i="9" s="1"/>
  <c r="C570" i="9"/>
  <c r="C569" i="9"/>
  <c r="D568" i="9"/>
  <c r="F565" i="9"/>
  <c r="A565" i="9"/>
  <c r="A564" i="9"/>
  <c r="B563" i="9"/>
  <c r="E563" i="9" s="1"/>
  <c r="C562" i="9"/>
  <c r="C561" i="9"/>
  <c r="D560" i="9"/>
  <c r="F557" i="9"/>
  <c r="A557" i="9"/>
  <c r="A556" i="9"/>
  <c r="B555" i="9"/>
  <c r="E555" i="9" s="1"/>
  <c r="C554" i="9"/>
  <c r="C553" i="9"/>
  <c r="D552" i="9"/>
  <c r="F549" i="9"/>
  <c r="A549" i="9"/>
  <c r="A548" i="9"/>
  <c r="B547" i="9"/>
  <c r="E547" i="9" s="1"/>
  <c r="C546" i="9"/>
  <c r="C545" i="9"/>
  <c r="D544" i="9"/>
  <c r="F541" i="9"/>
  <c r="A541" i="9"/>
  <c r="A540" i="9"/>
  <c r="B539" i="9"/>
  <c r="E539" i="9" s="1"/>
  <c r="C538" i="9"/>
  <c r="C537" i="9"/>
  <c r="D536" i="9"/>
  <c r="F533" i="9"/>
  <c r="A533" i="9"/>
  <c r="A532" i="9"/>
  <c r="B531" i="9"/>
  <c r="E531" i="9" s="1"/>
  <c r="C530" i="9"/>
  <c r="C529" i="9"/>
  <c r="D528" i="9"/>
  <c r="F525" i="9"/>
  <c r="A525" i="9"/>
  <c r="A524" i="9"/>
  <c r="B523" i="9"/>
  <c r="E523" i="9" s="1"/>
  <c r="C522" i="9"/>
  <c r="C521" i="9"/>
  <c r="D520" i="9"/>
  <c r="F517" i="9"/>
  <c r="A517" i="9"/>
  <c r="A516" i="9"/>
  <c r="B515" i="9"/>
  <c r="E515" i="9" s="1"/>
  <c r="C514" i="9"/>
  <c r="C513" i="9"/>
  <c r="D512" i="9"/>
  <c r="F509" i="9"/>
  <c r="A509" i="9"/>
  <c r="A508" i="9"/>
  <c r="B507" i="9"/>
  <c r="E507" i="9" s="1"/>
  <c r="C506" i="9"/>
  <c r="C505" i="9"/>
  <c r="D504" i="9"/>
  <c r="F501" i="9"/>
  <c r="A501" i="9"/>
  <c r="A500" i="9"/>
  <c r="B499" i="9"/>
  <c r="E499" i="9" s="1"/>
  <c r="D498" i="9"/>
  <c r="F497" i="9"/>
  <c r="B497" i="9"/>
  <c r="E497" i="9" s="1"/>
  <c r="D496" i="9"/>
  <c r="F495" i="9"/>
  <c r="B495" i="9"/>
  <c r="E495" i="9" s="1"/>
  <c r="D494" i="9"/>
  <c r="F493" i="9"/>
  <c r="B493" i="9"/>
  <c r="E493" i="9" s="1"/>
  <c r="D492" i="9"/>
  <c r="F491" i="9"/>
  <c r="B491" i="9"/>
  <c r="E491" i="9" s="1"/>
  <c r="D490" i="9"/>
  <c r="F489" i="9"/>
  <c r="B489" i="9"/>
  <c r="E489" i="9" s="1"/>
  <c r="D488" i="9"/>
  <c r="F487" i="9"/>
  <c r="B487" i="9"/>
  <c r="E487" i="9" s="1"/>
  <c r="D486" i="9"/>
  <c r="F485" i="9"/>
  <c r="B485" i="9"/>
  <c r="E485" i="9" s="1"/>
  <c r="D484" i="9"/>
  <c r="F483" i="9"/>
  <c r="B483" i="9"/>
  <c r="E483" i="9" s="1"/>
  <c r="D482" i="9"/>
  <c r="F481" i="9"/>
  <c r="B481" i="9"/>
  <c r="E481" i="9" s="1"/>
  <c r="D480" i="9"/>
  <c r="F479" i="9"/>
  <c r="B479" i="9"/>
  <c r="E479" i="9" s="1"/>
  <c r="D478" i="9"/>
  <c r="F477" i="9"/>
  <c r="B477" i="9"/>
  <c r="E477" i="9" s="1"/>
  <c r="D476" i="9"/>
  <c r="F475" i="9"/>
  <c r="B475" i="9"/>
  <c r="E475" i="9" s="1"/>
  <c r="D474" i="9"/>
  <c r="F473" i="9"/>
  <c r="B473" i="9"/>
  <c r="E473" i="9" s="1"/>
  <c r="D472" i="9"/>
  <c r="F471" i="9"/>
  <c r="B471" i="9"/>
  <c r="E471" i="9" s="1"/>
  <c r="D470" i="9"/>
  <c r="F469" i="9"/>
  <c r="B469" i="9"/>
  <c r="E469" i="9" s="1"/>
  <c r="D468" i="9"/>
  <c r="F467" i="9"/>
  <c r="B467" i="9"/>
  <c r="E467" i="9" s="1"/>
  <c r="D466" i="9"/>
  <c r="F465" i="9"/>
  <c r="B465" i="9"/>
  <c r="E465" i="9" s="1"/>
  <c r="D464" i="9"/>
  <c r="F463" i="9"/>
  <c r="B463" i="9"/>
  <c r="E463" i="9" s="1"/>
  <c r="D462" i="9"/>
  <c r="F461" i="9"/>
  <c r="B461" i="9"/>
  <c r="E461" i="9" s="1"/>
  <c r="D460" i="9"/>
  <c r="F459" i="9"/>
  <c r="B459" i="9"/>
  <c r="E459" i="9" s="1"/>
  <c r="D458" i="9"/>
  <c r="F457" i="9"/>
  <c r="B457" i="9"/>
  <c r="E457" i="9" s="1"/>
  <c r="D456" i="9"/>
  <c r="F455" i="9"/>
  <c r="B455" i="9"/>
  <c r="E455" i="9" s="1"/>
  <c r="D454" i="9"/>
  <c r="F453" i="9"/>
  <c r="B453" i="9"/>
  <c r="E453" i="9" s="1"/>
  <c r="D452" i="9"/>
  <c r="F451" i="9"/>
  <c r="B451" i="9"/>
  <c r="E451" i="9" s="1"/>
  <c r="D450" i="9"/>
  <c r="F449" i="9"/>
  <c r="B449" i="9"/>
  <c r="E449" i="9" s="1"/>
  <c r="D448" i="9"/>
  <c r="F447" i="9"/>
  <c r="B447" i="9"/>
  <c r="E447" i="9" s="1"/>
  <c r="D446" i="9"/>
  <c r="F445" i="9"/>
  <c r="B445" i="9"/>
  <c r="E445" i="9" s="1"/>
  <c r="D444" i="9"/>
  <c r="F443" i="9"/>
  <c r="B443" i="9"/>
  <c r="E443" i="9" s="1"/>
  <c r="D442" i="9"/>
  <c r="F441" i="9"/>
  <c r="B441" i="9"/>
  <c r="E441" i="9" s="1"/>
  <c r="D440" i="9"/>
  <c r="F439" i="9"/>
  <c r="B439" i="9"/>
  <c r="E439" i="9" s="1"/>
  <c r="D438" i="9"/>
  <c r="F437" i="9"/>
  <c r="B437" i="9"/>
  <c r="E437" i="9" s="1"/>
  <c r="D436" i="9"/>
  <c r="F435" i="9"/>
  <c r="B435" i="9"/>
  <c r="E435" i="9" s="1"/>
  <c r="D434" i="9"/>
  <c r="F433" i="9"/>
  <c r="B433" i="9"/>
  <c r="E433" i="9" s="1"/>
  <c r="D432" i="9"/>
  <c r="F431" i="9"/>
  <c r="B431" i="9"/>
  <c r="E431" i="9" s="1"/>
  <c r="D430" i="9"/>
  <c r="F429" i="9"/>
  <c r="B429" i="9"/>
  <c r="E429" i="9" s="1"/>
  <c r="D428" i="9"/>
  <c r="F427" i="9"/>
  <c r="B427" i="9"/>
  <c r="E427" i="9" s="1"/>
  <c r="D426" i="9"/>
  <c r="F425" i="9"/>
  <c r="B425" i="9"/>
  <c r="E425" i="9" s="1"/>
  <c r="D424" i="9"/>
  <c r="F423" i="9"/>
  <c r="B423" i="9"/>
  <c r="E423" i="9" s="1"/>
  <c r="D422" i="9"/>
  <c r="F421" i="9"/>
  <c r="B421" i="9"/>
  <c r="E421" i="9" s="1"/>
  <c r="D420" i="9"/>
  <c r="F419" i="9"/>
  <c r="B419" i="9"/>
  <c r="E419" i="9" s="1"/>
  <c r="D418" i="9"/>
  <c r="F417" i="9"/>
  <c r="B417" i="9"/>
  <c r="E417" i="9" s="1"/>
  <c r="D416" i="9"/>
  <c r="F415" i="9"/>
  <c r="B415" i="9"/>
  <c r="E415" i="9" s="1"/>
  <c r="D414" i="9"/>
  <c r="F413" i="9"/>
  <c r="B413" i="9"/>
  <c r="E413" i="9" s="1"/>
  <c r="D412" i="9"/>
  <c r="F411" i="9"/>
  <c r="B411" i="9"/>
  <c r="E411" i="9" s="1"/>
  <c r="D410" i="9"/>
  <c r="F409" i="9"/>
  <c r="B409" i="9"/>
  <c r="E409" i="9" s="1"/>
  <c r="D408" i="9"/>
  <c r="F407" i="9"/>
  <c r="B407" i="9"/>
  <c r="E407" i="9" s="1"/>
  <c r="D406" i="9"/>
  <c r="F405" i="9"/>
  <c r="B405" i="9"/>
  <c r="E405" i="9" s="1"/>
  <c r="D404" i="9"/>
  <c r="F403" i="9"/>
  <c r="B403" i="9"/>
  <c r="E403" i="9" s="1"/>
  <c r="D402" i="9"/>
  <c r="F401" i="9"/>
  <c r="B401" i="9"/>
  <c r="E401" i="9" s="1"/>
  <c r="D400" i="9"/>
  <c r="F399" i="9"/>
  <c r="B399" i="9"/>
  <c r="E399" i="9" s="1"/>
  <c r="D398" i="9"/>
  <c r="F397" i="9"/>
  <c r="B397" i="9"/>
  <c r="E397" i="9" s="1"/>
  <c r="D396" i="9"/>
  <c r="F395" i="9"/>
  <c r="B395" i="9"/>
  <c r="E395" i="9" s="1"/>
  <c r="D394" i="9"/>
  <c r="F393" i="9"/>
  <c r="B393" i="9"/>
  <c r="E393" i="9" s="1"/>
  <c r="D392" i="9"/>
  <c r="F391" i="9"/>
  <c r="B391" i="9"/>
  <c r="E391" i="9" s="1"/>
  <c r="D390" i="9"/>
  <c r="F389" i="9"/>
  <c r="B389" i="9"/>
  <c r="E389" i="9" s="1"/>
  <c r="D388" i="9"/>
  <c r="F387" i="9"/>
  <c r="B387" i="9"/>
  <c r="E387" i="9" s="1"/>
  <c r="D386" i="9"/>
  <c r="F385" i="9"/>
  <c r="B385" i="9"/>
  <c r="E385" i="9" s="1"/>
  <c r="D384" i="9"/>
  <c r="F383" i="9"/>
  <c r="B383" i="9"/>
  <c r="E383" i="9" s="1"/>
  <c r="D382" i="9"/>
  <c r="F381" i="9"/>
  <c r="B381" i="9"/>
  <c r="E381" i="9" s="1"/>
  <c r="D380" i="9"/>
  <c r="F379" i="9"/>
  <c r="B379" i="9"/>
  <c r="E379" i="9" s="1"/>
  <c r="D378" i="9"/>
  <c r="F377" i="9"/>
  <c r="B377" i="9"/>
  <c r="E377" i="9" s="1"/>
  <c r="D376" i="9"/>
  <c r="F375" i="9"/>
  <c r="B375" i="9"/>
  <c r="E375" i="9" s="1"/>
  <c r="D374" i="9"/>
  <c r="F373" i="9"/>
  <c r="B373" i="9"/>
  <c r="E373" i="9" s="1"/>
  <c r="D372" i="9"/>
  <c r="F371" i="9"/>
  <c r="B371" i="9"/>
  <c r="E371" i="9" s="1"/>
  <c r="D370" i="9"/>
  <c r="F369" i="9"/>
  <c r="B369" i="9"/>
  <c r="E369" i="9" s="1"/>
  <c r="D368" i="9"/>
  <c r="F367" i="9"/>
  <c r="B367" i="9"/>
  <c r="E367" i="9" s="1"/>
  <c r="D366" i="9"/>
  <c r="F365" i="9"/>
  <c r="B365" i="9"/>
  <c r="E365" i="9" s="1"/>
  <c r="D364" i="9"/>
  <c r="F363" i="9"/>
  <c r="B363" i="9"/>
  <c r="E363" i="9" s="1"/>
  <c r="D362" i="9"/>
  <c r="F361" i="9"/>
  <c r="B361" i="9"/>
  <c r="E361" i="9" s="1"/>
  <c r="D360" i="9"/>
  <c r="F359" i="9"/>
  <c r="B359" i="9"/>
  <c r="E359" i="9" s="1"/>
  <c r="D358" i="9"/>
  <c r="F357" i="9"/>
  <c r="B357" i="9"/>
  <c r="E357" i="9" s="1"/>
  <c r="D356" i="9"/>
  <c r="F355" i="9"/>
  <c r="B355" i="9"/>
  <c r="E355" i="9" s="1"/>
  <c r="D354" i="9"/>
  <c r="F353" i="9"/>
  <c r="B353" i="9"/>
  <c r="E353" i="9" s="1"/>
  <c r="D352" i="9"/>
  <c r="F351" i="9"/>
  <c r="B351" i="9"/>
  <c r="E351" i="9" s="1"/>
  <c r="D350" i="9"/>
  <c r="F349" i="9"/>
  <c r="B349" i="9"/>
  <c r="E349" i="9" s="1"/>
  <c r="D348" i="9"/>
  <c r="F347" i="9"/>
  <c r="B347" i="9"/>
  <c r="E347" i="9" s="1"/>
  <c r="D346" i="9"/>
  <c r="F345" i="9"/>
  <c r="B345" i="9"/>
  <c r="E345" i="9" s="1"/>
  <c r="D344" i="9"/>
  <c r="F343" i="9"/>
  <c r="B343" i="9"/>
  <c r="E343" i="9" s="1"/>
  <c r="D342" i="9"/>
  <c r="F341" i="9"/>
  <c r="B341" i="9"/>
  <c r="E341" i="9" s="1"/>
  <c r="D340" i="9"/>
  <c r="F339" i="9"/>
  <c r="B339" i="9"/>
  <c r="E339" i="9" s="1"/>
  <c r="D338" i="9"/>
  <c r="F337" i="9"/>
  <c r="B337" i="9"/>
  <c r="E337" i="9" s="1"/>
  <c r="D336" i="9"/>
  <c r="A1385" i="9"/>
  <c r="A1366" i="9"/>
  <c r="A1347" i="9"/>
  <c r="B1337" i="9"/>
  <c r="E1337" i="9" s="1"/>
  <c r="F1327" i="9"/>
  <c r="C1318" i="9"/>
  <c r="C1299" i="9"/>
  <c r="B1291" i="9"/>
  <c r="E1291" i="9" s="1"/>
  <c r="A1284" i="9"/>
  <c r="A1277" i="9"/>
  <c r="F1269" i="9"/>
  <c r="D1248" i="9"/>
  <c r="C1241" i="9"/>
  <c r="C1234" i="9"/>
  <c r="B1227" i="9"/>
  <c r="E1227" i="9" s="1"/>
  <c r="A1220" i="9"/>
  <c r="A1213" i="9"/>
  <c r="F1205" i="9"/>
  <c r="D1184" i="9"/>
  <c r="C1177" i="9"/>
  <c r="C1170" i="9"/>
  <c r="B1163" i="9"/>
  <c r="E1163" i="9" s="1"/>
  <c r="A1156" i="9"/>
  <c r="A1149" i="9"/>
  <c r="F1141" i="9"/>
  <c r="D1120" i="9"/>
  <c r="C1114" i="9"/>
  <c r="B1107" i="9"/>
  <c r="E1107" i="9" s="1"/>
  <c r="A1100" i="9"/>
  <c r="D1096" i="9"/>
  <c r="A1093" i="9"/>
  <c r="C1089" i="9"/>
  <c r="F1085" i="9"/>
  <c r="C1082" i="9"/>
  <c r="B1075" i="9"/>
  <c r="E1075" i="9" s="1"/>
  <c r="A1068" i="9"/>
  <c r="D1064" i="9"/>
  <c r="A1061" i="9"/>
  <c r="C1057" i="9"/>
  <c r="F1053" i="9"/>
  <c r="C1050" i="9"/>
  <c r="B1043" i="9"/>
  <c r="E1043" i="9" s="1"/>
  <c r="A1036" i="9"/>
  <c r="D1032" i="9"/>
  <c r="A1029" i="9"/>
  <c r="C1025" i="9"/>
  <c r="F1021" i="9"/>
  <c r="C1018" i="9"/>
  <c r="B1011" i="9"/>
  <c r="E1011" i="9" s="1"/>
  <c r="A1004" i="9"/>
  <c r="D1000" i="9"/>
  <c r="A997" i="9"/>
  <c r="C993" i="9"/>
  <c r="F989" i="9"/>
  <c r="C986" i="9"/>
  <c r="B979" i="9"/>
  <c r="E979" i="9" s="1"/>
  <c r="A972" i="9"/>
  <c r="D968" i="9"/>
  <c r="A965" i="9"/>
  <c r="C961" i="9"/>
  <c r="F957" i="9"/>
  <c r="C954" i="9"/>
  <c r="B947" i="9"/>
  <c r="E947" i="9" s="1"/>
  <c r="A940" i="9"/>
  <c r="D936" i="9"/>
  <c r="A933" i="9"/>
  <c r="C929" i="9"/>
  <c r="F925" i="9"/>
  <c r="C922" i="9"/>
  <c r="B915" i="9"/>
  <c r="E915" i="9" s="1"/>
  <c r="A908" i="9"/>
  <c r="D904" i="9"/>
  <c r="A901" i="9"/>
  <c r="C897" i="9"/>
  <c r="F893" i="9"/>
  <c r="C890" i="9"/>
  <c r="B883" i="9"/>
  <c r="E883" i="9" s="1"/>
  <c r="A876" i="9"/>
  <c r="D872" i="9"/>
  <c r="A869" i="9"/>
  <c r="C865" i="9"/>
  <c r="F861" i="9"/>
  <c r="C858" i="9"/>
  <c r="B851" i="9"/>
  <c r="E851" i="9" s="1"/>
  <c r="A844" i="9"/>
  <c r="D840" i="9"/>
  <c r="A837" i="9"/>
  <c r="C833" i="9"/>
  <c r="F829" i="9"/>
  <c r="C826" i="9"/>
  <c r="B819" i="9"/>
  <c r="E819" i="9" s="1"/>
  <c r="A812" i="9"/>
  <c r="D808" i="9"/>
  <c r="A805" i="9"/>
  <c r="C801" i="9"/>
  <c r="F797" i="9"/>
  <c r="C794" i="9"/>
  <c r="B787" i="9"/>
  <c r="E787" i="9" s="1"/>
  <c r="A780" i="9"/>
  <c r="D776" i="9"/>
  <c r="A773" i="9"/>
  <c r="A765" i="9"/>
  <c r="D762" i="9"/>
  <c r="D760" i="9"/>
  <c r="F757" i="9"/>
  <c r="C755" i="9"/>
  <c r="C753" i="9"/>
  <c r="C748" i="9"/>
  <c r="C746" i="9"/>
  <c r="F741" i="9"/>
  <c r="A740" i="9"/>
  <c r="C738" i="9"/>
  <c r="D736" i="9"/>
  <c r="A733" i="9"/>
  <c r="B731" i="9"/>
  <c r="E731" i="9" s="1"/>
  <c r="C729" i="9"/>
  <c r="F725" i="9"/>
  <c r="C724" i="9"/>
  <c r="A723" i="9"/>
  <c r="C720" i="9"/>
  <c r="A719" i="9"/>
  <c r="C716" i="9"/>
  <c r="A715" i="9"/>
  <c r="C712" i="9"/>
  <c r="A711" i="9"/>
  <c r="C708" i="9"/>
  <c r="A707" i="9"/>
  <c r="C704" i="9"/>
  <c r="A703" i="9"/>
  <c r="C700" i="9"/>
  <c r="A699" i="9"/>
  <c r="C696" i="9"/>
  <c r="A695" i="9"/>
  <c r="C692" i="9"/>
  <c r="A691" i="9"/>
  <c r="C688" i="9"/>
  <c r="A687" i="9"/>
  <c r="C684" i="9"/>
  <c r="A683" i="9"/>
  <c r="C680" i="9"/>
  <c r="A679" i="9"/>
  <c r="C676" i="9"/>
  <c r="A675" i="9"/>
  <c r="C672" i="9"/>
  <c r="A671" i="9"/>
  <c r="C668" i="9"/>
  <c r="A667" i="9"/>
  <c r="C664" i="9"/>
  <c r="A663" i="9"/>
  <c r="C660" i="9"/>
  <c r="A659" i="9"/>
  <c r="C656" i="9"/>
  <c r="A655" i="9"/>
  <c r="C652" i="9"/>
  <c r="A651" i="9"/>
  <c r="C648" i="9"/>
  <c r="A647" i="9"/>
  <c r="C644" i="9"/>
  <c r="A643" i="9"/>
  <c r="C640" i="9"/>
  <c r="A639" i="9"/>
  <c r="C636" i="9"/>
  <c r="A635" i="9"/>
  <c r="C632" i="9"/>
  <c r="A631" i="9"/>
  <c r="C628" i="9"/>
  <c r="A627" i="9"/>
  <c r="C624" i="9"/>
  <c r="A623" i="9"/>
  <c r="C620" i="9"/>
  <c r="A619" i="9"/>
  <c r="C616" i="9"/>
  <c r="A615" i="9"/>
  <c r="C612" i="9"/>
  <c r="A611" i="9"/>
  <c r="C608" i="9"/>
  <c r="A607" i="9"/>
  <c r="C604" i="9"/>
  <c r="A603" i="9"/>
  <c r="C600" i="9"/>
  <c r="A599" i="9"/>
  <c r="C596" i="9"/>
  <c r="A595" i="9"/>
  <c r="C592" i="9"/>
  <c r="A591" i="9"/>
  <c r="C588" i="9"/>
  <c r="A587" i="9"/>
  <c r="C584" i="9"/>
  <c r="C583" i="9"/>
  <c r="D582" i="9"/>
  <c r="F579" i="9"/>
  <c r="A579" i="9"/>
  <c r="A578" i="9"/>
  <c r="B577" i="9"/>
  <c r="E577" i="9" s="1"/>
  <c r="C576" i="9"/>
  <c r="C575" i="9"/>
  <c r="D574" i="9"/>
  <c r="F571" i="9"/>
  <c r="A571" i="9"/>
  <c r="A570" i="9"/>
  <c r="B569" i="9"/>
  <c r="E569" i="9" s="1"/>
  <c r="C568" i="9"/>
  <c r="C567" i="9"/>
  <c r="D566" i="9"/>
  <c r="F563" i="9"/>
  <c r="A563" i="9"/>
  <c r="A562" i="9"/>
  <c r="B561" i="9"/>
  <c r="E561" i="9" s="1"/>
  <c r="C560" i="9"/>
  <c r="C559" i="9"/>
  <c r="D558" i="9"/>
  <c r="F555" i="9"/>
  <c r="A555" i="9"/>
  <c r="A554" i="9"/>
  <c r="B553" i="9"/>
  <c r="E553" i="9" s="1"/>
  <c r="C552" i="9"/>
  <c r="C551" i="9"/>
  <c r="D550" i="9"/>
  <c r="F547" i="9"/>
  <c r="A547" i="9"/>
  <c r="A546" i="9"/>
  <c r="B545" i="9"/>
  <c r="E545" i="9" s="1"/>
  <c r="C544" i="9"/>
  <c r="C543" i="9"/>
  <c r="D542" i="9"/>
  <c r="F539" i="9"/>
  <c r="A539" i="9"/>
  <c r="A538" i="9"/>
  <c r="B537" i="9"/>
  <c r="E537" i="9" s="1"/>
  <c r="C536" i="9"/>
  <c r="C535" i="9"/>
  <c r="D534" i="9"/>
  <c r="F531" i="9"/>
  <c r="A531" i="9"/>
  <c r="A530" i="9"/>
  <c r="B529" i="9"/>
  <c r="E529" i="9" s="1"/>
  <c r="C528" i="9"/>
  <c r="C527" i="9"/>
  <c r="D526" i="9"/>
  <c r="F523" i="9"/>
  <c r="A523" i="9"/>
  <c r="A522" i="9"/>
  <c r="B521" i="9"/>
  <c r="E521" i="9" s="1"/>
  <c r="C520" i="9"/>
  <c r="C519" i="9"/>
  <c r="D518" i="9"/>
  <c r="F515" i="9"/>
  <c r="A515" i="9"/>
  <c r="A514" i="9"/>
  <c r="B513" i="9"/>
  <c r="E513" i="9" s="1"/>
  <c r="C512" i="9"/>
  <c r="C511" i="9"/>
  <c r="D510" i="9"/>
  <c r="F507" i="9"/>
  <c r="A507" i="9"/>
  <c r="A506" i="9"/>
  <c r="B505" i="9"/>
  <c r="E505" i="9" s="1"/>
  <c r="C504" i="9"/>
  <c r="C503" i="9"/>
  <c r="D502" i="9"/>
  <c r="F499" i="9"/>
  <c r="A499" i="9"/>
  <c r="C498" i="9"/>
  <c r="A497" i="9"/>
  <c r="C496" i="9"/>
  <c r="A495" i="9"/>
  <c r="C494" i="9"/>
  <c r="A493" i="9"/>
  <c r="C492" i="9"/>
  <c r="A491" i="9"/>
  <c r="C490" i="9"/>
  <c r="A489" i="9"/>
  <c r="C488" i="9"/>
  <c r="A487" i="9"/>
  <c r="C486" i="9"/>
  <c r="A485" i="9"/>
  <c r="C484" i="9"/>
  <c r="A483" i="9"/>
  <c r="C482" i="9"/>
  <c r="A481" i="9"/>
  <c r="C480" i="9"/>
  <c r="A479" i="9"/>
  <c r="C478" i="9"/>
  <c r="A477" i="9"/>
  <c r="C476" i="9"/>
  <c r="A475" i="9"/>
  <c r="C474" i="9"/>
  <c r="A473" i="9"/>
  <c r="C472" i="9"/>
  <c r="A471" i="9"/>
  <c r="C470" i="9"/>
  <c r="A469" i="9"/>
  <c r="C468" i="9"/>
  <c r="A467" i="9"/>
  <c r="C466" i="9"/>
  <c r="A465" i="9"/>
  <c r="C464" i="9"/>
  <c r="A463" i="9"/>
  <c r="C462" i="9"/>
  <c r="A461" i="9"/>
  <c r="C460" i="9"/>
  <c r="A459" i="9"/>
  <c r="C458" i="9"/>
  <c r="A457" i="9"/>
  <c r="C456" i="9"/>
  <c r="A455" i="9"/>
  <c r="C454" i="9"/>
  <c r="A453" i="9"/>
  <c r="C452" i="9"/>
  <c r="A451" i="9"/>
  <c r="C450" i="9"/>
  <c r="A449" i="9"/>
  <c r="C448" i="9"/>
  <c r="A447" i="9"/>
  <c r="C446" i="9"/>
  <c r="A445" i="9"/>
  <c r="C444" i="9"/>
  <c r="A443" i="9"/>
  <c r="C442" i="9"/>
  <c r="A441" i="9"/>
  <c r="C440" i="9"/>
  <c r="A439" i="9"/>
  <c r="C438" i="9"/>
  <c r="A437" i="9"/>
  <c r="C436" i="9"/>
  <c r="A435" i="9"/>
  <c r="C434" i="9"/>
  <c r="A433" i="9"/>
  <c r="C432" i="9"/>
  <c r="A431" i="9"/>
  <c r="C430" i="9"/>
  <c r="A429" i="9"/>
  <c r="C428" i="9"/>
  <c r="A427" i="9"/>
  <c r="C426" i="9"/>
  <c r="A425" i="9"/>
  <c r="C424" i="9"/>
  <c r="A423" i="9"/>
  <c r="C422" i="9"/>
  <c r="A421" i="9"/>
  <c r="C420" i="9"/>
  <c r="A419" i="9"/>
  <c r="C418" i="9"/>
  <c r="A417" i="9"/>
  <c r="C416" i="9"/>
  <c r="A415" i="9"/>
  <c r="C414" i="9"/>
  <c r="A413" i="9"/>
  <c r="C412" i="9"/>
  <c r="A411" i="9"/>
  <c r="C410" i="9"/>
  <c r="A409" i="9"/>
  <c r="C408" i="9"/>
  <c r="A407" i="9"/>
  <c r="C406" i="9"/>
  <c r="A405" i="9"/>
  <c r="C404" i="9"/>
  <c r="A403" i="9"/>
  <c r="C402" i="9"/>
  <c r="A401" i="9"/>
  <c r="C400" i="9"/>
  <c r="A399" i="9"/>
  <c r="C398" i="9"/>
  <c r="A397" i="9"/>
  <c r="C396" i="9"/>
  <c r="A395" i="9"/>
  <c r="C394" i="9"/>
  <c r="A393" i="9"/>
  <c r="C392" i="9"/>
  <c r="A391" i="9"/>
  <c r="C390" i="9"/>
  <c r="A389" i="9"/>
  <c r="C388" i="9"/>
  <c r="A387" i="9"/>
  <c r="C386" i="9"/>
  <c r="A385" i="9"/>
  <c r="C384" i="9"/>
  <c r="A383" i="9"/>
  <c r="C382" i="9"/>
  <c r="A381" i="9"/>
  <c r="C380" i="9"/>
  <c r="A379" i="9"/>
  <c r="C378" i="9"/>
  <c r="A377" i="9"/>
  <c r="C376" i="9"/>
  <c r="A375" i="9"/>
  <c r="C374" i="9"/>
  <c r="A373" i="9"/>
  <c r="C372" i="9"/>
  <c r="A371" i="9"/>
  <c r="C370" i="9"/>
  <c r="A369" i="9"/>
  <c r="C368" i="9"/>
  <c r="A367" i="9"/>
  <c r="C366" i="9"/>
  <c r="A365" i="9"/>
  <c r="C364" i="9"/>
  <c r="A363" i="9"/>
  <c r="C362" i="9"/>
  <c r="A361" i="9"/>
  <c r="C360" i="9"/>
  <c r="A359" i="9"/>
  <c r="C358" i="9"/>
  <c r="A357" i="9"/>
  <c r="C356" i="9"/>
  <c r="A355" i="9"/>
  <c r="C354" i="9"/>
  <c r="A353" i="9"/>
  <c r="C352" i="9"/>
  <c r="A351" i="9"/>
  <c r="C350" i="9"/>
  <c r="A349" i="9"/>
  <c r="C348" i="9"/>
  <c r="A347" i="9"/>
  <c r="C346" i="9"/>
  <c r="A345" i="9"/>
  <c r="C344" i="9"/>
  <c r="A343" i="9"/>
  <c r="C342" i="9"/>
  <c r="A341" i="9"/>
  <c r="C340" i="9"/>
  <c r="A339" i="9"/>
  <c r="C338" i="9"/>
  <c r="A337" i="9"/>
  <c r="C336" i="9"/>
  <c r="A335" i="9"/>
  <c r="C334" i="9"/>
  <c r="A333" i="9"/>
  <c r="C332" i="9"/>
  <c r="A331" i="9"/>
  <c r="C330" i="9"/>
  <c r="A329" i="9"/>
  <c r="C328" i="9"/>
  <c r="A327" i="9"/>
  <c r="C326" i="9"/>
  <c r="A325" i="9"/>
  <c r="C324" i="9"/>
  <c r="A323" i="9"/>
  <c r="C322" i="9"/>
  <c r="A321" i="9"/>
  <c r="C320" i="9"/>
  <c r="A319" i="9"/>
  <c r="C318" i="9"/>
  <c r="A317" i="9"/>
  <c r="C316" i="9"/>
  <c r="A315" i="9"/>
  <c r="C314" i="9"/>
  <c r="A313" i="9"/>
  <c r="C312" i="9"/>
  <c r="A311" i="9"/>
  <c r="C310" i="9"/>
  <c r="A309" i="9"/>
  <c r="C308" i="9"/>
  <c r="A307" i="9"/>
  <c r="C306" i="9"/>
  <c r="A305" i="9"/>
  <c r="C304" i="9"/>
  <c r="A303" i="9"/>
  <c r="C302" i="9"/>
  <c r="A301" i="9"/>
  <c r="C300" i="9"/>
  <c r="A299" i="9"/>
  <c r="C298" i="9"/>
  <c r="A297" i="9"/>
  <c r="C296" i="9"/>
  <c r="A295" i="9"/>
  <c r="C294" i="9"/>
  <c r="A293" i="9"/>
  <c r="C292" i="9"/>
  <c r="A291" i="9"/>
  <c r="C290" i="9"/>
  <c r="A289" i="9"/>
  <c r="C288" i="9"/>
  <c r="A287" i="9"/>
  <c r="C286" i="9"/>
  <c r="A285" i="9"/>
  <c r="C284" i="9"/>
  <c r="A283" i="9"/>
  <c r="C282" i="9"/>
  <c r="A281" i="9"/>
  <c r="C280" i="9"/>
  <c r="C1380" i="9"/>
  <c r="B1361" i="9"/>
  <c r="E1361" i="9" s="1"/>
  <c r="C1344" i="9"/>
  <c r="A1335" i="9"/>
  <c r="C1325" i="9"/>
  <c r="F1315" i="9"/>
  <c r="D1306" i="9"/>
  <c r="A1297" i="9"/>
  <c r="C1289" i="9"/>
  <c r="C1282" i="9"/>
  <c r="B1275" i="9"/>
  <c r="E1275" i="9" s="1"/>
  <c r="A1268" i="9"/>
  <c r="A1261" i="9"/>
  <c r="F1253" i="9"/>
  <c r="D1232" i="9"/>
  <c r="C1225" i="9"/>
  <c r="C1218" i="9"/>
  <c r="B1211" i="9"/>
  <c r="E1211" i="9" s="1"/>
  <c r="A1204" i="9"/>
  <c r="A1197" i="9"/>
  <c r="F1189" i="9"/>
  <c r="D1168" i="9"/>
  <c r="C1161" i="9"/>
  <c r="C1154" i="9"/>
  <c r="B1147" i="9"/>
  <c r="E1147" i="9" s="1"/>
  <c r="A1140" i="9"/>
  <c r="A1133" i="9"/>
  <c r="F1125" i="9"/>
  <c r="C1113" i="9"/>
  <c r="F1109" i="9"/>
  <c r="C1106" i="9"/>
  <c r="B1099" i="9"/>
  <c r="E1099" i="9" s="1"/>
  <c r="A1092" i="9"/>
  <c r="D1088" i="9"/>
  <c r="A1085" i="9"/>
  <c r="C1081" i="9"/>
  <c r="F1077" i="9"/>
  <c r="C1074" i="9"/>
  <c r="B1067" i="9"/>
  <c r="E1067" i="9" s="1"/>
  <c r="A1060" i="9"/>
  <c r="D1056" i="9"/>
  <c r="A1053" i="9"/>
  <c r="C1049" i="9"/>
  <c r="F1045" i="9"/>
  <c r="C1042" i="9"/>
  <c r="B1035" i="9"/>
  <c r="E1035" i="9" s="1"/>
  <c r="A1028" i="9"/>
  <c r="D1024" i="9"/>
  <c r="A1021" i="9"/>
  <c r="C1017" i="9"/>
  <c r="F1013" i="9"/>
  <c r="C1010" i="9"/>
  <c r="B1003" i="9"/>
  <c r="E1003" i="9" s="1"/>
  <c r="A996" i="9"/>
  <c r="D992" i="9"/>
  <c r="A989" i="9"/>
  <c r="C985" i="9"/>
  <c r="F981" i="9"/>
  <c r="C978" i="9"/>
  <c r="B971" i="9"/>
  <c r="E971" i="9" s="1"/>
  <c r="A964" i="9"/>
  <c r="D960" i="9"/>
  <c r="A957" i="9"/>
  <c r="C953" i="9"/>
  <c r="F949" i="9"/>
  <c r="C946" i="9"/>
  <c r="B939" i="9"/>
  <c r="E939" i="9" s="1"/>
  <c r="A932" i="9"/>
  <c r="D928" i="9"/>
  <c r="A925" i="9"/>
  <c r="C921" i="9"/>
  <c r="F917" i="9"/>
  <c r="C914" i="9"/>
  <c r="B907" i="9"/>
  <c r="E907" i="9" s="1"/>
  <c r="A900" i="9"/>
  <c r="D896" i="9"/>
  <c r="A893" i="9"/>
  <c r="C889" i="9"/>
  <c r="F885" i="9"/>
  <c r="C882" i="9"/>
  <c r="B875" i="9"/>
  <c r="E875" i="9" s="1"/>
  <c r="A868" i="9"/>
  <c r="D864" i="9"/>
  <c r="A861" i="9"/>
  <c r="C857" i="9"/>
  <c r="F853" i="9"/>
  <c r="C850" i="9"/>
  <c r="B843" i="9"/>
  <c r="E843" i="9" s="1"/>
  <c r="A836" i="9"/>
  <c r="D832" i="9"/>
  <c r="A829" i="9"/>
  <c r="C825" i="9"/>
  <c r="F821" i="9"/>
  <c r="C818" i="9"/>
  <c r="B811" i="9"/>
  <c r="E811" i="9" s="1"/>
  <c r="A804" i="9"/>
  <c r="D800" i="9"/>
  <c r="A797" i="9"/>
  <c r="C793" i="9"/>
  <c r="F789" i="9"/>
  <c r="C786" i="9"/>
  <c r="B779" i="9"/>
  <c r="E779" i="9" s="1"/>
  <c r="A772" i="9"/>
  <c r="C769" i="9"/>
  <c r="C764" i="9"/>
  <c r="C762" i="9"/>
  <c r="B757" i="9"/>
  <c r="E757" i="9" s="1"/>
  <c r="B755" i="9"/>
  <c r="E755" i="9" s="1"/>
  <c r="D752" i="9"/>
  <c r="A750" i="9"/>
  <c r="A748" i="9"/>
  <c r="C745" i="9"/>
  <c r="A743" i="9"/>
  <c r="B741" i="9"/>
  <c r="E741" i="9" s="1"/>
  <c r="C739" i="9"/>
  <c r="F735" i="9"/>
  <c r="A734" i="9"/>
  <c r="C732" i="9"/>
  <c r="D730" i="9"/>
  <c r="A727" i="9"/>
  <c r="B725" i="9"/>
  <c r="E725" i="9" s="1"/>
  <c r="F723" i="9"/>
  <c r="D722" i="9"/>
  <c r="B721" i="9"/>
  <c r="E721" i="9" s="1"/>
  <c r="F719" i="9"/>
  <c r="D718" i="9"/>
  <c r="B717" i="9"/>
  <c r="E717" i="9" s="1"/>
  <c r="F715" i="9"/>
  <c r="D714" i="9"/>
  <c r="B713" i="9"/>
  <c r="E713" i="9" s="1"/>
  <c r="F711" i="9"/>
  <c r="D710" i="9"/>
  <c r="B709" i="9"/>
  <c r="E709" i="9" s="1"/>
  <c r="F707" i="9"/>
  <c r="D706" i="9"/>
  <c r="B705" i="9"/>
  <c r="E705" i="9" s="1"/>
  <c r="F703" i="9"/>
  <c r="D702" i="9"/>
  <c r="B701" i="9"/>
  <c r="E701" i="9" s="1"/>
  <c r="F699" i="9"/>
  <c r="D698" i="9"/>
  <c r="B697" i="9"/>
  <c r="E697" i="9" s="1"/>
  <c r="F695" i="9"/>
  <c r="D694" i="9"/>
  <c r="B693" i="9"/>
  <c r="E693" i="9" s="1"/>
  <c r="F691" i="9"/>
  <c r="D690" i="9"/>
  <c r="B689" i="9"/>
  <c r="E689" i="9" s="1"/>
  <c r="F687" i="9"/>
  <c r="D686" i="9"/>
  <c r="B685" i="9"/>
  <c r="E685" i="9" s="1"/>
  <c r="F683" i="9"/>
  <c r="D682" i="9"/>
  <c r="B681" i="9"/>
  <c r="E681" i="9" s="1"/>
  <c r="F679" i="9"/>
  <c r="D678" i="9"/>
  <c r="B677" i="9"/>
  <c r="E677" i="9" s="1"/>
  <c r="F675" i="9"/>
  <c r="D674" i="9"/>
  <c r="B673" i="9"/>
  <c r="E673" i="9" s="1"/>
  <c r="F671" i="9"/>
  <c r="D670" i="9"/>
  <c r="B669" i="9"/>
  <c r="E669" i="9" s="1"/>
  <c r="F667" i="9"/>
  <c r="D666" i="9"/>
  <c r="B665" i="9"/>
  <c r="E665" i="9" s="1"/>
  <c r="F663" i="9"/>
  <c r="D662" i="9"/>
  <c r="B661" i="9"/>
  <c r="E661" i="9" s="1"/>
  <c r="F659" i="9"/>
  <c r="D658" i="9"/>
  <c r="B657" i="9"/>
  <c r="E657" i="9" s="1"/>
  <c r="F655" i="9"/>
  <c r="D654" i="9"/>
  <c r="B653" i="9"/>
  <c r="E653" i="9" s="1"/>
  <c r="F651" i="9"/>
  <c r="D650" i="9"/>
  <c r="B649" i="9"/>
  <c r="E649" i="9" s="1"/>
  <c r="F647" i="9"/>
  <c r="D646" i="9"/>
  <c r="B645" i="9"/>
  <c r="E645" i="9" s="1"/>
  <c r="F643" i="9"/>
  <c r="D642" i="9"/>
  <c r="B641" i="9"/>
  <c r="E641" i="9" s="1"/>
  <c r="F639" i="9"/>
  <c r="D638" i="9"/>
  <c r="B637" i="9"/>
  <c r="E637" i="9" s="1"/>
  <c r="F635" i="9"/>
  <c r="D634" i="9"/>
  <c r="B633" i="9"/>
  <c r="E633" i="9" s="1"/>
  <c r="F631" i="9"/>
  <c r="D630" i="9"/>
  <c r="B629" i="9"/>
  <c r="E629" i="9" s="1"/>
  <c r="F627" i="9"/>
  <c r="D626" i="9"/>
  <c r="B625" i="9"/>
  <c r="E625" i="9" s="1"/>
  <c r="F623" i="9"/>
  <c r="D622" i="9"/>
  <c r="B621" i="9"/>
  <c r="E621" i="9" s="1"/>
  <c r="F619" i="9"/>
  <c r="D618" i="9"/>
  <c r="B617" i="9"/>
  <c r="E617" i="9" s="1"/>
  <c r="F615" i="9"/>
  <c r="D614" i="9"/>
  <c r="B613" i="9"/>
  <c r="E613" i="9" s="1"/>
  <c r="F611" i="9"/>
  <c r="D610" i="9"/>
  <c r="B609" i="9"/>
  <c r="E609" i="9" s="1"/>
  <c r="F607" i="9"/>
  <c r="D606" i="9"/>
  <c r="B605" i="9"/>
  <c r="E605" i="9" s="1"/>
  <c r="F603" i="9"/>
  <c r="D602" i="9"/>
  <c r="B601" i="9"/>
  <c r="E601" i="9" s="1"/>
  <c r="F599" i="9"/>
  <c r="D598" i="9"/>
  <c r="B597" i="9"/>
  <c r="E597" i="9" s="1"/>
  <c r="F595" i="9"/>
  <c r="D594" i="9"/>
  <c r="B593" i="9"/>
  <c r="E593" i="9" s="1"/>
  <c r="F591" i="9"/>
  <c r="D590" i="9"/>
  <c r="B589" i="9"/>
  <c r="E589" i="9" s="1"/>
  <c r="F587" i="9"/>
  <c r="D586" i="9"/>
  <c r="B585" i="9"/>
  <c r="E585" i="9" s="1"/>
  <c r="A584" i="9"/>
  <c r="B583" i="9"/>
  <c r="E583" i="9" s="1"/>
  <c r="C582" i="9"/>
  <c r="C581" i="9"/>
  <c r="D580" i="9"/>
  <c r="F577" i="9"/>
  <c r="A577" i="9"/>
  <c r="A576" i="9"/>
  <c r="B575" i="9"/>
  <c r="E575" i="9" s="1"/>
  <c r="C574" i="9"/>
  <c r="C573" i="9"/>
  <c r="D572" i="9"/>
  <c r="F569" i="9"/>
  <c r="A569" i="9"/>
  <c r="A568" i="9"/>
  <c r="B567" i="9"/>
  <c r="E567" i="9" s="1"/>
  <c r="C566" i="9"/>
  <c r="C565" i="9"/>
  <c r="D564" i="9"/>
  <c r="F561" i="9"/>
  <c r="A561" i="9"/>
  <c r="A560" i="9"/>
  <c r="B559" i="9"/>
  <c r="E559" i="9" s="1"/>
  <c r="C558" i="9"/>
  <c r="C557" i="9"/>
  <c r="D556" i="9"/>
  <c r="F553" i="9"/>
  <c r="A553" i="9"/>
  <c r="A552" i="9"/>
  <c r="B551" i="9"/>
  <c r="E551" i="9" s="1"/>
  <c r="C550" i="9"/>
  <c r="C549" i="9"/>
  <c r="D548" i="9"/>
  <c r="F545" i="9"/>
  <c r="A545" i="9"/>
  <c r="A544" i="9"/>
  <c r="B543" i="9"/>
  <c r="E543" i="9" s="1"/>
  <c r="C542" i="9"/>
  <c r="C541" i="9"/>
  <c r="D540" i="9"/>
  <c r="F537" i="9"/>
  <c r="A537" i="9"/>
  <c r="A536" i="9"/>
  <c r="B535" i="9"/>
  <c r="E535" i="9" s="1"/>
  <c r="C534" i="9"/>
  <c r="C533" i="9"/>
  <c r="D532" i="9"/>
  <c r="F529" i="9"/>
  <c r="A529" i="9"/>
  <c r="A528" i="9"/>
  <c r="B527" i="9"/>
  <c r="E527" i="9" s="1"/>
  <c r="C526" i="9"/>
  <c r="C525" i="9"/>
  <c r="D524" i="9"/>
  <c r="F521" i="9"/>
  <c r="A521" i="9"/>
  <c r="A520" i="9"/>
  <c r="B519" i="9"/>
  <c r="E519" i="9" s="1"/>
  <c r="C518" i="9"/>
  <c r="C517" i="9"/>
  <c r="D516" i="9"/>
  <c r="F513" i="9"/>
  <c r="A513" i="9"/>
  <c r="A512" i="9"/>
  <c r="B511" i="9"/>
  <c r="E511" i="9" s="1"/>
  <c r="C510" i="9"/>
  <c r="C509" i="9"/>
  <c r="D508" i="9"/>
  <c r="F505" i="9"/>
  <c r="A505" i="9"/>
  <c r="A504" i="9"/>
  <c r="B503" i="9"/>
  <c r="E503" i="9" s="1"/>
  <c r="C502" i="9"/>
  <c r="C501" i="9"/>
  <c r="D500" i="9"/>
  <c r="F498" i="9"/>
  <c r="B498" i="9"/>
  <c r="E498" i="9" s="1"/>
  <c r="D497" i="9"/>
  <c r="F496" i="9"/>
  <c r="B496" i="9"/>
  <c r="E496" i="9" s="1"/>
  <c r="D495" i="9"/>
  <c r="F494" i="9"/>
  <c r="B494" i="9"/>
  <c r="E494" i="9" s="1"/>
  <c r="D493" i="9"/>
  <c r="F492" i="9"/>
  <c r="B492" i="9"/>
  <c r="E492" i="9" s="1"/>
  <c r="D491" i="9"/>
  <c r="F490" i="9"/>
  <c r="B490" i="9"/>
  <c r="E490" i="9" s="1"/>
  <c r="D489" i="9"/>
  <c r="F488" i="9"/>
  <c r="B488" i="9"/>
  <c r="E488" i="9" s="1"/>
  <c r="D487" i="9"/>
  <c r="F486" i="9"/>
  <c r="B486" i="9"/>
  <c r="E486" i="9" s="1"/>
  <c r="D485" i="9"/>
  <c r="F484" i="9"/>
  <c r="B484" i="9"/>
  <c r="E484" i="9" s="1"/>
  <c r="D483" i="9"/>
  <c r="F482" i="9"/>
  <c r="B482" i="9"/>
  <c r="E482" i="9" s="1"/>
  <c r="D481" i="9"/>
  <c r="F480" i="9"/>
  <c r="B480" i="9"/>
  <c r="E480" i="9" s="1"/>
  <c r="D479" i="9"/>
  <c r="F478" i="9"/>
  <c r="B478" i="9"/>
  <c r="E478" i="9" s="1"/>
  <c r="D477" i="9"/>
  <c r="F476" i="9"/>
  <c r="B476" i="9"/>
  <c r="E476" i="9" s="1"/>
  <c r="D475" i="9"/>
  <c r="F474" i="9"/>
  <c r="B474" i="9"/>
  <c r="E474" i="9" s="1"/>
  <c r="D473" i="9"/>
  <c r="F472" i="9"/>
  <c r="B472" i="9"/>
  <c r="E472" i="9" s="1"/>
  <c r="D471" i="9"/>
  <c r="F470" i="9"/>
  <c r="B470" i="9"/>
  <c r="E470" i="9" s="1"/>
  <c r="D469" i="9"/>
  <c r="F468" i="9"/>
  <c r="B468" i="9"/>
  <c r="E468" i="9" s="1"/>
  <c r="D467" i="9"/>
  <c r="F466" i="9"/>
  <c r="B466" i="9"/>
  <c r="E466" i="9" s="1"/>
  <c r="D465" i="9"/>
  <c r="F464" i="9"/>
  <c r="B464" i="9"/>
  <c r="E464" i="9" s="1"/>
  <c r="D463" i="9"/>
  <c r="F462" i="9"/>
  <c r="B462" i="9"/>
  <c r="E462" i="9" s="1"/>
  <c r="D461" i="9"/>
  <c r="F460" i="9"/>
  <c r="B460" i="9"/>
  <c r="E460" i="9" s="1"/>
  <c r="D459" i="9"/>
  <c r="F458" i="9"/>
  <c r="B458" i="9"/>
  <c r="E458" i="9" s="1"/>
  <c r="D457" i="9"/>
  <c r="F456" i="9"/>
  <c r="B456" i="9"/>
  <c r="E456" i="9" s="1"/>
  <c r="D455" i="9"/>
  <c r="F454" i="9"/>
  <c r="B454" i="9"/>
  <c r="E454" i="9" s="1"/>
  <c r="D453" i="9"/>
  <c r="F452" i="9"/>
  <c r="B452" i="9"/>
  <c r="E452" i="9" s="1"/>
  <c r="D451" i="9"/>
  <c r="F450" i="9"/>
  <c r="B450" i="9"/>
  <c r="E450" i="9" s="1"/>
  <c r="D449" i="9"/>
  <c r="F448" i="9"/>
  <c r="B448" i="9"/>
  <c r="E448" i="9" s="1"/>
  <c r="D447" i="9"/>
  <c r="F446" i="9"/>
  <c r="B446" i="9"/>
  <c r="E446" i="9" s="1"/>
  <c r="D445" i="9"/>
  <c r="F444" i="9"/>
  <c r="B444" i="9"/>
  <c r="E444" i="9" s="1"/>
  <c r="D443" i="9"/>
  <c r="F442" i="9"/>
  <c r="B442" i="9"/>
  <c r="E442" i="9" s="1"/>
  <c r="D441" i="9"/>
  <c r="F440" i="9"/>
  <c r="B440" i="9"/>
  <c r="E440" i="9" s="1"/>
  <c r="D439" i="9"/>
  <c r="F438" i="9"/>
  <c r="B438" i="9"/>
  <c r="E438" i="9" s="1"/>
  <c r="D437" i="9"/>
  <c r="F436" i="9"/>
  <c r="B436" i="9"/>
  <c r="E436" i="9" s="1"/>
  <c r="D435" i="9"/>
  <c r="F434" i="9"/>
  <c r="B434" i="9"/>
  <c r="E434" i="9" s="1"/>
  <c r="D433" i="9"/>
  <c r="F432" i="9"/>
  <c r="B432" i="9"/>
  <c r="E432" i="9" s="1"/>
  <c r="D431" i="9"/>
  <c r="F430" i="9"/>
  <c r="B430" i="9"/>
  <c r="E430" i="9" s="1"/>
  <c r="D429" i="9"/>
  <c r="F428" i="9"/>
  <c r="B428" i="9"/>
  <c r="E428" i="9" s="1"/>
  <c r="D427" i="9"/>
  <c r="F426" i="9"/>
  <c r="B426" i="9"/>
  <c r="E426" i="9" s="1"/>
  <c r="D425" i="9"/>
  <c r="F424" i="9"/>
  <c r="B424" i="9"/>
  <c r="E424" i="9" s="1"/>
  <c r="D423" i="9"/>
  <c r="F422" i="9"/>
  <c r="B422" i="9"/>
  <c r="E422" i="9" s="1"/>
  <c r="D421" i="9"/>
  <c r="F420" i="9"/>
  <c r="B420" i="9"/>
  <c r="E420" i="9" s="1"/>
  <c r="D419" i="9"/>
  <c r="F418" i="9"/>
  <c r="B418" i="9"/>
  <c r="E418" i="9" s="1"/>
  <c r="D417" i="9"/>
  <c r="F416" i="9"/>
  <c r="B416" i="9"/>
  <c r="E416" i="9" s="1"/>
  <c r="D415" i="9"/>
  <c r="F414" i="9"/>
  <c r="B414" i="9"/>
  <c r="E414" i="9" s="1"/>
  <c r="D413" i="9"/>
  <c r="F412" i="9"/>
  <c r="B412" i="9"/>
  <c r="E412" i="9" s="1"/>
  <c r="D411" i="9"/>
  <c r="F410" i="9"/>
  <c r="B410" i="9"/>
  <c r="E410" i="9" s="1"/>
  <c r="D409" i="9"/>
  <c r="F408" i="9"/>
  <c r="B408" i="9"/>
  <c r="E408" i="9" s="1"/>
  <c r="D407" i="9"/>
  <c r="F406" i="9"/>
  <c r="B406" i="9"/>
  <c r="E406" i="9" s="1"/>
  <c r="D405" i="9"/>
  <c r="F404" i="9"/>
  <c r="B404" i="9"/>
  <c r="E404" i="9" s="1"/>
  <c r="D403" i="9"/>
  <c r="F402" i="9"/>
  <c r="B402" i="9"/>
  <c r="E402" i="9" s="1"/>
  <c r="D401" i="9"/>
  <c r="F400" i="9"/>
  <c r="B400" i="9"/>
  <c r="E400" i="9" s="1"/>
  <c r="D399" i="9"/>
  <c r="F398" i="9"/>
  <c r="B398" i="9"/>
  <c r="E398" i="9" s="1"/>
  <c r="D397" i="9"/>
  <c r="F396" i="9"/>
  <c r="B396" i="9"/>
  <c r="E396" i="9" s="1"/>
  <c r="D395" i="9"/>
  <c r="F394" i="9"/>
  <c r="B394" i="9"/>
  <c r="E394" i="9" s="1"/>
  <c r="D393" i="9"/>
  <c r="F392" i="9"/>
  <c r="B392" i="9"/>
  <c r="E392" i="9" s="1"/>
  <c r="D391" i="9"/>
  <c r="F390" i="9"/>
  <c r="B390" i="9"/>
  <c r="E390" i="9" s="1"/>
  <c r="D389" i="9"/>
  <c r="F388" i="9"/>
  <c r="B388" i="9"/>
  <c r="E388" i="9" s="1"/>
  <c r="D387" i="9"/>
  <c r="F386" i="9"/>
  <c r="B386" i="9"/>
  <c r="E386" i="9" s="1"/>
  <c r="D385" i="9"/>
  <c r="F384" i="9"/>
  <c r="B384" i="9"/>
  <c r="E384" i="9" s="1"/>
  <c r="D383" i="9"/>
  <c r="F382" i="9"/>
  <c r="B382" i="9"/>
  <c r="E382" i="9" s="1"/>
  <c r="D381" i="9"/>
  <c r="F380" i="9"/>
  <c r="B380" i="9"/>
  <c r="E380" i="9" s="1"/>
  <c r="D379" i="9"/>
  <c r="F378" i="9"/>
  <c r="B378" i="9"/>
  <c r="E378" i="9" s="1"/>
  <c r="D377" i="9"/>
  <c r="F376" i="9"/>
  <c r="B376" i="9"/>
  <c r="E376" i="9" s="1"/>
  <c r="D375" i="9"/>
  <c r="F374" i="9"/>
  <c r="B374" i="9"/>
  <c r="E374" i="9" s="1"/>
  <c r="D373" i="9"/>
  <c r="F372" i="9"/>
  <c r="B372" i="9"/>
  <c r="E372" i="9" s="1"/>
  <c r="D371" i="9"/>
  <c r="F370" i="9"/>
  <c r="B370" i="9"/>
  <c r="E370" i="9" s="1"/>
  <c r="D369" i="9"/>
  <c r="F368" i="9"/>
  <c r="B368" i="9"/>
  <c r="E368" i="9" s="1"/>
  <c r="D367" i="9"/>
  <c r="F366" i="9"/>
  <c r="B366" i="9"/>
  <c r="E366" i="9" s="1"/>
  <c r="D365" i="9"/>
  <c r="F364" i="9"/>
  <c r="B364" i="9"/>
  <c r="E364" i="9" s="1"/>
  <c r="D363" i="9"/>
  <c r="F362" i="9"/>
  <c r="B362" i="9"/>
  <c r="E362" i="9" s="1"/>
  <c r="D361" i="9"/>
  <c r="F360" i="9"/>
  <c r="B360" i="9"/>
  <c r="E360" i="9" s="1"/>
  <c r="D359" i="9"/>
  <c r="F358" i="9"/>
  <c r="B358" i="9"/>
  <c r="E358" i="9" s="1"/>
  <c r="D357" i="9"/>
  <c r="F356" i="9"/>
  <c r="B356" i="9"/>
  <c r="E356" i="9" s="1"/>
  <c r="D355" i="9"/>
  <c r="F354" i="9"/>
  <c r="B354" i="9"/>
  <c r="E354" i="9" s="1"/>
  <c r="D353" i="9"/>
  <c r="F352" i="9"/>
  <c r="B352" i="9"/>
  <c r="E352" i="9" s="1"/>
  <c r="D351" i="9"/>
  <c r="F350" i="9"/>
  <c r="B350" i="9"/>
  <c r="E350" i="9" s="1"/>
  <c r="D349" i="9"/>
  <c r="F348" i="9"/>
  <c r="B348" i="9"/>
  <c r="E348" i="9" s="1"/>
  <c r="D347" i="9"/>
  <c r="F346" i="9"/>
  <c r="B346" i="9"/>
  <c r="E346" i="9" s="1"/>
  <c r="D345" i="9"/>
  <c r="F344" i="9"/>
  <c r="B344" i="9"/>
  <c r="E344" i="9" s="1"/>
  <c r="D343" i="9"/>
  <c r="F342" i="9"/>
  <c r="B342" i="9"/>
  <c r="E342" i="9" s="1"/>
  <c r="D341" i="9"/>
  <c r="F340" i="9"/>
  <c r="B340" i="9"/>
  <c r="E340" i="9" s="1"/>
  <c r="D339" i="9"/>
  <c r="F338" i="9"/>
  <c r="B338" i="9"/>
  <c r="E338" i="9" s="1"/>
  <c r="B336" i="9"/>
  <c r="E336" i="9" s="1"/>
  <c r="F334" i="9"/>
  <c r="D333" i="9"/>
  <c r="B332" i="9"/>
  <c r="E332" i="9" s="1"/>
  <c r="F330" i="9"/>
  <c r="D329" i="9"/>
  <c r="B328" i="9"/>
  <c r="E328" i="9" s="1"/>
  <c r="F326" i="9"/>
  <c r="D325" i="9"/>
  <c r="B324" i="9"/>
  <c r="E324" i="9" s="1"/>
  <c r="F322" i="9"/>
  <c r="D321" i="9"/>
  <c r="B320" i="9"/>
  <c r="E320" i="9" s="1"/>
  <c r="F318" i="9"/>
  <c r="D317" i="9"/>
  <c r="B316" i="9"/>
  <c r="E316" i="9" s="1"/>
  <c r="F314" i="9"/>
  <c r="D313" i="9"/>
  <c r="B312" i="9"/>
  <c r="E312" i="9" s="1"/>
  <c r="F310" i="9"/>
  <c r="D309" i="9"/>
  <c r="B308" i="9"/>
  <c r="E308" i="9" s="1"/>
  <c r="F306" i="9"/>
  <c r="D305" i="9"/>
  <c r="B304" i="9"/>
  <c r="E304" i="9" s="1"/>
  <c r="F302" i="9"/>
  <c r="D301" i="9"/>
  <c r="B300" i="9"/>
  <c r="E300" i="9" s="1"/>
  <c r="F298" i="9"/>
  <c r="D297" i="9"/>
  <c r="B296" i="9"/>
  <c r="E296" i="9" s="1"/>
  <c r="F294" i="9"/>
  <c r="D293" i="9"/>
  <c r="B292" i="9"/>
  <c r="E292" i="9" s="1"/>
  <c r="F290" i="9"/>
  <c r="D289" i="9"/>
  <c r="B288" i="9"/>
  <c r="E288" i="9" s="1"/>
  <c r="F286" i="9"/>
  <c r="D285" i="9"/>
  <c r="B284" i="9"/>
  <c r="E284" i="9" s="1"/>
  <c r="F282" i="9"/>
  <c r="D281" i="9"/>
  <c r="B280" i="9"/>
  <c r="E280" i="9" s="1"/>
  <c r="D279" i="9"/>
  <c r="F278" i="9"/>
  <c r="B278" i="9"/>
  <c r="E278" i="9" s="1"/>
  <c r="D277" i="9"/>
  <c r="F276" i="9"/>
  <c r="B276" i="9"/>
  <c r="E276" i="9" s="1"/>
  <c r="D275" i="9"/>
  <c r="F274" i="9"/>
  <c r="B274" i="9"/>
  <c r="E274" i="9" s="1"/>
  <c r="D273" i="9"/>
  <c r="F272" i="9"/>
  <c r="B272" i="9"/>
  <c r="E272" i="9" s="1"/>
  <c r="D271" i="9"/>
  <c r="F270" i="9"/>
  <c r="B270" i="9"/>
  <c r="E270" i="9" s="1"/>
  <c r="D269" i="9"/>
  <c r="F268" i="9"/>
  <c r="B268" i="9"/>
  <c r="E268" i="9" s="1"/>
  <c r="D267" i="9"/>
  <c r="F266" i="9"/>
  <c r="B266" i="9"/>
  <c r="E266" i="9" s="1"/>
  <c r="D265" i="9"/>
  <c r="F264" i="9"/>
  <c r="B264" i="9"/>
  <c r="E264" i="9" s="1"/>
  <c r="D263" i="9"/>
  <c r="F262" i="9"/>
  <c r="B262" i="9"/>
  <c r="E262" i="9" s="1"/>
  <c r="D261" i="9"/>
  <c r="F260" i="9"/>
  <c r="B260" i="9"/>
  <c r="E260" i="9" s="1"/>
  <c r="D259" i="9"/>
  <c r="F258" i="9"/>
  <c r="B258" i="9"/>
  <c r="E258" i="9" s="1"/>
  <c r="D257" i="9"/>
  <c r="F256" i="9"/>
  <c r="B256" i="9"/>
  <c r="E256" i="9" s="1"/>
  <c r="D255" i="9"/>
  <c r="F254" i="9"/>
  <c r="B254" i="9"/>
  <c r="E254" i="9" s="1"/>
  <c r="D253" i="9"/>
  <c r="F252" i="9"/>
  <c r="B252" i="9"/>
  <c r="E252" i="9" s="1"/>
  <c r="D251" i="9"/>
  <c r="F250" i="9"/>
  <c r="B250" i="9"/>
  <c r="E250" i="9" s="1"/>
  <c r="D249" i="9"/>
  <c r="F248" i="9"/>
  <c r="B248" i="9"/>
  <c r="E248" i="9" s="1"/>
  <c r="D247" i="9"/>
  <c r="F246" i="9"/>
  <c r="B246" i="9"/>
  <c r="E246" i="9" s="1"/>
  <c r="D245" i="9"/>
  <c r="F244" i="9"/>
  <c r="B244" i="9"/>
  <c r="E244" i="9" s="1"/>
  <c r="D243" i="9"/>
  <c r="F242" i="9"/>
  <c r="B242" i="9"/>
  <c r="E242" i="9" s="1"/>
  <c r="D241" i="9"/>
  <c r="F240" i="9"/>
  <c r="B240" i="9"/>
  <c r="E240" i="9" s="1"/>
  <c r="D239" i="9"/>
  <c r="F238" i="9"/>
  <c r="B238" i="9"/>
  <c r="E238" i="9" s="1"/>
  <c r="D237" i="9"/>
  <c r="F236" i="9"/>
  <c r="B236" i="9"/>
  <c r="E236" i="9" s="1"/>
  <c r="D235" i="9"/>
  <c r="F234" i="9"/>
  <c r="B234" i="9"/>
  <c r="E234" i="9" s="1"/>
  <c r="D233" i="9"/>
  <c r="F232" i="9"/>
  <c r="B232" i="9"/>
  <c r="E232" i="9" s="1"/>
  <c r="D231" i="9"/>
  <c r="F230" i="9"/>
  <c r="B230" i="9"/>
  <c r="E230" i="9" s="1"/>
  <c r="D229" i="9"/>
  <c r="F228" i="9"/>
  <c r="B228" i="9"/>
  <c r="E228" i="9" s="1"/>
  <c r="D227" i="9"/>
  <c r="F226" i="9"/>
  <c r="B226" i="9"/>
  <c r="E226" i="9" s="1"/>
  <c r="D225" i="9"/>
  <c r="F224" i="9"/>
  <c r="B224" i="9"/>
  <c r="E224" i="9" s="1"/>
  <c r="D223" i="9"/>
  <c r="F222" i="9"/>
  <c r="B222" i="9"/>
  <c r="E222" i="9" s="1"/>
  <c r="D221" i="9"/>
  <c r="F220" i="9"/>
  <c r="B220" i="9"/>
  <c r="E220" i="9" s="1"/>
  <c r="D219" i="9"/>
  <c r="F218" i="9"/>
  <c r="B218" i="9"/>
  <c r="E218" i="9" s="1"/>
  <c r="D217" i="9"/>
  <c r="F216" i="9"/>
  <c r="B216" i="9"/>
  <c r="E216" i="9" s="1"/>
  <c r="D215" i="9"/>
  <c r="F214" i="9"/>
  <c r="B214" i="9"/>
  <c r="E214" i="9" s="1"/>
  <c r="D213" i="9"/>
  <c r="F212" i="9"/>
  <c r="B212" i="9"/>
  <c r="E212" i="9" s="1"/>
  <c r="D211" i="9"/>
  <c r="F210" i="9"/>
  <c r="B210" i="9"/>
  <c r="E210" i="9" s="1"/>
  <c r="D209" i="9"/>
  <c r="F208" i="9"/>
  <c r="B208" i="9"/>
  <c r="E208" i="9" s="1"/>
  <c r="D207" i="9"/>
  <c r="F206" i="9"/>
  <c r="B206" i="9"/>
  <c r="E206" i="9" s="1"/>
  <c r="D205" i="9"/>
  <c r="F204" i="9"/>
  <c r="B204" i="9"/>
  <c r="E204" i="9" s="1"/>
  <c r="D203" i="9"/>
  <c r="F202" i="9"/>
  <c r="B202" i="9"/>
  <c r="E202" i="9" s="1"/>
  <c r="D201" i="9"/>
  <c r="F200" i="9"/>
  <c r="B200" i="9"/>
  <c r="E200" i="9" s="1"/>
  <c r="D199" i="9"/>
  <c r="F198" i="9"/>
  <c r="B198" i="9"/>
  <c r="E198" i="9" s="1"/>
  <c r="D197" i="9"/>
  <c r="F196" i="9"/>
  <c r="B196" i="9"/>
  <c r="E196" i="9" s="1"/>
  <c r="D195" i="9"/>
  <c r="F194" i="9"/>
  <c r="B194" i="9"/>
  <c r="E194" i="9" s="1"/>
  <c r="D193" i="9"/>
  <c r="F192" i="9"/>
  <c r="B192" i="9"/>
  <c r="E192" i="9" s="1"/>
  <c r="D191" i="9"/>
  <c r="F190" i="9"/>
  <c r="B190" i="9"/>
  <c r="E190" i="9" s="1"/>
  <c r="D189" i="9"/>
  <c r="F188" i="9"/>
  <c r="B188" i="9"/>
  <c r="E188" i="9" s="1"/>
  <c r="D187" i="9"/>
  <c r="F186" i="9"/>
  <c r="B186" i="9"/>
  <c r="E186" i="9" s="1"/>
  <c r="D185" i="9"/>
  <c r="F184" i="9"/>
  <c r="B184" i="9"/>
  <c r="E184" i="9" s="1"/>
  <c r="D183" i="9"/>
  <c r="F182" i="9"/>
  <c r="B182" i="9"/>
  <c r="E182" i="9" s="1"/>
  <c r="D181" i="9"/>
  <c r="F180" i="9"/>
  <c r="B180" i="9"/>
  <c r="E180" i="9" s="1"/>
  <c r="D179" i="9"/>
  <c r="F178" i="9"/>
  <c r="B178" i="9"/>
  <c r="E178" i="9" s="1"/>
  <c r="D177" i="9"/>
  <c r="F176" i="9"/>
  <c r="B176" i="9"/>
  <c r="E176" i="9" s="1"/>
  <c r="D175" i="9"/>
  <c r="F174" i="9"/>
  <c r="B174" i="9"/>
  <c r="E174" i="9" s="1"/>
  <c r="D173" i="9"/>
  <c r="F172" i="9"/>
  <c r="B172" i="9"/>
  <c r="E172" i="9" s="1"/>
  <c r="D171" i="9"/>
  <c r="F170" i="9"/>
  <c r="B170" i="9"/>
  <c r="E170" i="9" s="1"/>
  <c r="D169" i="9"/>
  <c r="F168" i="9"/>
  <c r="B168" i="9"/>
  <c r="E168" i="9" s="1"/>
  <c r="D167" i="9"/>
  <c r="F166" i="9"/>
  <c r="B166" i="9"/>
  <c r="E166" i="9" s="1"/>
  <c r="D165" i="9"/>
  <c r="F164" i="9"/>
  <c r="B164" i="9"/>
  <c r="E164" i="9" s="1"/>
  <c r="D163" i="9"/>
  <c r="F162" i="9"/>
  <c r="B162" i="9"/>
  <c r="E162" i="9" s="1"/>
  <c r="D161" i="9"/>
  <c r="F160" i="9"/>
  <c r="B160" i="9"/>
  <c r="E160" i="9" s="1"/>
  <c r="D159" i="9"/>
  <c r="F158" i="9"/>
  <c r="B158" i="9"/>
  <c r="E158" i="9" s="1"/>
  <c r="D157" i="9"/>
  <c r="F156" i="9"/>
  <c r="B156" i="9"/>
  <c r="E156" i="9" s="1"/>
  <c r="D155" i="9"/>
  <c r="F154" i="9"/>
  <c r="B154" i="9"/>
  <c r="E154" i="9" s="1"/>
  <c r="D153" i="9"/>
  <c r="F152" i="9"/>
  <c r="B152" i="9"/>
  <c r="E152" i="9" s="1"/>
  <c r="D151" i="9"/>
  <c r="F150" i="9"/>
  <c r="B150" i="9"/>
  <c r="E150" i="9" s="1"/>
  <c r="D149" i="9"/>
  <c r="F148" i="9"/>
  <c r="B148" i="9"/>
  <c r="E148" i="9" s="1"/>
  <c r="D147" i="9"/>
  <c r="F146" i="9"/>
  <c r="B146" i="9"/>
  <c r="E146" i="9" s="1"/>
  <c r="D145" i="9"/>
  <c r="F144" i="9"/>
  <c r="B144" i="9"/>
  <c r="E144" i="9" s="1"/>
  <c r="D143" i="9"/>
  <c r="F142" i="9"/>
  <c r="B142" i="9"/>
  <c r="E142" i="9" s="1"/>
  <c r="D141" i="9"/>
  <c r="F140" i="9"/>
  <c r="B140" i="9"/>
  <c r="E140" i="9" s="1"/>
  <c r="D139" i="9"/>
  <c r="F138" i="9"/>
  <c r="B138" i="9"/>
  <c r="E138" i="9" s="1"/>
  <c r="D137" i="9"/>
  <c r="F136" i="9"/>
  <c r="B136" i="9"/>
  <c r="E136" i="9" s="1"/>
  <c r="D135" i="9"/>
  <c r="F134" i="9"/>
  <c r="B134" i="9"/>
  <c r="E134" i="9" s="1"/>
  <c r="D133" i="9"/>
  <c r="F132" i="9"/>
  <c r="B132" i="9"/>
  <c r="E132" i="9" s="1"/>
  <c r="D131" i="9"/>
  <c r="F130" i="9"/>
  <c r="B130" i="9"/>
  <c r="E130" i="9" s="1"/>
  <c r="D129" i="9"/>
  <c r="F128" i="9"/>
  <c r="B128" i="9"/>
  <c r="E128" i="9" s="1"/>
  <c r="D127" i="9"/>
  <c r="F126" i="9"/>
  <c r="B126" i="9"/>
  <c r="E126" i="9" s="1"/>
  <c r="D125" i="9"/>
  <c r="F124" i="9"/>
  <c r="B124" i="9"/>
  <c r="E124" i="9" s="1"/>
  <c r="D123" i="9"/>
  <c r="F122" i="9"/>
  <c r="B122" i="9"/>
  <c r="E122" i="9" s="1"/>
  <c r="D121" i="9"/>
  <c r="F120" i="9"/>
  <c r="B120" i="9"/>
  <c r="E120" i="9" s="1"/>
  <c r="D119" i="9"/>
  <c r="F118" i="9"/>
  <c r="B118" i="9"/>
  <c r="E118" i="9" s="1"/>
  <c r="D117" i="9"/>
  <c r="F116" i="9"/>
  <c r="B116" i="9"/>
  <c r="E116" i="9" s="1"/>
  <c r="D115" i="9"/>
  <c r="F114" i="9"/>
  <c r="B114" i="9"/>
  <c r="E114" i="9" s="1"/>
  <c r="D113" i="9"/>
  <c r="F112" i="9"/>
  <c r="B112" i="9"/>
  <c r="E112" i="9" s="1"/>
  <c r="D111" i="9"/>
  <c r="F110" i="9"/>
  <c r="B110" i="9"/>
  <c r="E110" i="9" s="1"/>
  <c r="D109" i="9"/>
  <c r="F108" i="9"/>
  <c r="B108" i="9"/>
  <c r="E108" i="9" s="1"/>
  <c r="D107" i="9"/>
  <c r="F106" i="9"/>
  <c r="B106" i="9"/>
  <c r="E106" i="9" s="1"/>
  <c r="D105" i="9"/>
  <c r="F104" i="9"/>
  <c r="B104" i="9"/>
  <c r="E104" i="9" s="1"/>
  <c r="D103" i="9"/>
  <c r="F102" i="9"/>
  <c r="B102" i="9"/>
  <c r="E102" i="9" s="1"/>
  <c r="D101" i="9"/>
  <c r="F100" i="9"/>
  <c r="B100" i="9"/>
  <c r="E100" i="9" s="1"/>
  <c r="D99" i="9"/>
  <c r="F98" i="9"/>
  <c r="B98" i="9"/>
  <c r="E98" i="9" s="1"/>
  <c r="D97" i="9"/>
  <c r="F96" i="9"/>
  <c r="B96" i="9"/>
  <c r="E96" i="9" s="1"/>
  <c r="D95" i="9"/>
  <c r="F94" i="9"/>
  <c r="B94" i="9"/>
  <c r="E94" i="9" s="1"/>
  <c r="D93" i="9"/>
  <c r="F92" i="9"/>
  <c r="B92" i="9"/>
  <c r="E92" i="9" s="1"/>
  <c r="D91" i="9"/>
  <c r="F90" i="9"/>
  <c r="B90" i="9"/>
  <c r="E90" i="9" s="1"/>
  <c r="D89" i="9"/>
  <c r="F88" i="9"/>
  <c r="B88" i="9"/>
  <c r="E88" i="9" s="1"/>
  <c r="D87" i="9"/>
  <c r="F86" i="9"/>
  <c r="B86" i="9"/>
  <c r="E86" i="9" s="1"/>
  <c r="D85" i="9"/>
  <c r="F84" i="9"/>
  <c r="B84" i="9"/>
  <c r="E84" i="9" s="1"/>
  <c r="D83" i="9"/>
  <c r="F82" i="9"/>
  <c r="B82" i="9"/>
  <c r="E82" i="9" s="1"/>
  <c r="D81" i="9"/>
  <c r="F80" i="9"/>
  <c r="B80" i="9"/>
  <c r="E80" i="9" s="1"/>
  <c r="D79" i="9"/>
  <c r="F78" i="9"/>
  <c r="B78" i="9"/>
  <c r="E78" i="9" s="1"/>
  <c r="D77" i="9"/>
  <c r="F76" i="9"/>
  <c r="B76" i="9"/>
  <c r="E76" i="9" s="1"/>
  <c r="D75" i="9"/>
  <c r="F74" i="9"/>
  <c r="B74" i="9"/>
  <c r="E74" i="9" s="1"/>
  <c r="D73" i="9"/>
  <c r="F72" i="9"/>
  <c r="B72" i="9"/>
  <c r="E72" i="9" s="1"/>
  <c r="D71" i="9"/>
  <c r="F70" i="9"/>
  <c r="B70" i="9"/>
  <c r="E70" i="9" s="1"/>
  <c r="D69" i="9"/>
  <c r="F68" i="9"/>
  <c r="B68" i="9"/>
  <c r="E68" i="9" s="1"/>
  <c r="D67" i="9"/>
  <c r="F66" i="9"/>
  <c r="B66" i="9"/>
  <c r="E66" i="9" s="1"/>
  <c r="D65" i="9"/>
  <c r="F64" i="9"/>
  <c r="B64" i="9"/>
  <c r="E64" i="9" s="1"/>
  <c r="D63" i="9"/>
  <c r="F62" i="9"/>
  <c r="B62" i="9"/>
  <c r="E62" i="9" s="1"/>
  <c r="D61" i="9"/>
  <c r="F60" i="9"/>
  <c r="B60" i="9"/>
  <c r="E60" i="9" s="1"/>
  <c r="D59" i="9"/>
  <c r="F58" i="9"/>
  <c r="B58" i="9"/>
  <c r="E58" i="9" s="1"/>
  <c r="D57" i="9"/>
  <c r="F56" i="9"/>
  <c r="B56" i="9"/>
  <c r="E56" i="9" s="1"/>
  <c r="D55" i="9"/>
  <c r="F54" i="9"/>
  <c r="B54" i="9"/>
  <c r="E54" i="9" s="1"/>
  <c r="D53" i="9"/>
  <c r="F52" i="9"/>
  <c r="B52" i="9"/>
  <c r="E52" i="9" s="1"/>
  <c r="D51" i="9"/>
  <c r="F50" i="9"/>
  <c r="B50" i="9"/>
  <c r="E50" i="9" s="1"/>
  <c r="D49" i="9"/>
  <c r="F48" i="9"/>
  <c r="B48" i="9"/>
  <c r="E48" i="9" s="1"/>
  <c r="D47" i="9"/>
  <c r="F46" i="9"/>
  <c r="B46" i="9"/>
  <c r="E46" i="9" s="1"/>
  <c r="D45" i="9"/>
  <c r="F44" i="9"/>
  <c r="B44" i="9"/>
  <c r="E44" i="9" s="1"/>
  <c r="D43" i="9"/>
  <c r="F42" i="9"/>
  <c r="B42" i="9"/>
  <c r="E42" i="9" s="1"/>
  <c r="D41" i="9"/>
  <c r="F40" i="9"/>
  <c r="B40" i="9"/>
  <c r="E40" i="9" s="1"/>
  <c r="D39" i="9"/>
  <c r="F38" i="9"/>
  <c r="B38" i="9"/>
  <c r="E38" i="9" s="1"/>
  <c r="D37" i="9"/>
  <c r="F36" i="9"/>
  <c r="B36" i="9"/>
  <c r="E36" i="9" s="1"/>
  <c r="D35" i="9"/>
  <c r="F34" i="9"/>
  <c r="B34" i="9"/>
  <c r="E34" i="9" s="1"/>
  <c r="D33" i="9"/>
  <c r="F32" i="9"/>
  <c r="B32" i="9"/>
  <c r="E32" i="9" s="1"/>
  <c r="D31" i="9"/>
  <c r="F30" i="9"/>
  <c r="B30" i="9"/>
  <c r="E30" i="9" s="1"/>
  <c r="D29" i="9"/>
  <c r="F28" i="9"/>
  <c r="B28" i="9"/>
  <c r="E28" i="9" s="1"/>
  <c r="D27" i="9"/>
  <c r="F26" i="9"/>
  <c r="B26" i="9"/>
  <c r="E26" i="9" s="1"/>
  <c r="D25" i="9"/>
  <c r="F24" i="9"/>
  <c r="B24" i="9"/>
  <c r="E24" i="9" s="1"/>
  <c r="D23" i="9"/>
  <c r="F22" i="9"/>
  <c r="B22" i="9"/>
  <c r="E22" i="9" s="1"/>
  <c r="D21" i="9"/>
  <c r="F20" i="9"/>
  <c r="B20" i="9"/>
  <c r="E20" i="9" s="1"/>
  <c r="D19" i="9"/>
  <c r="F18" i="9"/>
  <c r="B18" i="9"/>
  <c r="E18" i="9" s="1"/>
  <c r="D17" i="9"/>
  <c r="F16" i="9"/>
  <c r="B16" i="9"/>
  <c r="E16" i="9" s="1"/>
  <c r="D15" i="9"/>
  <c r="F14" i="9"/>
  <c r="B14" i="9"/>
  <c r="E14" i="9" s="1"/>
  <c r="D13" i="9"/>
  <c r="F12" i="9"/>
  <c r="B12" i="9"/>
  <c r="E12" i="9" s="1"/>
  <c r="D11" i="9"/>
  <c r="F10" i="9"/>
  <c r="B10" i="9"/>
  <c r="E10" i="9" s="1"/>
  <c r="D9" i="9"/>
  <c r="F8" i="9"/>
  <c r="B8" i="9"/>
  <c r="E8" i="9" s="1"/>
  <c r="D7" i="9"/>
  <c r="F6" i="9"/>
  <c r="B6" i="9"/>
  <c r="E6" i="9" s="1"/>
  <c r="D5" i="9"/>
  <c r="F4" i="9"/>
  <c r="B4" i="9"/>
  <c r="E4" i="9" s="1"/>
  <c r="D3" i="9"/>
  <c r="F2" i="9"/>
  <c r="B2" i="9"/>
  <c r="E2" i="9" s="1"/>
  <c r="F335" i="9"/>
  <c r="D334" i="9"/>
  <c r="B333" i="9"/>
  <c r="E333" i="9" s="1"/>
  <c r="F331" i="9"/>
  <c r="D330" i="9"/>
  <c r="B329" i="9"/>
  <c r="E329" i="9" s="1"/>
  <c r="F327" i="9"/>
  <c r="D326" i="9"/>
  <c r="B325" i="9"/>
  <c r="E325" i="9" s="1"/>
  <c r="F323" i="9"/>
  <c r="D322" i="9"/>
  <c r="B321" i="9"/>
  <c r="E321" i="9" s="1"/>
  <c r="F319" i="9"/>
  <c r="D318" i="9"/>
  <c r="B317" i="9"/>
  <c r="E317" i="9" s="1"/>
  <c r="F315" i="9"/>
  <c r="D314" i="9"/>
  <c r="B313" i="9"/>
  <c r="E313" i="9" s="1"/>
  <c r="F311" i="9"/>
  <c r="D310" i="9"/>
  <c r="B309" i="9"/>
  <c r="E309" i="9" s="1"/>
  <c r="F307" i="9"/>
  <c r="D306" i="9"/>
  <c r="B305" i="9"/>
  <c r="E305" i="9" s="1"/>
  <c r="F303" i="9"/>
  <c r="D302" i="9"/>
  <c r="B301" i="9"/>
  <c r="E301" i="9" s="1"/>
  <c r="F299" i="9"/>
  <c r="D298" i="9"/>
  <c r="B297" i="9"/>
  <c r="E297" i="9" s="1"/>
  <c r="F295" i="9"/>
  <c r="D294" i="9"/>
  <c r="B293" i="9"/>
  <c r="E293" i="9" s="1"/>
  <c r="F291" i="9"/>
  <c r="D290" i="9"/>
  <c r="B289" i="9"/>
  <c r="E289" i="9" s="1"/>
  <c r="F287" i="9"/>
  <c r="D286" i="9"/>
  <c r="B285" i="9"/>
  <c r="E285" i="9" s="1"/>
  <c r="F283" i="9"/>
  <c r="D282" i="9"/>
  <c r="B281" i="9"/>
  <c r="E281" i="9" s="1"/>
  <c r="A280" i="9"/>
  <c r="C279" i="9"/>
  <c r="A278" i="9"/>
  <c r="C277" i="9"/>
  <c r="A276" i="9"/>
  <c r="C275" i="9"/>
  <c r="A274" i="9"/>
  <c r="C273" i="9"/>
  <c r="A272" i="9"/>
  <c r="C271" i="9"/>
  <c r="A270" i="9"/>
  <c r="C269" i="9"/>
  <c r="A268" i="9"/>
  <c r="C267" i="9"/>
  <c r="A266" i="9"/>
  <c r="C265" i="9"/>
  <c r="A264" i="9"/>
  <c r="C263" i="9"/>
  <c r="A262" i="9"/>
  <c r="C261" i="9"/>
  <c r="A260" i="9"/>
  <c r="C259" i="9"/>
  <c r="A258" i="9"/>
  <c r="C257" i="9"/>
  <c r="A256" i="9"/>
  <c r="C255" i="9"/>
  <c r="A254" i="9"/>
  <c r="C253" i="9"/>
  <c r="A252" i="9"/>
  <c r="C251" i="9"/>
  <c r="A250" i="9"/>
  <c r="C249" i="9"/>
  <c r="A248" i="9"/>
  <c r="C247" i="9"/>
  <c r="A246" i="9"/>
  <c r="C245" i="9"/>
  <c r="A244" i="9"/>
  <c r="C243" i="9"/>
  <c r="A242" i="9"/>
  <c r="C241" i="9"/>
  <c r="A240" i="9"/>
  <c r="C239" i="9"/>
  <c r="A238" i="9"/>
  <c r="C237" i="9"/>
  <c r="A236" i="9"/>
  <c r="C235" i="9"/>
  <c r="A234" i="9"/>
  <c r="C233" i="9"/>
  <c r="A232" i="9"/>
  <c r="C231" i="9"/>
  <c r="A230" i="9"/>
  <c r="C229" i="9"/>
  <c r="A228" i="9"/>
  <c r="C227" i="9"/>
  <c r="A226" i="9"/>
  <c r="C225" i="9"/>
  <c r="A224" i="9"/>
  <c r="C223" i="9"/>
  <c r="A222" i="9"/>
  <c r="C221" i="9"/>
  <c r="A220" i="9"/>
  <c r="C219" i="9"/>
  <c r="A218" i="9"/>
  <c r="C217" i="9"/>
  <c r="A216" i="9"/>
  <c r="C215" i="9"/>
  <c r="A214" i="9"/>
  <c r="C213" i="9"/>
  <c r="A212" i="9"/>
  <c r="C211" i="9"/>
  <c r="A210" i="9"/>
  <c r="C209" i="9"/>
  <c r="A208" i="9"/>
  <c r="C207" i="9"/>
  <c r="A206" i="9"/>
  <c r="C205" i="9"/>
  <c r="A204" i="9"/>
  <c r="C203" i="9"/>
  <c r="A202" i="9"/>
  <c r="C201" i="9"/>
  <c r="A200" i="9"/>
  <c r="C199" i="9"/>
  <c r="A198" i="9"/>
  <c r="C197" i="9"/>
  <c r="A196" i="9"/>
  <c r="C195" i="9"/>
  <c r="A194" i="9"/>
  <c r="C193" i="9"/>
  <c r="A192" i="9"/>
  <c r="C191" i="9"/>
  <c r="A190" i="9"/>
  <c r="C189" i="9"/>
  <c r="A188" i="9"/>
  <c r="C187" i="9"/>
  <c r="A186" i="9"/>
  <c r="C185" i="9"/>
  <c r="A184" i="9"/>
  <c r="C183" i="9"/>
  <c r="A182" i="9"/>
  <c r="C181" i="9"/>
  <c r="A180" i="9"/>
  <c r="C179" i="9"/>
  <c r="A178" i="9"/>
  <c r="C177" i="9"/>
  <c r="A176" i="9"/>
  <c r="C175" i="9"/>
  <c r="A174" i="9"/>
  <c r="C173" i="9"/>
  <c r="A172" i="9"/>
  <c r="C171" i="9"/>
  <c r="A170" i="9"/>
  <c r="C169" i="9"/>
  <c r="A168" i="9"/>
  <c r="C167" i="9"/>
  <c r="A166" i="9"/>
  <c r="C165" i="9"/>
  <c r="A164" i="9"/>
  <c r="C163" i="9"/>
  <c r="A162" i="9"/>
  <c r="C161" i="9"/>
  <c r="A160" i="9"/>
  <c r="C159" i="9"/>
  <c r="A158" i="9"/>
  <c r="C157" i="9"/>
  <c r="A156" i="9"/>
  <c r="C155" i="9"/>
  <c r="A154" i="9"/>
  <c r="C153" i="9"/>
  <c r="A152" i="9"/>
  <c r="C151" i="9"/>
  <c r="A150" i="9"/>
  <c r="C149" i="9"/>
  <c r="A148" i="9"/>
  <c r="C147" i="9"/>
  <c r="A146" i="9"/>
  <c r="C145" i="9"/>
  <c r="A144" i="9"/>
  <c r="C143" i="9"/>
  <c r="A142" i="9"/>
  <c r="C141" i="9"/>
  <c r="A140" i="9"/>
  <c r="C139" i="9"/>
  <c r="A138" i="9"/>
  <c r="C137" i="9"/>
  <c r="A136" i="9"/>
  <c r="C135" i="9"/>
  <c r="A134" i="9"/>
  <c r="C133" i="9"/>
  <c r="A132" i="9"/>
  <c r="C131" i="9"/>
  <c r="A130" i="9"/>
  <c r="C129" i="9"/>
  <c r="A128" i="9"/>
  <c r="C127" i="9"/>
  <c r="A126" i="9"/>
  <c r="C125" i="9"/>
  <c r="A124" i="9"/>
  <c r="C123" i="9"/>
  <c r="A122" i="9"/>
  <c r="C121" i="9"/>
  <c r="A120" i="9"/>
  <c r="C119" i="9"/>
  <c r="A118" i="9"/>
  <c r="C117" i="9"/>
  <c r="A116" i="9"/>
  <c r="C115" i="9"/>
  <c r="A114" i="9"/>
  <c r="C113" i="9"/>
  <c r="A112" i="9"/>
  <c r="C111" i="9"/>
  <c r="A110" i="9"/>
  <c r="C109" i="9"/>
  <c r="A108" i="9"/>
  <c r="C107" i="9"/>
  <c r="A106" i="9"/>
  <c r="C105" i="9"/>
  <c r="A104" i="9"/>
  <c r="C103" i="9"/>
  <c r="A102" i="9"/>
  <c r="C101" i="9"/>
  <c r="A100" i="9"/>
  <c r="C99" i="9"/>
  <c r="A98" i="9"/>
  <c r="C97" i="9"/>
  <c r="A96" i="9"/>
  <c r="C95" i="9"/>
  <c r="A94" i="9"/>
  <c r="C93" i="9"/>
  <c r="A92" i="9"/>
  <c r="C91" i="9"/>
  <c r="A90" i="9"/>
  <c r="C89" i="9"/>
  <c r="A88" i="9"/>
  <c r="C87" i="9"/>
  <c r="A86" i="9"/>
  <c r="C85" i="9"/>
  <c r="A84" i="9"/>
  <c r="C83" i="9"/>
  <c r="A82" i="9"/>
  <c r="C81" i="9"/>
  <c r="A80" i="9"/>
  <c r="C79" i="9"/>
  <c r="A78" i="9"/>
  <c r="C77" i="9"/>
  <c r="A76" i="9"/>
  <c r="C75" i="9"/>
  <c r="A74" i="9"/>
  <c r="C73" i="9"/>
  <c r="A72" i="9"/>
  <c r="C71" i="9"/>
  <c r="A70" i="9"/>
  <c r="C69" i="9"/>
  <c r="A68" i="9"/>
  <c r="C67" i="9"/>
  <c r="A66" i="9"/>
  <c r="C65" i="9"/>
  <c r="A64" i="9"/>
  <c r="C63" i="9"/>
  <c r="A62" i="9"/>
  <c r="C61" i="9"/>
  <c r="A60" i="9"/>
  <c r="C59" i="9"/>
  <c r="A58" i="9"/>
  <c r="C57" i="9"/>
  <c r="A56" i="9"/>
  <c r="C55" i="9"/>
  <c r="A54" i="9"/>
  <c r="C53" i="9"/>
  <c r="A52" i="9"/>
  <c r="C51" i="9"/>
  <c r="A50" i="9"/>
  <c r="C49" i="9"/>
  <c r="A48" i="9"/>
  <c r="C47" i="9"/>
  <c r="A46" i="9"/>
  <c r="C45" i="9"/>
  <c r="A44" i="9"/>
  <c r="C43" i="9"/>
  <c r="A42" i="9"/>
  <c r="C41" i="9"/>
  <c r="A40" i="9"/>
  <c r="C39" i="9"/>
  <c r="A38" i="9"/>
  <c r="C37" i="9"/>
  <c r="A36" i="9"/>
  <c r="C35" i="9"/>
  <c r="A34" i="9"/>
  <c r="C33" i="9"/>
  <c r="A32" i="9"/>
  <c r="C31" i="9"/>
  <c r="A30" i="9"/>
  <c r="C29" i="9"/>
  <c r="A28" i="9"/>
  <c r="C27" i="9"/>
  <c r="A26" i="9"/>
  <c r="C25" i="9"/>
  <c r="A24" i="9"/>
  <c r="C23" i="9"/>
  <c r="A22" i="9"/>
  <c r="C21" i="9"/>
  <c r="A20" i="9"/>
  <c r="C19" i="9"/>
  <c r="A18" i="9"/>
  <c r="C17" i="9"/>
  <c r="A16" i="9"/>
  <c r="C15" i="9"/>
  <c r="A14" i="9"/>
  <c r="C13" i="9"/>
  <c r="A12" i="9"/>
  <c r="C11" i="9"/>
  <c r="A10" i="9"/>
  <c r="C9" i="9"/>
  <c r="A8" i="9"/>
  <c r="C7" i="9"/>
  <c r="A6" i="9"/>
  <c r="C5" i="9"/>
  <c r="A4" i="9"/>
  <c r="C3" i="9"/>
  <c r="A2" i="9"/>
  <c r="D337" i="9"/>
  <c r="D335" i="9"/>
  <c r="B334" i="9"/>
  <c r="E334" i="9" s="1"/>
  <c r="F332" i="9"/>
  <c r="D331" i="9"/>
  <c r="B330" i="9"/>
  <c r="E330" i="9" s="1"/>
  <c r="F328" i="9"/>
  <c r="D327" i="9"/>
  <c r="B326" i="9"/>
  <c r="E326" i="9" s="1"/>
  <c r="F324" i="9"/>
  <c r="D323" i="9"/>
  <c r="B322" i="9"/>
  <c r="E322" i="9" s="1"/>
  <c r="F320" i="9"/>
  <c r="D319" i="9"/>
  <c r="B318" i="9"/>
  <c r="E318" i="9" s="1"/>
  <c r="F316" i="9"/>
  <c r="D315" i="9"/>
  <c r="B314" i="9"/>
  <c r="E314" i="9" s="1"/>
  <c r="F312" i="9"/>
  <c r="D311" i="9"/>
  <c r="B310" i="9"/>
  <c r="E310" i="9" s="1"/>
  <c r="F308" i="9"/>
  <c r="D307" i="9"/>
  <c r="B306" i="9"/>
  <c r="E306" i="9" s="1"/>
  <c r="F304" i="9"/>
  <c r="D303" i="9"/>
  <c r="B302" i="9"/>
  <c r="E302" i="9" s="1"/>
  <c r="F300" i="9"/>
  <c r="D299" i="9"/>
  <c r="B298" i="9"/>
  <c r="E298" i="9" s="1"/>
  <c r="F296" i="9"/>
  <c r="D295" i="9"/>
  <c r="B294" i="9"/>
  <c r="E294" i="9" s="1"/>
  <c r="F292" i="9"/>
  <c r="D291" i="9"/>
  <c r="B290" i="9"/>
  <c r="E290" i="9" s="1"/>
  <c r="F288" i="9"/>
  <c r="D287" i="9"/>
  <c r="B286" i="9"/>
  <c r="E286" i="9" s="1"/>
  <c r="F284" i="9"/>
  <c r="D283" i="9"/>
  <c r="B282" i="9"/>
  <c r="E282" i="9" s="1"/>
  <c r="F280" i="9"/>
  <c r="F279" i="9"/>
  <c r="B279" i="9"/>
  <c r="E279" i="9" s="1"/>
  <c r="D278" i="9"/>
  <c r="F277" i="9"/>
  <c r="B277" i="9"/>
  <c r="E277" i="9" s="1"/>
  <c r="D276" i="9"/>
  <c r="F275" i="9"/>
  <c r="B275" i="9"/>
  <c r="E275" i="9" s="1"/>
  <c r="D274" i="9"/>
  <c r="F273" i="9"/>
  <c r="B273" i="9"/>
  <c r="E273" i="9" s="1"/>
  <c r="D272" i="9"/>
  <c r="F271" i="9"/>
  <c r="B271" i="9"/>
  <c r="E271" i="9" s="1"/>
  <c r="D270" i="9"/>
  <c r="F269" i="9"/>
  <c r="B269" i="9"/>
  <c r="E269" i="9" s="1"/>
  <c r="D268" i="9"/>
  <c r="F267" i="9"/>
  <c r="B267" i="9"/>
  <c r="E267" i="9" s="1"/>
  <c r="D266" i="9"/>
  <c r="F265" i="9"/>
  <c r="B265" i="9"/>
  <c r="E265" i="9" s="1"/>
  <c r="D264" i="9"/>
  <c r="F263" i="9"/>
  <c r="B263" i="9"/>
  <c r="E263" i="9" s="1"/>
  <c r="D262" i="9"/>
  <c r="F261" i="9"/>
  <c r="B261" i="9"/>
  <c r="E261" i="9" s="1"/>
  <c r="D260" i="9"/>
  <c r="F259" i="9"/>
  <c r="B259" i="9"/>
  <c r="E259" i="9" s="1"/>
  <c r="D258" i="9"/>
  <c r="F257" i="9"/>
  <c r="B257" i="9"/>
  <c r="E257" i="9" s="1"/>
  <c r="D256" i="9"/>
  <c r="F255" i="9"/>
  <c r="B255" i="9"/>
  <c r="E255" i="9" s="1"/>
  <c r="D254" i="9"/>
  <c r="F253" i="9"/>
  <c r="B253" i="9"/>
  <c r="E253" i="9" s="1"/>
  <c r="D252" i="9"/>
  <c r="F251" i="9"/>
  <c r="B251" i="9"/>
  <c r="E251" i="9" s="1"/>
  <c r="D250" i="9"/>
  <c r="F249" i="9"/>
  <c r="B249" i="9"/>
  <c r="E249" i="9" s="1"/>
  <c r="D248" i="9"/>
  <c r="F247" i="9"/>
  <c r="B247" i="9"/>
  <c r="E247" i="9" s="1"/>
  <c r="D246" i="9"/>
  <c r="F245" i="9"/>
  <c r="B245" i="9"/>
  <c r="E245" i="9" s="1"/>
  <c r="D244" i="9"/>
  <c r="F243" i="9"/>
  <c r="B243" i="9"/>
  <c r="E243" i="9" s="1"/>
  <c r="D242" i="9"/>
  <c r="F241" i="9"/>
  <c r="B241" i="9"/>
  <c r="E241" i="9" s="1"/>
  <c r="D240" i="9"/>
  <c r="F239" i="9"/>
  <c r="B239" i="9"/>
  <c r="E239" i="9" s="1"/>
  <c r="D238" i="9"/>
  <c r="F237" i="9"/>
  <c r="B237" i="9"/>
  <c r="E237" i="9" s="1"/>
  <c r="D236" i="9"/>
  <c r="F235" i="9"/>
  <c r="B235" i="9"/>
  <c r="E235" i="9" s="1"/>
  <c r="D234" i="9"/>
  <c r="F233" i="9"/>
  <c r="B233" i="9"/>
  <c r="E233" i="9" s="1"/>
  <c r="D232" i="9"/>
  <c r="F231" i="9"/>
  <c r="B231" i="9"/>
  <c r="E231" i="9" s="1"/>
  <c r="D230" i="9"/>
  <c r="F229" i="9"/>
  <c r="B229" i="9"/>
  <c r="E229" i="9" s="1"/>
  <c r="D228" i="9"/>
  <c r="F227" i="9"/>
  <c r="B227" i="9"/>
  <c r="E227" i="9" s="1"/>
  <c r="D226" i="9"/>
  <c r="F225" i="9"/>
  <c r="B225" i="9"/>
  <c r="E225" i="9" s="1"/>
  <c r="D224" i="9"/>
  <c r="F223" i="9"/>
  <c r="B223" i="9"/>
  <c r="E223" i="9" s="1"/>
  <c r="D222" i="9"/>
  <c r="F221" i="9"/>
  <c r="B221" i="9"/>
  <c r="E221" i="9" s="1"/>
  <c r="D220" i="9"/>
  <c r="F219" i="9"/>
  <c r="B219" i="9"/>
  <c r="E219" i="9" s="1"/>
  <c r="D218" i="9"/>
  <c r="F217" i="9"/>
  <c r="B217" i="9"/>
  <c r="E217" i="9" s="1"/>
  <c r="D216" i="9"/>
  <c r="F215" i="9"/>
  <c r="B215" i="9"/>
  <c r="E215" i="9" s="1"/>
  <c r="D214" i="9"/>
  <c r="F213" i="9"/>
  <c r="B213" i="9"/>
  <c r="E213" i="9" s="1"/>
  <c r="D212" i="9"/>
  <c r="F211" i="9"/>
  <c r="B211" i="9"/>
  <c r="E211" i="9" s="1"/>
  <c r="D210" i="9"/>
  <c r="F209" i="9"/>
  <c r="B209" i="9"/>
  <c r="E209" i="9" s="1"/>
  <c r="D208" i="9"/>
  <c r="F207" i="9"/>
  <c r="B207" i="9"/>
  <c r="E207" i="9" s="1"/>
  <c r="D206" i="9"/>
  <c r="F205" i="9"/>
  <c r="B205" i="9"/>
  <c r="E205" i="9" s="1"/>
  <c r="D204" i="9"/>
  <c r="F203" i="9"/>
  <c r="B203" i="9"/>
  <c r="E203" i="9" s="1"/>
  <c r="D202" i="9"/>
  <c r="F201" i="9"/>
  <c r="B201" i="9"/>
  <c r="E201" i="9" s="1"/>
  <c r="D200" i="9"/>
  <c r="F199" i="9"/>
  <c r="B199" i="9"/>
  <c r="E199" i="9" s="1"/>
  <c r="D198" i="9"/>
  <c r="F197" i="9"/>
  <c r="B197" i="9"/>
  <c r="E197" i="9" s="1"/>
  <c r="D196" i="9"/>
  <c r="F195" i="9"/>
  <c r="B195" i="9"/>
  <c r="E195" i="9" s="1"/>
  <c r="D194" i="9"/>
  <c r="F193" i="9"/>
  <c r="B193" i="9"/>
  <c r="E193" i="9" s="1"/>
  <c r="D192" i="9"/>
  <c r="F191" i="9"/>
  <c r="B191" i="9"/>
  <c r="E191" i="9" s="1"/>
  <c r="D190" i="9"/>
  <c r="F189" i="9"/>
  <c r="B189" i="9"/>
  <c r="E189" i="9" s="1"/>
  <c r="D188" i="9"/>
  <c r="F187" i="9"/>
  <c r="B187" i="9"/>
  <c r="E187" i="9" s="1"/>
  <c r="D186" i="9"/>
  <c r="F185" i="9"/>
  <c r="B185" i="9"/>
  <c r="E185" i="9" s="1"/>
  <c r="D184" i="9"/>
  <c r="F183" i="9"/>
  <c r="B183" i="9"/>
  <c r="E183" i="9" s="1"/>
  <c r="D182" i="9"/>
  <c r="F181" i="9"/>
  <c r="B181" i="9"/>
  <c r="E181" i="9" s="1"/>
  <c r="D180" i="9"/>
  <c r="F179" i="9"/>
  <c r="B179" i="9"/>
  <c r="E179" i="9" s="1"/>
  <c r="D178" i="9"/>
  <c r="F177" i="9"/>
  <c r="B177" i="9"/>
  <c r="E177" i="9" s="1"/>
  <c r="D176" i="9"/>
  <c r="F175" i="9"/>
  <c r="B175" i="9"/>
  <c r="E175" i="9" s="1"/>
  <c r="D174" i="9"/>
  <c r="F173" i="9"/>
  <c r="B173" i="9"/>
  <c r="E173" i="9" s="1"/>
  <c r="D172" i="9"/>
  <c r="F171" i="9"/>
  <c r="B171" i="9"/>
  <c r="E171" i="9" s="1"/>
  <c r="D170" i="9"/>
  <c r="F169" i="9"/>
  <c r="B169" i="9"/>
  <c r="E169" i="9" s="1"/>
  <c r="D168" i="9"/>
  <c r="F167" i="9"/>
  <c r="B167" i="9"/>
  <c r="E167" i="9" s="1"/>
  <c r="D166" i="9"/>
  <c r="F165" i="9"/>
  <c r="B165" i="9"/>
  <c r="E165" i="9" s="1"/>
  <c r="D164" i="9"/>
  <c r="F163" i="9"/>
  <c r="B163" i="9"/>
  <c r="E163" i="9" s="1"/>
  <c r="D162" i="9"/>
  <c r="F161" i="9"/>
  <c r="B161" i="9"/>
  <c r="E161" i="9" s="1"/>
  <c r="D160" i="9"/>
  <c r="F159" i="9"/>
  <c r="B159" i="9"/>
  <c r="E159" i="9" s="1"/>
  <c r="D158" i="9"/>
  <c r="F157" i="9"/>
  <c r="B157" i="9"/>
  <c r="E157" i="9" s="1"/>
  <c r="D156" i="9"/>
  <c r="F155" i="9"/>
  <c r="B155" i="9"/>
  <c r="E155" i="9" s="1"/>
  <c r="D154" i="9"/>
  <c r="F153" i="9"/>
  <c r="B153" i="9"/>
  <c r="E153" i="9" s="1"/>
  <c r="D152" i="9"/>
  <c r="F151" i="9"/>
  <c r="B151" i="9"/>
  <c r="E151" i="9" s="1"/>
  <c r="D150" i="9"/>
  <c r="F149" i="9"/>
  <c r="B149" i="9"/>
  <c r="E149" i="9" s="1"/>
  <c r="D148" i="9"/>
  <c r="F147" i="9"/>
  <c r="B147" i="9"/>
  <c r="E147" i="9" s="1"/>
  <c r="D146" i="9"/>
  <c r="F145" i="9"/>
  <c r="B145" i="9"/>
  <c r="E145" i="9" s="1"/>
  <c r="D144" i="9"/>
  <c r="F143" i="9"/>
  <c r="B143" i="9"/>
  <c r="E143" i="9" s="1"/>
  <c r="D142" i="9"/>
  <c r="F141" i="9"/>
  <c r="B141" i="9"/>
  <c r="E141" i="9" s="1"/>
  <c r="D140" i="9"/>
  <c r="F139" i="9"/>
  <c r="B139" i="9"/>
  <c r="E139" i="9" s="1"/>
  <c r="D138" i="9"/>
  <c r="F137" i="9"/>
  <c r="B137" i="9"/>
  <c r="E137" i="9" s="1"/>
  <c r="D136" i="9"/>
  <c r="F135" i="9"/>
  <c r="B135" i="9"/>
  <c r="E135" i="9" s="1"/>
  <c r="D134" i="9"/>
  <c r="F133" i="9"/>
  <c r="B133" i="9"/>
  <c r="E133" i="9" s="1"/>
  <c r="D132" i="9"/>
  <c r="F131" i="9"/>
  <c r="B131" i="9"/>
  <c r="E131" i="9" s="1"/>
  <c r="D130" i="9"/>
  <c r="F129" i="9"/>
  <c r="B129" i="9"/>
  <c r="E129" i="9" s="1"/>
  <c r="D128" i="9"/>
  <c r="F127" i="9"/>
  <c r="B127" i="9"/>
  <c r="E127" i="9" s="1"/>
  <c r="D126" i="9"/>
  <c r="F125" i="9"/>
  <c r="B125" i="9"/>
  <c r="E125" i="9" s="1"/>
  <c r="D124" i="9"/>
  <c r="F123" i="9"/>
  <c r="B123" i="9"/>
  <c r="E123" i="9" s="1"/>
  <c r="D122" i="9"/>
  <c r="F121" i="9"/>
  <c r="B121" i="9"/>
  <c r="E121" i="9" s="1"/>
  <c r="D120" i="9"/>
  <c r="F119" i="9"/>
  <c r="B119" i="9"/>
  <c r="E119" i="9" s="1"/>
  <c r="D118" i="9"/>
  <c r="F117" i="9"/>
  <c r="B117" i="9"/>
  <c r="E117" i="9" s="1"/>
  <c r="D116" i="9"/>
  <c r="F115" i="9"/>
  <c r="B115" i="9"/>
  <c r="E115" i="9" s="1"/>
  <c r="D114" i="9"/>
  <c r="F113" i="9"/>
  <c r="B113" i="9"/>
  <c r="E113" i="9" s="1"/>
  <c r="D112" i="9"/>
  <c r="F111" i="9"/>
  <c r="B111" i="9"/>
  <c r="E111" i="9" s="1"/>
  <c r="D110" i="9"/>
  <c r="F109" i="9"/>
  <c r="B109" i="9"/>
  <c r="E109" i="9" s="1"/>
  <c r="D108" i="9"/>
  <c r="F107" i="9"/>
  <c r="B107" i="9"/>
  <c r="E107" i="9" s="1"/>
  <c r="D106" i="9"/>
  <c r="F105" i="9"/>
  <c r="B105" i="9"/>
  <c r="E105" i="9" s="1"/>
  <c r="D104" i="9"/>
  <c r="F103" i="9"/>
  <c r="B103" i="9"/>
  <c r="E103" i="9" s="1"/>
  <c r="D102" i="9"/>
  <c r="F101" i="9"/>
  <c r="B101" i="9"/>
  <c r="E101" i="9" s="1"/>
  <c r="D100" i="9"/>
  <c r="F99" i="9"/>
  <c r="B99" i="9"/>
  <c r="E99" i="9" s="1"/>
  <c r="D98" i="9"/>
  <c r="F97" i="9"/>
  <c r="B97" i="9"/>
  <c r="E97" i="9" s="1"/>
  <c r="D96" i="9"/>
  <c r="F95" i="9"/>
  <c r="B95" i="9"/>
  <c r="E95" i="9" s="1"/>
  <c r="D94" i="9"/>
  <c r="F93" i="9"/>
  <c r="B93" i="9"/>
  <c r="E93" i="9" s="1"/>
  <c r="D92" i="9"/>
  <c r="F91" i="9"/>
  <c r="B91" i="9"/>
  <c r="E91" i="9" s="1"/>
  <c r="D90" i="9"/>
  <c r="F89" i="9"/>
  <c r="B89" i="9"/>
  <c r="E89" i="9" s="1"/>
  <c r="D88" i="9"/>
  <c r="F87" i="9"/>
  <c r="B87" i="9"/>
  <c r="E87" i="9" s="1"/>
  <c r="D86" i="9"/>
  <c r="F85" i="9"/>
  <c r="B85" i="9"/>
  <c r="E85" i="9" s="1"/>
  <c r="D84" i="9"/>
  <c r="F83" i="9"/>
  <c r="B83" i="9"/>
  <c r="E83" i="9" s="1"/>
  <c r="D82" i="9"/>
  <c r="F81" i="9"/>
  <c r="B81" i="9"/>
  <c r="E81" i="9" s="1"/>
  <c r="D80" i="9"/>
  <c r="F79" i="9"/>
  <c r="B79" i="9"/>
  <c r="E79" i="9" s="1"/>
  <c r="D78" i="9"/>
  <c r="F77" i="9"/>
  <c r="B77" i="9"/>
  <c r="E77" i="9" s="1"/>
  <c r="D76" i="9"/>
  <c r="F75" i="9"/>
  <c r="B75" i="9"/>
  <c r="E75" i="9" s="1"/>
  <c r="D74" i="9"/>
  <c r="F73" i="9"/>
  <c r="B73" i="9"/>
  <c r="E73" i="9" s="1"/>
  <c r="D72" i="9"/>
  <c r="F71" i="9"/>
  <c r="B71" i="9"/>
  <c r="E71" i="9" s="1"/>
  <c r="D70" i="9"/>
  <c r="F69" i="9"/>
  <c r="B69" i="9"/>
  <c r="E69" i="9" s="1"/>
  <c r="D68" i="9"/>
  <c r="F67" i="9"/>
  <c r="B67" i="9"/>
  <c r="E67" i="9" s="1"/>
  <c r="D66" i="9"/>
  <c r="F65" i="9"/>
  <c r="B65" i="9"/>
  <c r="E65" i="9" s="1"/>
  <c r="D64" i="9"/>
  <c r="F63" i="9"/>
  <c r="B63" i="9"/>
  <c r="E63" i="9" s="1"/>
  <c r="D62" i="9"/>
  <c r="F61" i="9"/>
  <c r="B61" i="9"/>
  <c r="E61" i="9" s="1"/>
  <c r="D60" i="9"/>
  <c r="F59" i="9"/>
  <c r="B59" i="9"/>
  <c r="E59" i="9" s="1"/>
  <c r="D58" i="9"/>
  <c r="F57" i="9"/>
  <c r="B57" i="9"/>
  <c r="E57" i="9" s="1"/>
  <c r="D56" i="9"/>
  <c r="F55" i="9"/>
  <c r="B55" i="9"/>
  <c r="E55" i="9" s="1"/>
  <c r="D54" i="9"/>
  <c r="F53" i="9"/>
  <c r="B53" i="9"/>
  <c r="E53" i="9" s="1"/>
  <c r="D52" i="9"/>
  <c r="F51" i="9"/>
  <c r="B51" i="9"/>
  <c r="E51" i="9" s="1"/>
  <c r="D50" i="9"/>
  <c r="F49" i="9"/>
  <c r="B49" i="9"/>
  <c r="E49" i="9" s="1"/>
  <c r="D48" i="9"/>
  <c r="F47" i="9"/>
  <c r="B47" i="9"/>
  <c r="E47" i="9" s="1"/>
  <c r="D46" i="9"/>
  <c r="F45" i="9"/>
  <c r="B45" i="9"/>
  <c r="E45" i="9" s="1"/>
  <c r="D44" i="9"/>
  <c r="F43" i="9"/>
  <c r="B43" i="9"/>
  <c r="E43" i="9" s="1"/>
  <c r="D42" i="9"/>
  <c r="F41" i="9"/>
  <c r="B41" i="9"/>
  <c r="E41" i="9" s="1"/>
  <c r="D40" i="9"/>
  <c r="F39" i="9"/>
  <c r="B39" i="9"/>
  <c r="E39" i="9" s="1"/>
  <c r="D38" i="9"/>
  <c r="F37" i="9"/>
  <c r="B37" i="9"/>
  <c r="E37" i="9" s="1"/>
  <c r="D36" i="9"/>
  <c r="F35" i="9"/>
  <c r="B35" i="9"/>
  <c r="E35" i="9" s="1"/>
  <c r="D34" i="9"/>
  <c r="F33" i="9"/>
  <c r="B33" i="9"/>
  <c r="E33" i="9" s="1"/>
  <c r="D32" i="9"/>
  <c r="F31" i="9"/>
  <c r="B31" i="9"/>
  <c r="E31" i="9" s="1"/>
  <c r="D30" i="9"/>
  <c r="F29" i="9"/>
  <c r="B29" i="9"/>
  <c r="E29" i="9" s="1"/>
  <c r="D28" i="9"/>
  <c r="F27" i="9"/>
  <c r="B27" i="9"/>
  <c r="E27" i="9" s="1"/>
  <c r="D26" i="9"/>
  <c r="F25" i="9"/>
  <c r="B25" i="9"/>
  <c r="E25" i="9" s="1"/>
  <c r="D24" i="9"/>
  <c r="F23" i="9"/>
  <c r="B23" i="9"/>
  <c r="E23" i="9" s="1"/>
  <c r="D22" i="9"/>
  <c r="F21" i="9"/>
  <c r="B21" i="9"/>
  <c r="E21" i="9" s="1"/>
  <c r="D20" i="9"/>
  <c r="F19" i="9"/>
  <c r="B19" i="9"/>
  <c r="E19" i="9" s="1"/>
  <c r="D18" i="9"/>
  <c r="F17" i="9"/>
  <c r="B17" i="9"/>
  <c r="E17" i="9" s="1"/>
  <c r="D16" i="9"/>
  <c r="F15" i="9"/>
  <c r="B15" i="9"/>
  <c r="E15" i="9" s="1"/>
  <c r="D14" i="9"/>
  <c r="F13" i="9"/>
  <c r="B13" i="9"/>
  <c r="E13" i="9" s="1"/>
  <c r="D12" i="9"/>
  <c r="F11" i="9"/>
  <c r="B11" i="9"/>
  <c r="E11" i="9" s="1"/>
  <c r="D10" i="9"/>
  <c r="F9" i="9"/>
  <c r="B9" i="9"/>
  <c r="E9" i="9" s="1"/>
  <c r="D8" i="9"/>
  <c r="F7" i="9"/>
  <c r="B7" i="9"/>
  <c r="E7" i="9" s="1"/>
  <c r="D6" i="9"/>
  <c r="F5" i="9"/>
  <c r="B5" i="9"/>
  <c r="E5" i="9" s="1"/>
  <c r="D4" i="9"/>
  <c r="F3" i="9"/>
  <c r="B3" i="9"/>
  <c r="E3" i="9" s="1"/>
  <c r="D2" i="9"/>
  <c r="F336" i="9"/>
  <c r="B335" i="9"/>
  <c r="E335" i="9" s="1"/>
  <c r="F333" i="9"/>
  <c r="D332" i="9"/>
  <c r="B331" i="9"/>
  <c r="E331" i="9" s="1"/>
  <c r="F329" i="9"/>
  <c r="D328" i="9"/>
  <c r="B327" i="9"/>
  <c r="E327" i="9" s="1"/>
  <c r="F325" i="9"/>
  <c r="D324" i="9"/>
  <c r="B323" i="9"/>
  <c r="E323" i="9" s="1"/>
  <c r="F321" i="9"/>
  <c r="D320" i="9"/>
  <c r="B319" i="9"/>
  <c r="E319" i="9" s="1"/>
  <c r="F317" i="9"/>
  <c r="D316" i="9"/>
  <c r="B315" i="9"/>
  <c r="E315" i="9" s="1"/>
  <c r="F313" i="9"/>
  <c r="D312" i="9"/>
  <c r="B311" i="9"/>
  <c r="E311" i="9" s="1"/>
  <c r="F309" i="9"/>
  <c r="D308" i="9"/>
  <c r="B307" i="9"/>
  <c r="E307" i="9" s="1"/>
  <c r="F305" i="9"/>
  <c r="D304" i="9"/>
  <c r="B303" i="9"/>
  <c r="E303" i="9" s="1"/>
  <c r="F301" i="9"/>
  <c r="D300" i="9"/>
  <c r="B299" i="9"/>
  <c r="E299" i="9" s="1"/>
  <c r="F297" i="9"/>
  <c r="D296" i="9"/>
  <c r="B295" i="9"/>
  <c r="E295" i="9" s="1"/>
  <c r="F293" i="9"/>
  <c r="D292" i="9"/>
  <c r="B291" i="9"/>
  <c r="E291" i="9" s="1"/>
  <c r="F289" i="9"/>
  <c r="D288" i="9"/>
  <c r="B287" i="9"/>
  <c r="E287" i="9" s="1"/>
  <c r="F285" i="9"/>
  <c r="D284" i="9"/>
  <c r="B283" i="9"/>
  <c r="E283" i="9" s="1"/>
  <c r="F281" i="9"/>
  <c r="D280" i="9"/>
  <c r="A279" i="9"/>
  <c r="C278" i="9"/>
  <c r="A277" i="9"/>
  <c r="C276" i="9"/>
  <c r="A275" i="9"/>
  <c r="C274" i="9"/>
  <c r="A273" i="9"/>
  <c r="C272" i="9"/>
  <c r="A271" i="9"/>
  <c r="C270" i="9"/>
  <c r="A269" i="9"/>
  <c r="C268" i="9"/>
  <c r="A267" i="9"/>
  <c r="C266" i="9"/>
  <c r="A265" i="9"/>
  <c r="C264" i="9"/>
  <c r="A263" i="9"/>
  <c r="C262" i="9"/>
  <c r="A261" i="9"/>
  <c r="C260" i="9"/>
  <c r="A259" i="9"/>
  <c r="C258" i="9"/>
  <c r="A257" i="9"/>
  <c r="C256" i="9"/>
  <c r="A255" i="9"/>
  <c r="C254" i="9"/>
  <c r="A253" i="9"/>
  <c r="C252" i="9"/>
  <c r="A251" i="9"/>
  <c r="C250" i="9"/>
  <c r="A249" i="9"/>
  <c r="C248" i="9"/>
  <c r="A247" i="9"/>
  <c r="C246" i="9"/>
  <c r="A245" i="9"/>
  <c r="C244" i="9"/>
  <c r="A243" i="9"/>
  <c r="C242" i="9"/>
  <c r="A241" i="9"/>
  <c r="C240" i="9"/>
  <c r="A239" i="9"/>
  <c r="C238" i="9"/>
  <c r="A237" i="9"/>
  <c r="C236" i="9"/>
  <c r="A235" i="9"/>
  <c r="C234" i="9"/>
  <c r="A233" i="9"/>
  <c r="C232" i="9"/>
  <c r="A231" i="9"/>
  <c r="C230" i="9"/>
  <c r="A229" i="9"/>
  <c r="C228" i="9"/>
  <c r="A227" i="9"/>
  <c r="C226" i="9"/>
  <c r="A225" i="9"/>
  <c r="C224" i="9"/>
  <c r="A223" i="9"/>
  <c r="C222" i="9"/>
  <c r="A221" i="9"/>
  <c r="C220" i="9"/>
  <c r="A219" i="9"/>
  <c r="C218" i="9"/>
  <c r="A217" i="9"/>
  <c r="C216" i="9"/>
  <c r="A215" i="9"/>
  <c r="C214" i="9"/>
  <c r="A213" i="9"/>
  <c r="C212" i="9"/>
  <c r="A211" i="9"/>
  <c r="C210" i="9"/>
  <c r="A209" i="9"/>
  <c r="C208" i="9"/>
  <c r="A207" i="9"/>
  <c r="C206" i="9"/>
  <c r="A205" i="9"/>
  <c r="C204" i="9"/>
  <c r="A203" i="9"/>
  <c r="C202" i="9"/>
  <c r="A201" i="9"/>
  <c r="C200" i="9"/>
  <c r="A199" i="9"/>
  <c r="C198" i="9"/>
  <c r="A197" i="9"/>
  <c r="C196" i="9"/>
  <c r="A195" i="9"/>
  <c r="C194" i="9"/>
  <c r="A193" i="9"/>
  <c r="C192" i="9"/>
  <c r="A191" i="9"/>
  <c r="C190" i="9"/>
  <c r="A189" i="9"/>
  <c r="C188" i="9"/>
  <c r="A187" i="9"/>
  <c r="C186" i="9"/>
  <c r="A185" i="9"/>
  <c r="C184" i="9"/>
  <c r="A183" i="9"/>
  <c r="C182" i="9"/>
  <c r="A181" i="9"/>
  <c r="C180" i="9"/>
  <c r="A179" i="9"/>
  <c r="C178" i="9"/>
  <c r="A177" i="9"/>
  <c r="C176" i="9"/>
  <c r="A175" i="9"/>
  <c r="C174" i="9"/>
  <c r="A173" i="9"/>
  <c r="C172" i="9"/>
  <c r="A171" i="9"/>
  <c r="C170" i="9"/>
  <c r="A169" i="9"/>
  <c r="C168" i="9"/>
  <c r="A167" i="9"/>
  <c r="C166" i="9"/>
  <c r="A165" i="9"/>
  <c r="C164" i="9"/>
  <c r="A163" i="9"/>
  <c r="C162" i="9"/>
  <c r="A161" i="9"/>
  <c r="C160" i="9"/>
  <c r="A159" i="9"/>
  <c r="C158" i="9"/>
  <c r="A157" i="9"/>
  <c r="C156" i="9"/>
  <c r="A155" i="9"/>
  <c r="C154" i="9"/>
  <c r="A153" i="9"/>
  <c r="C152" i="9"/>
  <c r="A151" i="9"/>
  <c r="C150" i="9"/>
  <c r="A149" i="9"/>
  <c r="C148" i="9"/>
  <c r="A147" i="9"/>
  <c r="C146" i="9"/>
  <c r="A145" i="9"/>
  <c r="C144" i="9"/>
  <c r="A143" i="9"/>
  <c r="C142" i="9"/>
  <c r="A141" i="9"/>
  <c r="C140" i="9"/>
  <c r="A139" i="9"/>
  <c r="C138" i="9"/>
  <c r="A137" i="9"/>
  <c r="C136" i="9"/>
  <c r="A135" i="9"/>
  <c r="C134" i="9"/>
  <c r="A133" i="9"/>
  <c r="C132" i="9"/>
  <c r="A131" i="9"/>
  <c r="C130" i="9"/>
  <c r="A129" i="9"/>
  <c r="C128" i="9"/>
  <c r="A127" i="9"/>
  <c r="C126" i="9"/>
  <c r="A125" i="9"/>
  <c r="C124" i="9"/>
  <c r="A123" i="9"/>
  <c r="C122" i="9"/>
  <c r="A121" i="9"/>
  <c r="C120" i="9"/>
  <c r="A119" i="9"/>
  <c r="C118" i="9"/>
  <c r="A117" i="9"/>
  <c r="C116" i="9"/>
  <c r="A115" i="9"/>
  <c r="C114" i="9"/>
  <c r="A113" i="9"/>
  <c r="C112" i="9"/>
  <c r="A111" i="9"/>
  <c r="C110" i="9"/>
  <c r="A109" i="9"/>
  <c r="C108" i="9"/>
  <c r="A107" i="9"/>
  <c r="C106" i="9"/>
  <c r="A105" i="9"/>
  <c r="C104" i="9"/>
  <c r="A103" i="9"/>
  <c r="C102" i="9"/>
  <c r="A101" i="9"/>
  <c r="C100" i="9"/>
  <c r="A99" i="9"/>
  <c r="C98" i="9"/>
  <c r="A97" i="9"/>
  <c r="C96" i="9"/>
  <c r="A95" i="9"/>
  <c r="C94" i="9"/>
  <c r="A93" i="9"/>
  <c r="C92" i="9"/>
  <c r="A91" i="9"/>
  <c r="C90" i="9"/>
  <c r="A89" i="9"/>
  <c r="C88" i="9"/>
  <c r="A87" i="9"/>
  <c r="C86" i="9"/>
  <c r="A85" i="9"/>
  <c r="C84" i="9"/>
  <c r="A83" i="9"/>
  <c r="C82" i="9"/>
  <c r="A81" i="9"/>
  <c r="C80" i="9"/>
  <c r="A79" i="9"/>
  <c r="C78" i="9"/>
  <c r="A77" i="9"/>
  <c r="C76" i="9"/>
  <c r="A75" i="9"/>
  <c r="C74" i="9"/>
  <c r="A73" i="9"/>
  <c r="C72" i="9"/>
  <c r="A71" i="9"/>
  <c r="C70" i="9"/>
  <c r="A69" i="9"/>
  <c r="C68" i="9"/>
  <c r="A67" i="9"/>
  <c r="C66" i="9"/>
  <c r="A65" i="9"/>
  <c r="C64" i="9"/>
  <c r="A63" i="9"/>
  <c r="C62" i="9"/>
  <c r="A61" i="9"/>
  <c r="C60" i="9"/>
  <c r="A59" i="9"/>
  <c r="C58" i="9"/>
  <c r="A57" i="9"/>
  <c r="C56" i="9"/>
  <c r="A55" i="9"/>
  <c r="C54" i="9"/>
  <c r="A53" i="9"/>
  <c r="C52" i="9"/>
  <c r="A51" i="9"/>
  <c r="C50" i="9"/>
  <c r="A49" i="9"/>
  <c r="C48" i="9"/>
  <c r="A47" i="9"/>
  <c r="C46" i="9"/>
  <c r="A45" i="9"/>
  <c r="C44" i="9"/>
  <c r="A43" i="9"/>
  <c r="C42" i="9"/>
  <c r="A41" i="9"/>
  <c r="C40" i="9"/>
  <c r="A39" i="9"/>
  <c r="C38" i="9"/>
  <c r="A37" i="9"/>
  <c r="C36" i="9"/>
  <c r="A35" i="9"/>
  <c r="C34" i="9"/>
  <c r="A33" i="9"/>
  <c r="C32" i="9"/>
  <c r="A31" i="9"/>
  <c r="C30" i="9"/>
  <c r="A29" i="9"/>
  <c r="C28" i="9"/>
  <c r="A27" i="9"/>
  <c r="C26" i="9"/>
  <c r="A25" i="9"/>
  <c r="C24" i="9"/>
  <c r="A23" i="9"/>
  <c r="C22" i="9"/>
  <c r="A21" i="9"/>
  <c r="C20" i="9"/>
  <c r="A19" i="9"/>
  <c r="C18" i="9"/>
  <c r="A17" i="9"/>
  <c r="C16" i="9"/>
  <c r="A15" i="9"/>
  <c r="C14" i="9"/>
  <c r="A13" i="9"/>
  <c r="C12" i="9"/>
  <c r="A11" i="9"/>
  <c r="C10" i="9"/>
  <c r="A9" i="9"/>
  <c r="C8" i="9"/>
  <c r="A7" i="9"/>
  <c r="C6" i="9"/>
  <c r="A5" i="9"/>
  <c r="C4" i="9"/>
  <c r="A3" i="9"/>
  <c r="C2" i="9"/>
  <c r="D2" i="11" l="1"/>
  <c r="E5" i="1"/>
  <c r="A28" i="1"/>
  <c r="A27" i="1"/>
  <c r="A26" i="1"/>
  <c r="A25" i="1"/>
  <c r="A24" i="1"/>
  <c r="A23" i="1"/>
  <c r="A22" i="1"/>
  <c r="A21" i="1"/>
  <c r="A20" i="1"/>
  <c r="A19" i="1"/>
  <c r="A18" i="1"/>
  <c r="A17" i="1"/>
  <c r="A16" i="1"/>
  <c r="A15" i="1"/>
  <c r="A14" i="1"/>
  <c r="B15" i="1" l="1"/>
  <c r="D15" i="1"/>
  <c r="C15" i="1"/>
  <c r="B27" i="1"/>
  <c r="D27" i="1"/>
  <c r="C27" i="1"/>
  <c r="B16" i="1"/>
  <c r="D16" i="1"/>
  <c r="C16" i="1"/>
  <c r="B20" i="1"/>
  <c r="D20" i="1"/>
  <c r="C20" i="1"/>
  <c r="B24" i="1"/>
  <c r="D24" i="1"/>
  <c r="C24" i="1"/>
  <c r="B28" i="1"/>
  <c r="D28" i="1"/>
  <c r="C28" i="1"/>
  <c r="B19" i="1"/>
  <c r="D19" i="1"/>
  <c r="C19" i="1"/>
  <c r="B23" i="1"/>
  <c r="D23" i="1"/>
  <c r="C23" i="1"/>
  <c r="B17" i="1"/>
  <c r="D17" i="1"/>
  <c r="C17" i="1"/>
  <c r="B21" i="1"/>
  <c r="D21" i="1"/>
  <c r="C21" i="1"/>
  <c r="B25" i="1"/>
  <c r="D25" i="1"/>
  <c r="C25" i="1"/>
  <c r="B14" i="1"/>
  <c r="D14" i="1"/>
  <c r="C14" i="1"/>
  <c r="B18" i="1"/>
  <c r="D18" i="1"/>
  <c r="C18" i="1"/>
  <c r="B22" i="1"/>
  <c r="D22" i="1"/>
  <c r="C22" i="1"/>
  <c r="B26" i="1"/>
  <c r="D26" i="1"/>
  <c r="C26" i="1"/>
  <c r="E36" i="1"/>
  <c r="D33" i="1"/>
  <c r="E32" i="1"/>
  <c r="D34" i="1"/>
  <c r="E33" i="1"/>
  <c r="D36" i="1"/>
  <c r="E35" i="1"/>
  <c r="D32" i="1"/>
  <c r="D35" i="1"/>
  <c r="E34" i="1"/>
</calcChain>
</file>

<file path=xl/sharedStrings.xml><?xml version="1.0" encoding="utf-8"?>
<sst xmlns="http://schemas.openxmlformats.org/spreadsheetml/2006/main" count="1413" uniqueCount="259">
  <si>
    <t>لوحة تحكم مستودع معمل المنظفات</t>
  </si>
  <si>
    <t>عدد الطبخات المسجلة: 43   |   عدد المواد الخام: 94   |   جميع الأرقام تُحدَّث تلقائياً</t>
  </si>
  <si>
    <t>إجمالي عدد المواد</t>
  </si>
  <si>
    <t>مواد برصيد سالب (تحتاج مراجعة)</t>
  </si>
  <si>
    <t>عدد الطبخات المعرّفة</t>
  </si>
  <si>
    <t>إجمالي عمليات الإدخال</t>
  </si>
  <si>
    <t>إجمالي عمليات الإنتاج</t>
  </si>
  <si>
    <t>إجمالي عمليات الصرف المباشر</t>
  </si>
  <si>
    <t>❌ تنبيه: مواد برصيد سالب - تحتاج مراجعة فورية</t>
  </si>
  <si>
    <t>اسم المادة</t>
  </si>
  <si>
    <t>الرصيد الحالي</t>
  </si>
  <si>
    <t>الوحدة</t>
  </si>
  <si>
    <t>الحالة</t>
  </si>
  <si>
    <t>📊 أكثر 5 مواد استهلاكاً</t>
  </si>
  <si>
    <t>🏆 أكثر 5 طبخات إنتاجاً</t>
  </si>
  <si>
    <t>إجمالي الاستهلاك</t>
  </si>
  <si>
    <t>اسم الطبخة</t>
  </si>
  <si>
    <t>عدد مرات الإنتاج</t>
  </si>
  <si>
    <t>🕓 آخر 5 عمليات إدخال (شراء)</t>
  </si>
  <si>
    <t>🕓 آخر 5 عمليات إنتاج</t>
  </si>
  <si>
    <t>التاريخ</t>
  </si>
  <si>
    <t>المادة</t>
  </si>
  <si>
    <t>الكمية</t>
  </si>
  <si>
    <t>الطبخة</t>
  </si>
  <si>
    <t>🕓 آخر 5 عمليات صرف مباشر</t>
  </si>
  <si>
    <t>وحدة القياس</t>
  </si>
  <si>
    <t>ملاحظات</t>
  </si>
  <si>
    <t>ايديتا</t>
  </si>
  <si>
    <t>كغ</t>
  </si>
  <si>
    <t>ايمولجين</t>
  </si>
  <si>
    <t>بربولين غيلمول</t>
  </si>
  <si>
    <t>بروبلين - فينب</t>
  </si>
  <si>
    <t>بلسم جامد</t>
  </si>
  <si>
    <t>بوتيل غليكول</t>
  </si>
  <si>
    <t>بيتائين</t>
  </si>
  <si>
    <t>تكسبون</t>
  </si>
  <si>
    <t>حبيبات ملونة</t>
  </si>
  <si>
    <t>حليب التين</t>
  </si>
  <si>
    <t>حمض الخل</t>
  </si>
  <si>
    <t>حمض الكبريت</t>
  </si>
  <si>
    <t>حمض الليمون</t>
  </si>
  <si>
    <t>دواء غسيل نصف مصنع</t>
  </si>
  <si>
    <t>ديباتيول فينب</t>
  </si>
  <si>
    <t>ديباتيول فينب (5)</t>
  </si>
  <si>
    <t>غ</t>
  </si>
  <si>
    <t>روح الخل</t>
  </si>
  <si>
    <t>زفتة</t>
  </si>
  <si>
    <t>زيت الصنوبر</t>
  </si>
  <si>
    <t>زيت صنوبر</t>
  </si>
  <si>
    <t>صبغة</t>
  </si>
  <si>
    <t>طبالي خشب</t>
  </si>
  <si>
    <t>عطر - غير محدد (بحاجة لتأكيد)</t>
  </si>
  <si>
    <t>عطر Blue APC - 0001198620</t>
  </si>
  <si>
    <t>عطر be-apple-000320</t>
  </si>
  <si>
    <t>عطر billionair-000250</t>
  </si>
  <si>
    <t>عطر energy-000400</t>
  </si>
  <si>
    <t>عطر kavien-clein-eforia-000020</t>
  </si>
  <si>
    <t>عطر magic sprel - 6168581</t>
  </si>
  <si>
    <t>عطر ramani-kodi-000110</t>
  </si>
  <si>
    <t>عطر أريل</t>
  </si>
  <si>
    <t>عطر ازهار الربيع</t>
  </si>
  <si>
    <t>عطر اوليفا</t>
  </si>
  <si>
    <t>عطر بانتين</t>
  </si>
  <si>
    <t>عطر برنس</t>
  </si>
  <si>
    <t>عطر تفاح</t>
  </si>
  <si>
    <t>عطر توليب</t>
  </si>
  <si>
    <t>عطر جوز الهند</t>
  </si>
  <si>
    <t>عطر زهور</t>
  </si>
  <si>
    <t>عطر سلطان</t>
  </si>
  <si>
    <t>عطر عسل</t>
  </si>
  <si>
    <t>عطر عود</t>
  </si>
  <si>
    <t>عطر فريز</t>
  </si>
  <si>
    <t>عطر ليمون</t>
  </si>
  <si>
    <t>عطر ليمون ماكسي</t>
  </si>
  <si>
    <t>عطر ماء الذهب</t>
  </si>
  <si>
    <t>عطر مسك</t>
  </si>
  <si>
    <t>عطر مسك احمر</t>
  </si>
  <si>
    <t>عطر نسيم المحيط</t>
  </si>
  <si>
    <t>عطر هامول</t>
  </si>
  <si>
    <t>عطر-ازهار-الربيع spring - 318643</t>
  </si>
  <si>
    <t>عطر-ببوري ultimate-mixture - 485797</t>
  </si>
  <si>
    <t>عطر-برنس</t>
  </si>
  <si>
    <t>عطر-توليب fresh-scent-amour - 485833</t>
  </si>
  <si>
    <t>عطر-رمان apple grandada - 322730</t>
  </si>
  <si>
    <t>عطر-زهور lovely-petals - 485718</t>
  </si>
  <si>
    <t>عطر-ليلك ariel-sensation - 318728</t>
  </si>
  <si>
    <t>عطر-ليمون citrus lemon new - 321639</t>
  </si>
  <si>
    <t>عطر-ليمون shiny-star - 485764</t>
  </si>
  <si>
    <t>غليسيرين</t>
  </si>
  <si>
    <t>فاتي كحول</t>
  </si>
  <si>
    <t>قطرونة</t>
  </si>
  <si>
    <t>كحول</t>
  </si>
  <si>
    <t>كحول (ايثانول)</t>
  </si>
  <si>
    <t>كلور خام</t>
  </si>
  <si>
    <t>كليمازول</t>
  </si>
  <si>
    <t>كمبرلان</t>
  </si>
  <si>
    <t>كوستيك-قطرونة</t>
  </si>
  <si>
    <t>لانيت 16 ماليزي</t>
  </si>
  <si>
    <t>ماء البلسم</t>
  </si>
  <si>
    <t>ماء مقطرة</t>
  </si>
  <si>
    <t>مانع رغوة سيليكون</t>
  </si>
  <si>
    <t>مانع رغوة مائي</t>
  </si>
  <si>
    <t>مجمد</t>
  </si>
  <si>
    <t>مقصب</t>
  </si>
  <si>
    <t>ملح</t>
  </si>
  <si>
    <t>أول ظهور (مساعد - لا يُعدَّل)</t>
  </si>
  <si>
    <t>ترتيب مضغوط (مساعد - لا يُعدَّل)</t>
  </si>
  <si>
    <t>دوا غسيل بودرا 157 كغ - ببوري</t>
  </si>
  <si>
    <t>دوا غسيل بودرا 45كغ مصنع</t>
  </si>
  <si>
    <t>دوا غسيل بودرا 60 كغ -عطر ببوري</t>
  </si>
  <si>
    <t>صابون سائل رمان - لافندر</t>
  </si>
  <si>
    <t>صابون سائل عود</t>
  </si>
  <si>
    <t>صابون سائل ماء الذهب</t>
  </si>
  <si>
    <t>صابون سادة</t>
  </si>
  <si>
    <t>طبخة الشامبو</t>
  </si>
  <si>
    <t>طبخة دوا غسيل بودرا</t>
  </si>
  <si>
    <t>طبخة قاشط</t>
  </si>
  <si>
    <t>عملاق 200 كغ</t>
  </si>
  <si>
    <t>لودلين تفاح أول</t>
  </si>
  <si>
    <t xml:space="preserve"> عطر-تفاح apple - 317691  شركة fs يجب السؤال أيضا للتاكيد</t>
  </si>
  <si>
    <t>اخضر</t>
  </si>
  <si>
    <t>لودلين تفاح ثالث</t>
  </si>
  <si>
    <t>ماء + ملح</t>
  </si>
  <si>
    <t>لودلين تفاح ثاني</t>
  </si>
  <si>
    <t>تم تحديد اسم العطر بناءً على اسم الطبخة (الملاحظة الأصلية فارغة) - يرجى التأكيد</t>
  </si>
  <si>
    <t>لودلين تفاح رابع</t>
  </si>
  <si>
    <t>لودلين سادة أول</t>
  </si>
  <si>
    <t>لودلين سادة أول 500 كغ</t>
  </si>
  <si>
    <t>لودلين سادة ثالث</t>
  </si>
  <si>
    <t>لودلين سادة ثاني</t>
  </si>
  <si>
    <t>لودلين سادة رابع</t>
  </si>
  <si>
    <t>لودلين فريز أول</t>
  </si>
  <si>
    <t>⚠ العطر غير مؤكد - الملاحظة الأصلية: "؟؟؟ لا نعلم ؟؟؟ يجب السؤال" - يرجى التأكيد مع المورد</t>
  </si>
  <si>
    <t>احمر</t>
  </si>
  <si>
    <t>لودلين فريز ثالث</t>
  </si>
  <si>
    <t>لودلين فريز ثاني</t>
  </si>
  <si>
    <t>لودلين فريز رابع</t>
  </si>
  <si>
    <t>لودلين ليلك أول</t>
  </si>
  <si>
    <t xml:space="preserve"> عطر-ازهار-الربيع spring - 318643</t>
  </si>
  <si>
    <t>بنفسجي</t>
  </si>
  <si>
    <t>لودلين ليلك ثالث</t>
  </si>
  <si>
    <t>لودلين ليلك ثاني</t>
  </si>
  <si>
    <t>لودلين ليلك رابع</t>
  </si>
  <si>
    <t>لودلين ليمون أول</t>
  </si>
  <si>
    <t>اصفر</t>
  </si>
  <si>
    <t>لودلين ليمون ثالث</t>
  </si>
  <si>
    <t>لودلين ليمون ثاني</t>
  </si>
  <si>
    <t xml:space="preserve"> عطر-ليمون shiny-star - 485764</t>
  </si>
  <si>
    <t>لودلين ليمون رابع</t>
  </si>
  <si>
    <t>ببوري</t>
  </si>
  <si>
    <t>معطر ارضيات أبيض - ازهار النرجس</t>
  </si>
  <si>
    <t>جزء من عملية خلط (الملاحظة الأصلية: ببوري 10 كغ + سبرينغ 10 كغ)</t>
  </si>
  <si>
    <t>معطر ارضيات ازرق - نسيم المحيط</t>
  </si>
  <si>
    <t>جزء من عملية خلط (الملاحظة الأصلية:  ocean-breeze 10كغ ببوري + 10 كغ نسيم المحيط )</t>
  </si>
  <si>
    <t>معطر ارضيات الليمون المنعش</t>
  </si>
  <si>
    <t>معطر ارضيات ببوري</t>
  </si>
  <si>
    <t>ببوري 20 كغ</t>
  </si>
  <si>
    <t>معطر ارضيات رائحة الجوري</t>
  </si>
  <si>
    <t xml:space="preserve"> عطر-زهور lovely-petals - 485718</t>
  </si>
  <si>
    <t>معطر ارضيات زهرة التوليب</t>
  </si>
  <si>
    <t xml:space="preserve"> عطر-توليب fresh-scent-amour - 485833</t>
  </si>
  <si>
    <t>معطر ارضيات موف او ليلك</t>
  </si>
  <si>
    <t xml:space="preserve"> عطر-ليلك ariel-sensation - 318728</t>
  </si>
  <si>
    <t>ملمع دواليب</t>
  </si>
  <si>
    <t>⚠ لا توجد معلومات كافية لتحديد نوع العطر - يرجى المراجعة وتحديد الاسم الصحيح</t>
  </si>
  <si>
    <t>ملمع زجاج 1000 كغ</t>
  </si>
  <si>
    <t>ملمع زجاج 150كغ</t>
  </si>
  <si>
    <t>ملمع زجاج 750 كغ</t>
  </si>
  <si>
    <t>رقم العملية</t>
  </si>
  <si>
    <t>المورد</t>
  </si>
  <si>
    <t>رقم الفاتورة</t>
  </si>
  <si>
    <t>-</t>
  </si>
  <si>
    <t>الجهة المستفيدة</t>
  </si>
  <si>
    <t>أبو خليل</t>
  </si>
  <si>
    <t>الرصيد النظامي (قبل هذا التعديل)</t>
  </si>
  <si>
    <t>الكمية الفعلية (الجرد)</t>
  </si>
  <si>
    <t>الفرق</t>
  </si>
  <si>
    <t>سبب التعديل</t>
  </si>
  <si>
    <t>فقدان</t>
  </si>
  <si>
    <t>إجمالي الاستهلاك (كل الوقت)</t>
  </si>
  <si>
    <t>حالة الرصيد</t>
  </si>
  <si>
    <t>ترتيب مساعد (لا يُعدَّل)</t>
  </si>
  <si>
    <t>نوع الحركة</t>
  </si>
  <si>
    <t>المرجع (طبخة/مورد/جهة/سبب)</t>
  </si>
  <si>
    <t>الكمية (+ إدخال / - إخراج)</t>
  </si>
  <si>
    <t>ملاحظة: هذه الصفحة مضغوطة تلقائياً (بدون فراغات) وتعرض العمليات الأربع كلها - شراء، ثم صرف مباشر، ثم إنتاج، ثم تعديل جرد - كل نوع بترتيب إدخاله. للعرض حسب التاريخ فقط استخدم عامل التصفية/الفرز على عمود "التاريخ".</t>
  </si>
  <si>
    <t>دليل استخدام نظام إدارة مستودع معمل المنظفات</t>
  </si>
  <si>
    <t>فكرة النظام</t>
  </si>
  <si>
    <t>كل صفحة تخدم غرضاً واحداً محدداً. النظام يعتمد بالكامل على اسم المادة (بدون أكواد)، ولا تُكتب أي كمية أو رصيد يدوياً في صفحتي "الرصيد الحالي" و"سجل الحركات" — فهما محسوبتان بالكامل تلقائياً وهما الصفحتان الوحيدتان المحميتان من التعديل في هذا الملف. جميع الصفحات الأخرى قابلة للتعديل بالكامل.</t>
  </si>
  <si>
    <t>ترتيب العمل اليومي الموصى به</t>
  </si>
  <si>
    <t>1. عند شراء مواد خام: سجّلها في صفحة "الإدخالات".</t>
  </si>
  <si>
    <t>2. عند تصنيع دفعة من طبخة معينة: سجّل عملية واحدة في صفحة "سجل الإنتاج" باختيار اسم الطبخة فقط. يقوم النظام بحساب استهلاك كل مادة تلقائياً حسب صفحة "الطبخات". كل عملية تصنيع تُسجَّل كسجل مستقل بنفس كميات الوصفة الأساسية (دون إدخال عدد مرات التشغيل).</t>
  </si>
  <si>
    <t>3. عند صرف مادة خام مباشرة دون تصنيع: سجّلها في صفحة "الصرف المباشر".</t>
  </si>
  <si>
    <t>4. عند إجراء جرد فعلي ووجود فرق: سجّل الفرق في صفحة "تعديل الجرد" فقط — لا تُعدَّل الأرصدة يدوياً أبداً.</t>
  </si>
  <si>
    <t>5. راجع صفحة "لوحة التحكم" يومياً لمتابعة التنبيهات والمواد ذات الرصيد السالب.</t>
  </si>
  <si>
    <t>كيف يُحسب الرصيد الحالي لأي مادة؟</t>
  </si>
  <si>
    <t>الرصيد = (إجمالي المشتريات) + (إجمالي فروقات الجرد) − (إجمالي الصرف المباشر) − (إجمالي الاستهلاك عبر الإنتاج المحسوب من مكونات كل طبخة × عدد مرات إنتاجها فعلياً).</t>
  </si>
  <si>
    <t>تعتمد جميع صفحات النظام (المواد، الرصيد الحالي، تعديل الجرد، الصرف المباشر، لوحة التحكم) على نفس آلية الحساب هذه بالضبط دون أي اختلاف بينها، لضمان تطابق الأرقام في كل مكان.</t>
  </si>
  <si>
    <t>إضافة مادة خام جديدة</t>
  </si>
  <si>
    <t>1. اذهب إلى صفحة "المواد" وأضف سطراً جديداً باسم فريد (غير مكرر) ووحدة القياس. هذا كل ما تحتاجه — تصبح المادة متاحة فوراً في كل القوائم المنسدلة بجميع الصفحات (الطبخات، الإدخالات، الصرف المباشر، تعديل الجرد) دون أي خطوة إضافية، لأن كل القوائم مرتبطة مباشرة بصفحة المواد نفسها.</t>
  </si>
  <si>
    <t>ملاحظة: إن كتبت اسماً مكرراً في صفحة المواد فسيظهر بلون أحمر تلقائياً تنبيهاً لك.</t>
  </si>
  <si>
    <t>تنبيه بخصوص الحذف: لا يوجد حالياً حذف تلقائي مرتبط — إن حذفت مادة من صفحة "المواد" بينما ما زالت مستخدمة في طبخة أو سجل عمليات، ستظهر تلك الخانة بلون أحمر في صفحتها لتنبيهك أن المادة لم تعد موجودة، حتى تقوم بتصحيحها يدوياً هناك.</t>
  </si>
  <si>
    <t>إضافة طبخة جديدة</t>
  </si>
  <si>
    <t>1. اذهب مباشرة إلى صفحة "الطبخات" واكتب اسم الطبخة الجديدة في عمود "اسم الطبخة" (بلا أي قائمة منسدلة مقيّدة هنا، لأن هذه هي الصفحة التي تُعرَّف فيها الطبخات لأول مرة).</t>
  </si>
  <si>
    <t>2. أضف سطراً لكل مادة تدخل في هذه الطبخة مع كميتها.</t>
  </si>
  <si>
    <t>3. أصبحت الطبخة متاحة تلقائياً للاختيار في صفحة "سجل الإنتاج" دون أي خطوة إضافية.</t>
  </si>
  <si>
    <t>ملاحظة حول مادة العطور بعد إعادة الهيكلة</t>
  </si>
  <si>
    <t>تم استبدال المادة العامة "عطر" بأسماء العطور الحقيقية المستخرجة من حقل الملاحظات في الملف الأصلي (مثل: عطر ببوري، عطر ليمون، عطر تفاح، عطر ازهار الربيع، عطر نسيم المحيط، عطر ماء الذهب، عطر عود، عطر رمان - لافندر، عطر فريز). في بعض الأسطر التي لم تحتوِ الملاحظة الأصلية على اسم واضح للعطر، تم استنتاج الاسم من اسم الطبخة نفسها، وتمت الإشارة إلى ذلك في عمود الملاحظات بعبارة "يرجى التأكيد". كما توجد مادة واحدة باسم "عطر - غير محدد (بحاجة لتأكيد)" في طبخة "ملمع دواليب" لعدم توفر أي معلومة تسمح بتحديد نوعه — يُفضّل مراجعتها وتصحيح اسمها الحقيقي في صفحتي "المواد" و"الطبخات" عند معرفته.</t>
  </si>
  <si>
    <t>القوائم المنسدلة الذكية (المواد والطبخات)</t>
  </si>
  <si>
    <t>خانات "المادة" في جميع الصفحات مرتبطة مباشرة بصفحة "المواد" (وليس بأي نسخة منفصلة)، وخانة "اسم الطبخة" في صفحة "سجل الإنتاج" مرتبطة تلقائياً بكل الأسماء الموجودة فعلياً في صفحة "الطبخات". في Excel، عند فتح القائمة المنسدلة وكتابة أول حرف أو أكثر، يقوم Excel تلقائياً بتصفية العناصر المطابقة أثناء الكتابة — وهذه خاصية مدمجة في Excel ولا تحتاج أي إعداد إضافي.</t>
  </si>
  <si>
    <t>وسائل الحماية والتحقق المطبّقة</t>
  </si>
  <si>
    <t>• جميع أسماء المواد والطبخات تُختار من قوائم منسدلة فقط، ولا يمكن كتابة اسم غير موجود.</t>
  </si>
  <si>
    <t>• لا يُسمح بإدخال كميات سالبة أو صفرية في عمليات الشراء والصرف.</t>
  </si>
  <si>
    <t>• صفحة "الصرف المباشر" تمنع تسجيل كمية أكبر من الرصيد المتاح فعلياً لتلك المادة لحظة الإدخال.</t>
  </si>
  <si>
    <t>• الصفوف التي بها بيانات ناقصة تُميَّز تلقائياً بلون برتقالي فاتح، وتكرار المادة داخل نفس الطبخة يُميَّز بلون أحمر فاتح.</t>
  </si>
  <si>
    <t>• صفحتا "الرصيد الحالي" و"سجل الحركات" فقط محميتان بالكامل ولا يمكن تعديلهما يدوياً — كل خلاياهما معادلات. جميع الصفحات الأخرى غير محمية ويمكن تعديلها بحرية.</t>
  </si>
  <si>
    <t>• لا يوجد أي تحقق من التاريخ — يمكن إدخال أي تاريخ تريده في جميع السجلات.</t>
  </si>
  <si>
    <t>ملاحظة حول صفحة "سجل الحركات"</t>
  </si>
  <si>
    <t>لضمان الاستقرار والدقة دون استخدام وحدات ماكرو (VBA)، تعرض هذه الصفحة عمليات الشراء والصرف المباشر وتعديلات الجرد بكامل تفاصيلها، بينما تعرض كل عملية إنتاج كسطر واحد يمثل الطبخة، لأنها تستهلك عدة مواد دفعة واحدة. للاطلاع على تفاصيل المواد المستهلكة في أي طبخة، راجع صفحة "الطبخات". هذا لا يؤثر على دقة الأرصدة في صفحة "الرصيد الحالي" لأنها تُحسب من كل مادة فعلياً في كل طبخة.</t>
  </si>
  <si>
    <t>التقارير الشهرية والسنوية</t>
  </si>
  <si>
    <t>لا حاجة لإنشاء نسخة جديدة من الملف كل شهر أو سنة. استخدم عامل التصفية (Filter) في عمود "التاريخ" بأي من صفحات السجلات لعرض فترة محددة، أو أنشئ جدول محوري (PivotTable) لتلخيص الحركة شهرياً أو سنوياً دون التأثير على البيانات الأصلية.</t>
  </si>
  <si>
    <t>سعة النظام الحالية (قابلة للتوسعة)</t>
  </si>
  <si>
    <t>• صفحة المواد: حتى 319 مادة.   • صفحة الطبخات: حتى 899 سطر مكوّن.   • كل سجل عمليات: حتى 500 عملية.</t>
  </si>
  <si>
    <t>عند الاقتراب من هذه الحدود، انسخ صيغ آخر سطر إلى أسطر جديدة أسفلها — الصيغ مصممة لتُنسخ بسهولة.</t>
  </si>
  <si>
    <t>مرآة المواد (مساعد)</t>
  </si>
  <si>
    <t>قائمة الطبخات (مستخرجة تلقائياً من صفحة الطبخات)</t>
  </si>
  <si>
    <t>عدد مرات الإنتاج (بجانب B)</t>
  </si>
  <si>
    <t>إجمالي الاستهلاك (بجانب A)</t>
  </si>
  <si>
    <t>ترتيب مضغوط</t>
  </si>
  <si>
    <t>طبخة الاندومي</t>
  </si>
  <si>
    <t xml:space="preserve">مجمد </t>
  </si>
  <si>
    <t xml:space="preserve">ماء بلسم </t>
  </si>
  <si>
    <t>فورمول ( سم )</t>
  </si>
  <si>
    <t xml:space="preserve">عطر-نسيم-المحيط ocean-breeze - 327993 </t>
  </si>
  <si>
    <t xml:space="preserve">عطر-سلطان </t>
  </si>
  <si>
    <t xml:space="preserve">عطر-تفاح apple - 317691 </t>
  </si>
  <si>
    <t xml:space="preserve">عبوة 1 لتر </t>
  </si>
  <si>
    <t xml:space="preserve">صودا أش </t>
  </si>
  <si>
    <t xml:space="preserve">صبغة </t>
  </si>
  <si>
    <t xml:space="preserve">سيليكات سائلة </t>
  </si>
  <si>
    <t xml:space="preserve">حبيبات ملونة </t>
  </si>
  <si>
    <t xml:space="preserve">بيدون 4 لتر </t>
  </si>
  <si>
    <t>اسيد - روح الملح - حمض كلور الماء</t>
  </si>
  <si>
    <t>اسيتون</t>
  </si>
  <si>
    <t>لصاقة طابعة</t>
  </si>
  <si>
    <t>كريك بلاستيك</t>
  </si>
  <si>
    <t>فازلين</t>
  </si>
  <si>
    <t xml:space="preserve">عبوات كلور + فلاش فارغة </t>
  </si>
  <si>
    <t>عبوات شفافة 3 لتر</t>
  </si>
  <si>
    <t>عبوات حليبي</t>
  </si>
  <si>
    <t>ديتول خام</t>
  </si>
  <si>
    <t>عدد</t>
  </si>
  <si>
    <t>تنزيل البيانات لأول مرة</t>
  </si>
  <si>
    <t>امين</t>
  </si>
  <si>
    <t>كوستيك-قطرونة-قطرونة</t>
  </si>
  <si>
    <t>عطر-رمان apple grandada - 322730 - لافندر</t>
  </si>
  <si>
    <t>ماء مقطرة + ملح</t>
  </si>
  <si>
    <t>أبو خليل ميسشنتبشب شس</t>
  </si>
  <si>
    <t>منشان نيسشتبكبي مككيللتكمشسيتب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</si>
</sst>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quot;&quot;"/>
    <numFmt numFmtId="165" formatCode="yyyy\-mm\-dd"/>
    <numFmt numFmtId="166" formatCode="#,##0.###"/>
    <numFmt numFmtId="167" formatCode="\+#,##0.###;\-#,##0.###;&quot;&quot;"/>
  </numFmts>
  <fonts count="15">
    <font>
      <sz val="11"/>
      <color theme="1"/>
      <name val="Arial"/>
      <family val="2"/>
      <scheme val="minor"/>
    </font>
    <font>
      <b/>
      <sz val="13"/>
      <color rgb="FFFFFFFF"/>
      <name val="Cairo"/>
    </font>
    <font>
      <sz val="12"/>
      <color rgb="FF1155CC"/>
      <name val="Cairo"/>
    </font>
    <font>
      <sz val="12"/>
      <color rgb="FF000000"/>
      <name val="Cairo"/>
    </font>
    <font>
      <i/>
      <sz val="11"/>
      <color rgb="FF7F7F7F"/>
      <name val="Cairo"/>
    </font>
    <font>
      <b/>
      <sz val="20"/>
      <color rgb="FF1F3864"/>
      <name val="Cairo"/>
    </font>
    <font>
      <b/>
      <sz val="11"/>
      <color rgb="FFFFFFFF"/>
      <name val="Cairo"/>
    </font>
    <font>
      <b/>
      <sz val="22"/>
      <color rgb="FF1F3864"/>
      <name val="Cairo"/>
    </font>
    <font>
      <b/>
      <sz val="22"/>
      <color rgb="FFC00000"/>
      <name val="Cairo"/>
    </font>
    <font>
      <b/>
      <sz val="22"/>
      <color rgb="FF2E7D32"/>
      <name val="Cairo"/>
    </font>
    <font>
      <b/>
      <sz val="22"/>
      <color rgb="FF2E5395"/>
      <name val="Cairo"/>
    </font>
    <font>
      <b/>
      <sz val="22"/>
      <color rgb="FFB45F06"/>
      <name val="Cairo"/>
    </font>
    <font>
      <b/>
      <sz val="22"/>
      <color rgb="FF7030A0"/>
      <name val="Cairo"/>
    </font>
    <font>
      <b/>
      <sz val="14"/>
      <color rgb="FF1F3864"/>
      <name val="Cairo"/>
    </font>
    <font>
      <sz val="12"/>
      <name val="Cairo"/>
    </font>
  </fonts>
  <fills count="9">
    <fill>
      <patternFill patternType="none"/>
    </fill>
    <fill>
      <patternFill patternType="gray125"/>
    </fill>
    <fill>
      <patternFill patternType="solid">
        <fgColor rgb="FF1F3864"/>
      </patternFill>
    </fill>
    <fill>
      <patternFill patternType="solid">
        <fgColor rgb="FFF2F2F2"/>
      </patternFill>
    </fill>
    <fill>
      <patternFill patternType="solid">
        <fgColor rgb="FFC00000"/>
      </patternFill>
    </fill>
    <fill>
      <patternFill patternType="solid">
        <fgColor rgb="FF2E7D32"/>
      </patternFill>
    </fill>
    <fill>
      <patternFill patternType="solid">
        <fgColor rgb="FF2E5395"/>
      </patternFill>
    </fill>
    <fill>
      <patternFill patternType="solid">
        <fgColor rgb="FFB45F06"/>
      </patternFill>
    </fill>
    <fill>
      <patternFill patternType="solid">
        <fgColor rgb="FF7030A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1">
    <xf numFmtId="0" fontId="0" fillId="0" borderId="0" xfId="0"/>
    <xf numFmtId="0" fontId="13" fillId="0" borderId="0" xfId="0" applyFont="1"/>
    <xf numFmtId="0" fontId="1" fillId="2" borderId="1" xfId="0" applyFont="1" applyFill="1" applyBorder="1" applyAlignment="1">
      <alignment horizontal="center" vertical="center" wrapText="1"/>
    </xf>
    <xf numFmtId="0" fontId="3" fillId="0" borderId="1" xfId="0" applyFont="1" applyBorder="1" applyAlignment="1">
      <alignment horizontal="right" vertical="center"/>
    </xf>
    <xf numFmtId="164" fontId="3" fillId="0" borderId="1" xfId="0" applyNumberFormat="1" applyFont="1" applyBorder="1" applyAlignment="1">
      <alignment horizontal="center" vertical="center"/>
    </xf>
    <xf numFmtId="0" fontId="3" fillId="0" borderId="1" xfId="0" applyFont="1" applyBorder="1" applyAlignment="1">
      <alignment horizontal="center" vertical="center"/>
    </xf>
    <xf numFmtId="3" fontId="3" fillId="0" borderId="1" xfId="0" applyNumberFormat="1" applyFont="1" applyBorder="1" applyAlignment="1">
      <alignment horizontal="center" vertical="center"/>
    </xf>
    <xf numFmtId="0" fontId="2" fillId="0" borderId="1" xfId="0" applyFont="1" applyBorder="1" applyAlignment="1">
      <alignment horizontal="center" vertical="center"/>
    </xf>
    <xf numFmtId="165" fontId="3" fillId="0" borderId="1" xfId="0" applyNumberFormat="1" applyFont="1" applyBorder="1" applyAlignment="1">
      <alignment horizontal="center" vertical="center"/>
    </xf>
    <xf numFmtId="0" fontId="2" fillId="0" borderId="1" xfId="0" applyFont="1" applyBorder="1" applyAlignment="1">
      <alignment horizontal="right" vertical="center"/>
    </xf>
    <xf numFmtId="164" fontId="3" fillId="3" borderId="1" xfId="0" applyNumberFormat="1" applyFont="1" applyFill="1" applyBorder="1" applyAlignment="1">
      <alignment horizontal="center" vertical="center"/>
    </xf>
    <xf numFmtId="0" fontId="2" fillId="0" borderId="1" xfId="0" applyFont="1" applyBorder="1" applyAlignment="1">
      <alignment horizontal="right"/>
    </xf>
    <xf numFmtId="0" fontId="2" fillId="0" borderId="1" xfId="0" applyFont="1" applyBorder="1" applyAlignment="1">
      <alignment horizontal="center"/>
    </xf>
    <xf numFmtId="164" fontId="2" fillId="3" borderId="1" xfId="0" applyNumberFormat="1" applyFont="1" applyFill="1" applyBorder="1" applyAlignment="1">
      <alignment horizontal="center"/>
    </xf>
    <xf numFmtId="0" fontId="1" fillId="2" borderId="0" xfId="0" applyFont="1" applyFill="1" applyAlignment="1">
      <alignment horizontal="center" wrapText="1"/>
    </xf>
    <xf numFmtId="166" fontId="2" fillId="0" borderId="1" xfId="0" applyNumberFormat="1" applyFont="1" applyBorder="1" applyAlignment="1">
      <alignment horizontal="center" vertical="center"/>
    </xf>
    <xf numFmtId="0" fontId="3" fillId="3" borderId="1" xfId="0" applyFont="1" applyFill="1" applyBorder="1" applyAlignment="1">
      <alignment horizontal="center" vertical="center"/>
    </xf>
    <xf numFmtId="0" fontId="2" fillId="3" borderId="1" xfId="0" applyFont="1" applyFill="1" applyBorder="1" applyAlignment="1">
      <alignment horizontal="center"/>
    </xf>
    <xf numFmtId="165" fontId="2" fillId="0" borderId="1" xfId="0" applyNumberFormat="1" applyFont="1" applyBorder="1" applyAlignment="1">
      <alignment horizontal="center" vertical="center"/>
    </xf>
    <xf numFmtId="167" fontId="3" fillId="3" borderId="1" xfId="0" applyNumberFormat="1" applyFont="1" applyFill="1" applyBorder="1" applyAlignment="1">
      <alignment horizontal="center" vertical="center"/>
    </xf>
    <xf numFmtId="0" fontId="4" fillId="0" borderId="0" xfId="0" applyFont="1"/>
    <xf numFmtId="167" fontId="3" fillId="0" borderId="1" xfId="0" applyNumberFormat="1" applyFont="1" applyBorder="1" applyAlignment="1">
      <alignment horizontal="center" vertical="center"/>
    </xf>
    <xf numFmtId="0" fontId="14" fillId="0" borderId="0" xfId="0" applyFont="1" applyAlignment="1">
      <alignment horizontal="right" vertical="center" wrapText="1"/>
    </xf>
    <xf numFmtId="165" fontId="0" fillId="0" borderId="0" xfId="0" applyNumberFormat="1"/>
    <xf numFmtId="167" fontId="0" fillId="0" borderId="0" xfId="0" applyNumberFormat="1"/>
    <xf numFmtId="0" fontId="13" fillId="0" borderId="0" xfId="0" applyFont="1"/>
    <xf numFmtId="0" fontId="0" fillId="0" borderId="0" xfId="0"/>
    <xf numFmtId="3" fontId="8" fillId="0" borderId="0" xfId="0" applyNumberFormat="1" applyFont="1" applyAlignment="1">
      <alignment horizontal="center" vertical="center"/>
    </xf>
    <xf numFmtId="3" fontId="9" fillId="0" borderId="0" xfId="0" applyNumberFormat="1" applyFont="1" applyAlignment="1">
      <alignment horizontal="center" vertical="center"/>
    </xf>
    <xf numFmtId="3" fontId="12" fillId="0" borderId="0" xfId="0" applyNumberFormat="1" applyFont="1" applyAlignment="1">
      <alignment horizontal="center" vertical="center"/>
    </xf>
    <xf numFmtId="0" fontId="6" fillId="4" borderId="0" xfId="0" applyFont="1" applyFill="1" applyAlignment="1">
      <alignment horizontal="center" vertical="center" wrapText="1"/>
    </xf>
    <xf numFmtId="0" fontId="4" fillId="0" borderId="0" xfId="0" applyFont="1" applyAlignment="1">
      <alignment horizontal="center"/>
    </xf>
    <xf numFmtId="0" fontId="6" fillId="5" borderId="0" xfId="0" applyFont="1" applyFill="1" applyAlignment="1">
      <alignment horizontal="center" vertical="center" wrapText="1"/>
    </xf>
    <xf numFmtId="0" fontId="6" fillId="6" borderId="0" xfId="0" applyFont="1" applyFill="1" applyAlignment="1">
      <alignment horizontal="center" vertical="center" wrapText="1"/>
    </xf>
    <xf numFmtId="3" fontId="7" fillId="0" borderId="0" xfId="0" applyNumberFormat="1" applyFont="1" applyAlignment="1">
      <alignment horizontal="center" vertical="center"/>
    </xf>
    <xf numFmtId="3" fontId="10" fillId="0" borderId="0" xfId="0" applyNumberFormat="1" applyFont="1" applyAlignment="1">
      <alignment horizontal="center" vertical="center"/>
    </xf>
    <xf numFmtId="3" fontId="11" fillId="0" borderId="0" xfId="0" applyNumberFormat="1" applyFont="1" applyAlignment="1">
      <alignment horizontal="center" vertical="center"/>
    </xf>
    <xf numFmtId="0" fontId="6" fillId="2" borderId="0" xfId="0" applyFont="1" applyFill="1" applyAlignment="1">
      <alignment horizontal="center" vertical="center" wrapText="1"/>
    </xf>
    <xf numFmtId="0" fontId="6" fillId="7" borderId="0" xfId="0" applyFont="1" applyFill="1" applyAlignment="1">
      <alignment horizontal="center" vertical="center" wrapText="1"/>
    </xf>
    <xf numFmtId="0" fontId="6" fillId="8" borderId="0" xfId="0" applyFont="1" applyFill="1" applyAlignment="1">
      <alignment horizontal="center" vertical="center" wrapText="1"/>
    </xf>
    <xf numFmtId="0" fontId="5" fillId="0" borderId="0" xfId="0" applyFont="1" applyAlignment="1">
      <alignment horizontal="center" vertical="center"/>
    </xf>
  </cellXfs>
  <cellStyles count="1">
    <cellStyle name="عادي" xfId="0" builtinId="0"/>
  </cellStyles>
  <dxfs count="23">
    <dxf>
      <fill>
        <patternFill patternType="solid">
          <fgColor rgb="FFFCE4E4"/>
        </patternFill>
      </fill>
    </dxf>
    <dxf>
      <fill>
        <patternFill patternType="solid">
          <fgColor rgb="FFFCE4E4"/>
        </patternFill>
      </fill>
    </dxf>
    <dxf>
      <fill>
        <patternFill patternType="solid">
          <fgColor rgb="FFFCEBCB"/>
        </patternFill>
      </fill>
    </dxf>
    <dxf>
      <fill>
        <patternFill patternType="solid">
          <fgColor rgb="FFD9E2F3"/>
        </patternFill>
      </fill>
    </dxf>
    <dxf>
      <fill>
        <patternFill patternType="solid">
          <fgColor rgb="FFFCE4E4"/>
        </patternFill>
      </fill>
    </dxf>
    <dxf>
      <fill>
        <patternFill patternType="solid">
          <fgColor rgb="FFE2F0D9"/>
        </patternFill>
      </fill>
    </dxf>
    <dxf>
      <fill>
        <patternFill patternType="solid">
          <fgColor rgb="FFE2F0D9"/>
        </patternFill>
      </fill>
    </dxf>
    <dxf>
      <fill>
        <patternFill patternType="solid">
          <fgColor rgb="FFFCE4E4"/>
        </patternFill>
      </fill>
    </dxf>
    <dxf>
      <fill>
        <patternFill patternType="solid">
          <fgColor rgb="FFE2F0D9"/>
        </patternFill>
      </fill>
    </dxf>
    <dxf>
      <fill>
        <patternFill patternType="solid">
          <fgColor rgb="FFFCE4E4"/>
        </patternFill>
      </fill>
    </dxf>
    <dxf>
      <fill>
        <patternFill patternType="solid">
          <fgColor rgb="FFFCE4E4"/>
        </patternFill>
      </fill>
    </dxf>
    <dxf>
      <fill>
        <patternFill patternType="solid">
          <fgColor rgb="FFFCEBCB"/>
        </patternFill>
      </fill>
    </dxf>
    <dxf>
      <fill>
        <patternFill patternType="solid">
          <fgColor rgb="FFFCE4E4"/>
        </patternFill>
      </fill>
    </dxf>
    <dxf>
      <fill>
        <patternFill patternType="solid">
          <fgColor rgb="FFFCEBCB"/>
        </patternFill>
      </fill>
    </dxf>
    <dxf>
      <fill>
        <patternFill patternType="solid">
          <fgColor rgb="FFFCE4E4"/>
        </patternFill>
      </fill>
    </dxf>
    <dxf>
      <fill>
        <patternFill patternType="solid">
          <fgColor rgb="FFFCEBCB"/>
        </patternFill>
      </fill>
    </dxf>
    <dxf>
      <fill>
        <patternFill patternType="solid">
          <fgColor rgb="FFFCE4E4"/>
        </patternFill>
      </fill>
    </dxf>
    <dxf>
      <fill>
        <patternFill patternType="solid">
          <fgColor rgb="FFFCEBCB"/>
        </patternFill>
      </fill>
    </dxf>
    <dxf>
      <fill>
        <patternFill patternType="solid">
          <fgColor rgb="FFFCEBCB"/>
        </patternFill>
      </fill>
    </dxf>
    <dxf>
      <fill>
        <patternFill patternType="solid">
          <fgColor rgb="FFFCE4E4"/>
        </patternFill>
      </fill>
    </dxf>
    <dxf>
      <fill>
        <patternFill patternType="solid">
          <fgColor rgb="FFFCE4E4"/>
        </patternFill>
      </fill>
    </dxf>
    <dxf>
      <fill>
        <patternFill patternType="solid">
          <fgColor rgb="FFFCE4E4"/>
        </patternFill>
      </fill>
    </dxf>
    <dxf>
      <fill>
        <patternFill patternType="solid">
          <fgColor rgb="FFFCE4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F52"/>
  <sheetViews>
    <sheetView showGridLines="0" rightToLeft="1" workbookViewId="0">
      <selection sqref="A1:F1"/>
    </sheetView>
  </sheetViews>
  <sheetFormatPr defaultRowHeight="14.25"/>
  <cols>
    <col min="1" max="1" width="26" customWidth="1"/>
    <col min="2" max="6" width="20" customWidth="1"/>
  </cols>
  <sheetData>
    <row r="1" spans="1:6" ht="36" customHeight="1">
      <c r="A1" s="40" t="s">
        <v>0</v>
      </c>
      <c r="B1" s="26"/>
      <c r="C1" s="26"/>
      <c r="D1" s="26"/>
      <c r="E1" s="26"/>
      <c r="F1" s="26"/>
    </row>
    <row r="2" spans="1:6" ht="21.95" customHeight="1">
      <c r="A2" s="31" t="s">
        <v>1</v>
      </c>
      <c r="B2" s="26"/>
      <c r="C2" s="26"/>
      <c r="D2" s="26"/>
      <c r="E2" s="26"/>
      <c r="F2" s="26"/>
    </row>
    <row r="4" spans="1:6" ht="30" customHeight="1">
      <c r="A4" s="37" t="s">
        <v>2</v>
      </c>
      <c r="B4" s="26"/>
      <c r="C4" s="30" t="s">
        <v>3</v>
      </c>
      <c r="D4" s="26"/>
      <c r="E4" s="32" t="s">
        <v>4</v>
      </c>
      <c r="F4" s="26"/>
    </row>
    <row r="5" spans="1:6" ht="36" customHeight="1">
      <c r="A5" s="34">
        <f>COUNTA(المواد!$A$2:$A$320)</f>
        <v>74</v>
      </c>
      <c r="B5" s="26"/>
      <c r="C5" s="27">
        <f>COUNTIF('الرصيد الحالي'!$E$2:$E$320,"❌*")</f>
        <v>0</v>
      </c>
      <c r="D5" s="26"/>
      <c r="E5" s="28">
        <f>COUNTIF(قوائم!$B$2:$B$150,"?*")</f>
        <v>44</v>
      </c>
      <c r="F5" s="26"/>
    </row>
    <row r="7" spans="1:6" ht="30" customHeight="1">
      <c r="A7" s="33" t="s">
        <v>5</v>
      </c>
      <c r="B7" s="26"/>
      <c r="C7" s="38" t="s">
        <v>6</v>
      </c>
      <c r="D7" s="26"/>
      <c r="E7" s="39" t="s">
        <v>7</v>
      </c>
      <c r="F7" s="26"/>
    </row>
    <row r="8" spans="1:6" ht="36" customHeight="1">
      <c r="A8" s="35">
        <f>COUNTA(الإدخالات!$C$2:$C$501)</f>
        <v>74</v>
      </c>
      <c r="B8" s="26"/>
      <c r="C8" s="36">
        <f>COUNTA('سجل الإنتاج'!$C$2:$C$501)</f>
        <v>1</v>
      </c>
      <c r="D8" s="26"/>
      <c r="E8" s="29">
        <f>COUNTA('الصرف المباشر'!$C$2:$C$501)</f>
        <v>2</v>
      </c>
      <c r="F8" s="26"/>
    </row>
    <row r="12" spans="1:6" ht="26.1" customHeight="1">
      <c r="A12" s="25" t="s">
        <v>8</v>
      </c>
      <c r="B12" s="26"/>
      <c r="C12" s="26"/>
      <c r="D12" s="26"/>
      <c r="E12" s="26"/>
      <c r="F12" s="26"/>
    </row>
    <row r="13" spans="1:6" ht="21.95" customHeight="1">
      <c r="A13" s="2" t="s">
        <v>9</v>
      </c>
      <c r="B13" s="2" t="s">
        <v>10</v>
      </c>
      <c r="C13" s="2" t="s">
        <v>11</v>
      </c>
      <c r="D13" s="2" t="s">
        <v>12</v>
      </c>
    </row>
    <row r="14" spans="1:6" ht="21.95" customHeight="1">
      <c r="A14" s="3" t="str">
        <f>IFERROR(INDEX('الرصيد الحالي'!$A$2:$A$320,MATCH(1,'الرصيد الحالي'!$F$2:$F$320,0)),"")</f>
        <v/>
      </c>
      <c r="B14" s="4" t="str">
        <f>IF($A14="","",IFERROR(INDEX('الرصيد الحالي'!$C$2:$C$320,MATCH($A14,'الرصيد الحالي'!$A$2:$A$320,0)),""))</f>
        <v/>
      </c>
      <c r="C14" s="5" t="str">
        <f>IF($A14="","",IFERROR(INDEX('الرصيد الحالي'!$B$2:$B$320,MATCH($A14,'الرصيد الحالي'!$A$2:$A$320,0)),""))</f>
        <v/>
      </c>
      <c r="D14" s="5" t="str">
        <f>IF($A14="","",IFERROR(INDEX('الرصيد الحالي'!$E$2:$E$320,MATCH($A14,'الرصيد الحالي'!$A$2:$A$320,0)),""))</f>
        <v/>
      </c>
    </row>
    <row r="15" spans="1:6" ht="21.95" customHeight="1">
      <c r="A15" s="3" t="str">
        <f>IFERROR(INDEX('الرصيد الحالي'!$A$2:$A$320,MATCH(2,'الرصيد الحالي'!$F$2:$F$320,0)),"")</f>
        <v/>
      </c>
      <c r="B15" s="4" t="str">
        <f>IF($A15="","",IFERROR(INDEX('الرصيد الحالي'!$C$2:$C$320,MATCH($A15,'الرصيد الحالي'!$A$2:$A$320,0)),""))</f>
        <v/>
      </c>
      <c r="C15" s="5" t="str">
        <f>IF($A15="","",IFERROR(INDEX('الرصيد الحالي'!$B$2:$B$320,MATCH($A15,'الرصيد الحالي'!$A$2:$A$320,0)),""))</f>
        <v/>
      </c>
      <c r="D15" s="5" t="str">
        <f>IF($A15="","",IFERROR(INDEX('الرصيد الحالي'!$E$2:$E$320,MATCH($A15,'الرصيد الحالي'!$A$2:$A$320,0)),""))</f>
        <v/>
      </c>
    </row>
    <row r="16" spans="1:6" ht="21.95" customHeight="1">
      <c r="A16" s="3" t="str">
        <f>IFERROR(INDEX('الرصيد الحالي'!$A$2:$A$320,MATCH(3,'الرصيد الحالي'!$F$2:$F$320,0)),"")</f>
        <v/>
      </c>
      <c r="B16" s="4" t="str">
        <f>IF($A16="","",IFERROR(INDEX('الرصيد الحالي'!$C$2:$C$320,MATCH($A16,'الرصيد الحالي'!$A$2:$A$320,0)),""))</f>
        <v/>
      </c>
      <c r="C16" s="5" t="str">
        <f>IF($A16="","",IFERROR(INDEX('الرصيد الحالي'!$B$2:$B$320,MATCH($A16,'الرصيد الحالي'!$A$2:$A$320,0)),""))</f>
        <v/>
      </c>
      <c r="D16" s="5" t="str">
        <f>IF($A16="","",IFERROR(INDEX('الرصيد الحالي'!$E$2:$E$320,MATCH($A16,'الرصيد الحالي'!$A$2:$A$320,0)),""))</f>
        <v/>
      </c>
    </row>
    <row r="17" spans="1:6" ht="21.95" customHeight="1">
      <c r="A17" s="3" t="str">
        <f>IFERROR(INDEX('الرصيد الحالي'!$A$2:$A$320,MATCH(4,'الرصيد الحالي'!$F$2:$F$320,0)),"")</f>
        <v/>
      </c>
      <c r="B17" s="4" t="str">
        <f>IF($A17="","",IFERROR(INDEX('الرصيد الحالي'!$C$2:$C$320,MATCH($A17,'الرصيد الحالي'!$A$2:$A$320,0)),""))</f>
        <v/>
      </c>
      <c r="C17" s="5" t="str">
        <f>IF($A17="","",IFERROR(INDEX('الرصيد الحالي'!$B$2:$B$320,MATCH($A17,'الرصيد الحالي'!$A$2:$A$320,0)),""))</f>
        <v/>
      </c>
      <c r="D17" s="5" t="str">
        <f>IF($A17="","",IFERROR(INDEX('الرصيد الحالي'!$E$2:$E$320,MATCH($A17,'الرصيد الحالي'!$A$2:$A$320,0)),""))</f>
        <v/>
      </c>
    </row>
    <row r="18" spans="1:6" ht="21.95" customHeight="1">
      <c r="A18" s="3" t="str">
        <f>IFERROR(INDEX('الرصيد الحالي'!$A$2:$A$320,MATCH(5,'الرصيد الحالي'!$F$2:$F$320,0)),"")</f>
        <v/>
      </c>
      <c r="B18" s="4" t="str">
        <f>IF($A18="","",IFERROR(INDEX('الرصيد الحالي'!$C$2:$C$320,MATCH($A18,'الرصيد الحالي'!$A$2:$A$320,0)),""))</f>
        <v/>
      </c>
      <c r="C18" s="5" t="str">
        <f>IF($A18="","",IFERROR(INDEX('الرصيد الحالي'!$B$2:$B$320,MATCH($A18,'الرصيد الحالي'!$A$2:$A$320,0)),""))</f>
        <v/>
      </c>
      <c r="D18" s="5" t="str">
        <f>IF($A18="","",IFERROR(INDEX('الرصيد الحالي'!$E$2:$E$320,MATCH($A18,'الرصيد الحالي'!$A$2:$A$320,0)),""))</f>
        <v/>
      </c>
    </row>
    <row r="19" spans="1:6" ht="21.95" customHeight="1">
      <c r="A19" s="3" t="str">
        <f>IFERROR(INDEX('الرصيد الحالي'!$A$2:$A$320,MATCH(6,'الرصيد الحالي'!$F$2:$F$320,0)),"")</f>
        <v/>
      </c>
      <c r="B19" s="4" t="str">
        <f>IF($A19="","",IFERROR(INDEX('الرصيد الحالي'!$C$2:$C$320,MATCH($A19,'الرصيد الحالي'!$A$2:$A$320,0)),""))</f>
        <v/>
      </c>
      <c r="C19" s="5" t="str">
        <f>IF($A19="","",IFERROR(INDEX('الرصيد الحالي'!$B$2:$B$320,MATCH($A19,'الرصيد الحالي'!$A$2:$A$320,0)),""))</f>
        <v/>
      </c>
      <c r="D19" s="5" t="str">
        <f>IF($A19="","",IFERROR(INDEX('الرصيد الحالي'!$E$2:$E$320,MATCH($A19,'الرصيد الحالي'!$A$2:$A$320,0)),""))</f>
        <v/>
      </c>
    </row>
    <row r="20" spans="1:6" ht="21.95" customHeight="1">
      <c r="A20" s="3" t="str">
        <f>IFERROR(INDEX('الرصيد الحالي'!$A$2:$A$320,MATCH(7,'الرصيد الحالي'!$F$2:$F$320,0)),"")</f>
        <v/>
      </c>
      <c r="B20" s="4" t="str">
        <f>IF($A20="","",IFERROR(INDEX('الرصيد الحالي'!$C$2:$C$320,MATCH($A20,'الرصيد الحالي'!$A$2:$A$320,0)),""))</f>
        <v/>
      </c>
      <c r="C20" s="5" t="str">
        <f>IF($A20="","",IFERROR(INDEX('الرصيد الحالي'!$B$2:$B$320,MATCH($A20,'الرصيد الحالي'!$A$2:$A$320,0)),""))</f>
        <v/>
      </c>
      <c r="D20" s="5" t="str">
        <f>IF($A20="","",IFERROR(INDEX('الرصيد الحالي'!$E$2:$E$320,MATCH($A20,'الرصيد الحالي'!$A$2:$A$320,0)),""))</f>
        <v/>
      </c>
    </row>
    <row r="21" spans="1:6" ht="21.95" customHeight="1">
      <c r="A21" s="3" t="str">
        <f>IFERROR(INDEX('الرصيد الحالي'!$A$2:$A$320,MATCH(8,'الرصيد الحالي'!$F$2:$F$320,0)),"")</f>
        <v/>
      </c>
      <c r="B21" s="4" t="str">
        <f>IF($A21="","",IFERROR(INDEX('الرصيد الحالي'!$C$2:$C$320,MATCH($A21,'الرصيد الحالي'!$A$2:$A$320,0)),""))</f>
        <v/>
      </c>
      <c r="C21" s="5" t="str">
        <f>IF($A21="","",IFERROR(INDEX('الرصيد الحالي'!$B$2:$B$320,MATCH($A21,'الرصيد الحالي'!$A$2:$A$320,0)),""))</f>
        <v/>
      </c>
      <c r="D21" s="5" t="str">
        <f>IF($A21="","",IFERROR(INDEX('الرصيد الحالي'!$E$2:$E$320,MATCH($A21,'الرصيد الحالي'!$A$2:$A$320,0)),""))</f>
        <v/>
      </c>
    </row>
    <row r="22" spans="1:6" ht="21.95" customHeight="1">
      <c r="A22" s="3" t="str">
        <f>IFERROR(INDEX('الرصيد الحالي'!$A$2:$A$320,MATCH(9,'الرصيد الحالي'!$F$2:$F$320,0)),"")</f>
        <v/>
      </c>
      <c r="B22" s="4" t="str">
        <f>IF($A22="","",IFERROR(INDEX('الرصيد الحالي'!$C$2:$C$320,MATCH($A22,'الرصيد الحالي'!$A$2:$A$320,0)),""))</f>
        <v/>
      </c>
      <c r="C22" s="5" t="str">
        <f>IF($A22="","",IFERROR(INDEX('الرصيد الحالي'!$B$2:$B$320,MATCH($A22,'الرصيد الحالي'!$A$2:$A$320,0)),""))</f>
        <v/>
      </c>
      <c r="D22" s="5" t="str">
        <f>IF($A22="","",IFERROR(INDEX('الرصيد الحالي'!$E$2:$E$320,MATCH($A22,'الرصيد الحالي'!$A$2:$A$320,0)),""))</f>
        <v/>
      </c>
    </row>
    <row r="23" spans="1:6" ht="21.95" customHeight="1">
      <c r="A23" s="3" t="str">
        <f>IFERROR(INDEX('الرصيد الحالي'!$A$2:$A$320,MATCH(10,'الرصيد الحالي'!$F$2:$F$320,0)),"")</f>
        <v/>
      </c>
      <c r="B23" s="4" t="str">
        <f>IF($A23="","",IFERROR(INDEX('الرصيد الحالي'!$C$2:$C$320,MATCH($A23,'الرصيد الحالي'!$A$2:$A$320,0)),""))</f>
        <v/>
      </c>
      <c r="C23" s="5" t="str">
        <f>IF($A23="","",IFERROR(INDEX('الرصيد الحالي'!$B$2:$B$320,MATCH($A23,'الرصيد الحالي'!$A$2:$A$320,0)),""))</f>
        <v/>
      </c>
      <c r="D23" s="5" t="str">
        <f>IF($A23="","",IFERROR(INDEX('الرصيد الحالي'!$E$2:$E$320,MATCH($A23,'الرصيد الحالي'!$A$2:$A$320,0)),""))</f>
        <v/>
      </c>
    </row>
    <row r="24" spans="1:6" ht="21.95" customHeight="1">
      <c r="A24" s="3" t="str">
        <f>IFERROR(INDEX('الرصيد الحالي'!$A$2:$A$320,MATCH(11,'الرصيد الحالي'!$F$2:$F$320,0)),"")</f>
        <v/>
      </c>
      <c r="B24" s="4" t="str">
        <f>IF($A24="","",IFERROR(INDEX('الرصيد الحالي'!$C$2:$C$320,MATCH($A24,'الرصيد الحالي'!$A$2:$A$320,0)),""))</f>
        <v/>
      </c>
      <c r="C24" s="5" t="str">
        <f>IF($A24="","",IFERROR(INDEX('الرصيد الحالي'!$B$2:$B$320,MATCH($A24,'الرصيد الحالي'!$A$2:$A$320,0)),""))</f>
        <v/>
      </c>
      <c r="D24" s="5" t="str">
        <f>IF($A24="","",IFERROR(INDEX('الرصيد الحالي'!$E$2:$E$320,MATCH($A24,'الرصيد الحالي'!$A$2:$A$320,0)),""))</f>
        <v/>
      </c>
    </row>
    <row r="25" spans="1:6" ht="21.95" customHeight="1">
      <c r="A25" s="3" t="str">
        <f>IFERROR(INDEX('الرصيد الحالي'!$A$2:$A$320,MATCH(12,'الرصيد الحالي'!$F$2:$F$320,0)),"")</f>
        <v/>
      </c>
      <c r="B25" s="4" t="str">
        <f>IF($A25="","",IFERROR(INDEX('الرصيد الحالي'!$C$2:$C$320,MATCH($A25,'الرصيد الحالي'!$A$2:$A$320,0)),""))</f>
        <v/>
      </c>
      <c r="C25" s="5" t="str">
        <f>IF($A25="","",IFERROR(INDEX('الرصيد الحالي'!$B$2:$B$320,MATCH($A25,'الرصيد الحالي'!$A$2:$A$320,0)),""))</f>
        <v/>
      </c>
      <c r="D25" s="5" t="str">
        <f>IF($A25="","",IFERROR(INDEX('الرصيد الحالي'!$E$2:$E$320,MATCH($A25,'الرصيد الحالي'!$A$2:$A$320,0)),""))</f>
        <v/>
      </c>
    </row>
    <row r="26" spans="1:6" ht="21.95" customHeight="1">
      <c r="A26" s="3" t="str">
        <f>IFERROR(INDEX('الرصيد الحالي'!$A$2:$A$320,MATCH(13,'الرصيد الحالي'!$F$2:$F$320,0)),"")</f>
        <v/>
      </c>
      <c r="B26" s="4" t="str">
        <f>IF($A26="","",IFERROR(INDEX('الرصيد الحالي'!$C$2:$C$320,MATCH($A26,'الرصيد الحالي'!$A$2:$A$320,0)),""))</f>
        <v/>
      </c>
      <c r="C26" s="5" t="str">
        <f>IF($A26="","",IFERROR(INDEX('الرصيد الحالي'!$B$2:$B$320,MATCH($A26,'الرصيد الحالي'!$A$2:$A$320,0)),""))</f>
        <v/>
      </c>
      <c r="D26" s="5" t="str">
        <f>IF($A26="","",IFERROR(INDEX('الرصيد الحالي'!$E$2:$E$320,MATCH($A26,'الرصيد الحالي'!$A$2:$A$320,0)),""))</f>
        <v/>
      </c>
    </row>
    <row r="27" spans="1:6" ht="21.95" customHeight="1">
      <c r="A27" s="3" t="str">
        <f>IFERROR(INDEX('الرصيد الحالي'!$A$2:$A$320,MATCH(14,'الرصيد الحالي'!$F$2:$F$320,0)),"")</f>
        <v/>
      </c>
      <c r="B27" s="4" t="str">
        <f>IF($A27="","",IFERROR(INDEX('الرصيد الحالي'!$C$2:$C$320,MATCH($A27,'الرصيد الحالي'!$A$2:$A$320,0)),""))</f>
        <v/>
      </c>
      <c r="C27" s="5" t="str">
        <f>IF($A27="","",IFERROR(INDEX('الرصيد الحالي'!$B$2:$B$320,MATCH($A27,'الرصيد الحالي'!$A$2:$A$320,0)),""))</f>
        <v/>
      </c>
      <c r="D27" s="5" t="str">
        <f>IF($A27="","",IFERROR(INDEX('الرصيد الحالي'!$E$2:$E$320,MATCH($A27,'الرصيد الحالي'!$A$2:$A$320,0)),""))</f>
        <v/>
      </c>
    </row>
    <row r="28" spans="1:6" ht="21.95" customHeight="1">
      <c r="A28" s="3" t="str">
        <f>IFERROR(INDEX('الرصيد الحالي'!$A$2:$A$320,MATCH(15,'الرصيد الحالي'!$F$2:$F$320,0)),"")</f>
        <v/>
      </c>
      <c r="B28" s="4" t="str">
        <f>IF($A28="","",IFERROR(INDEX('الرصيد الحالي'!$C$2:$C$320,MATCH($A28,'الرصيد الحالي'!$A$2:$A$320,0)),""))</f>
        <v/>
      </c>
      <c r="C28" s="5" t="str">
        <f>IF($A28="","",IFERROR(INDEX('الرصيد الحالي'!$B$2:$B$320,MATCH($A28,'الرصيد الحالي'!$A$2:$A$320,0)),""))</f>
        <v/>
      </c>
      <c r="D28" s="5" t="str">
        <f>IF($A28="","",IFERROR(INDEX('الرصيد الحالي'!$E$2:$E$320,MATCH($A28,'الرصيد الحالي'!$A$2:$A$320,0)),""))</f>
        <v/>
      </c>
    </row>
    <row r="30" spans="1:6" ht="26.1" customHeight="1">
      <c r="A30" s="25" t="s">
        <v>13</v>
      </c>
      <c r="B30" s="26"/>
      <c r="C30" s="26"/>
      <c r="D30" s="25" t="s">
        <v>14</v>
      </c>
      <c r="E30" s="26"/>
      <c r="F30" s="26"/>
    </row>
    <row r="31" spans="1:6" ht="21.95" customHeight="1">
      <c r="A31" s="2" t="s">
        <v>9</v>
      </c>
      <c r="B31" s="2" t="s">
        <v>15</v>
      </c>
      <c r="C31" s="2" t="s">
        <v>11</v>
      </c>
      <c r="D31" s="2" t="s">
        <v>16</v>
      </c>
      <c r="E31" s="2" t="s">
        <v>17</v>
      </c>
      <c r="F31" s="2"/>
    </row>
    <row r="32" spans="1:6" ht="21.95" customHeight="1">
      <c r="A32" s="3" t="str">
        <f>IFERROR(INDEX(قوائم!$A$2:$A$320,MATCH(LARGE(قوائم!$F$2:$F$320,1),قوائم!$F$2:$F$320,0)),"")</f>
        <v>ماء مقطرة</v>
      </c>
      <c r="B32" s="4">
        <f>IFERROR(LARGE(قوائم!$F$2:$F$320,1),"")</f>
        <v>890</v>
      </c>
      <c r="C32" s="5" t="str">
        <f>IF($A32="","",IFERROR(INDEX(المواد!$B$2:$B$320,MATCH($A32,المواد!$A$2:$A$320,0)),""))</f>
        <v>كغ</v>
      </c>
      <c r="D32" s="3" t="str">
        <f>IFERROR(INDEX(قوائم!$B$2:$B$150,MATCH(LARGE(قوائم!$D$2:$D$150,1),قوائم!$D$2:$D$150,0)),"")</f>
        <v>لودلين سادة رابع</v>
      </c>
      <c r="E32" s="6">
        <f>IFERROR(LARGE(قوائم!$D$2:$D$150,1),"")</f>
        <v>1</v>
      </c>
      <c r="F32" s="7"/>
    </row>
    <row r="33" spans="1:6" ht="21.95" customHeight="1">
      <c r="A33" s="3" t="str">
        <f>IFERROR(INDEX(قوائم!$A$2:$A$320,MATCH(LARGE(قوائم!$F$2:$F$320,2),قوائم!$F$2:$F$320,0)),"")</f>
        <v>ملح</v>
      </c>
      <c r="B33" s="4">
        <f>IFERROR(LARGE(قوائم!$F$2:$F$320,2),"")</f>
        <v>100</v>
      </c>
      <c r="C33" s="5" t="str">
        <f>IF($A33="","",IFERROR(INDEX(المواد!$B$2:$B$320,MATCH($A33,المواد!$A$2:$A$320,0)),""))</f>
        <v>كغ</v>
      </c>
      <c r="D33" s="3" t="str">
        <f>IFERROR(INDEX(قوائم!$B$2:$B$150,MATCH(LARGE(قوائم!$D$2:$D$150,2),قوائم!$D$2:$D$150,0)),"")</f>
        <v>دوا غسيل بودرا 157 كغ - ببوري</v>
      </c>
      <c r="E33" s="6">
        <f>IFERROR(LARGE(قوائم!$D$2:$D$150,2),"")</f>
        <v>0</v>
      </c>
      <c r="F33" s="7"/>
    </row>
    <row r="34" spans="1:6" ht="21.95" customHeight="1">
      <c r="A34" s="3" t="str">
        <f>IFERROR(INDEX(قوائم!$A$2:$A$320,MATCH(LARGE(قوائم!$F$2:$F$320,3),قوائم!$F$2:$F$320,0)),"")</f>
        <v>تكسبون</v>
      </c>
      <c r="B34" s="4">
        <f>IFERROR(LARGE(قوائم!$F$2:$F$320,3),"")</f>
        <v>43</v>
      </c>
      <c r="C34" s="5" t="str">
        <f>IF($A34="","",IFERROR(INDEX(المواد!$B$2:$B$320,MATCH($A34,المواد!$A$2:$A$320,0)),""))</f>
        <v>كغ</v>
      </c>
      <c r="D34" s="3" t="str">
        <f>IFERROR(INDEX(قوائم!$B$2:$B$150,MATCH(LARGE(قوائم!$D$2:$D$150,3),قوائم!$D$2:$D$150,0)),"")</f>
        <v>دوا غسيل بودرا 157 كغ - ببوري</v>
      </c>
      <c r="E34" s="6">
        <f>IFERROR(LARGE(قوائم!$D$2:$D$150,3),"")</f>
        <v>0</v>
      </c>
      <c r="F34" s="7"/>
    </row>
    <row r="35" spans="1:6" ht="21.95" customHeight="1">
      <c r="A35" s="3" t="str">
        <f>IFERROR(INDEX(قوائم!$A$2:$A$320,MATCH(LARGE(قوائم!$F$2:$F$320,4),قوائم!$F$2:$F$320,0)),"")</f>
        <v>زفتة</v>
      </c>
      <c r="B35" s="4">
        <f>IFERROR(LARGE(قوائم!$F$2:$F$320,4),"")</f>
        <v>40</v>
      </c>
      <c r="C35" s="5" t="str">
        <f>IF($A35="","",IFERROR(INDEX(المواد!$B$2:$B$320,MATCH($A35,المواد!$A$2:$A$320,0)),""))</f>
        <v>كغ</v>
      </c>
      <c r="D35" s="3" t="str">
        <f>IFERROR(INDEX(قوائم!$B$2:$B$150,MATCH(LARGE(قوائم!$D$2:$D$150,4),قوائم!$D$2:$D$150,0)),"")</f>
        <v>دوا غسيل بودرا 157 كغ - ببوري</v>
      </c>
      <c r="E35" s="6">
        <f>IFERROR(LARGE(قوائم!$D$2:$D$150,4),"")</f>
        <v>0</v>
      </c>
      <c r="F35" s="7"/>
    </row>
    <row r="36" spans="1:6" ht="21.95" customHeight="1">
      <c r="A36" s="3" t="str">
        <f>IFERROR(INDEX(قوائم!$A$2:$A$320,MATCH(LARGE(قوائم!$F$2:$F$320,5),قوائم!$F$2:$F$320,0)),"")</f>
        <v>بيتائين</v>
      </c>
      <c r="B36" s="4">
        <f>IFERROR(LARGE(قوائم!$F$2:$F$320,5),"")</f>
        <v>15</v>
      </c>
      <c r="C36" s="5" t="str">
        <f>IF($A36="","",IFERROR(INDEX(المواد!$B$2:$B$320,MATCH($A36,المواد!$A$2:$A$320,0)),""))</f>
        <v>كغ</v>
      </c>
      <c r="D36" s="3" t="str">
        <f>IFERROR(INDEX(قوائم!$B$2:$B$150,MATCH(LARGE(قوائم!$D$2:$D$150,5),قوائم!$D$2:$D$150,0)),"")</f>
        <v>دوا غسيل بودرا 157 كغ - ببوري</v>
      </c>
      <c r="E36" s="6">
        <f>IFERROR(LARGE(قوائم!$D$2:$D$150,5),"")</f>
        <v>0</v>
      </c>
      <c r="F36" s="7"/>
    </row>
    <row r="38" spans="1:6" ht="26.1" customHeight="1">
      <c r="A38" s="25" t="s">
        <v>18</v>
      </c>
      <c r="B38" s="26"/>
      <c r="C38" s="26"/>
      <c r="D38" s="25" t="s">
        <v>19</v>
      </c>
      <c r="E38" s="26"/>
      <c r="F38" s="26"/>
    </row>
    <row r="39" spans="1:6" ht="21.95" customHeight="1">
      <c r="A39" s="2" t="s">
        <v>20</v>
      </c>
      <c r="B39" s="2" t="s">
        <v>21</v>
      </c>
      <c r="C39" s="2" t="s">
        <v>22</v>
      </c>
      <c r="D39" s="2" t="s">
        <v>20</v>
      </c>
      <c r="E39" s="2" t="s">
        <v>23</v>
      </c>
      <c r="F39" s="2"/>
    </row>
    <row r="40" spans="1:6" ht="21.95" customHeight="1">
      <c r="A40" s="8">
        <f>IF((COUNTA(الإدخالات!$C$2:$C$501)-0)&lt;1,"",INDEX(الإدخالات!$B$2:$B$501,COUNTA(الإدخالات!$C$2:$C$501)-0))</f>
        <v>46218</v>
      </c>
      <c r="B40" s="3" t="str">
        <f>IF((COUNTA(الإدخالات!$C$2:$C$501)-0)&lt;1,"",INDEX(الإدخالات!$C$2:$C$501,COUNTA(الإدخالات!$C$2:$C$501)-0))</f>
        <v>ديتول خام</v>
      </c>
      <c r="C40" s="4">
        <f>IF((COUNTA(الإدخالات!$C$2:$C$501)-0)&lt;1,"",INDEX(الإدخالات!$D$2:$D$501,COUNTA(الإدخالات!$C$2:$C$501)-0))</f>
        <v>0</v>
      </c>
      <c r="D40" s="8">
        <f>IF((COUNTA('سجل الإنتاج'!$C$2:$C$501)-0)&lt;1,"",INDEX('سجل الإنتاج'!$B$2:$B$501,COUNTA('سجل الإنتاج'!$C$2:$C$501)-0))</f>
        <v>46211</v>
      </c>
      <c r="E40" s="3" t="str">
        <f>IF((COUNTA('سجل الإنتاج'!$C$2:$C$501)-0)&lt;1,"",INDEX('سجل الإنتاج'!$C$2:$C$501,COUNTA('سجل الإنتاج'!$C$2:$C$501)-0))</f>
        <v>لودلين سادة رابع</v>
      </c>
      <c r="F40" s="7"/>
    </row>
    <row r="41" spans="1:6" ht="21.95" customHeight="1">
      <c r="A41" s="8">
        <f>IF((COUNTA(الإدخالات!$C$2:$C$501)-1)&lt;1,"",INDEX(الإدخالات!$B$2:$B$501,COUNTA(الإدخالات!$C$2:$C$501)-1))</f>
        <v>46218</v>
      </c>
      <c r="B41" s="3" t="str">
        <f>IF((COUNTA(الإدخالات!$C$2:$C$501)-1)&lt;1,"",INDEX(الإدخالات!$C$2:$C$501,COUNTA(الإدخالات!$C$2:$C$501)-1))</f>
        <v>عبوات حليبي</v>
      </c>
      <c r="C41" s="4">
        <f>IF((COUNTA(الإدخالات!$C$2:$C$501)-1)&lt;1,"",INDEX(الإدخالات!$D$2:$D$501,COUNTA(الإدخالات!$C$2:$C$501)-1))</f>
        <v>93.75</v>
      </c>
      <c r="D41" s="8" t="str">
        <f>IF((COUNTA('سجل الإنتاج'!$C$2:$C$501)-1)&lt;1,"",INDEX('سجل الإنتاج'!$B$2:$B$501,COUNTA('سجل الإنتاج'!$C$2:$C$501)-1))</f>
        <v/>
      </c>
      <c r="E41" s="3" t="str">
        <f>IF((COUNTA('سجل الإنتاج'!$C$2:$C$501)-1)&lt;1,"",INDEX('سجل الإنتاج'!$C$2:$C$501,COUNTA('سجل الإنتاج'!$C$2:$C$501)-1))</f>
        <v/>
      </c>
      <c r="F41" s="7"/>
    </row>
    <row r="42" spans="1:6" ht="21.95" customHeight="1">
      <c r="A42" s="8">
        <f>IF((COUNTA(الإدخالات!$C$2:$C$501)-2)&lt;1,"",INDEX(الإدخالات!$B$2:$B$501,COUNTA(الإدخالات!$C$2:$C$501)-2))</f>
        <v>46218</v>
      </c>
      <c r="B42" s="3" t="str">
        <f>IF((COUNTA(الإدخالات!$C$2:$C$501)-2)&lt;1,"",INDEX(الإدخالات!$C$2:$C$501,COUNTA(الإدخالات!$C$2:$C$501)-2))</f>
        <v>عبوات شفافة 3 لتر</v>
      </c>
      <c r="C42" s="4">
        <f>IF((COUNTA(الإدخالات!$C$2:$C$501)-2)&lt;1,"",INDEX(الإدخالات!$D$2:$D$501,COUNTA(الإدخالات!$C$2:$C$501)-2))</f>
        <v>11.16</v>
      </c>
      <c r="D42" s="8" t="str">
        <f>IF((COUNTA('سجل الإنتاج'!$C$2:$C$501)-2)&lt;1,"",INDEX('سجل الإنتاج'!$B$2:$B$501,COUNTA('سجل الإنتاج'!$C$2:$C$501)-2))</f>
        <v/>
      </c>
      <c r="E42" s="3" t="str">
        <f>IF((COUNTA('سجل الإنتاج'!$C$2:$C$501)-2)&lt;1,"",INDEX('سجل الإنتاج'!$C$2:$C$501,COUNTA('سجل الإنتاج'!$C$2:$C$501)-2))</f>
        <v/>
      </c>
      <c r="F42" s="7"/>
    </row>
    <row r="43" spans="1:6" ht="21.95" customHeight="1">
      <c r="A43" s="8">
        <f>IF((COUNTA(الإدخالات!$C$2:$C$501)-3)&lt;1,"",INDEX(الإدخالات!$B$2:$B$501,COUNTA(الإدخالات!$C$2:$C$501)-3))</f>
        <v>46218</v>
      </c>
      <c r="B43" s="3" t="str">
        <f>IF((COUNTA(الإدخالات!$C$2:$C$501)-3)&lt;1,"",INDEX(الإدخالات!$C$2:$C$501,COUNTA(الإدخالات!$C$2:$C$501)-3))</f>
        <v xml:space="preserve">عبوات كلور + فلاش فارغة </v>
      </c>
      <c r="C43" s="4">
        <f>IF((COUNTA(الإدخالات!$C$2:$C$501)-3)&lt;1,"",INDEX(الإدخالات!$D$2:$D$501,COUNTA(الإدخالات!$C$2:$C$501)-3))</f>
        <v>19.829999999999998</v>
      </c>
      <c r="D43" s="8" t="str">
        <f>IF((COUNTA('سجل الإنتاج'!$C$2:$C$501)-3)&lt;1,"",INDEX('سجل الإنتاج'!$B$2:$B$501,COUNTA('سجل الإنتاج'!$C$2:$C$501)-3))</f>
        <v/>
      </c>
      <c r="E43" s="3" t="str">
        <f>IF((COUNTA('سجل الإنتاج'!$C$2:$C$501)-3)&lt;1,"",INDEX('سجل الإنتاج'!$C$2:$C$501,COUNTA('سجل الإنتاج'!$C$2:$C$501)-3))</f>
        <v/>
      </c>
      <c r="F43" s="7"/>
    </row>
    <row r="44" spans="1:6" ht="21.95" customHeight="1">
      <c r="A44" s="8">
        <f>IF((COUNTA(الإدخالات!$C$2:$C$501)-4)&lt;1,"",INDEX(الإدخالات!$B$2:$B$501,COUNTA(الإدخالات!$C$2:$C$501)-4))</f>
        <v>46218</v>
      </c>
      <c r="B44" s="3" t="str">
        <f>IF((COUNTA(الإدخالات!$C$2:$C$501)-4)&lt;1,"",INDEX(الإدخالات!$C$2:$C$501,COUNTA(الإدخالات!$C$2:$C$501)-4))</f>
        <v>فازلين</v>
      </c>
      <c r="C44" s="4">
        <f>IF((COUNTA(الإدخالات!$C$2:$C$501)-4)&lt;1,"",INDEX(الإدخالات!$D$2:$D$501,COUNTA(الإدخالات!$C$2:$C$501)-4))</f>
        <v>0</v>
      </c>
      <c r="D44" s="8" t="str">
        <f>IF((COUNTA('سجل الإنتاج'!$C$2:$C$501)-4)&lt;1,"",INDEX('سجل الإنتاج'!$B$2:$B$501,COUNTA('سجل الإنتاج'!$C$2:$C$501)-4))</f>
        <v/>
      </c>
      <c r="E44" s="3" t="str">
        <f>IF((COUNTA('سجل الإنتاج'!$C$2:$C$501)-4)&lt;1,"",INDEX('سجل الإنتاج'!$C$2:$C$501,COUNTA('سجل الإنتاج'!$C$2:$C$501)-4))</f>
        <v/>
      </c>
      <c r="F44" s="7"/>
    </row>
    <row r="46" spans="1:6" ht="26.1" customHeight="1">
      <c r="A46" s="25" t="s">
        <v>24</v>
      </c>
      <c r="B46" s="26"/>
      <c r="C46" s="26"/>
    </row>
    <row r="47" spans="1:6" ht="21.95" customHeight="1">
      <c r="A47" s="2" t="s">
        <v>20</v>
      </c>
      <c r="B47" s="2" t="s">
        <v>21</v>
      </c>
      <c r="C47" s="2" t="s">
        <v>22</v>
      </c>
    </row>
    <row r="48" spans="1:6" ht="21.95" customHeight="1">
      <c r="A48" s="8">
        <f>IF((COUNTA('الصرف المباشر'!$C$2:$C$501)-0)&lt;1,"",INDEX('الصرف المباشر'!$B$2:$B$501,COUNTA('الصرف المباشر'!$C$2:$C$501)-0))</f>
        <v>46219</v>
      </c>
      <c r="B48" s="3" t="str">
        <f>IF((COUNTA('الصرف المباشر'!$C$2:$C$501)-0)&lt;1,"",INDEX('الصرف المباشر'!$C$2:$C$501,COUNTA('الصرف المباشر'!$C$2:$C$501)-0))</f>
        <v>زفتة</v>
      </c>
      <c r="C48" s="4">
        <f>IF((COUNTA('الصرف المباشر'!$C$2:$C$501)-0)&lt;1,"",INDEX('الصرف المباشر'!$D$2:$D$501,COUNTA('الصرف المباشر'!$C$2:$C$501)-0))</f>
        <v>20</v>
      </c>
    </row>
    <row r="49" spans="1:3" ht="21.95" customHeight="1">
      <c r="A49" s="8">
        <f>IF((COUNTA('الصرف المباشر'!$C$2:$C$501)-1)&lt;1,"",INDEX('الصرف المباشر'!$B$2:$B$501,COUNTA('الصرف المباشر'!$C$2:$C$501)-1))</f>
        <v>46211</v>
      </c>
      <c r="B49" s="3" t="str">
        <f>IF((COUNTA('الصرف المباشر'!$C$2:$C$501)-1)&lt;1,"",INDEX('الصرف المباشر'!$C$2:$C$501,COUNTA('الصرف المباشر'!$C$2:$C$501)-1))</f>
        <v>تكسبون</v>
      </c>
      <c r="C49" s="4">
        <f>IF((COUNTA('الصرف المباشر'!$C$2:$C$501)-1)&lt;1,"",INDEX('الصرف المباشر'!$D$2:$D$501,COUNTA('الصرف المباشر'!$C$2:$C$501)-1))</f>
        <v>3</v>
      </c>
    </row>
    <row r="50" spans="1:3" ht="21.95" customHeight="1">
      <c r="A50" s="8" t="str">
        <f>IF((COUNTA('الصرف المباشر'!$C$2:$C$501)-2)&lt;1,"",INDEX('الصرف المباشر'!$B$2:$B$501,COUNTA('الصرف المباشر'!$C$2:$C$501)-2))</f>
        <v/>
      </c>
      <c r="B50" s="3" t="str">
        <f>IF((COUNTA('الصرف المباشر'!$C$2:$C$501)-2)&lt;1,"",INDEX('الصرف المباشر'!$C$2:$C$501,COUNTA('الصرف المباشر'!$C$2:$C$501)-2))</f>
        <v/>
      </c>
      <c r="C50" s="4" t="str">
        <f>IF((COUNTA('الصرف المباشر'!$C$2:$C$501)-2)&lt;1,"",INDEX('الصرف المباشر'!$D$2:$D$501,COUNTA('الصرف المباشر'!$C$2:$C$501)-2))</f>
        <v/>
      </c>
    </row>
    <row r="51" spans="1:3" ht="21.95" customHeight="1">
      <c r="A51" s="8" t="str">
        <f>IF((COUNTA('الصرف المباشر'!$C$2:$C$501)-3)&lt;1,"",INDEX('الصرف المباشر'!$B$2:$B$501,COUNTA('الصرف المباشر'!$C$2:$C$501)-3))</f>
        <v/>
      </c>
      <c r="B51" s="3" t="str">
        <f>IF((COUNTA('الصرف المباشر'!$C$2:$C$501)-3)&lt;1,"",INDEX('الصرف المباشر'!$C$2:$C$501,COUNTA('الصرف المباشر'!$C$2:$C$501)-3))</f>
        <v/>
      </c>
      <c r="C51" s="4" t="str">
        <f>IF((COUNTA('الصرف المباشر'!$C$2:$C$501)-3)&lt;1,"",INDEX('الصرف المباشر'!$D$2:$D$501,COUNTA('الصرف المباشر'!$C$2:$C$501)-3))</f>
        <v/>
      </c>
    </row>
    <row r="52" spans="1:3" ht="21.95" customHeight="1">
      <c r="A52" s="8" t="str">
        <f>IF((COUNTA('الصرف المباشر'!$C$2:$C$501)-4)&lt;1,"",INDEX('الصرف المباشر'!$B$2:$B$501,COUNTA('الصرف المباشر'!$C$2:$C$501)-4))</f>
        <v/>
      </c>
      <c r="B52" s="3" t="str">
        <f>IF((COUNTA('الصرف المباشر'!$C$2:$C$501)-4)&lt;1,"",INDEX('الصرف المباشر'!$C$2:$C$501,COUNTA('الصرف المباشر'!$C$2:$C$501)-4))</f>
        <v/>
      </c>
      <c r="C52" s="4" t="str">
        <f>IF((COUNTA('الصرف المباشر'!$C$2:$C$501)-4)&lt;1,"",INDEX('الصرف المباشر'!$D$2:$D$501,COUNTA('الصرف المباشر'!$C$2:$C$501)-4))</f>
        <v/>
      </c>
    </row>
  </sheetData>
  <mergeCells count="20">
    <mergeCell ref="A1:F1"/>
    <mergeCell ref="C4:D4"/>
    <mergeCell ref="A2:F2"/>
    <mergeCell ref="E4:F4"/>
    <mergeCell ref="A7:B7"/>
    <mergeCell ref="D30:F30"/>
    <mergeCell ref="A5:B5"/>
    <mergeCell ref="A30:C30"/>
    <mergeCell ref="A8:B8"/>
    <mergeCell ref="C8:D8"/>
    <mergeCell ref="A4:B4"/>
    <mergeCell ref="C7:D7"/>
    <mergeCell ref="E7:F7"/>
    <mergeCell ref="A46:C46"/>
    <mergeCell ref="C5:D5"/>
    <mergeCell ref="E5:F5"/>
    <mergeCell ref="A12:F12"/>
    <mergeCell ref="E8:F8"/>
    <mergeCell ref="A38:C38"/>
    <mergeCell ref="D38:F38"/>
  </mergeCells>
  <conditionalFormatting sqref="A14:D28">
    <cfRule type="expression" dxfId="22" priority="1">
      <formula>$A14&lt;&gt;""</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395"/>
  </sheetPr>
  <dimension ref="A1:D320"/>
  <sheetViews>
    <sheetView rightToLeft="1" tabSelected="1" workbookViewId="0">
      <pane ySplit="1" topLeftCell="A43" activePane="bottomLeft" state="frozen"/>
      <selection pane="bottomLeft" activeCell="A54" sqref="A54"/>
    </sheetView>
  </sheetViews>
  <sheetFormatPr defaultRowHeight="14.25"/>
  <cols>
    <col min="1" max="1" width="32" customWidth="1"/>
    <col min="2" max="2" width="14" customWidth="1"/>
    <col min="3" max="3" width="16" customWidth="1"/>
    <col min="4" max="4" width="40" customWidth="1"/>
  </cols>
  <sheetData>
    <row r="1" spans="1:4" ht="26.1" customHeight="1">
      <c r="A1" s="2" t="s">
        <v>9</v>
      </c>
      <c r="B1" s="2" t="s">
        <v>25</v>
      </c>
      <c r="C1" s="2" t="s">
        <v>10</v>
      </c>
      <c r="D1" s="2" t="s">
        <v>26</v>
      </c>
    </row>
    <row r="2" spans="1:4" ht="24" customHeight="1">
      <c r="A2" s="9" t="s">
        <v>104</v>
      </c>
      <c r="B2" s="7" t="s">
        <v>28</v>
      </c>
      <c r="C2" s="10">
        <f>IF(A2="","",ROUND(SUMIFS(الإدخالات!$D$2:$D$501,الإدخالات!$C$2:$C$501,A2)+SUMIFS('تعديل الجرد'!$F$2:$F$501,'تعديل الجرد'!$C$2:$C$501,A2)-SUMIFS('الصرف المباشر'!$D$2:$D$501,'الصرف المباشر'!$C$2:$C$501,A2)-SUMPRODUCT((الطبخات!$B$2:$B$900=A2)*الطبخات!$C$2:$C$900*COUNTIF('سجل الإنتاج'!$C$2:$C$501,الطبخات!$A$2:$A$900)),3))</f>
        <v>38.04</v>
      </c>
      <c r="D2" s="9"/>
    </row>
    <row r="3" spans="1:4" ht="24" customHeight="1">
      <c r="A3" s="9" t="s">
        <v>103</v>
      </c>
      <c r="B3" s="7" t="s">
        <v>28</v>
      </c>
      <c r="C3" s="10">
        <f>IF(A3="","",ROUND(SUMIFS(الإدخالات!$D$2:$D$501,الإدخالات!$C$2:$C$501,A3)+SUMIFS('تعديل الجرد'!$F$2:$F$501,'تعديل الجرد'!$C$2:$C$501,A3)-SUMIFS('الصرف المباشر'!$D$2:$D$501,'الصرف المباشر'!$C$2:$C$501,A3)-SUMPRODUCT((الطبخات!$B$2:$B$900=A3)*الطبخات!$C$2:$C$900*COUNTIF('سجل الإنتاج'!$C$2:$C$501,الطبخات!$A$2:$A$900)),3))</f>
        <v>2</v>
      </c>
      <c r="D3" s="9"/>
    </row>
    <row r="4" spans="1:4" ht="24" customHeight="1">
      <c r="A4" s="9" t="s">
        <v>230</v>
      </c>
      <c r="B4" s="7" t="s">
        <v>28</v>
      </c>
      <c r="C4" s="10">
        <f>IF(A4="","",ROUND(SUMIFS(الإدخالات!$D$2:$D$501,الإدخالات!$C$2:$C$501,A4)+SUMIFS('تعديل الجرد'!$F$2:$F$501,'تعديل الجرد'!$C$2:$C$501,A4)-SUMIFS('الصرف المباشر'!$D$2:$D$501,'الصرف المباشر'!$C$2:$C$501,A4)-SUMPRODUCT((الطبخات!$B$2:$B$900=A4)*الطبخات!$C$2:$C$900*COUNTIF('سجل الإنتاج'!$C$2:$C$501,الطبخات!$A$2:$A$900)),3))</f>
        <v>63.5</v>
      </c>
      <c r="D4" s="9"/>
    </row>
    <row r="5" spans="1:4" ht="24" customHeight="1">
      <c r="A5" s="9" t="s">
        <v>101</v>
      </c>
      <c r="B5" s="7" t="s">
        <v>28</v>
      </c>
      <c r="C5" s="10">
        <f>IF(A5="","",ROUND(SUMIFS(الإدخالات!$D$2:$D$501,الإدخالات!$C$2:$C$501,A5)+SUMIFS('تعديل الجرد'!$F$2:$F$501,'تعديل الجرد'!$C$2:$C$501,A5)-SUMIFS('الصرف المباشر'!$D$2:$D$501,'الصرف المباشر'!$C$2:$C$501,A5)-SUMPRODUCT((الطبخات!$B$2:$B$900=A5)*الطبخات!$C$2:$C$900*COUNTIF('سجل الإنتاج'!$C$2:$C$501,الطبخات!$A$2:$A$900)),3))</f>
        <v>0</v>
      </c>
      <c r="D5" s="9"/>
    </row>
    <row r="6" spans="1:4" ht="24" customHeight="1">
      <c r="A6" s="9" t="s">
        <v>100</v>
      </c>
      <c r="B6" s="7" t="s">
        <v>28</v>
      </c>
      <c r="C6" s="10">
        <f>IF(A6="","",ROUND(SUMIFS(الإدخالات!$D$2:$D$501,الإدخالات!$C$2:$C$501,A6)+SUMIFS('تعديل الجرد'!$F$2:$F$501,'تعديل الجرد'!$C$2:$C$501,A6)-SUMIFS('الصرف المباشر'!$D$2:$D$501,'الصرف المباشر'!$C$2:$C$501,A6)-SUMPRODUCT((الطبخات!$B$2:$B$900=A6)*الطبخات!$C$2:$C$900*COUNTIF('سجل الإنتاج'!$C$2:$C$501,الطبخات!$A$2:$A$900)),3))</f>
        <v>0</v>
      </c>
      <c r="D6" s="9"/>
    </row>
    <row r="7" spans="1:4" ht="24" customHeight="1">
      <c r="A7" s="9" t="s">
        <v>99</v>
      </c>
      <c r="B7" s="7" t="s">
        <v>28</v>
      </c>
      <c r="C7" s="10">
        <f>IF(A7="","",ROUND(SUMIFS(الإدخالات!$D$2:$D$501,الإدخالات!$C$2:$C$501,A7)+SUMIFS('تعديل الجرد'!$F$2:$F$501,'تعديل الجرد'!$C$2:$C$501,A7)-SUMIFS('الصرف المباشر'!$D$2:$D$501,'الصرف المباشر'!$C$2:$C$501,A7)-SUMPRODUCT((الطبخات!$B$2:$B$900=A7)*الطبخات!$C$2:$C$900*COUNTIF('سجل الإنتاج'!$C$2:$C$501,الطبخات!$A$2:$A$900)),3))</f>
        <v>27732</v>
      </c>
      <c r="D7" s="9"/>
    </row>
    <row r="8" spans="1:4" ht="24" customHeight="1">
      <c r="A8" s="9" t="s">
        <v>231</v>
      </c>
      <c r="B8" s="7" t="s">
        <v>28</v>
      </c>
      <c r="C8" s="10">
        <f>IF(A8="","",ROUND(SUMIFS(الإدخالات!$D$2:$D$501,الإدخالات!$C$2:$C$501,A8)+SUMIFS('تعديل الجرد'!$F$2:$F$501,'تعديل الجرد'!$C$2:$C$501,A8)-SUMIFS('الصرف المباشر'!$D$2:$D$501,'الصرف المباشر'!$C$2:$C$501,A8)-SUMPRODUCT((الطبخات!$B$2:$B$900=A8)*الطبخات!$C$2:$C$900*COUNTIF('سجل الإنتاج'!$C$2:$C$501,الطبخات!$A$2:$A$900)),3))</f>
        <v>3</v>
      </c>
      <c r="D8" s="9"/>
    </row>
    <row r="9" spans="1:4" ht="24" customHeight="1">
      <c r="A9" s="9" t="s">
        <v>97</v>
      </c>
      <c r="B9" s="7" t="s">
        <v>28</v>
      </c>
      <c r="C9" s="10">
        <f>IF(A9="","",ROUND(SUMIFS(الإدخالات!$D$2:$D$501,الإدخالات!$C$2:$C$501,A9)+SUMIFS('تعديل الجرد'!$F$2:$F$501,'تعديل الجرد'!$C$2:$C$501,A9)-SUMIFS('الصرف المباشر'!$D$2:$D$501,'الصرف المباشر'!$C$2:$C$501,A9)-SUMPRODUCT((الطبخات!$B$2:$B$900=A9)*الطبخات!$C$2:$C$900*COUNTIF('سجل الإنتاج'!$C$2:$C$501,الطبخات!$A$2:$A$900)),3))</f>
        <v>0</v>
      </c>
      <c r="D9" s="9"/>
    </row>
    <row r="10" spans="1:4" ht="24" customHeight="1">
      <c r="A10" s="9" t="s">
        <v>96</v>
      </c>
      <c r="B10" s="7" t="s">
        <v>28</v>
      </c>
      <c r="C10" s="10">
        <f>IF(A10="","",ROUND(SUMIFS(الإدخالات!$D$2:$D$501,الإدخالات!$C$2:$C$501,A10)+SUMIFS('تعديل الجرد'!$F$2:$F$501,'تعديل الجرد'!$C$2:$C$501,A10)-SUMIFS('الصرف المباشر'!$D$2:$D$501,'الصرف المباشر'!$C$2:$C$501,A10)-SUMPRODUCT((الطبخات!$B$2:$B$900=A10)*الطبخات!$C$2:$C$900*COUNTIF('سجل الإنتاج'!$C$2:$C$501,الطبخات!$A$2:$A$900)),3))</f>
        <v>27.71</v>
      </c>
      <c r="D10" s="9"/>
    </row>
    <row r="11" spans="1:4" ht="24" customHeight="1">
      <c r="A11" s="9" t="s">
        <v>95</v>
      </c>
      <c r="B11" s="7" t="s">
        <v>28</v>
      </c>
      <c r="C11" s="10">
        <f>IF(A11="","",ROUND(SUMIFS(الإدخالات!$D$2:$D$501,الإدخالات!$C$2:$C$501,A11)+SUMIFS('تعديل الجرد'!$F$2:$F$501,'تعديل الجرد'!$C$2:$C$501,A11)-SUMIFS('الصرف المباشر'!$D$2:$D$501,'الصرف المباشر'!$C$2:$C$501,A11)-SUMPRODUCT((الطبخات!$B$2:$B$900=A11)*الطبخات!$C$2:$C$900*COUNTIF('سجل الإنتاج'!$C$2:$C$501,الطبخات!$A$2:$A$900)),3))</f>
        <v>0</v>
      </c>
      <c r="D11" s="9"/>
    </row>
    <row r="12" spans="1:4" ht="24" customHeight="1">
      <c r="A12" s="9" t="s">
        <v>94</v>
      </c>
      <c r="B12" s="7" t="s">
        <v>28</v>
      </c>
      <c r="C12" s="10">
        <f>IF(A12="","",ROUND(SUMIFS(الإدخالات!$D$2:$D$501,الإدخالات!$C$2:$C$501,A12)+SUMIFS('تعديل الجرد'!$F$2:$F$501,'تعديل الجرد'!$C$2:$C$501,A12)-SUMIFS('الصرف المباشر'!$D$2:$D$501,'الصرف المباشر'!$C$2:$C$501,A12)-SUMPRODUCT((الطبخات!$B$2:$B$900=A12)*الطبخات!$C$2:$C$900*COUNTIF('سجل الإنتاج'!$C$2:$C$501,الطبخات!$A$2:$A$900)),3))</f>
        <v>0</v>
      </c>
      <c r="D12" s="9"/>
    </row>
    <row r="13" spans="1:4" ht="24" customHeight="1">
      <c r="A13" s="9" t="s">
        <v>93</v>
      </c>
      <c r="B13" s="7" t="s">
        <v>28</v>
      </c>
      <c r="C13" s="10">
        <f>IF(A13="","",ROUND(SUMIFS(الإدخالات!$D$2:$D$501,الإدخالات!$C$2:$C$501,A13)+SUMIFS('تعديل الجرد'!$F$2:$F$501,'تعديل الجرد'!$C$2:$C$501,A13)-SUMIFS('الصرف المباشر'!$D$2:$D$501,'الصرف المباشر'!$C$2:$C$501,A13)-SUMPRODUCT((الطبخات!$B$2:$B$900=A13)*الطبخات!$C$2:$C$900*COUNTIF('سجل الإنتاج'!$C$2:$C$501,الطبخات!$A$2:$A$900)),3))</f>
        <v>272</v>
      </c>
      <c r="D13" s="9"/>
    </row>
    <row r="14" spans="1:4" ht="24" customHeight="1">
      <c r="A14" s="9" t="s">
        <v>92</v>
      </c>
      <c r="B14" s="7" t="s">
        <v>28</v>
      </c>
      <c r="C14" s="10">
        <f>IF(A14="","",ROUND(SUMIFS(الإدخالات!$D$2:$D$501,الإدخالات!$C$2:$C$501,A14)+SUMIFS('تعديل الجرد'!$F$2:$F$501,'تعديل الجرد'!$C$2:$C$501,A14)-SUMIFS('الصرف المباشر'!$D$2:$D$501,'الصرف المباشر'!$C$2:$C$501,A14)-SUMPRODUCT((الطبخات!$B$2:$B$900=A14)*الطبخات!$C$2:$C$900*COUNTIF('سجل الإنتاج'!$C$2:$C$501,الطبخات!$A$2:$A$900)),3))</f>
        <v>25</v>
      </c>
      <c r="D14" s="9"/>
    </row>
    <row r="15" spans="1:4" ht="24" customHeight="1">
      <c r="A15" s="9" t="s">
        <v>232</v>
      </c>
      <c r="B15" s="7" t="s">
        <v>28</v>
      </c>
      <c r="C15" s="10">
        <f>IF(A15="","",ROUND(SUMIFS(الإدخالات!$D$2:$D$501,الإدخالات!$C$2:$C$501,A15)+SUMIFS('تعديل الجرد'!$F$2:$F$501,'تعديل الجرد'!$C$2:$C$501,A15)-SUMIFS('الصرف المباشر'!$D$2:$D$501,'الصرف المباشر'!$C$2:$C$501,A15)-SUMPRODUCT((الطبخات!$B$2:$B$900=A15)*الطبخات!$C$2:$C$900*COUNTIF('سجل الإنتاج'!$C$2:$C$501,الطبخات!$A$2:$A$900)),3))</f>
        <v>0.14000000000000001</v>
      </c>
      <c r="D15" s="9"/>
    </row>
    <row r="16" spans="1:4" ht="24" customHeight="1">
      <c r="A16" s="9" t="s">
        <v>89</v>
      </c>
      <c r="B16" s="7" t="s">
        <v>28</v>
      </c>
      <c r="C16" s="10">
        <f>IF(A16="","",ROUND(SUMIFS(الإدخالات!$D$2:$D$501,الإدخالات!$C$2:$C$501,A16)+SUMIFS('تعديل الجرد'!$F$2:$F$501,'تعديل الجرد'!$C$2:$C$501,A16)-SUMIFS('الصرف المباشر'!$D$2:$D$501,'الصرف المباشر'!$C$2:$C$501,A16)-SUMPRODUCT((الطبخات!$B$2:$B$900=A16)*الطبخات!$C$2:$C$900*COUNTIF('سجل الإنتاج'!$C$2:$C$501,الطبخات!$A$2:$A$900)),3))</f>
        <v>251.4</v>
      </c>
      <c r="D16" s="9"/>
    </row>
    <row r="17" spans="1:4" ht="24" customHeight="1">
      <c r="A17" s="9" t="s">
        <v>88</v>
      </c>
      <c r="B17" s="7" t="s">
        <v>28</v>
      </c>
      <c r="C17" s="10">
        <f>IF(A17="","",ROUND(SUMIFS(الإدخالات!$D$2:$D$501,الإدخالات!$C$2:$C$501,A17)+SUMIFS('تعديل الجرد'!$F$2:$F$501,'تعديل الجرد'!$C$2:$C$501,A17)-SUMIFS('الصرف المباشر'!$D$2:$D$501,'الصرف المباشر'!$C$2:$C$501,A17)-SUMPRODUCT((الطبخات!$B$2:$B$900=A17)*الطبخات!$C$2:$C$900*COUNTIF('سجل الإنتاج'!$C$2:$C$501,الطبخات!$A$2:$A$900)),3))</f>
        <v>0</v>
      </c>
      <c r="D17" s="9"/>
    </row>
    <row r="18" spans="1:4" ht="24" customHeight="1">
      <c r="A18" s="9" t="s">
        <v>233</v>
      </c>
      <c r="B18" s="7" t="s">
        <v>28</v>
      </c>
      <c r="C18" s="10">
        <f>IF(A18="","",ROUND(SUMIFS(الإدخالات!$D$2:$D$501,الإدخالات!$C$2:$C$501,A18)+SUMIFS('تعديل الجرد'!$F$2:$F$501,'تعديل الجرد'!$C$2:$C$501,A18)-SUMIFS('الصرف المباشر'!$D$2:$D$501,'الصرف المباشر'!$C$2:$C$501,A18)-SUMPRODUCT((الطبخات!$B$2:$B$900=A18)*الطبخات!$C$2:$C$900*COUNTIF('سجل الإنتاج'!$C$2:$C$501,الطبخات!$A$2:$A$900)),3))</f>
        <v>0.59</v>
      </c>
      <c r="D18" s="9"/>
    </row>
    <row r="19" spans="1:4" ht="24" customHeight="1">
      <c r="A19" s="9" t="s">
        <v>87</v>
      </c>
      <c r="B19" s="7" t="s">
        <v>28</v>
      </c>
      <c r="C19" s="10">
        <f>IF(A19="","",ROUND(SUMIFS(الإدخالات!$D$2:$D$501,الإدخالات!$C$2:$C$501,A19)+SUMIFS('تعديل الجرد'!$F$2:$F$501,'تعديل الجرد'!$C$2:$C$501,A19)-SUMIFS('الصرف المباشر'!$D$2:$D$501,'الصرف المباشر'!$C$2:$C$501,A19)-SUMPRODUCT((الطبخات!$B$2:$B$900=A19)*الطبخات!$C$2:$C$900*COUNTIF('سجل الإنتاج'!$C$2:$C$501,الطبخات!$A$2:$A$900)),3))</f>
        <v>0.52</v>
      </c>
      <c r="D19" s="9"/>
    </row>
    <row r="20" spans="1:4" ht="24" customHeight="1">
      <c r="A20" s="9" t="s">
        <v>86</v>
      </c>
      <c r="B20" s="7" t="s">
        <v>44</v>
      </c>
      <c r="C20" s="10">
        <f>IF(A20="","",ROUND(SUMIFS(الإدخالات!$D$2:$D$501,الإدخالات!$C$2:$C$501,A20)+SUMIFS('تعديل الجرد'!$F$2:$F$501,'تعديل الجرد'!$C$2:$C$501,A20)-SUMIFS('الصرف المباشر'!$D$2:$D$501,'الصرف المباشر'!$C$2:$C$501,A20)-SUMPRODUCT((الطبخات!$B$2:$B$900=A20)*الطبخات!$C$2:$C$900*COUNTIF('سجل الإنتاج'!$C$2:$C$501,الطبخات!$A$2:$A$900)),3))</f>
        <v>0.36</v>
      </c>
      <c r="D20" s="9"/>
    </row>
    <row r="21" spans="1:4" ht="24" customHeight="1">
      <c r="A21" s="9" t="s">
        <v>85</v>
      </c>
      <c r="B21" s="7" t="s">
        <v>28</v>
      </c>
      <c r="C21" s="10">
        <f>IF(A21="","",ROUND(SUMIFS(الإدخالات!$D$2:$D$501,الإدخالات!$C$2:$C$501,A21)+SUMIFS('تعديل الجرد'!$F$2:$F$501,'تعديل الجرد'!$C$2:$C$501,A21)-SUMIFS('الصرف المباشر'!$D$2:$D$501,'الصرف المباشر'!$C$2:$C$501,A21)-SUMPRODUCT((الطبخات!$B$2:$B$900=A21)*الطبخات!$C$2:$C$900*COUNTIF('سجل الإنتاج'!$C$2:$C$501,الطبخات!$A$2:$A$900)),3))</f>
        <v>0.74</v>
      </c>
      <c r="D21" s="9"/>
    </row>
    <row r="22" spans="1:4" ht="24" customHeight="1">
      <c r="A22" s="9" t="s">
        <v>234</v>
      </c>
      <c r="B22" s="7" t="s">
        <v>28</v>
      </c>
      <c r="C22" s="10">
        <f>IF(A22="","",ROUND(SUMIFS(الإدخالات!$D$2:$D$501,الإدخالات!$C$2:$C$501,A22)+SUMIFS('تعديل الجرد'!$F$2:$F$501,'تعديل الجرد'!$C$2:$C$501,A22)-SUMIFS('الصرف المباشر'!$D$2:$D$501,'الصرف المباشر'!$C$2:$C$501,A22)-SUMPRODUCT((الطبخات!$B$2:$B$900=A22)*الطبخات!$C$2:$C$900*COUNTIF('سجل الإنتاج'!$C$2:$C$501,الطبخات!$A$2:$A$900)),3))</f>
        <v>2.59</v>
      </c>
      <c r="D22" s="9"/>
    </row>
    <row r="23" spans="1:4" ht="24" customHeight="1">
      <c r="A23" s="9" t="s">
        <v>84</v>
      </c>
      <c r="B23" s="7" t="s">
        <v>28</v>
      </c>
      <c r="C23" s="10">
        <f>IF(A23="","",ROUND(SUMIFS(الإدخالات!$D$2:$D$501,الإدخالات!$C$2:$C$501,A23)+SUMIFS('تعديل الجرد'!$F$2:$F$501,'تعديل الجرد'!$C$2:$C$501,A23)-SUMIFS('الصرف المباشر'!$D$2:$D$501,'الصرف المباشر'!$C$2:$C$501,A23)-SUMPRODUCT((الطبخات!$B$2:$B$900=A23)*الطبخات!$C$2:$C$900*COUNTIF('سجل الإنتاج'!$C$2:$C$501,الطبخات!$A$2:$A$900)),3))</f>
        <v>0.53</v>
      </c>
      <c r="D23" s="9"/>
    </row>
    <row r="24" spans="1:4" ht="24" customHeight="1">
      <c r="A24" s="9" t="s">
        <v>83</v>
      </c>
      <c r="B24" s="7" t="s">
        <v>28</v>
      </c>
      <c r="C24" s="10">
        <f>IF(A24="","",ROUND(SUMIFS(الإدخالات!$D$2:$D$501,الإدخالات!$C$2:$C$501,A24)+SUMIFS('تعديل الجرد'!$F$2:$F$501,'تعديل الجرد'!$C$2:$C$501,A24)-SUMIFS('الصرف المباشر'!$D$2:$D$501,'الصرف المباشر'!$C$2:$C$501,A24)-SUMPRODUCT((الطبخات!$B$2:$B$900=A24)*الطبخات!$C$2:$C$900*COUNTIF('سجل الإنتاج'!$C$2:$C$501,الطبخات!$A$2:$A$900)),3))</f>
        <v>0.66</v>
      </c>
      <c r="D24" s="9"/>
    </row>
    <row r="25" spans="1:4" ht="24" customHeight="1">
      <c r="A25" s="9" t="s">
        <v>82</v>
      </c>
      <c r="B25" s="7" t="s">
        <v>28</v>
      </c>
      <c r="C25" s="10">
        <f>IF(A25="","",ROUND(SUMIFS(الإدخالات!$D$2:$D$501,الإدخالات!$C$2:$C$501,A25)+SUMIFS('تعديل الجرد'!$F$2:$F$501,'تعديل الجرد'!$C$2:$C$501,A25)-SUMIFS('الصرف المباشر'!$D$2:$D$501,'الصرف المباشر'!$C$2:$C$501,A25)-SUMPRODUCT((الطبخات!$B$2:$B$900=A25)*الطبخات!$C$2:$C$900*COUNTIF('سجل الإنتاج'!$C$2:$C$501,الطبخات!$A$2:$A$900)),3))</f>
        <v>0.6</v>
      </c>
      <c r="D25" s="9"/>
    </row>
    <row r="26" spans="1:4" ht="24" customHeight="1">
      <c r="A26" s="9" t="s">
        <v>235</v>
      </c>
      <c r="B26" s="7" t="s">
        <v>28</v>
      </c>
      <c r="C26" s="10">
        <f>IF(A26="","",ROUND(SUMIFS(الإدخالات!$D$2:$D$501,الإدخالات!$C$2:$C$501,A26)+SUMIFS('تعديل الجرد'!$F$2:$F$501,'تعديل الجرد'!$C$2:$C$501,A26)-SUMIFS('الصرف المباشر'!$D$2:$D$501,'الصرف المباشر'!$C$2:$C$501,A26)-SUMPRODUCT((الطبخات!$B$2:$B$900=A26)*الطبخات!$C$2:$C$900*COUNTIF('سجل الإنتاج'!$C$2:$C$501,الطبخات!$A$2:$A$900)),3))</f>
        <v>0.47</v>
      </c>
      <c r="D26" s="9"/>
    </row>
    <row r="27" spans="1:4" ht="24" customHeight="1">
      <c r="A27" s="9" t="s">
        <v>81</v>
      </c>
      <c r="B27" s="7" t="s">
        <v>44</v>
      </c>
      <c r="C27" s="10">
        <f>IF(A27="","",ROUND(SUMIFS(الإدخالات!$D$2:$D$501,الإدخالات!$C$2:$C$501,A27)+SUMIFS('تعديل الجرد'!$F$2:$F$501,'تعديل الجرد'!$C$2:$C$501,A27)-SUMIFS('الصرف المباشر'!$D$2:$D$501,'الصرف المباشر'!$C$2:$C$501,A27)-SUMPRODUCT((الطبخات!$B$2:$B$900=A27)*الطبخات!$C$2:$C$900*COUNTIF('سجل الإنتاج'!$C$2:$C$501,الطبخات!$A$2:$A$900)),3))</f>
        <v>0</v>
      </c>
      <c r="D27" s="9"/>
    </row>
    <row r="28" spans="1:4" ht="24" customHeight="1">
      <c r="A28" s="9" t="s">
        <v>80</v>
      </c>
      <c r="B28" s="7" t="s">
        <v>28</v>
      </c>
      <c r="C28" s="10">
        <f>IF(A28="","",ROUND(SUMIFS(الإدخالات!$D$2:$D$501,الإدخالات!$C$2:$C$501,A28)+SUMIFS('تعديل الجرد'!$F$2:$F$501,'تعديل الجرد'!$C$2:$C$501,A28)-SUMIFS('الصرف المباشر'!$D$2:$D$501,'الصرف المباشر'!$C$2:$C$501,A28)-SUMPRODUCT((الطبخات!$B$2:$B$900=A28)*الطبخات!$C$2:$C$900*COUNTIF('سجل الإنتاج'!$C$2:$C$501,الطبخات!$A$2:$A$900)),3))</f>
        <v>20</v>
      </c>
      <c r="D28" s="9"/>
    </row>
    <row r="29" spans="1:4" ht="24" customHeight="1">
      <c r="A29" s="9" t="s">
        <v>79</v>
      </c>
      <c r="B29" s="7" t="s">
        <v>28</v>
      </c>
      <c r="C29" s="10">
        <f>IF(A29="","",ROUND(SUMIFS(الإدخالات!$D$2:$D$501,الإدخالات!$C$2:$C$501,A29)+SUMIFS('تعديل الجرد'!$F$2:$F$501,'تعديل الجرد'!$C$2:$C$501,A29)-SUMIFS('الصرف المباشر'!$D$2:$D$501,'الصرف المباشر'!$C$2:$C$501,A29)-SUMPRODUCT((الطبخات!$B$2:$B$900=A29)*الطبخات!$C$2:$C$900*COUNTIF('سجل الإنتاج'!$C$2:$C$501,الطبخات!$A$2:$A$900)),3))</f>
        <v>21.4</v>
      </c>
      <c r="D29" s="9"/>
    </row>
    <row r="30" spans="1:4" ht="24" customHeight="1">
      <c r="A30" s="9" t="s">
        <v>78</v>
      </c>
      <c r="B30" s="7" t="s">
        <v>28</v>
      </c>
      <c r="C30" s="10">
        <f>IF(A30="","",ROUND(SUMIFS(الإدخالات!$D$2:$D$501,الإدخالات!$C$2:$C$501,A30)+SUMIFS('تعديل الجرد'!$F$2:$F$501,'تعديل الجرد'!$C$2:$C$501,A30)-SUMIFS('الصرف المباشر'!$D$2:$D$501,'الصرف المباشر'!$C$2:$C$501,A30)-SUMPRODUCT((الطبخات!$B$2:$B$900=A30)*الطبخات!$C$2:$C$900*COUNTIF('سجل الإنتاج'!$C$2:$C$501,الطبخات!$A$2:$A$900)),3))</f>
        <v>0</v>
      </c>
      <c r="D30" s="9"/>
    </row>
    <row r="31" spans="1:4" ht="24" customHeight="1">
      <c r="A31" s="9" t="s">
        <v>76</v>
      </c>
      <c r="B31" s="7" t="s">
        <v>28</v>
      </c>
      <c r="C31" s="10">
        <f>IF(A31="","",ROUND(SUMIFS(الإدخالات!$D$2:$D$501,الإدخالات!$C$2:$C$501,A31)+SUMIFS('تعديل الجرد'!$F$2:$F$501,'تعديل الجرد'!$C$2:$C$501,A31)-SUMIFS('الصرف المباشر'!$D$2:$D$501,'الصرف المباشر'!$C$2:$C$501,A31)-SUMPRODUCT((الطبخات!$B$2:$B$900=A31)*الطبخات!$C$2:$C$900*COUNTIF('سجل الإنتاج'!$C$2:$C$501,الطبخات!$A$2:$A$900)),3))</f>
        <v>2</v>
      </c>
      <c r="D31" s="9"/>
    </row>
    <row r="32" spans="1:4" ht="24" customHeight="1">
      <c r="A32" s="9" t="s">
        <v>75</v>
      </c>
      <c r="B32" s="7" t="s">
        <v>28</v>
      </c>
      <c r="C32" s="10">
        <f>IF(A32="","",ROUND(SUMIFS(الإدخالات!$D$2:$D$501,الإدخالات!$C$2:$C$501,A32)+SUMIFS('تعديل الجرد'!$F$2:$F$501,'تعديل الجرد'!$C$2:$C$501,A32)-SUMIFS('الصرف المباشر'!$D$2:$D$501,'الصرف المباشر'!$C$2:$C$501,A32)-SUMPRODUCT((الطبخات!$B$2:$B$900=A32)*الطبخات!$C$2:$C$900*COUNTIF('سجل الإنتاج'!$C$2:$C$501,الطبخات!$A$2:$A$900)),3))</f>
        <v>3</v>
      </c>
      <c r="D32" s="9"/>
    </row>
    <row r="33" spans="1:4" ht="24" customHeight="1">
      <c r="A33" s="9" t="s">
        <v>73</v>
      </c>
      <c r="B33" s="7" t="s">
        <v>28</v>
      </c>
      <c r="C33" s="10">
        <f>IF(A33="","",ROUND(SUMIFS(الإدخالات!$D$2:$D$501,الإدخالات!$C$2:$C$501,A33)+SUMIFS('تعديل الجرد'!$F$2:$F$501,'تعديل الجرد'!$C$2:$C$501,A33)-SUMIFS('الصرف المباشر'!$D$2:$D$501,'الصرف المباشر'!$C$2:$C$501,A33)-SUMPRODUCT((الطبخات!$B$2:$B$900=A33)*الطبخات!$C$2:$C$900*COUNTIF('سجل الإنتاج'!$C$2:$C$501,الطبخات!$A$2:$A$900)),3))</f>
        <v>0.42</v>
      </c>
      <c r="D33" s="9"/>
    </row>
    <row r="34" spans="1:4" ht="24" customHeight="1">
      <c r="A34" s="9" t="s">
        <v>69</v>
      </c>
      <c r="B34" s="7" t="s">
        <v>28</v>
      </c>
      <c r="C34" s="10">
        <f>IF(A34="","",ROUND(SUMIFS(الإدخالات!$D$2:$D$501,الإدخالات!$C$2:$C$501,A34)+SUMIFS('تعديل الجرد'!$F$2:$F$501,'تعديل الجرد'!$C$2:$C$501,A34)-SUMIFS('الصرف المباشر'!$D$2:$D$501,'الصرف المباشر'!$C$2:$C$501,A34)-SUMPRODUCT((الطبخات!$B$2:$B$900=A34)*الطبخات!$C$2:$C$900*COUNTIF('سجل الإنتاج'!$C$2:$C$501,الطبخات!$A$2:$A$900)),3))</f>
        <v>1</v>
      </c>
      <c r="D34" s="9"/>
    </row>
    <row r="35" spans="1:4" ht="24" customHeight="1">
      <c r="A35" s="9" t="s">
        <v>66</v>
      </c>
      <c r="B35" s="7" t="s">
        <v>28</v>
      </c>
      <c r="C35" s="10">
        <f>IF(A35="","",ROUND(SUMIFS(الإدخالات!$D$2:$D$501,الإدخالات!$C$2:$C$501,A35)+SUMIFS('تعديل الجرد'!$F$2:$F$501,'تعديل الجرد'!$C$2:$C$501,A35)-SUMIFS('الصرف المباشر'!$D$2:$D$501,'الصرف المباشر'!$C$2:$C$501,A35)-SUMPRODUCT((الطبخات!$B$2:$B$900=A35)*الطبخات!$C$2:$C$900*COUNTIF('سجل الإنتاج'!$C$2:$C$501,الطبخات!$A$2:$A$900)),3))</f>
        <v>0</v>
      </c>
      <c r="D35" s="9"/>
    </row>
    <row r="36" spans="1:4" ht="24" customHeight="1">
      <c r="A36" s="9" t="s">
        <v>62</v>
      </c>
      <c r="B36" s="7" t="s">
        <v>28</v>
      </c>
      <c r="C36" s="10">
        <f>IF(A36="","",ROUND(SUMIFS(الإدخالات!$D$2:$D$501,الإدخالات!$C$2:$C$501,A36)+SUMIFS('تعديل الجرد'!$F$2:$F$501,'تعديل الجرد'!$C$2:$C$501,A36)-SUMIFS('الصرف المباشر'!$D$2:$D$501,'الصرف المباشر'!$C$2:$C$501,A36)-SUMPRODUCT((الطبخات!$B$2:$B$900=A36)*الطبخات!$C$2:$C$900*COUNTIF('سجل الإنتاج'!$C$2:$C$501,الطبخات!$A$2:$A$900)),3))</f>
        <v>0</v>
      </c>
      <c r="D36" s="9"/>
    </row>
    <row r="37" spans="1:4" ht="24" customHeight="1">
      <c r="A37" s="9" t="s">
        <v>61</v>
      </c>
      <c r="B37" s="7" t="s">
        <v>28</v>
      </c>
      <c r="C37" s="10">
        <f>IF(A37="","",ROUND(SUMIFS(الإدخالات!$D$2:$D$501,الإدخالات!$C$2:$C$501,A37)+SUMIFS('تعديل الجرد'!$F$2:$F$501,'تعديل الجرد'!$C$2:$C$501,A37)-SUMIFS('الصرف المباشر'!$D$2:$D$501,'الصرف المباشر'!$C$2:$C$501,A37)-SUMPRODUCT((الطبخات!$B$2:$B$900=A37)*الطبخات!$C$2:$C$900*COUNTIF('سجل الإنتاج'!$C$2:$C$501,الطبخات!$A$2:$A$900)),3))</f>
        <v>0</v>
      </c>
      <c r="D37" s="9"/>
    </row>
    <row r="38" spans="1:4" ht="24" customHeight="1">
      <c r="A38" s="9" t="s">
        <v>58</v>
      </c>
      <c r="B38" s="7" t="s">
        <v>28</v>
      </c>
      <c r="C38" s="10">
        <f>IF(A38="","",ROUND(SUMIFS(الإدخالات!$D$2:$D$501,الإدخالات!$C$2:$C$501,A38)+SUMIFS('تعديل الجرد'!$F$2:$F$501,'تعديل الجرد'!$C$2:$C$501,A38)-SUMIFS('الصرف المباشر'!$D$2:$D$501,'الصرف المباشر'!$C$2:$C$501,A38)-SUMPRODUCT((الطبخات!$B$2:$B$900=A38)*الطبخات!$C$2:$C$900*COUNTIF('سجل الإنتاج'!$C$2:$C$501,الطبخات!$A$2:$A$900)),3))</f>
        <v>2</v>
      </c>
      <c r="D38" s="9"/>
    </row>
    <row r="39" spans="1:4" ht="24" customHeight="1">
      <c r="A39" s="9" t="s">
        <v>57</v>
      </c>
      <c r="B39" s="7" t="s">
        <v>28</v>
      </c>
      <c r="C39" s="10">
        <f>IF(A39="","",ROUND(SUMIFS(الإدخالات!$D$2:$D$501,الإدخالات!$C$2:$C$501,A39)+SUMIFS('تعديل الجرد'!$F$2:$F$501,'تعديل الجرد'!$C$2:$C$501,A39)-SUMIFS('الصرف المباشر'!$D$2:$D$501,'الصرف المباشر'!$C$2:$C$501,A39)-SUMPRODUCT((الطبخات!$B$2:$B$900=A39)*الطبخات!$C$2:$C$900*COUNTIF('سجل الإنتاج'!$C$2:$C$501,الطبخات!$A$2:$A$900)),3))</f>
        <v>50</v>
      </c>
      <c r="D39" s="9"/>
    </row>
    <row r="40" spans="1:4" ht="24" customHeight="1">
      <c r="A40" s="9" t="s">
        <v>56</v>
      </c>
      <c r="B40" s="7" t="s">
        <v>28</v>
      </c>
      <c r="C40" s="10">
        <f>IF(A40="","",ROUND(SUMIFS(الإدخالات!$D$2:$D$501,الإدخالات!$C$2:$C$501,A40)+SUMIFS('تعديل الجرد'!$F$2:$F$501,'تعديل الجرد'!$C$2:$C$501,A40)-SUMIFS('الصرف المباشر'!$D$2:$D$501,'الصرف المباشر'!$C$2:$C$501,A40)-SUMPRODUCT((الطبخات!$B$2:$B$900=A40)*الطبخات!$C$2:$C$900*COUNTIF('سجل الإنتاج'!$C$2:$C$501,الطبخات!$A$2:$A$900)),3))</f>
        <v>4</v>
      </c>
      <c r="D40" s="9"/>
    </row>
    <row r="41" spans="1:4" ht="24" customHeight="1">
      <c r="A41" s="9" t="s">
        <v>55</v>
      </c>
      <c r="B41" s="7" t="s">
        <v>28</v>
      </c>
      <c r="C41" s="10">
        <f>IF(A41="","",ROUND(SUMIFS(الإدخالات!$D$2:$D$501,الإدخالات!$C$2:$C$501,A41)+SUMIFS('تعديل الجرد'!$F$2:$F$501,'تعديل الجرد'!$C$2:$C$501,A41)-SUMIFS('الصرف المباشر'!$D$2:$D$501,'الصرف المباشر'!$C$2:$C$501,A41)-SUMPRODUCT((الطبخات!$B$2:$B$900=A41)*الطبخات!$C$2:$C$900*COUNTIF('سجل الإنتاج'!$C$2:$C$501,الطبخات!$A$2:$A$900)),3))</f>
        <v>1.44</v>
      </c>
      <c r="D41" s="9"/>
    </row>
    <row r="42" spans="1:4" ht="24" customHeight="1">
      <c r="A42" s="9" t="s">
        <v>52</v>
      </c>
      <c r="B42" s="7" t="s">
        <v>28</v>
      </c>
      <c r="C42" s="10">
        <f>IF(A42="","",ROUND(SUMIFS(الإدخالات!$D$2:$D$501,الإدخالات!$C$2:$C$501,A42)+SUMIFS('تعديل الجرد'!$F$2:$F$501,'تعديل الجرد'!$C$2:$C$501,A42)-SUMIFS('الصرف المباشر'!$D$2:$D$501,'الصرف المباشر'!$C$2:$C$501,A42)-SUMPRODUCT((الطبخات!$B$2:$B$900=A42)*الطبخات!$C$2:$C$900*COUNTIF('سجل الإنتاج'!$C$2:$C$501,الطبخات!$A$2:$A$900)),3))</f>
        <v>105</v>
      </c>
      <c r="D42" s="9"/>
    </row>
    <row r="43" spans="1:4" ht="24" customHeight="1">
      <c r="A43" s="9" t="s">
        <v>54</v>
      </c>
      <c r="B43" s="7" t="s">
        <v>28</v>
      </c>
      <c r="C43" s="10">
        <f>IF(A43="","",ROUND(SUMIFS(الإدخالات!$D$2:$D$501,الإدخالات!$C$2:$C$501,A43)+SUMIFS('تعديل الجرد'!$F$2:$F$501,'تعديل الجرد'!$C$2:$C$501,A43)-SUMIFS('الصرف المباشر'!$D$2:$D$501,'الصرف المباشر'!$C$2:$C$501,A43)-SUMPRODUCT((الطبخات!$B$2:$B$900=A43)*الطبخات!$C$2:$C$900*COUNTIF('سجل الإنتاج'!$C$2:$C$501,الطبخات!$A$2:$A$900)),3))</f>
        <v>4</v>
      </c>
      <c r="D43" s="9"/>
    </row>
    <row r="44" spans="1:4" ht="24" customHeight="1">
      <c r="A44" s="9" t="s">
        <v>53</v>
      </c>
      <c r="B44" s="7" t="s">
        <v>28</v>
      </c>
      <c r="C44" s="10">
        <f>IF(A44="","",ROUND(SUMIFS(الإدخالات!$D$2:$D$501,الإدخالات!$C$2:$C$501,A44)+SUMIFS('تعديل الجرد'!$F$2:$F$501,'تعديل الجرد'!$C$2:$C$501,A44)-SUMIFS('الصرف المباشر'!$D$2:$D$501,'الصرف المباشر'!$C$2:$C$501,A44)-SUMPRODUCT((الطبخات!$B$2:$B$900=A44)*الطبخات!$C$2:$C$900*COUNTIF('سجل الإنتاج'!$C$2:$C$501,الطبخات!$A$2:$A$900)),3))</f>
        <v>2</v>
      </c>
      <c r="D44" s="9"/>
    </row>
    <row r="45" spans="1:4" ht="24" customHeight="1">
      <c r="A45" s="9" t="s">
        <v>236</v>
      </c>
      <c r="B45" s="7" t="s">
        <v>251</v>
      </c>
      <c r="C45" s="10">
        <f>IF(A45="","",ROUND(SUMIFS(الإدخالات!$D$2:$D$501,الإدخالات!$C$2:$C$501,A45)+SUMIFS('تعديل الجرد'!$F$2:$F$501,'تعديل الجرد'!$C$2:$C$501,A45)-SUMIFS('الصرف المباشر'!$D$2:$D$501,'الصرف المباشر'!$C$2:$C$501,A45)-SUMPRODUCT((الطبخات!$B$2:$B$900=A45)*الطبخات!$C$2:$C$900*COUNTIF('سجل الإنتاج'!$C$2:$C$501,الطبخات!$A$2:$A$900)),3))</f>
        <v>0</v>
      </c>
      <c r="D45" s="9"/>
    </row>
    <row r="46" spans="1:4" ht="24" customHeight="1">
      <c r="A46" s="9" t="s">
        <v>50</v>
      </c>
      <c r="B46" s="7" t="s">
        <v>28</v>
      </c>
      <c r="C46" s="10">
        <f>IF(A46="","",ROUND(SUMIFS(الإدخالات!$D$2:$D$501,الإدخالات!$C$2:$C$501,A46)+SUMIFS('تعديل الجرد'!$F$2:$F$501,'تعديل الجرد'!$C$2:$C$501,A46)-SUMIFS('الصرف المباشر'!$D$2:$D$501,'الصرف المباشر'!$C$2:$C$501,A46)-SUMPRODUCT((الطبخات!$B$2:$B$900=A46)*الطبخات!$C$2:$C$900*COUNTIF('سجل الإنتاج'!$C$2:$C$501,الطبخات!$A$2:$A$900)),3))</f>
        <v>17</v>
      </c>
      <c r="D46" s="9"/>
    </row>
    <row r="47" spans="1:4" ht="24" customHeight="1">
      <c r="A47" s="9" t="s">
        <v>237</v>
      </c>
      <c r="B47" s="7" t="s">
        <v>28</v>
      </c>
      <c r="C47" s="10">
        <f>IF(A47="","",ROUND(SUMIFS(الإدخالات!$D$2:$D$501,الإدخالات!$C$2:$C$501,A47)+SUMIFS('تعديل الجرد'!$F$2:$F$501,'تعديل الجرد'!$C$2:$C$501,A47)-SUMIFS('الصرف المباشر'!$D$2:$D$501,'الصرف المباشر'!$C$2:$C$501,A47)-SUMPRODUCT((الطبخات!$B$2:$B$900=A47)*الطبخات!$C$2:$C$900*COUNTIF('سجل الإنتاج'!$C$2:$C$501,الطبخات!$A$2:$A$900)),3))</f>
        <v>0</v>
      </c>
      <c r="D47" s="9"/>
    </row>
    <row r="48" spans="1:4" ht="24" customHeight="1">
      <c r="A48" s="9" t="s">
        <v>238</v>
      </c>
      <c r="B48" s="7" t="s">
        <v>28</v>
      </c>
      <c r="C48" s="10">
        <f>IF(A48="","",ROUND(SUMIFS(الإدخالات!$D$2:$D$501,الإدخالات!$C$2:$C$501,A48)+SUMIFS('تعديل الجرد'!$F$2:$F$501,'تعديل الجرد'!$C$2:$C$501,A48)-SUMIFS('الصرف المباشر'!$D$2:$D$501,'الصرف المباشر'!$C$2:$C$501,A48)-SUMPRODUCT((الطبخات!$B$2:$B$900=A48)*الطبخات!$C$2:$C$900*COUNTIF('سجل الإنتاج'!$C$2:$C$501,الطبخات!$A$2:$A$900)),3))</f>
        <v>1.42</v>
      </c>
      <c r="D48" s="9"/>
    </row>
    <row r="49" spans="1:4" ht="24" customHeight="1">
      <c r="A49" s="9" t="s">
        <v>239</v>
      </c>
      <c r="B49" s="7" t="s">
        <v>28</v>
      </c>
      <c r="C49" s="10">
        <f>IF(A49="","",ROUND(SUMIFS(الإدخالات!$D$2:$D$501,الإدخالات!$C$2:$C$501,A49)+SUMIFS('تعديل الجرد'!$F$2:$F$501,'تعديل الجرد'!$C$2:$C$501,A49)-SUMIFS('الصرف المباشر'!$D$2:$D$501,'الصرف المباشر'!$C$2:$C$501,A49)-SUMPRODUCT((الطبخات!$B$2:$B$900=A49)*الطبخات!$C$2:$C$900*COUNTIF('سجل الإنتاج'!$C$2:$C$501,الطبخات!$A$2:$A$900)),3))</f>
        <v>0</v>
      </c>
      <c r="D49" s="9"/>
    </row>
    <row r="50" spans="1:4" ht="24" customHeight="1">
      <c r="A50" s="9" t="s">
        <v>47</v>
      </c>
      <c r="B50" s="7" t="s">
        <v>28</v>
      </c>
      <c r="C50" s="10">
        <f>IF(A50="","",ROUND(SUMIFS(الإدخالات!$D$2:$D$501,الإدخالات!$C$2:$C$501,A50)+SUMIFS('تعديل الجرد'!$F$2:$F$501,'تعديل الجرد'!$C$2:$C$501,A50)-SUMIFS('الصرف المباشر'!$D$2:$D$501,'الصرف المباشر'!$C$2:$C$501,A50)-SUMPRODUCT((الطبخات!$B$2:$B$900=A50)*الطبخات!$C$2:$C$900*COUNTIF('سجل الإنتاج'!$C$2:$C$501,الطبخات!$A$2:$A$900)),3))</f>
        <v>24</v>
      </c>
      <c r="D50" s="9"/>
    </row>
    <row r="51" spans="1:4" ht="24" customHeight="1">
      <c r="A51" s="9" t="s">
        <v>46</v>
      </c>
      <c r="B51" s="7" t="s">
        <v>28</v>
      </c>
      <c r="C51" s="10">
        <f>IF(A51="","",ROUND(SUMIFS(الإدخالات!$D$2:$D$501,الإدخالات!$C$2:$C$501,A51)+SUMIFS('تعديل الجرد'!$F$2:$F$501,'تعديل الجرد'!$C$2:$C$501,A51)-SUMIFS('الصرف المباشر'!$D$2:$D$501,'الصرف المباشر'!$C$2:$C$501,A51)-SUMPRODUCT((الطبخات!$B$2:$B$900=A51)*الطبخات!$C$2:$C$900*COUNTIF('سجل الإنتاج'!$C$2:$C$501,الطبخات!$A$2:$A$900)),3))</f>
        <v>88</v>
      </c>
      <c r="D51" s="9"/>
    </row>
    <row r="52" spans="1:4" ht="24" customHeight="1">
      <c r="A52" s="9" t="s">
        <v>42</v>
      </c>
      <c r="B52" s="7" t="s">
        <v>28</v>
      </c>
      <c r="C52" s="10">
        <f>IF(A52="","",ROUND(SUMIFS(الإدخالات!$D$2:$D$501,الإدخالات!$C$2:$C$501,A52)+SUMIFS('تعديل الجرد'!$F$2:$F$501,'تعديل الجرد'!$C$2:$C$501,A52)-SUMIFS('الصرف المباشر'!$D$2:$D$501,'الصرف المباشر'!$C$2:$C$501,A52)-SUMPRODUCT((الطبخات!$B$2:$B$900=A52)*الطبخات!$C$2:$C$900*COUNTIF('سجل الإنتاج'!$C$2:$C$501,الطبخات!$A$2:$A$900)),3))</f>
        <v>0</v>
      </c>
      <c r="D52" s="9"/>
    </row>
    <row r="53" spans="1:4" ht="24" customHeight="1">
      <c r="A53" s="9" t="s">
        <v>41</v>
      </c>
      <c r="B53" s="7" t="s">
        <v>28</v>
      </c>
      <c r="C53" s="10">
        <f>IF(A53="","",ROUND(SUMIFS(الإدخالات!$D$2:$D$501,الإدخالات!$C$2:$C$501,A53)+SUMIFS('تعديل الجرد'!$F$2:$F$501,'تعديل الجرد'!$C$2:$C$501,A53)-SUMIFS('الصرف المباشر'!$D$2:$D$501,'الصرف المباشر'!$C$2:$C$501,A53)-SUMPRODUCT((الطبخات!$B$2:$B$900=A53)*الطبخات!$C$2:$C$900*COUNTIF('سجل الإنتاج'!$C$2:$C$501,الطبخات!$A$2:$A$900)),3))</f>
        <v>34</v>
      </c>
      <c r="D53" s="9"/>
    </row>
    <row r="54" spans="1:4" ht="24" customHeight="1">
      <c r="A54" s="9" t="s">
        <v>40</v>
      </c>
      <c r="B54" s="7" t="s">
        <v>28</v>
      </c>
      <c r="C54" s="10">
        <f>IF(A54="","",ROUND(SUMIFS(الإدخالات!$D$2:$D$501,الإدخالات!$C$2:$C$501,A54)+SUMIFS('تعديل الجرد'!$F$2:$F$501,'تعديل الجرد'!$C$2:$C$501,A54)-SUMIFS('الصرف المباشر'!$D$2:$D$501,'الصرف المباشر'!$C$2:$C$501,A54)-SUMPRODUCT((الطبخات!$B$2:$B$900=A54)*الطبخات!$C$2:$C$900*COUNTIF('سجل الإنتاج'!$C$2:$C$501,الطبخات!$A$2:$A$900)),3))</f>
        <v>1</v>
      </c>
      <c r="D54" s="9"/>
    </row>
    <row r="55" spans="1:4" ht="24" customHeight="1">
      <c r="A55" s="9" t="s">
        <v>39</v>
      </c>
      <c r="B55" s="7" t="s">
        <v>28</v>
      </c>
      <c r="C55" s="10">
        <f>IF(A55="","",ROUND(SUMIFS(الإدخالات!$D$2:$D$501,الإدخالات!$C$2:$C$501,A55)+SUMIFS('تعديل الجرد'!$F$2:$F$501,'تعديل الجرد'!$C$2:$C$501,A55)-SUMIFS('الصرف المباشر'!$D$2:$D$501,'الصرف المباشر'!$C$2:$C$501,A55)-SUMPRODUCT((الطبخات!$B$2:$B$900=A55)*الطبخات!$C$2:$C$900*COUNTIF('سجل الإنتاج'!$C$2:$C$501,الطبخات!$A$2:$A$900)),3))</f>
        <v>0</v>
      </c>
      <c r="D55" s="9"/>
    </row>
    <row r="56" spans="1:4" ht="24" customHeight="1">
      <c r="A56" s="9" t="s">
        <v>38</v>
      </c>
      <c r="B56" s="7" t="s">
        <v>28</v>
      </c>
      <c r="C56" s="10">
        <f>IF(A56="","",ROUND(SUMIFS(الإدخالات!$D$2:$D$501,الإدخالات!$C$2:$C$501,A56)+SUMIFS('تعديل الجرد'!$F$2:$F$501,'تعديل الجرد'!$C$2:$C$501,A56)-SUMIFS('الصرف المباشر'!$D$2:$D$501,'الصرف المباشر'!$C$2:$C$501,A56)-SUMPRODUCT((الطبخات!$B$2:$B$900=A56)*الطبخات!$C$2:$C$900*COUNTIF('سجل الإنتاج'!$C$2:$C$501,الطبخات!$A$2:$A$900)),3))</f>
        <v>1</v>
      </c>
      <c r="D56" s="9"/>
    </row>
    <row r="57" spans="1:4" ht="24" customHeight="1">
      <c r="A57" s="9" t="s">
        <v>37</v>
      </c>
      <c r="B57" s="7" t="s">
        <v>28</v>
      </c>
      <c r="C57" s="10">
        <f>IF(A57="","",ROUND(SUMIFS(الإدخالات!$D$2:$D$501,الإدخالات!$C$2:$C$501,A57)+SUMIFS('تعديل الجرد'!$F$2:$F$501,'تعديل الجرد'!$C$2:$C$501,A57)-SUMIFS('الصرف المباشر'!$D$2:$D$501,'الصرف المباشر'!$C$2:$C$501,A57)-SUMPRODUCT((الطبخات!$B$2:$B$900=A57)*الطبخات!$C$2:$C$900*COUNTIF('سجل الإنتاج'!$C$2:$C$501,الطبخات!$A$2:$A$900)),3))</f>
        <v>0.83</v>
      </c>
      <c r="D57" s="9"/>
    </row>
    <row r="58" spans="1:4" ht="24" customHeight="1">
      <c r="A58" s="9" t="s">
        <v>240</v>
      </c>
      <c r="B58" s="7" t="s">
        <v>28</v>
      </c>
      <c r="C58" s="10">
        <f>IF(A58="","",ROUND(SUMIFS(الإدخالات!$D$2:$D$501,الإدخالات!$C$2:$C$501,A58)+SUMIFS('تعديل الجرد'!$F$2:$F$501,'تعديل الجرد'!$C$2:$C$501,A58)-SUMIFS('الصرف المباشر'!$D$2:$D$501,'الصرف المباشر'!$C$2:$C$501,A58)-SUMPRODUCT((الطبخات!$B$2:$B$900=A58)*الطبخات!$C$2:$C$900*COUNTIF('سجل الإنتاج'!$C$2:$C$501,الطبخات!$A$2:$A$900)),3))</f>
        <v>0</v>
      </c>
      <c r="D58" s="9"/>
    </row>
    <row r="59" spans="1:4" ht="24" customHeight="1">
      <c r="A59" s="9" t="s">
        <v>35</v>
      </c>
      <c r="B59" s="7" t="s">
        <v>28</v>
      </c>
      <c r="C59" s="10">
        <f>IF(A59="","",ROUND(SUMIFS(الإدخالات!$D$2:$D$501,الإدخالات!$C$2:$C$501,A59)+SUMIFS('تعديل الجرد'!$F$2:$F$501,'تعديل الجرد'!$C$2:$C$501,A59)-SUMIFS('الصرف المباشر'!$D$2:$D$501,'الصرف المباشر'!$C$2:$C$501,A59)-SUMPRODUCT((الطبخات!$B$2:$B$900=A59)*الطبخات!$C$2:$C$900*COUNTIF('سجل الإنتاج'!$C$2:$C$501,الطبخات!$A$2:$A$900)),3))</f>
        <v>425</v>
      </c>
      <c r="D59" s="9"/>
    </row>
    <row r="60" spans="1:4" ht="24" customHeight="1">
      <c r="A60" s="9" t="s">
        <v>241</v>
      </c>
      <c r="B60" s="7" t="s">
        <v>251</v>
      </c>
      <c r="C60" s="10">
        <f>IF(A60="","",ROUND(SUMIFS(الإدخالات!$D$2:$D$501,الإدخالات!$C$2:$C$501,A60)+SUMIFS('تعديل الجرد'!$F$2:$F$501,'تعديل الجرد'!$C$2:$C$501,A60)-SUMIFS('الصرف المباشر'!$D$2:$D$501,'الصرف المباشر'!$C$2:$C$501,A60)-SUMPRODUCT((الطبخات!$B$2:$B$900=A60)*الطبخات!$C$2:$C$900*COUNTIF('سجل الإنتاج'!$C$2:$C$501,الطبخات!$A$2:$A$900)),3))</f>
        <v>12</v>
      </c>
      <c r="D60" s="9"/>
    </row>
    <row r="61" spans="1:4" ht="24" customHeight="1">
      <c r="A61" s="9" t="s">
        <v>34</v>
      </c>
      <c r="B61" s="7" t="s">
        <v>28</v>
      </c>
      <c r="C61" s="10">
        <f>IF(A61="","",ROUND(SUMIFS(الإدخالات!$D$2:$D$501,الإدخالات!$C$2:$C$501,A61)+SUMIFS('تعديل الجرد'!$F$2:$F$501,'تعديل الجرد'!$C$2:$C$501,A61)-SUMIFS('الصرف المباشر'!$D$2:$D$501,'الصرف المباشر'!$C$2:$C$501,A61)-SUMPRODUCT((الطبخات!$B$2:$B$900=A61)*الطبخات!$C$2:$C$900*COUNTIF('سجل الإنتاج'!$C$2:$C$501,الطبخات!$A$2:$A$900)),3))</f>
        <v>292.5</v>
      </c>
      <c r="D61" s="9"/>
    </row>
    <row r="62" spans="1:4" ht="24" customHeight="1">
      <c r="A62" s="9" t="s">
        <v>33</v>
      </c>
      <c r="B62" s="7" t="s">
        <v>28</v>
      </c>
      <c r="C62" s="10">
        <f>IF(A62="","",ROUND(SUMIFS(الإدخالات!$D$2:$D$501,الإدخالات!$C$2:$C$501,A62)+SUMIFS('تعديل الجرد'!$F$2:$F$501,'تعديل الجرد'!$C$2:$C$501,A62)-SUMIFS('الصرف المباشر'!$D$2:$D$501,'الصرف المباشر'!$C$2:$C$501,A62)-SUMPRODUCT((الطبخات!$B$2:$B$900=A62)*الطبخات!$C$2:$C$900*COUNTIF('سجل الإنتاج'!$C$2:$C$501,الطبخات!$A$2:$A$900)),3))</f>
        <v>0</v>
      </c>
      <c r="D62" s="9"/>
    </row>
    <row r="63" spans="1:4" ht="24" customHeight="1">
      <c r="A63" s="9" t="s">
        <v>32</v>
      </c>
      <c r="B63" s="7" t="s">
        <v>28</v>
      </c>
      <c r="C63" s="10">
        <f>IF(A63="","",ROUND(SUMIFS(الإدخالات!$D$2:$D$501,الإدخالات!$C$2:$C$501,A63)+SUMIFS('تعديل الجرد'!$F$2:$F$501,'تعديل الجرد'!$C$2:$C$501,A63)-SUMIFS('الصرف المباشر'!$D$2:$D$501,'الصرف المباشر'!$C$2:$C$501,A63)-SUMPRODUCT((الطبخات!$B$2:$B$900=A63)*الطبخات!$C$2:$C$900*COUNTIF('سجل الإنتاج'!$C$2:$C$501,الطبخات!$A$2:$A$900)),3))</f>
        <v>3</v>
      </c>
      <c r="D63" s="9"/>
    </row>
    <row r="64" spans="1:4" ht="24" customHeight="1">
      <c r="A64" s="9" t="s">
        <v>31</v>
      </c>
      <c r="B64" s="7" t="s">
        <v>28</v>
      </c>
      <c r="C64" s="10">
        <f>IF(A64="","",ROUND(SUMIFS(الإدخالات!$D$2:$D$501,الإدخالات!$C$2:$C$501,A64)+SUMIFS('تعديل الجرد'!$F$2:$F$501,'تعديل الجرد'!$C$2:$C$501,A64)-SUMIFS('الصرف المباشر'!$D$2:$D$501,'الصرف المباشر'!$C$2:$C$501,A64)-SUMPRODUCT((الطبخات!$B$2:$B$900=A64)*الطبخات!$C$2:$C$900*COUNTIF('سجل الإنتاج'!$C$2:$C$501,الطبخات!$A$2:$A$900)),3))</f>
        <v>0</v>
      </c>
      <c r="D64" s="9"/>
    </row>
    <row r="65" spans="1:4" ht="24" customHeight="1">
      <c r="A65" s="9" t="s">
        <v>29</v>
      </c>
      <c r="B65" s="7" t="s">
        <v>28</v>
      </c>
      <c r="C65" s="10">
        <f>IF(A65="","",ROUND(SUMIFS(الإدخالات!$D$2:$D$501,الإدخالات!$C$2:$C$501,A65)+SUMIFS('تعديل الجرد'!$F$2:$F$501,'تعديل الجرد'!$C$2:$C$501,A65)-SUMIFS('الصرف المباشر'!$D$2:$D$501,'الصرف المباشر'!$C$2:$C$501,A65)-SUMPRODUCT((الطبخات!$B$2:$B$900=A65)*الطبخات!$C$2:$C$900*COUNTIF('سجل الإنتاج'!$C$2:$C$501,الطبخات!$A$2:$A$900)),3))</f>
        <v>6</v>
      </c>
      <c r="D65" s="9"/>
    </row>
    <row r="66" spans="1:4" ht="24" customHeight="1">
      <c r="A66" s="9" t="s">
        <v>27</v>
      </c>
      <c r="B66" s="7" t="s">
        <v>28</v>
      </c>
      <c r="C66" s="10">
        <f>IF(A66="","",ROUND(SUMIFS(الإدخالات!$D$2:$D$501,الإدخالات!$C$2:$C$501,A66)+SUMIFS('تعديل الجرد'!$F$2:$F$501,'تعديل الجرد'!$C$2:$C$501,A66)-SUMIFS('الصرف المباشر'!$D$2:$D$501,'الصرف المباشر'!$C$2:$C$501,A66)-SUMPRODUCT((الطبخات!$B$2:$B$900=A66)*الطبخات!$C$2:$C$900*COUNTIF('سجل الإنتاج'!$C$2:$C$501,الطبخات!$A$2:$A$900)),3))</f>
        <v>16.5</v>
      </c>
      <c r="D66" s="9"/>
    </row>
    <row r="67" spans="1:4" ht="24" customHeight="1">
      <c r="A67" s="9" t="s">
        <v>242</v>
      </c>
      <c r="B67" s="7" t="s">
        <v>28</v>
      </c>
      <c r="C67" s="10">
        <f>IF(A67="","",ROUND(SUMIFS(الإدخالات!$D$2:$D$501,الإدخالات!$C$2:$C$501,A67)+SUMIFS('تعديل الجرد'!$F$2:$F$501,'تعديل الجرد'!$C$2:$C$501,A67)-SUMIFS('الصرف المباشر'!$D$2:$D$501,'الصرف المباشر'!$C$2:$C$501,A67)-SUMPRODUCT((الطبخات!$B$2:$B$900=A67)*الطبخات!$C$2:$C$900*COUNTIF('سجل الإنتاج'!$C$2:$C$501,الطبخات!$A$2:$A$900)),3))</f>
        <v>57</v>
      </c>
      <c r="D67" s="9"/>
    </row>
    <row r="68" spans="1:4" ht="24" customHeight="1">
      <c r="A68" s="9" t="s">
        <v>243</v>
      </c>
      <c r="B68" s="7" t="s">
        <v>28</v>
      </c>
      <c r="C68" s="10">
        <f>IF(A68="","",ROUND(SUMIFS(الإدخالات!$D$2:$D$501,الإدخالات!$C$2:$C$501,A68)+SUMIFS('تعديل الجرد'!$F$2:$F$501,'تعديل الجرد'!$C$2:$C$501,A68)-SUMIFS('الصرف المباشر'!$D$2:$D$501,'الصرف المباشر'!$C$2:$C$501,A68)-SUMPRODUCT((الطبخات!$B$2:$B$900=A68)*الطبخات!$C$2:$C$900*COUNTIF('سجل الإنتاج'!$C$2:$C$501,الطبخات!$A$2:$A$900)),3))</f>
        <v>207.5</v>
      </c>
      <c r="D68" s="9"/>
    </row>
    <row r="69" spans="1:4" ht="24" customHeight="1">
      <c r="A69" s="9" t="s">
        <v>244</v>
      </c>
      <c r="B69" s="7" t="s">
        <v>28</v>
      </c>
      <c r="C69" s="10">
        <f>IF(A69="","",ROUND(SUMIFS(الإدخالات!$D$2:$D$501,الإدخالات!$C$2:$C$501,A69)+SUMIFS('تعديل الجرد'!$F$2:$F$501,'تعديل الجرد'!$C$2:$C$501,A69)-SUMIFS('الصرف المباشر'!$D$2:$D$501,'الصرف المباشر'!$C$2:$C$501,A69)-SUMPRODUCT((الطبخات!$B$2:$B$900=A69)*الطبخات!$C$2:$C$900*COUNTIF('سجل الإنتاج'!$C$2:$C$501,الطبخات!$A$2:$A$900)),3))</f>
        <v>0</v>
      </c>
      <c r="D69" s="9"/>
    </row>
    <row r="70" spans="1:4" ht="24" customHeight="1">
      <c r="A70" s="9" t="s">
        <v>245</v>
      </c>
      <c r="B70" s="7" t="s">
        <v>28</v>
      </c>
      <c r="C70" s="10">
        <f>IF(A70="","",ROUND(SUMIFS(الإدخالات!$D$2:$D$501,الإدخالات!$C$2:$C$501,A70)+SUMIFS('تعديل الجرد'!$F$2:$F$501,'تعديل الجرد'!$C$2:$C$501,A70)-SUMIFS('الصرف المباشر'!$D$2:$D$501,'الصرف المباشر'!$C$2:$C$501,A70)-SUMPRODUCT((الطبخات!$B$2:$B$900=A70)*الطبخات!$C$2:$C$900*COUNTIF('سجل الإنتاج'!$C$2:$C$501,الطبخات!$A$2:$A$900)),3))</f>
        <v>1</v>
      </c>
      <c r="D70" s="9"/>
    </row>
    <row r="71" spans="1:4" ht="24" customHeight="1">
      <c r="A71" s="9" t="s">
        <v>246</v>
      </c>
      <c r="B71" s="7" t="s">
        <v>28</v>
      </c>
      <c r="C71" s="10">
        <f>IF(A71="","",ROUND(SUMIFS(الإدخالات!$D$2:$D$501,الإدخالات!$C$2:$C$501,A71)+SUMIFS('تعديل الجرد'!$F$2:$F$501,'تعديل الجرد'!$C$2:$C$501,A71)-SUMIFS('الصرف المباشر'!$D$2:$D$501,'الصرف المباشر'!$C$2:$C$501,A71)-SUMPRODUCT((الطبخات!$B$2:$B$900=A71)*الطبخات!$C$2:$C$900*COUNTIF('سجل الإنتاج'!$C$2:$C$501,الطبخات!$A$2:$A$900)),3))</f>
        <v>0</v>
      </c>
      <c r="D71" s="9"/>
    </row>
    <row r="72" spans="1:4" ht="24" customHeight="1">
      <c r="A72" s="9" t="s">
        <v>247</v>
      </c>
      <c r="B72" s="7" t="s">
        <v>251</v>
      </c>
      <c r="C72" s="10">
        <f>IF(A72="","",ROUND(SUMIFS(الإدخالات!$D$2:$D$501,الإدخالات!$C$2:$C$501,A72)+SUMIFS('تعديل الجرد'!$F$2:$F$501,'تعديل الجرد'!$C$2:$C$501,A72)-SUMIFS('الصرف المباشر'!$D$2:$D$501,'الصرف المباشر'!$C$2:$C$501,A72)-SUMPRODUCT((الطبخات!$B$2:$B$900=A72)*الطبخات!$C$2:$C$900*COUNTIF('سجل الإنتاج'!$C$2:$C$501,الطبخات!$A$2:$A$900)),3))</f>
        <v>19.829999999999998</v>
      </c>
      <c r="D72" s="9"/>
    </row>
    <row r="73" spans="1:4" ht="24" customHeight="1">
      <c r="A73" s="9" t="s">
        <v>248</v>
      </c>
      <c r="B73" s="7" t="s">
        <v>251</v>
      </c>
      <c r="C73" s="10">
        <f>IF(A73="","",ROUND(SUMIFS(الإدخالات!$D$2:$D$501,الإدخالات!$C$2:$C$501,A73)+SUMIFS('تعديل الجرد'!$F$2:$F$501,'تعديل الجرد'!$C$2:$C$501,A73)-SUMIFS('الصرف المباشر'!$D$2:$D$501,'الصرف المباشر'!$C$2:$C$501,A73)-SUMPRODUCT((الطبخات!$B$2:$B$900=A73)*الطبخات!$C$2:$C$900*COUNTIF('سجل الإنتاج'!$C$2:$C$501,الطبخات!$A$2:$A$900)),3))</f>
        <v>11.16</v>
      </c>
      <c r="D73" s="9"/>
    </row>
    <row r="74" spans="1:4" ht="24" customHeight="1">
      <c r="A74" s="9" t="s">
        <v>249</v>
      </c>
      <c r="B74" s="7" t="s">
        <v>251</v>
      </c>
      <c r="C74" s="10">
        <f>IF(A74="","",ROUND(SUMIFS(الإدخالات!$D$2:$D$501,الإدخالات!$C$2:$C$501,A74)+SUMIFS('تعديل الجرد'!$F$2:$F$501,'تعديل الجرد'!$C$2:$C$501,A74)-SUMIFS('الصرف المباشر'!$D$2:$D$501,'الصرف المباشر'!$C$2:$C$501,A74)-SUMPRODUCT((الطبخات!$B$2:$B$900=A74)*الطبخات!$C$2:$C$900*COUNTIF('سجل الإنتاج'!$C$2:$C$501,الطبخات!$A$2:$A$900)),3))</f>
        <v>93.75</v>
      </c>
      <c r="D74" s="9"/>
    </row>
    <row r="75" spans="1:4" ht="24" customHeight="1">
      <c r="A75" s="9" t="s">
        <v>250</v>
      </c>
      <c r="B75" s="7" t="s">
        <v>28</v>
      </c>
      <c r="C75" s="10" t="str">
        <f>C76</f>
        <v/>
      </c>
      <c r="D75" s="9"/>
    </row>
    <row r="76" spans="1:4" ht="24" customHeight="1">
      <c r="A76" s="9"/>
      <c r="B76" s="7"/>
      <c r="C76" s="10" t="str">
        <f>IF(A76="","",ROUND(SUMIFS(الإدخالات!$D$2:$D$501,الإدخالات!$C$2:$C$501,A76)+SUMIFS('تعديل الجرد'!$F$2:$F$501,'تعديل الجرد'!$C$2:$C$501,A76)-SUMIFS('الصرف المباشر'!$D$2:$D$501,'الصرف المباشر'!$C$2:$C$501,A76)-SUMPRODUCT((الطبخات!$B$2:$B$900=A76)*الطبخات!$C$2:$C$900*COUNTIF('سجل الإنتاج'!$C$2:$C$501,الطبخات!$A$2:$A$900)),3))</f>
        <v/>
      </c>
      <c r="D76" s="9"/>
    </row>
    <row r="77" spans="1:4" ht="24" customHeight="1">
      <c r="A77" s="9"/>
      <c r="B77" s="7"/>
      <c r="C77" s="10" t="str">
        <f>IF(A77="","",ROUND(SUMIFS(الإدخالات!$D$2:$D$501,الإدخالات!$C$2:$C$501,A77)+SUMIFS('تعديل الجرد'!$F$2:$F$501,'تعديل الجرد'!$C$2:$C$501,A77)-SUMIFS('الصرف المباشر'!$D$2:$D$501,'الصرف المباشر'!$C$2:$C$501,A77)-SUMPRODUCT((الطبخات!$B$2:$B$900=A77)*الطبخات!$C$2:$C$900*COUNTIF('سجل الإنتاج'!$C$2:$C$501,الطبخات!$A$2:$A$900)),3))</f>
        <v/>
      </c>
      <c r="D77" s="9"/>
    </row>
    <row r="78" spans="1:4" ht="24" customHeight="1">
      <c r="A78" s="9"/>
      <c r="B78" s="7"/>
      <c r="C78" s="10" t="str">
        <f>IF(A78="","",ROUND(SUMIFS(الإدخالات!$D$2:$D$501,الإدخالات!$C$2:$C$501,A78)+SUMIFS('تعديل الجرد'!$F$2:$F$501,'تعديل الجرد'!$C$2:$C$501,A78)-SUMIFS('الصرف المباشر'!$D$2:$D$501,'الصرف المباشر'!$C$2:$C$501,A78)-SUMPRODUCT((الطبخات!$B$2:$B$900=A78)*الطبخات!$C$2:$C$900*COUNTIF('سجل الإنتاج'!$C$2:$C$501,الطبخات!$A$2:$A$900)),3))</f>
        <v/>
      </c>
      <c r="D78" s="9"/>
    </row>
    <row r="79" spans="1:4" ht="24" customHeight="1">
      <c r="A79" s="9"/>
      <c r="B79" s="7"/>
      <c r="C79" s="10" t="str">
        <f>IF(A79="","",ROUND(SUMIFS(الإدخالات!$D$2:$D$501,الإدخالات!$C$2:$C$501,A79)+SUMIFS('تعديل الجرد'!$F$2:$F$501,'تعديل الجرد'!$C$2:$C$501,A79)-SUMIFS('الصرف المباشر'!$D$2:$D$501,'الصرف المباشر'!$C$2:$C$501,A79)-SUMPRODUCT((الطبخات!$B$2:$B$900=A79)*الطبخات!$C$2:$C$900*COUNTIF('سجل الإنتاج'!$C$2:$C$501,الطبخات!$A$2:$A$900)),3))</f>
        <v/>
      </c>
      <c r="D79" s="9"/>
    </row>
    <row r="80" spans="1:4" ht="24" customHeight="1">
      <c r="A80" s="9"/>
      <c r="B80" s="7"/>
      <c r="C80" s="10" t="str">
        <f>IF(A80="","",ROUND(SUMIFS(الإدخالات!$D$2:$D$501,الإدخالات!$C$2:$C$501,A80)+SUMIFS('تعديل الجرد'!$F$2:$F$501,'تعديل الجرد'!$C$2:$C$501,A80)-SUMIFS('الصرف المباشر'!$D$2:$D$501,'الصرف المباشر'!$C$2:$C$501,A80)-SUMPRODUCT((الطبخات!$B$2:$B$900=A80)*الطبخات!$C$2:$C$900*COUNTIF('سجل الإنتاج'!$C$2:$C$501,الطبخات!$A$2:$A$900)),3))</f>
        <v/>
      </c>
      <c r="D80" s="9"/>
    </row>
    <row r="81" spans="1:4" ht="24" customHeight="1">
      <c r="A81" s="9"/>
      <c r="B81" s="7"/>
      <c r="C81" s="10" t="str">
        <f>IF(A81="","",ROUND(SUMIFS(الإدخالات!$D$2:$D$501,الإدخالات!$C$2:$C$501,A81)+SUMIFS('تعديل الجرد'!$F$2:$F$501,'تعديل الجرد'!$C$2:$C$501,A81)-SUMIFS('الصرف المباشر'!$D$2:$D$501,'الصرف المباشر'!$C$2:$C$501,A81)-SUMPRODUCT((الطبخات!$B$2:$B$900=A81)*الطبخات!$C$2:$C$900*COUNTIF('سجل الإنتاج'!$C$2:$C$501,الطبخات!$A$2:$A$900)),3))</f>
        <v/>
      </c>
      <c r="D81" s="9"/>
    </row>
    <row r="82" spans="1:4" ht="24" customHeight="1">
      <c r="A82" s="9"/>
      <c r="B82" s="7"/>
      <c r="C82" s="10" t="str">
        <f>IF(A82="","",ROUND(SUMIFS(الإدخالات!$D$2:$D$501,الإدخالات!$C$2:$C$501,A82)+SUMIFS('تعديل الجرد'!$F$2:$F$501,'تعديل الجرد'!$C$2:$C$501,A82)-SUMIFS('الصرف المباشر'!$D$2:$D$501,'الصرف المباشر'!$C$2:$C$501,A82)-SUMPRODUCT((الطبخات!$B$2:$B$900=A82)*الطبخات!$C$2:$C$900*COUNTIF('سجل الإنتاج'!$C$2:$C$501,الطبخات!$A$2:$A$900)),3))</f>
        <v/>
      </c>
      <c r="D82" s="9"/>
    </row>
    <row r="83" spans="1:4" ht="24" customHeight="1">
      <c r="A83" s="9"/>
      <c r="B83" s="7"/>
      <c r="C83" s="10" t="str">
        <f>IF(A83="","",ROUND(SUMIFS(الإدخالات!$D$2:$D$501,الإدخالات!$C$2:$C$501,A83)+SUMIFS('تعديل الجرد'!$F$2:$F$501,'تعديل الجرد'!$C$2:$C$501,A83)-SUMIFS('الصرف المباشر'!$D$2:$D$501,'الصرف المباشر'!$C$2:$C$501,A83)-SUMPRODUCT((الطبخات!$B$2:$B$900=A83)*الطبخات!$C$2:$C$900*COUNTIF('سجل الإنتاج'!$C$2:$C$501,الطبخات!$A$2:$A$900)),3))</f>
        <v/>
      </c>
      <c r="D83" s="9"/>
    </row>
    <row r="84" spans="1:4" ht="24" customHeight="1">
      <c r="A84" s="9"/>
      <c r="B84" s="7"/>
      <c r="C84" s="10" t="str">
        <f>IF(A84="","",ROUND(SUMIFS(الإدخالات!$D$2:$D$501,الإدخالات!$C$2:$C$501,A84)+SUMIFS('تعديل الجرد'!$F$2:$F$501,'تعديل الجرد'!$C$2:$C$501,A84)-SUMIFS('الصرف المباشر'!$D$2:$D$501,'الصرف المباشر'!$C$2:$C$501,A84)-SUMPRODUCT((الطبخات!$B$2:$B$900=A84)*الطبخات!$C$2:$C$900*COUNTIF('سجل الإنتاج'!$C$2:$C$501,الطبخات!$A$2:$A$900)),3))</f>
        <v/>
      </c>
      <c r="D84" s="9"/>
    </row>
    <row r="85" spans="1:4" ht="24" customHeight="1">
      <c r="A85" s="9"/>
      <c r="B85" s="7"/>
      <c r="C85" s="10" t="str">
        <f>IF(A85="","",ROUND(SUMIFS(الإدخالات!$D$2:$D$501,الإدخالات!$C$2:$C$501,A85)+SUMIFS('تعديل الجرد'!$F$2:$F$501,'تعديل الجرد'!$C$2:$C$501,A85)-SUMIFS('الصرف المباشر'!$D$2:$D$501,'الصرف المباشر'!$C$2:$C$501,A85)-SUMPRODUCT((الطبخات!$B$2:$B$900=A85)*الطبخات!$C$2:$C$900*COUNTIF('سجل الإنتاج'!$C$2:$C$501,الطبخات!$A$2:$A$900)),3))</f>
        <v/>
      </c>
      <c r="D85" s="9"/>
    </row>
    <row r="86" spans="1:4" ht="24" customHeight="1">
      <c r="A86" s="9"/>
      <c r="B86" s="7"/>
      <c r="C86" s="10" t="str">
        <f>IF(A86="","",ROUND(SUMIFS(الإدخالات!$D$2:$D$501,الإدخالات!$C$2:$C$501,A86)+SUMIFS('تعديل الجرد'!$F$2:$F$501,'تعديل الجرد'!$C$2:$C$501,A86)-SUMIFS('الصرف المباشر'!$D$2:$D$501,'الصرف المباشر'!$C$2:$C$501,A86)-SUMPRODUCT((الطبخات!$B$2:$B$900=A86)*الطبخات!$C$2:$C$900*COUNTIF('سجل الإنتاج'!$C$2:$C$501,الطبخات!$A$2:$A$900)),3))</f>
        <v/>
      </c>
      <c r="D86" s="9"/>
    </row>
    <row r="87" spans="1:4" ht="24" customHeight="1">
      <c r="A87" s="9"/>
      <c r="B87" s="7"/>
      <c r="C87" s="10" t="str">
        <f>IF(A87="","",ROUND(SUMIFS(الإدخالات!$D$2:$D$501,الإدخالات!$C$2:$C$501,A87)+SUMIFS('تعديل الجرد'!$F$2:$F$501,'تعديل الجرد'!$C$2:$C$501,A87)-SUMIFS('الصرف المباشر'!$D$2:$D$501,'الصرف المباشر'!$C$2:$C$501,A87)-SUMPRODUCT((الطبخات!$B$2:$B$900=A87)*الطبخات!$C$2:$C$900*COUNTIF('سجل الإنتاج'!$C$2:$C$501,الطبخات!$A$2:$A$900)),3))</f>
        <v/>
      </c>
      <c r="D87" s="9"/>
    </row>
    <row r="88" spans="1:4" ht="24" customHeight="1">
      <c r="A88" s="9"/>
      <c r="B88" s="7"/>
      <c r="C88" s="10" t="str">
        <f>IF(A88="","",ROUND(SUMIFS(الإدخالات!$D$2:$D$501,الإدخالات!$C$2:$C$501,A88)+SUMIFS('تعديل الجرد'!$F$2:$F$501,'تعديل الجرد'!$C$2:$C$501,A88)-SUMIFS('الصرف المباشر'!$D$2:$D$501,'الصرف المباشر'!$C$2:$C$501,A88)-SUMPRODUCT((الطبخات!$B$2:$B$900=A88)*الطبخات!$C$2:$C$900*COUNTIF('سجل الإنتاج'!$C$2:$C$501,الطبخات!$A$2:$A$900)),3))</f>
        <v/>
      </c>
      <c r="D88" s="9"/>
    </row>
    <row r="89" spans="1:4" ht="24" customHeight="1">
      <c r="A89" s="9"/>
      <c r="B89" s="7"/>
      <c r="C89" s="10" t="str">
        <f>IF(A89="","",ROUND(SUMIFS(الإدخالات!$D$2:$D$501,الإدخالات!$C$2:$C$501,A89)+SUMIFS('تعديل الجرد'!$F$2:$F$501,'تعديل الجرد'!$C$2:$C$501,A89)-SUMIFS('الصرف المباشر'!$D$2:$D$501,'الصرف المباشر'!$C$2:$C$501,A89)-SUMPRODUCT((الطبخات!$B$2:$B$900=A89)*الطبخات!$C$2:$C$900*COUNTIF('سجل الإنتاج'!$C$2:$C$501,الطبخات!$A$2:$A$900)),3))</f>
        <v/>
      </c>
      <c r="D89" s="9"/>
    </row>
    <row r="90" spans="1:4" ht="24" customHeight="1">
      <c r="A90" s="9"/>
      <c r="B90" s="7"/>
      <c r="C90" s="10" t="str">
        <f>IF(A90="","",ROUND(SUMIFS(الإدخالات!$D$2:$D$501,الإدخالات!$C$2:$C$501,A90)+SUMIFS('تعديل الجرد'!$F$2:$F$501,'تعديل الجرد'!$C$2:$C$501,A90)-SUMIFS('الصرف المباشر'!$D$2:$D$501,'الصرف المباشر'!$C$2:$C$501,A90)-SUMPRODUCT((الطبخات!$B$2:$B$900=A90)*الطبخات!$C$2:$C$900*COUNTIF('سجل الإنتاج'!$C$2:$C$501,الطبخات!$A$2:$A$900)),3))</f>
        <v/>
      </c>
      <c r="D90" s="9"/>
    </row>
    <row r="91" spans="1:4" ht="24" customHeight="1">
      <c r="A91" s="9"/>
      <c r="B91" s="7"/>
      <c r="C91" s="10" t="str">
        <f>IF(A91="","",ROUND(SUMIFS(الإدخالات!$D$2:$D$501,الإدخالات!$C$2:$C$501,A91)+SUMIFS('تعديل الجرد'!$F$2:$F$501,'تعديل الجرد'!$C$2:$C$501,A91)-SUMIFS('الصرف المباشر'!$D$2:$D$501,'الصرف المباشر'!$C$2:$C$501,A91)-SUMPRODUCT((الطبخات!$B$2:$B$900=A91)*الطبخات!$C$2:$C$900*COUNTIF('سجل الإنتاج'!$C$2:$C$501,الطبخات!$A$2:$A$900)),3))</f>
        <v/>
      </c>
      <c r="D91" s="9"/>
    </row>
    <row r="92" spans="1:4" ht="24" customHeight="1">
      <c r="A92" s="9"/>
      <c r="B92" s="7"/>
      <c r="C92" s="10" t="str">
        <f>IF(A92="","",ROUND(SUMIFS(الإدخالات!$D$2:$D$501,الإدخالات!$C$2:$C$501,A92)+SUMIFS('تعديل الجرد'!$F$2:$F$501,'تعديل الجرد'!$C$2:$C$501,A92)-SUMIFS('الصرف المباشر'!$D$2:$D$501,'الصرف المباشر'!$C$2:$C$501,A92)-SUMPRODUCT((الطبخات!$B$2:$B$900=A92)*الطبخات!$C$2:$C$900*COUNTIF('سجل الإنتاج'!$C$2:$C$501,الطبخات!$A$2:$A$900)),3))</f>
        <v/>
      </c>
      <c r="D92" s="9"/>
    </row>
    <row r="93" spans="1:4" ht="24" customHeight="1">
      <c r="A93" s="9"/>
      <c r="B93" s="7"/>
      <c r="C93" s="10" t="str">
        <f>IF(A93="","",ROUND(SUMIFS(الإدخالات!$D$2:$D$501,الإدخالات!$C$2:$C$501,A93)+SUMIFS('تعديل الجرد'!$F$2:$F$501,'تعديل الجرد'!$C$2:$C$501,A93)-SUMIFS('الصرف المباشر'!$D$2:$D$501,'الصرف المباشر'!$C$2:$C$501,A93)-SUMPRODUCT((الطبخات!$B$2:$B$900=A93)*الطبخات!$C$2:$C$900*COUNTIF('سجل الإنتاج'!$C$2:$C$501,الطبخات!$A$2:$A$900)),3))</f>
        <v/>
      </c>
      <c r="D93" s="9"/>
    </row>
    <row r="94" spans="1:4" ht="24" customHeight="1">
      <c r="A94" s="9"/>
      <c r="B94" s="7"/>
      <c r="C94" s="10" t="str">
        <f>IF(A94="","",ROUND(SUMIFS(الإدخالات!$D$2:$D$501,الإدخالات!$C$2:$C$501,A94)+SUMIFS('تعديل الجرد'!$F$2:$F$501,'تعديل الجرد'!$C$2:$C$501,A94)-SUMIFS('الصرف المباشر'!$D$2:$D$501,'الصرف المباشر'!$C$2:$C$501,A94)-SUMPRODUCT((الطبخات!$B$2:$B$900=A94)*الطبخات!$C$2:$C$900*COUNTIF('سجل الإنتاج'!$C$2:$C$501,الطبخات!$A$2:$A$900)),3))</f>
        <v/>
      </c>
      <c r="D94" s="9"/>
    </row>
    <row r="95" spans="1:4" ht="24" customHeight="1">
      <c r="A95" s="9"/>
      <c r="B95" s="7"/>
      <c r="C95" s="10" t="str">
        <f>IF(A95="","",ROUND(SUMIFS(الإدخالات!$D$2:$D$501,الإدخالات!$C$2:$C$501,A95)+SUMIFS('تعديل الجرد'!$F$2:$F$501,'تعديل الجرد'!$C$2:$C$501,A95)-SUMIFS('الصرف المباشر'!$D$2:$D$501,'الصرف المباشر'!$C$2:$C$501,A95)-SUMPRODUCT((الطبخات!$B$2:$B$900=A95)*الطبخات!$C$2:$C$900*COUNTIF('سجل الإنتاج'!$C$2:$C$501,الطبخات!$A$2:$A$900)),3))</f>
        <v/>
      </c>
      <c r="D95" s="9"/>
    </row>
    <row r="96" spans="1:4" ht="24" customHeight="1">
      <c r="A96" s="11"/>
      <c r="B96" s="12"/>
      <c r="C96" s="13" t="str">
        <f>IF(A96="","",ROUND(SUMIFS(الإدخالات!$D$2:$D$501,الإدخالات!$C$2:$C$501,A96)+SUMIFS('تعديل الجرد'!$F$2:$F$501,'تعديل الجرد'!$C$2:$C$501,A96)-SUMIFS('الصرف المباشر'!$D$2:$D$501,'الصرف المباشر'!$C$2:$C$501,A96)-SUMPRODUCT((الطبخات!$B$2:$B$900=A96)*الطبخات!$C$2:$C$900*COUNTIF('سجل الإنتاج'!$C$2:$C$501,الطبخات!$A$2:$A$900)),3))</f>
        <v/>
      </c>
      <c r="D96" s="11"/>
    </row>
    <row r="97" spans="1:4" ht="24" customHeight="1">
      <c r="A97" s="11"/>
      <c r="B97" s="12"/>
      <c r="C97" s="13" t="str">
        <f>IF(A97="","",ROUND(SUMIFS(الإدخالات!$D$2:$D$501,الإدخالات!$C$2:$C$501,A97)+SUMIFS('تعديل الجرد'!$F$2:$F$501,'تعديل الجرد'!$C$2:$C$501,A97)-SUMIFS('الصرف المباشر'!$D$2:$D$501,'الصرف المباشر'!$C$2:$C$501,A97)-SUMPRODUCT((الطبخات!$B$2:$B$900=A97)*الطبخات!$C$2:$C$900*COUNTIF('سجل الإنتاج'!$C$2:$C$501,الطبخات!$A$2:$A$900)),3))</f>
        <v/>
      </c>
      <c r="D97" s="11"/>
    </row>
    <row r="98" spans="1:4" ht="24" customHeight="1">
      <c r="A98" s="11"/>
      <c r="B98" s="12"/>
      <c r="C98" s="13" t="str">
        <f>IF(A98="","",ROUND(SUMIFS(الإدخالات!$D$2:$D$501,الإدخالات!$C$2:$C$501,A98)+SUMIFS('تعديل الجرد'!$F$2:$F$501,'تعديل الجرد'!$C$2:$C$501,A98)-SUMIFS('الصرف المباشر'!$D$2:$D$501,'الصرف المباشر'!$C$2:$C$501,A98)-SUMPRODUCT((الطبخات!$B$2:$B$900=A98)*الطبخات!$C$2:$C$900*COUNTIF('سجل الإنتاج'!$C$2:$C$501,الطبخات!$A$2:$A$900)),3))</f>
        <v/>
      </c>
      <c r="D98" s="11"/>
    </row>
    <row r="99" spans="1:4" ht="24" customHeight="1">
      <c r="A99" s="11"/>
      <c r="B99" s="12"/>
      <c r="C99" s="13" t="str">
        <f>IF(A99="","",ROUND(SUMIFS(الإدخالات!$D$2:$D$501,الإدخالات!$C$2:$C$501,A99)+SUMIFS('تعديل الجرد'!$F$2:$F$501,'تعديل الجرد'!$C$2:$C$501,A99)-SUMIFS('الصرف المباشر'!$D$2:$D$501,'الصرف المباشر'!$C$2:$C$501,A99)-SUMPRODUCT((الطبخات!$B$2:$B$900=A99)*الطبخات!$C$2:$C$900*COUNTIF('سجل الإنتاج'!$C$2:$C$501,الطبخات!$A$2:$A$900)),3))</f>
        <v/>
      </c>
      <c r="D99" s="11"/>
    </row>
    <row r="100" spans="1:4" ht="24" customHeight="1">
      <c r="A100" s="11"/>
      <c r="B100" s="12"/>
      <c r="C100" s="13" t="str">
        <f>IF(A100="","",ROUND(SUMIFS(الإدخالات!$D$2:$D$501,الإدخالات!$C$2:$C$501,A100)+SUMIFS('تعديل الجرد'!$F$2:$F$501,'تعديل الجرد'!$C$2:$C$501,A100)-SUMIFS('الصرف المباشر'!$D$2:$D$501,'الصرف المباشر'!$C$2:$C$501,A100)-SUMPRODUCT((الطبخات!$B$2:$B$900=A100)*الطبخات!$C$2:$C$900*COUNTIF('سجل الإنتاج'!$C$2:$C$501,الطبخات!$A$2:$A$900)),3))</f>
        <v/>
      </c>
      <c r="D100" s="11"/>
    </row>
    <row r="101" spans="1:4" ht="24" customHeight="1">
      <c r="A101" s="11"/>
      <c r="B101" s="12"/>
      <c r="C101" s="13" t="str">
        <f>IF(A101="","",ROUND(SUMIFS(الإدخالات!$D$2:$D$501,الإدخالات!$C$2:$C$501,A101)+SUMIFS('تعديل الجرد'!$F$2:$F$501,'تعديل الجرد'!$C$2:$C$501,A101)-SUMIFS('الصرف المباشر'!$D$2:$D$501,'الصرف المباشر'!$C$2:$C$501,A101)-SUMPRODUCT((الطبخات!$B$2:$B$900=A101)*الطبخات!$C$2:$C$900*COUNTIF('سجل الإنتاج'!$C$2:$C$501,الطبخات!$A$2:$A$900)),3))</f>
        <v/>
      </c>
      <c r="D101" s="11"/>
    </row>
    <row r="102" spans="1:4" ht="24" customHeight="1">
      <c r="A102" s="11"/>
      <c r="B102" s="12"/>
      <c r="C102" s="13" t="str">
        <f>IF(A102="","",ROUND(SUMIFS(الإدخالات!$D$2:$D$501,الإدخالات!$C$2:$C$501,A102)+SUMIFS('تعديل الجرد'!$F$2:$F$501,'تعديل الجرد'!$C$2:$C$501,A102)-SUMIFS('الصرف المباشر'!$D$2:$D$501,'الصرف المباشر'!$C$2:$C$501,A102)-SUMPRODUCT((الطبخات!$B$2:$B$900=A102)*الطبخات!$C$2:$C$900*COUNTIF('سجل الإنتاج'!$C$2:$C$501,الطبخات!$A$2:$A$900)),3))</f>
        <v/>
      </c>
      <c r="D102" s="11"/>
    </row>
    <row r="103" spans="1:4" ht="24" customHeight="1">
      <c r="A103" s="11"/>
      <c r="B103" s="12"/>
      <c r="C103" s="13" t="str">
        <f>IF(A103="","",ROUND(SUMIFS(الإدخالات!$D$2:$D$501,الإدخالات!$C$2:$C$501,A103)+SUMIFS('تعديل الجرد'!$F$2:$F$501,'تعديل الجرد'!$C$2:$C$501,A103)-SUMIFS('الصرف المباشر'!$D$2:$D$501,'الصرف المباشر'!$C$2:$C$501,A103)-SUMPRODUCT((الطبخات!$B$2:$B$900=A103)*الطبخات!$C$2:$C$900*COUNTIF('سجل الإنتاج'!$C$2:$C$501,الطبخات!$A$2:$A$900)),3))</f>
        <v/>
      </c>
      <c r="D103" s="11"/>
    </row>
    <row r="104" spans="1:4" ht="24" customHeight="1">
      <c r="A104" s="11"/>
      <c r="B104" s="12"/>
      <c r="C104" s="13" t="str">
        <f>IF(A104="","",ROUND(SUMIFS(الإدخالات!$D$2:$D$501,الإدخالات!$C$2:$C$501,A104)+SUMIFS('تعديل الجرد'!$F$2:$F$501,'تعديل الجرد'!$C$2:$C$501,A104)-SUMIFS('الصرف المباشر'!$D$2:$D$501,'الصرف المباشر'!$C$2:$C$501,A104)-SUMPRODUCT((الطبخات!$B$2:$B$900=A104)*الطبخات!$C$2:$C$900*COUNTIF('سجل الإنتاج'!$C$2:$C$501,الطبخات!$A$2:$A$900)),3))</f>
        <v/>
      </c>
      <c r="D104" s="11"/>
    </row>
    <row r="105" spans="1:4" ht="24" customHeight="1">
      <c r="A105" s="11"/>
      <c r="B105" s="12"/>
      <c r="C105" s="13" t="str">
        <f>IF(A105="","",ROUND(SUMIFS(الإدخالات!$D$2:$D$501,الإدخالات!$C$2:$C$501,A105)+SUMIFS('تعديل الجرد'!$F$2:$F$501,'تعديل الجرد'!$C$2:$C$501,A105)-SUMIFS('الصرف المباشر'!$D$2:$D$501,'الصرف المباشر'!$C$2:$C$501,A105)-SUMPRODUCT((الطبخات!$B$2:$B$900=A105)*الطبخات!$C$2:$C$900*COUNTIF('سجل الإنتاج'!$C$2:$C$501,الطبخات!$A$2:$A$900)),3))</f>
        <v/>
      </c>
      <c r="D105" s="11"/>
    </row>
    <row r="106" spans="1:4" ht="24" customHeight="1">
      <c r="A106" s="11"/>
      <c r="B106" s="12"/>
      <c r="C106" s="13" t="str">
        <f>IF(A106="","",ROUND(SUMIFS(الإدخالات!$D$2:$D$501,الإدخالات!$C$2:$C$501,A106)+SUMIFS('تعديل الجرد'!$F$2:$F$501,'تعديل الجرد'!$C$2:$C$501,A106)-SUMIFS('الصرف المباشر'!$D$2:$D$501,'الصرف المباشر'!$C$2:$C$501,A106)-SUMPRODUCT((الطبخات!$B$2:$B$900=A106)*الطبخات!$C$2:$C$900*COUNTIF('سجل الإنتاج'!$C$2:$C$501,الطبخات!$A$2:$A$900)),3))</f>
        <v/>
      </c>
      <c r="D106" s="11"/>
    </row>
    <row r="107" spans="1:4" ht="24" customHeight="1">
      <c r="A107" s="11"/>
      <c r="B107" s="12"/>
      <c r="C107" s="13" t="str">
        <f>IF(A107="","",ROUND(SUMIFS(الإدخالات!$D$2:$D$501,الإدخالات!$C$2:$C$501,A107)+SUMIFS('تعديل الجرد'!$F$2:$F$501,'تعديل الجرد'!$C$2:$C$501,A107)-SUMIFS('الصرف المباشر'!$D$2:$D$501,'الصرف المباشر'!$C$2:$C$501,A107)-SUMPRODUCT((الطبخات!$B$2:$B$900=A107)*الطبخات!$C$2:$C$900*COUNTIF('سجل الإنتاج'!$C$2:$C$501,الطبخات!$A$2:$A$900)),3))</f>
        <v/>
      </c>
      <c r="D107" s="11"/>
    </row>
    <row r="108" spans="1:4" ht="24" customHeight="1">
      <c r="A108" s="11"/>
      <c r="B108" s="12"/>
      <c r="C108" s="13" t="str">
        <f>IF(A108="","",ROUND(SUMIFS(الإدخالات!$D$2:$D$501,الإدخالات!$C$2:$C$501,A108)+SUMIFS('تعديل الجرد'!$F$2:$F$501,'تعديل الجرد'!$C$2:$C$501,A108)-SUMIFS('الصرف المباشر'!$D$2:$D$501,'الصرف المباشر'!$C$2:$C$501,A108)-SUMPRODUCT((الطبخات!$B$2:$B$900=A108)*الطبخات!$C$2:$C$900*COUNTIF('سجل الإنتاج'!$C$2:$C$501,الطبخات!$A$2:$A$900)),3))</f>
        <v/>
      </c>
      <c r="D108" s="11"/>
    </row>
    <row r="109" spans="1:4" ht="24" customHeight="1">
      <c r="A109" s="11"/>
      <c r="B109" s="12"/>
      <c r="C109" s="13" t="str">
        <f>IF(A109="","",ROUND(SUMIFS(الإدخالات!$D$2:$D$501,الإدخالات!$C$2:$C$501,A109)+SUMIFS('تعديل الجرد'!$F$2:$F$501,'تعديل الجرد'!$C$2:$C$501,A109)-SUMIFS('الصرف المباشر'!$D$2:$D$501,'الصرف المباشر'!$C$2:$C$501,A109)-SUMPRODUCT((الطبخات!$B$2:$B$900=A109)*الطبخات!$C$2:$C$900*COUNTIF('سجل الإنتاج'!$C$2:$C$501,الطبخات!$A$2:$A$900)),3))</f>
        <v/>
      </c>
      <c r="D109" s="11"/>
    </row>
    <row r="110" spans="1:4" ht="24" customHeight="1">
      <c r="A110" s="11"/>
      <c r="B110" s="12"/>
      <c r="C110" s="13" t="str">
        <f>IF(A110="","",ROUND(SUMIFS(الإدخالات!$D$2:$D$501,الإدخالات!$C$2:$C$501,A110)+SUMIFS('تعديل الجرد'!$F$2:$F$501,'تعديل الجرد'!$C$2:$C$501,A110)-SUMIFS('الصرف المباشر'!$D$2:$D$501,'الصرف المباشر'!$C$2:$C$501,A110)-SUMPRODUCT((الطبخات!$B$2:$B$900=A110)*الطبخات!$C$2:$C$900*COUNTIF('سجل الإنتاج'!$C$2:$C$501,الطبخات!$A$2:$A$900)),3))</f>
        <v/>
      </c>
      <c r="D110" s="11"/>
    </row>
    <row r="111" spans="1:4" ht="24" customHeight="1">
      <c r="A111" s="11"/>
      <c r="B111" s="12"/>
      <c r="C111" s="13" t="str">
        <f>IF(A111="","",ROUND(SUMIFS(الإدخالات!$D$2:$D$501,الإدخالات!$C$2:$C$501,A111)+SUMIFS('تعديل الجرد'!$F$2:$F$501,'تعديل الجرد'!$C$2:$C$501,A111)-SUMIFS('الصرف المباشر'!$D$2:$D$501,'الصرف المباشر'!$C$2:$C$501,A111)-SUMPRODUCT((الطبخات!$B$2:$B$900=A111)*الطبخات!$C$2:$C$900*COUNTIF('سجل الإنتاج'!$C$2:$C$501,الطبخات!$A$2:$A$900)),3))</f>
        <v/>
      </c>
      <c r="D111" s="11"/>
    </row>
    <row r="112" spans="1:4" ht="24" customHeight="1">
      <c r="A112" s="11"/>
      <c r="B112" s="12"/>
      <c r="C112" s="13" t="str">
        <f>IF(A112="","",ROUND(SUMIFS(الإدخالات!$D$2:$D$501,الإدخالات!$C$2:$C$501,A112)+SUMIFS('تعديل الجرد'!$F$2:$F$501,'تعديل الجرد'!$C$2:$C$501,A112)-SUMIFS('الصرف المباشر'!$D$2:$D$501,'الصرف المباشر'!$C$2:$C$501,A112)-SUMPRODUCT((الطبخات!$B$2:$B$900=A112)*الطبخات!$C$2:$C$900*COUNTIF('سجل الإنتاج'!$C$2:$C$501,الطبخات!$A$2:$A$900)),3))</f>
        <v/>
      </c>
      <c r="D112" s="11"/>
    </row>
    <row r="113" spans="1:4" ht="24" customHeight="1">
      <c r="A113" s="11"/>
      <c r="B113" s="12"/>
      <c r="C113" s="13" t="str">
        <f>IF(A113="","",ROUND(SUMIFS(الإدخالات!$D$2:$D$501,الإدخالات!$C$2:$C$501,A113)+SUMIFS('تعديل الجرد'!$F$2:$F$501,'تعديل الجرد'!$C$2:$C$501,A113)-SUMIFS('الصرف المباشر'!$D$2:$D$501,'الصرف المباشر'!$C$2:$C$501,A113)-SUMPRODUCT((الطبخات!$B$2:$B$900=A113)*الطبخات!$C$2:$C$900*COUNTIF('سجل الإنتاج'!$C$2:$C$501,الطبخات!$A$2:$A$900)),3))</f>
        <v/>
      </c>
      <c r="D113" s="11"/>
    </row>
    <row r="114" spans="1:4" ht="24" customHeight="1">
      <c r="A114" s="11"/>
      <c r="B114" s="12"/>
      <c r="C114" s="13" t="str">
        <f>IF(A114="","",ROUND(SUMIFS(الإدخالات!$D$2:$D$501,الإدخالات!$C$2:$C$501,A114)+SUMIFS('تعديل الجرد'!$F$2:$F$501,'تعديل الجرد'!$C$2:$C$501,A114)-SUMIFS('الصرف المباشر'!$D$2:$D$501,'الصرف المباشر'!$C$2:$C$501,A114)-SUMPRODUCT((الطبخات!$B$2:$B$900=A114)*الطبخات!$C$2:$C$900*COUNTIF('سجل الإنتاج'!$C$2:$C$501,الطبخات!$A$2:$A$900)),3))</f>
        <v/>
      </c>
      <c r="D114" s="11"/>
    </row>
    <row r="115" spans="1:4" ht="24" customHeight="1">
      <c r="A115" s="11"/>
      <c r="B115" s="12"/>
      <c r="C115" s="13" t="str">
        <f>IF(A115="","",ROUND(SUMIFS(الإدخالات!$D$2:$D$501,الإدخالات!$C$2:$C$501,A115)+SUMIFS('تعديل الجرد'!$F$2:$F$501,'تعديل الجرد'!$C$2:$C$501,A115)-SUMIFS('الصرف المباشر'!$D$2:$D$501,'الصرف المباشر'!$C$2:$C$501,A115)-SUMPRODUCT((الطبخات!$B$2:$B$900=A115)*الطبخات!$C$2:$C$900*COUNTIF('سجل الإنتاج'!$C$2:$C$501,الطبخات!$A$2:$A$900)),3))</f>
        <v/>
      </c>
      <c r="D115" s="11"/>
    </row>
    <row r="116" spans="1:4" ht="24" customHeight="1">
      <c r="A116" s="11"/>
      <c r="B116" s="12"/>
      <c r="C116" s="13" t="str">
        <f>IF(A116="","",ROUND(SUMIFS(الإدخالات!$D$2:$D$501,الإدخالات!$C$2:$C$501,A116)+SUMIFS('تعديل الجرد'!$F$2:$F$501,'تعديل الجرد'!$C$2:$C$501,A116)-SUMIFS('الصرف المباشر'!$D$2:$D$501,'الصرف المباشر'!$C$2:$C$501,A116)-SUMPRODUCT((الطبخات!$B$2:$B$900=A116)*الطبخات!$C$2:$C$900*COUNTIF('سجل الإنتاج'!$C$2:$C$501,الطبخات!$A$2:$A$900)),3))</f>
        <v/>
      </c>
      <c r="D116" s="11"/>
    </row>
    <row r="117" spans="1:4" ht="24" customHeight="1">
      <c r="A117" s="11"/>
      <c r="B117" s="12"/>
      <c r="C117" s="13" t="str">
        <f>IF(A117="","",ROUND(SUMIFS(الإدخالات!$D$2:$D$501,الإدخالات!$C$2:$C$501,A117)+SUMIFS('تعديل الجرد'!$F$2:$F$501,'تعديل الجرد'!$C$2:$C$501,A117)-SUMIFS('الصرف المباشر'!$D$2:$D$501,'الصرف المباشر'!$C$2:$C$501,A117)-SUMPRODUCT((الطبخات!$B$2:$B$900=A117)*الطبخات!$C$2:$C$900*COUNTIF('سجل الإنتاج'!$C$2:$C$501,الطبخات!$A$2:$A$900)),3))</f>
        <v/>
      </c>
      <c r="D117" s="11"/>
    </row>
    <row r="118" spans="1:4" ht="24" customHeight="1">
      <c r="A118" s="11"/>
      <c r="B118" s="12"/>
      <c r="C118" s="13" t="str">
        <f>IF(A118="","",ROUND(SUMIFS(الإدخالات!$D$2:$D$501,الإدخالات!$C$2:$C$501,A118)+SUMIFS('تعديل الجرد'!$F$2:$F$501,'تعديل الجرد'!$C$2:$C$501,A118)-SUMIFS('الصرف المباشر'!$D$2:$D$501,'الصرف المباشر'!$C$2:$C$501,A118)-SUMPRODUCT((الطبخات!$B$2:$B$900=A118)*الطبخات!$C$2:$C$900*COUNTIF('سجل الإنتاج'!$C$2:$C$501,الطبخات!$A$2:$A$900)),3))</f>
        <v/>
      </c>
      <c r="D118" s="11"/>
    </row>
    <row r="119" spans="1:4" ht="24" customHeight="1">
      <c r="A119" s="11"/>
      <c r="B119" s="12"/>
      <c r="C119" s="13" t="str">
        <f>IF(A119="","",ROUND(SUMIFS(الإدخالات!$D$2:$D$501,الإدخالات!$C$2:$C$501,A119)+SUMIFS('تعديل الجرد'!$F$2:$F$501,'تعديل الجرد'!$C$2:$C$501,A119)-SUMIFS('الصرف المباشر'!$D$2:$D$501,'الصرف المباشر'!$C$2:$C$501,A119)-SUMPRODUCT((الطبخات!$B$2:$B$900=A119)*الطبخات!$C$2:$C$900*COUNTIF('سجل الإنتاج'!$C$2:$C$501,الطبخات!$A$2:$A$900)),3))</f>
        <v/>
      </c>
      <c r="D119" s="11"/>
    </row>
    <row r="120" spans="1:4" ht="24" customHeight="1">
      <c r="A120" s="11"/>
      <c r="B120" s="12"/>
      <c r="C120" s="13" t="str">
        <f>IF(A120="","",ROUND(SUMIFS(الإدخالات!$D$2:$D$501,الإدخالات!$C$2:$C$501,A120)+SUMIFS('تعديل الجرد'!$F$2:$F$501,'تعديل الجرد'!$C$2:$C$501,A120)-SUMIFS('الصرف المباشر'!$D$2:$D$501,'الصرف المباشر'!$C$2:$C$501,A120)-SUMPRODUCT((الطبخات!$B$2:$B$900=A120)*الطبخات!$C$2:$C$900*COUNTIF('سجل الإنتاج'!$C$2:$C$501,الطبخات!$A$2:$A$900)),3))</f>
        <v/>
      </c>
      <c r="D120" s="11"/>
    </row>
    <row r="121" spans="1:4" ht="24" customHeight="1">
      <c r="A121" s="11"/>
      <c r="B121" s="12"/>
      <c r="C121" s="13" t="str">
        <f>IF(A121="","",ROUND(SUMIFS(الإدخالات!$D$2:$D$501,الإدخالات!$C$2:$C$501,A121)+SUMIFS('تعديل الجرد'!$F$2:$F$501,'تعديل الجرد'!$C$2:$C$501,A121)-SUMIFS('الصرف المباشر'!$D$2:$D$501,'الصرف المباشر'!$C$2:$C$501,A121)-SUMPRODUCT((الطبخات!$B$2:$B$900=A121)*الطبخات!$C$2:$C$900*COUNTIF('سجل الإنتاج'!$C$2:$C$501,الطبخات!$A$2:$A$900)),3))</f>
        <v/>
      </c>
      <c r="D121" s="11"/>
    </row>
    <row r="122" spans="1:4" ht="24" customHeight="1">
      <c r="A122" s="11"/>
      <c r="B122" s="12"/>
      <c r="C122" s="13" t="str">
        <f>IF(A122="","",ROUND(SUMIFS(الإدخالات!$D$2:$D$501,الإدخالات!$C$2:$C$501,A122)+SUMIFS('تعديل الجرد'!$F$2:$F$501,'تعديل الجرد'!$C$2:$C$501,A122)-SUMIFS('الصرف المباشر'!$D$2:$D$501,'الصرف المباشر'!$C$2:$C$501,A122)-SUMPRODUCT((الطبخات!$B$2:$B$900=A122)*الطبخات!$C$2:$C$900*COUNTIF('سجل الإنتاج'!$C$2:$C$501,الطبخات!$A$2:$A$900)),3))</f>
        <v/>
      </c>
      <c r="D122" s="11"/>
    </row>
    <row r="123" spans="1:4" ht="24" customHeight="1">
      <c r="A123" s="11"/>
      <c r="B123" s="12"/>
      <c r="C123" s="13" t="str">
        <f>IF(A123="","",ROUND(SUMIFS(الإدخالات!$D$2:$D$501,الإدخالات!$C$2:$C$501,A123)+SUMIFS('تعديل الجرد'!$F$2:$F$501,'تعديل الجرد'!$C$2:$C$501,A123)-SUMIFS('الصرف المباشر'!$D$2:$D$501,'الصرف المباشر'!$C$2:$C$501,A123)-SUMPRODUCT((الطبخات!$B$2:$B$900=A123)*الطبخات!$C$2:$C$900*COUNTIF('سجل الإنتاج'!$C$2:$C$501,الطبخات!$A$2:$A$900)),3))</f>
        <v/>
      </c>
      <c r="D123" s="11"/>
    </row>
    <row r="124" spans="1:4" ht="24" customHeight="1">
      <c r="A124" s="11"/>
      <c r="B124" s="12"/>
      <c r="C124" s="13" t="str">
        <f>IF(A124="","",ROUND(SUMIFS(الإدخالات!$D$2:$D$501,الإدخالات!$C$2:$C$501,A124)+SUMIFS('تعديل الجرد'!$F$2:$F$501,'تعديل الجرد'!$C$2:$C$501,A124)-SUMIFS('الصرف المباشر'!$D$2:$D$501,'الصرف المباشر'!$C$2:$C$501,A124)-SUMPRODUCT((الطبخات!$B$2:$B$900=A124)*الطبخات!$C$2:$C$900*COUNTIF('سجل الإنتاج'!$C$2:$C$501,الطبخات!$A$2:$A$900)),3))</f>
        <v/>
      </c>
      <c r="D124" s="11"/>
    </row>
    <row r="125" spans="1:4" ht="24" customHeight="1">
      <c r="A125" s="11"/>
      <c r="B125" s="12"/>
      <c r="C125" s="13" t="str">
        <f>IF(A125="","",ROUND(SUMIFS(الإدخالات!$D$2:$D$501,الإدخالات!$C$2:$C$501,A125)+SUMIFS('تعديل الجرد'!$F$2:$F$501,'تعديل الجرد'!$C$2:$C$501,A125)-SUMIFS('الصرف المباشر'!$D$2:$D$501,'الصرف المباشر'!$C$2:$C$501,A125)-SUMPRODUCT((الطبخات!$B$2:$B$900=A125)*الطبخات!$C$2:$C$900*COUNTIF('سجل الإنتاج'!$C$2:$C$501,الطبخات!$A$2:$A$900)),3))</f>
        <v/>
      </c>
      <c r="D125" s="11"/>
    </row>
    <row r="126" spans="1:4" ht="24" customHeight="1">
      <c r="A126" s="11"/>
      <c r="B126" s="12"/>
      <c r="C126" s="13" t="str">
        <f>IF(A126="","",ROUND(SUMIFS(الإدخالات!$D$2:$D$501,الإدخالات!$C$2:$C$501,A126)+SUMIFS('تعديل الجرد'!$F$2:$F$501,'تعديل الجرد'!$C$2:$C$501,A126)-SUMIFS('الصرف المباشر'!$D$2:$D$501,'الصرف المباشر'!$C$2:$C$501,A126)-SUMPRODUCT((الطبخات!$B$2:$B$900=A126)*الطبخات!$C$2:$C$900*COUNTIF('سجل الإنتاج'!$C$2:$C$501,الطبخات!$A$2:$A$900)),3))</f>
        <v/>
      </c>
      <c r="D126" s="11"/>
    </row>
    <row r="127" spans="1:4" ht="24" customHeight="1">
      <c r="A127" s="11"/>
      <c r="B127" s="12"/>
      <c r="C127" s="13" t="str">
        <f>IF(A127="","",ROUND(SUMIFS(الإدخالات!$D$2:$D$501,الإدخالات!$C$2:$C$501,A127)+SUMIFS('تعديل الجرد'!$F$2:$F$501,'تعديل الجرد'!$C$2:$C$501,A127)-SUMIFS('الصرف المباشر'!$D$2:$D$501,'الصرف المباشر'!$C$2:$C$501,A127)-SUMPRODUCT((الطبخات!$B$2:$B$900=A127)*الطبخات!$C$2:$C$900*COUNTIF('سجل الإنتاج'!$C$2:$C$501,الطبخات!$A$2:$A$900)),3))</f>
        <v/>
      </c>
      <c r="D127" s="11"/>
    </row>
    <row r="128" spans="1:4" ht="24" customHeight="1">
      <c r="A128" s="11"/>
      <c r="B128" s="12"/>
      <c r="C128" s="13" t="str">
        <f>IF(A128="","",ROUND(SUMIFS(الإدخالات!$D$2:$D$501,الإدخالات!$C$2:$C$501,A128)+SUMIFS('تعديل الجرد'!$F$2:$F$501,'تعديل الجرد'!$C$2:$C$501,A128)-SUMIFS('الصرف المباشر'!$D$2:$D$501,'الصرف المباشر'!$C$2:$C$501,A128)-SUMPRODUCT((الطبخات!$B$2:$B$900=A128)*الطبخات!$C$2:$C$900*COUNTIF('سجل الإنتاج'!$C$2:$C$501,الطبخات!$A$2:$A$900)),3))</f>
        <v/>
      </c>
      <c r="D128" s="11"/>
    </row>
    <row r="129" spans="1:4" ht="24" customHeight="1">
      <c r="A129" s="11"/>
      <c r="B129" s="12"/>
      <c r="C129" s="13" t="str">
        <f>IF(A129="","",ROUND(SUMIFS(الإدخالات!$D$2:$D$501,الإدخالات!$C$2:$C$501,A129)+SUMIFS('تعديل الجرد'!$F$2:$F$501,'تعديل الجرد'!$C$2:$C$501,A129)-SUMIFS('الصرف المباشر'!$D$2:$D$501,'الصرف المباشر'!$C$2:$C$501,A129)-SUMPRODUCT((الطبخات!$B$2:$B$900=A129)*الطبخات!$C$2:$C$900*COUNTIF('سجل الإنتاج'!$C$2:$C$501,الطبخات!$A$2:$A$900)),3))</f>
        <v/>
      </c>
      <c r="D129" s="11"/>
    </row>
    <row r="130" spans="1:4" ht="24" customHeight="1">
      <c r="A130" s="11"/>
      <c r="B130" s="12"/>
      <c r="C130" s="13" t="str">
        <f>IF(A130="","",ROUND(SUMIFS(الإدخالات!$D$2:$D$501,الإدخالات!$C$2:$C$501,A130)+SUMIFS('تعديل الجرد'!$F$2:$F$501,'تعديل الجرد'!$C$2:$C$501,A130)-SUMIFS('الصرف المباشر'!$D$2:$D$501,'الصرف المباشر'!$C$2:$C$501,A130)-SUMPRODUCT((الطبخات!$B$2:$B$900=A130)*الطبخات!$C$2:$C$900*COUNTIF('سجل الإنتاج'!$C$2:$C$501,الطبخات!$A$2:$A$900)),3))</f>
        <v/>
      </c>
      <c r="D130" s="11"/>
    </row>
    <row r="131" spans="1:4" ht="24" customHeight="1">
      <c r="A131" s="11"/>
      <c r="B131" s="12"/>
      <c r="C131" s="13" t="str">
        <f>IF(A131="","",ROUND(SUMIFS(الإدخالات!$D$2:$D$501,الإدخالات!$C$2:$C$501,A131)+SUMIFS('تعديل الجرد'!$F$2:$F$501,'تعديل الجرد'!$C$2:$C$501,A131)-SUMIFS('الصرف المباشر'!$D$2:$D$501,'الصرف المباشر'!$C$2:$C$501,A131)-SUMPRODUCT((الطبخات!$B$2:$B$900=A131)*الطبخات!$C$2:$C$900*COUNTIF('سجل الإنتاج'!$C$2:$C$501,الطبخات!$A$2:$A$900)),3))</f>
        <v/>
      </c>
      <c r="D131" s="11"/>
    </row>
    <row r="132" spans="1:4" ht="24" customHeight="1">
      <c r="A132" s="11"/>
      <c r="B132" s="12"/>
      <c r="C132" s="13" t="str">
        <f>IF(A132="","",ROUND(SUMIFS(الإدخالات!$D$2:$D$501,الإدخالات!$C$2:$C$501,A132)+SUMIFS('تعديل الجرد'!$F$2:$F$501,'تعديل الجرد'!$C$2:$C$501,A132)-SUMIFS('الصرف المباشر'!$D$2:$D$501,'الصرف المباشر'!$C$2:$C$501,A132)-SUMPRODUCT((الطبخات!$B$2:$B$900=A132)*الطبخات!$C$2:$C$900*COUNTIF('سجل الإنتاج'!$C$2:$C$501,الطبخات!$A$2:$A$900)),3))</f>
        <v/>
      </c>
      <c r="D132" s="11"/>
    </row>
    <row r="133" spans="1:4" ht="24" customHeight="1">
      <c r="A133" s="11"/>
      <c r="B133" s="12"/>
      <c r="C133" s="13" t="str">
        <f>IF(A133="","",ROUND(SUMIFS(الإدخالات!$D$2:$D$501,الإدخالات!$C$2:$C$501,A133)+SUMIFS('تعديل الجرد'!$F$2:$F$501,'تعديل الجرد'!$C$2:$C$501,A133)-SUMIFS('الصرف المباشر'!$D$2:$D$501,'الصرف المباشر'!$C$2:$C$501,A133)-SUMPRODUCT((الطبخات!$B$2:$B$900=A133)*الطبخات!$C$2:$C$900*COUNTIF('سجل الإنتاج'!$C$2:$C$501,الطبخات!$A$2:$A$900)),3))</f>
        <v/>
      </c>
      <c r="D133" s="11"/>
    </row>
    <row r="134" spans="1:4" ht="24" customHeight="1">
      <c r="A134" s="11"/>
      <c r="B134" s="12"/>
      <c r="C134" s="13" t="str">
        <f>IF(A134="","",ROUND(SUMIFS(الإدخالات!$D$2:$D$501,الإدخالات!$C$2:$C$501,A134)+SUMIFS('تعديل الجرد'!$F$2:$F$501,'تعديل الجرد'!$C$2:$C$501,A134)-SUMIFS('الصرف المباشر'!$D$2:$D$501,'الصرف المباشر'!$C$2:$C$501,A134)-SUMPRODUCT((الطبخات!$B$2:$B$900=A134)*الطبخات!$C$2:$C$900*COUNTIF('سجل الإنتاج'!$C$2:$C$501,الطبخات!$A$2:$A$900)),3))</f>
        <v/>
      </c>
      <c r="D134" s="11"/>
    </row>
    <row r="135" spans="1:4" ht="24" customHeight="1">
      <c r="A135" s="11"/>
      <c r="B135" s="12"/>
      <c r="C135" s="13" t="str">
        <f>IF(A135="","",ROUND(SUMIFS(الإدخالات!$D$2:$D$501,الإدخالات!$C$2:$C$501,A135)+SUMIFS('تعديل الجرد'!$F$2:$F$501,'تعديل الجرد'!$C$2:$C$501,A135)-SUMIFS('الصرف المباشر'!$D$2:$D$501,'الصرف المباشر'!$C$2:$C$501,A135)-SUMPRODUCT((الطبخات!$B$2:$B$900=A135)*الطبخات!$C$2:$C$900*COUNTIF('سجل الإنتاج'!$C$2:$C$501,الطبخات!$A$2:$A$900)),3))</f>
        <v/>
      </c>
      <c r="D135" s="11"/>
    </row>
    <row r="136" spans="1:4" ht="24" customHeight="1">
      <c r="A136" s="11"/>
      <c r="B136" s="12"/>
      <c r="C136" s="13" t="str">
        <f>IF(A136="","",ROUND(SUMIFS(الإدخالات!$D$2:$D$501,الإدخالات!$C$2:$C$501,A136)+SUMIFS('تعديل الجرد'!$F$2:$F$501,'تعديل الجرد'!$C$2:$C$501,A136)-SUMIFS('الصرف المباشر'!$D$2:$D$501,'الصرف المباشر'!$C$2:$C$501,A136)-SUMPRODUCT((الطبخات!$B$2:$B$900=A136)*الطبخات!$C$2:$C$900*COUNTIF('سجل الإنتاج'!$C$2:$C$501,الطبخات!$A$2:$A$900)),3))</f>
        <v/>
      </c>
      <c r="D136" s="11"/>
    </row>
    <row r="137" spans="1:4" ht="24" customHeight="1">
      <c r="A137" s="11"/>
      <c r="B137" s="12"/>
      <c r="C137" s="13" t="str">
        <f>IF(A137="","",ROUND(SUMIFS(الإدخالات!$D$2:$D$501,الإدخالات!$C$2:$C$501,A137)+SUMIFS('تعديل الجرد'!$F$2:$F$501,'تعديل الجرد'!$C$2:$C$501,A137)-SUMIFS('الصرف المباشر'!$D$2:$D$501,'الصرف المباشر'!$C$2:$C$501,A137)-SUMPRODUCT((الطبخات!$B$2:$B$900=A137)*الطبخات!$C$2:$C$900*COUNTIF('سجل الإنتاج'!$C$2:$C$501,الطبخات!$A$2:$A$900)),3))</f>
        <v/>
      </c>
      <c r="D137" s="11"/>
    </row>
    <row r="138" spans="1:4" ht="24" customHeight="1">
      <c r="A138" s="11"/>
      <c r="B138" s="12"/>
      <c r="C138" s="13" t="str">
        <f>IF(A138="","",ROUND(SUMIFS(الإدخالات!$D$2:$D$501,الإدخالات!$C$2:$C$501,A138)+SUMIFS('تعديل الجرد'!$F$2:$F$501,'تعديل الجرد'!$C$2:$C$501,A138)-SUMIFS('الصرف المباشر'!$D$2:$D$501,'الصرف المباشر'!$C$2:$C$501,A138)-SUMPRODUCT((الطبخات!$B$2:$B$900=A138)*الطبخات!$C$2:$C$900*COUNTIF('سجل الإنتاج'!$C$2:$C$501,الطبخات!$A$2:$A$900)),3))</f>
        <v/>
      </c>
      <c r="D138" s="11"/>
    </row>
    <row r="139" spans="1:4" ht="24" customHeight="1">
      <c r="A139" s="11"/>
      <c r="B139" s="12"/>
      <c r="C139" s="13" t="str">
        <f>IF(A139="","",ROUND(SUMIFS(الإدخالات!$D$2:$D$501,الإدخالات!$C$2:$C$501,A139)+SUMIFS('تعديل الجرد'!$F$2:$F$501,'تعديل الجرد'!$C$2:$C$501,A139)-SUMIFS('الصرف المباشر'!$D$2:$D$501,'الصرف المباشر'!$C$2:$C$501,A139)-SUMPRODUCT((الطبخات!$B$2:$B$900=A139)*الطبخات!$C$2:$C$900*COUNTIF('سجل الإنتاج'!$C$2:$C$501,الطبخات!$A$2:$A$900)),3))</f>
        <v/>
      </c>
      <c r="D139" s="11"/>
    </row>
    <row r="140" spans="1:4" ht="24" customHeight="1">
      <c r="A140" s="11"/>
      <c r="B140" s="12"/>
      <c r="C140" s="13" t="str">
        <f>IF(A140="","",ROUND(SUMIFS(الإدخالات!$D$2:$D$501,الإدخالات!$C$2:$C$501,A140)+SUMIFS('تعديل الجرد'!$F$2:$F$501,'تعديل الجرد'!$C$2:$C$501,A140)-SUMIFS('الصرف المباشر'!$D$2:$D$501,'الصرف المباشر'!$C$2:$C$501,A140)-SUMPRODUCT((الطبخات!$B$2:$B$900=A140)*الطبخات!$C$2:$C$900*COUNTIF('سجل الإنتاج'!$C$2:$C$501,الطبخات!$A$2:$A$900)),3))</f>
        <v/>
      </c>
      <c r="D140" s="11"/>
    </row>
    <row r="141" spans="1:4" ht="24" customHeight="1">
      <c r="A141" s="11"/>
      <c r="B141" s="12"/>
      <c r="C141" s="13" t="str">
        <f>IF(A141="","",ROUND(SUMIFS(الإدخالات!$D$2:$D$501,الإدخالات!$C$2:$C$501,A141)+SUMIFS('تعديل الجرد'!$F$2:$F$501,'تعديل الجرد'!$C$2:$C$501,A141)-SUMIFS('الصرف المباشر'!$D$2:$D$501,'الصرف المباشر'!$C$2:$C$501,A141)-SUMPRODUCT((الطبخات!$B$2:$B$900=A141)*الطبخات!$C$2:$C$900*COUNTIF('سجل الإنتاج'!$C$2:$C$501,الطبخات!$A$2:$A$900)),3))</f>
        <v/>
      </c>
      <c r="D141" s="11"/>
    </row>
    <row r="142" spans="1:4" ht="24" customHeight="1">
      <c r="A142" s="11"/>
      <c r="B142" s="12"/>
      <c r="C142" s="13" t="str">
        <f>IF(A142="","",ROUND(SUMIFS(الإدخالات!$D$2:$D$501,الإدخالات!$C$2:$C$501,A142)+SUMIFS('تعديل الجرد'!$F$2:$F$501,'تعديل الجرد'!$C$2:$C$501,A142)-SUMIFS('الصرف المباشر'!$D$2:$D$501,'الصرف المباشر'!$C$2:$C$501,A142)-SUMPRODUCT((الطبخات!$B$2:$B$900=A142)*الطبخات!$C$2:$C$900*COUNTIF('سجل الإنتاج'!$C$2:$C$501,الطبخات!$A$2:$A$900)),3))</f>
        <v/>
      </c>
      <c r="D142" s="11"/>
    </row>
    <row r="143" spans="1:4" ht="24" customHeight="1">
      <c r="A143" s="11"/>
      <c r="B143" s="12"/>
      <c r="C143" s="13" t="str">
        <f>IF(A143="","",ROUND(SUMIFS(الإدخالات!$D$2:$D$501,الإدخالات!$C$2:$C$501,A143)+SUMIFS('تعديل الجرد'!$F$2:$F$501,'تعديل الجرد'!$C$2:$C$501,A143)-SUMIFS('الصرف المباشر'!$D$2:$D$501,'الصرف المباشر'!$C$2:$C$501,A143)-SUMPRODUCT((الطبخات!$B$2:$B$900=A143)*الطبخات!$C$2:$C$900*COUNTIF('سجل الإنتاج'!$C$2:$C$501,الطبخات!$A$2:$A$900)),3))</f>
        <v/>
      </c>
      <c r="D143" s="11"/>
    </row>
    <row r="144" spans="1:4" ht="24" customHeight="1">
      <c r="A144" s="11"/>
      <c r="B144" s="12"/>
      <c r="C144" s="13" t="str">
        <f>IF(A144="","",ROUND(SUMIFS(الإدخالات!$D$2:$D$501,الإدخالات!$C$2:$C$501,A144)+SUMIFS('تعديل الجرد'!$F$2:$F$501,'تعديل الجرد'!$C$2:$C$501,A144)-SUMIFS('الصرف المباشر'!$D$2:$D$501,'الصرف المباشر'!$C$2:$C$501,A144)-SUMPRODUCT((الطبخات!$B$2:$B$900=A144)*الطبخات!$C$2:$C$900*COUNTIF('سجل الإنتاج'!$C$2:$C$501,الطبخات!$A$2:$A$900)),3))</f>
        <v/>
      </c>
      <c r="D144" s="11"/>
    </row>
    <row r="145" spans="1:4" ht="24" customHeight="1">
      <c r="A145" s="11"/>
      <c r="B145" s="12"/>
      <c r="C145" s="13" t="str">
        <f>IF(A145="","",ROUND(SUMIFS(الإدخالات!$D$2:$D$501,الإدخالات!$C$2:$C$501,A145)+SUMIFS('تعديل الجرد'!$F$2:$F$501,'تعديل الجرد'!$C$2:$C$501,A145)-SUMIFS('الصرف المباشر'!$D$2:$D$501,'الصرف المباشر'!$C$2:$C$501,A145)-SUMPRODUCT((الطبخات!$B$2:$B$900=A145)*الطبخات!$C$2:$C$900*COUNTIF('سجل الإنتاج'!$C$2:$C$501,الطبخات!$A$2:$A$900)),3))</f>
        <v/>
      </c>
      <c r="D145" s="11"/>
    </row>
    <row r="146" spans="1:4" ht="24" customHeight="1">
      <c r="A146" s="11"/>
      <c r="B146" s="12"/>
      <c r="C146" s="13" t="str">
        <f>IF(A146="","",ROUND(SUMIFS(الإدخالات!$D$2:$D$501,الإدخالات!$C$2:$C$501,A146)+SUMIFS('تعديل الجرد'!$F$2:$F$501,'تعديل الجرد'!$C$2:$C$501,A146)-SUMIFS('الصرف المباشر'!$D$2:$D$501,'الصرف المباشر'!$C$2:$C$501,A146)-SUMPRODUCT((الطبخات!$B$2:$B$900=A146)*الطبخات!$C$2:$C$900*COUNTIF('سجل الإنتاج'!$C$2:$C$501,الطبخات!$A$2:$A$900)),3))</f>
        <v/>
      </c>
      <c r="D146" s="11"/>
    </row>
    <row r="147" spans="1:4" ht="24" customHeight="1">
      <c r="A147" s="11"/>
      <c r="B147" s="12"/>
      <c r="C147" s="13" t="str">
        <f>IF(A147="","",ROUND(SUMIFS(الإدخالات!$D$2:$D$501,الإدخالات!$C$2:$C$501,A147)+SUMIFS('تعديل الجرد'!$F$2:$F$501,'تعديل الجرد'!$C$2:$C$501,A147)-SUMIFS('الصرف المباشر'!$D$2:$D$501,'الصرف المباشر'!$C$2:$C$501,A147)-SUMPRODUCT((الطبخات!$B$2:$B$900=A147)*الطبخات!$C$2:$C$900*COUNTIF('سجل الإنتاج'!$C$2:$C$501,الطبخات!$A$2:$A$900)),3))</f>
        <v/>
      </c>
      <c r="D147" s="11"/>
    </row>
    <row r="148" spans="1:4" ht="24" customHeight="1">
      <c r="A148" s="11"/>
      <c r="B148" s="12"/>
      <c r="C148" s="13" t="str">
        <f>IF(A148="","",ROUND(SUMIFS(الإدخالات!$D$2:$D$501,الإدخالات!$C$2:$C$501,A148)+SUMIFS('تعديل الجرد'!$F$2:$F$501,'تعديل الجرد'!$C$2:$C$501,A148)-SUMIFS('الصرف المباشر'!$D$2:$D$501,'الصرف المباشر'!$C$2:$C$501,A148)-SUMPRODUCT((الطبخات!$B$2:$B$900=A148)*الطبخات!$C$2:$C$900*COUNTIF('سجل الإنتاج'!$C$2:$C$501,الطبخات!$A$2:$A$900)),3))</f>
        <v/>
      </c>
      <c r="D148" s="11"/>
    </row>
    <row r="149" spans="1:4" ht="24" customHeight="1">
      <c r="A149" s="11"/>
      <c r="B149" s="12"/>
      <c r="C149" s="13" t="str">
        <f>IF(A149="","",ROUND(SUMIFS(الإدخالات!$D$2:$D$501,الإدخالات!$C$2:$C$501,A149)+SUMIFS('تعديل الجرد'!$F$2:$F$501,'تعديل الجرد'!$C$2:$C$501,A149)-SUMIFS('الصرف المباشر'!$D$2:$D$501,'الصرف المباشر'!$C$2:$C$501,A149)-SUMPRODUCT((الطبخات!$B$2:$B$900=A149)*الطبخات!$C$2:$C$900*COUNTIF('سجل الإنتاج'!$C$2:$C$501,الطبخات!$A$2:$A$900)),3))</f>
        <v/>
      </c>
      <c r="D149" s="11"/>
    </row>
    <row r="150" spans="1:4" ht="24" customHeight="1">
      <c r="A150" s="11"/>
      <c r="B150" s="12"/>
      <c r="C150" s="13" t="str">
        <f>IF(A150="","",ROUND(SUMIFS(الإدخالات!$D$2:$D$501,الإدخالات!$C$2:$C$501,A150)+SUMIFS('تعديل الجرد'!$F$2:$F$501,'تعديل الجرد'!$C$2:$C$501,A150)-SUMIFS('الصرف المباشر'!$D$2:$D$501,'الصرف المباشر'!$C$2:$C$501,A150)-SUMPRODUCT((الطبخات!$B$2:$B$900=A150)*الطبخات!$C$2:$C$900*COUNTIF('سجل الإنتاج'!$C$2:$C$501,الطبخات!$A$2:$A$900)),3))</f>
        <v/>
      </c>
      <c r="D150" s="11"/>
    </row>
    <row r="151" spans="1:4" ht="24" customHeight="1">
      <c r="A151" s="11"/>
      <c r="B151" s="12"/>
      <c r="C151" s="13" t="str">
        <f>IF(A151="","",ROUND(SUMIFS(الإدخالات!$D$2:$D$501,الإدخالات!$C$2:$C$501,A151)+SUMIFS('تعديل الجرد'!$F$2:$F$501,'تعديل الجرد'!$C$2:$C$501,A151)-SUMIFS('الصرف المباشر'!$D$2:$D$501,'الصرف المباشر'!$C$2:$C$501,A151)-SUMPRODUCT((الطبخات!$B$2:$B$900=A151)*الطبخات!$C$2:$C$900*COUNTIF('سجل الإنتاج'!$C$2:$C$501,الطبخات!$A$2:$A$900)),3))</f>
        <v/>
      </c>
      <c r="D151" s="11"/>
    </row>
    <row r="152" spans="1:4" ht="24" customHeight="1">
      <c r="A152" s="11"/>
      <c r="B152" s="12"/>
      <c r="C152" s="13" t="str">
        <f>IF(A152="","",ROUND(SUMIFS(الإدخالات!$D$2:$D$501,الإدخالات!$C$2:$C$501,A152)+SUMIFS('تعديل الجرد'!$F$2:$F$501,'تعديل الجرد'!$C$2:$C$501,A152)-SUMIFS('الصرف المباشر'!$D$2:$D$501,'الصرف المباشر'!$C$2:$C$501,A152)-SUMPRODUCT((الطبخات!$B$2:$B$900=A152)*الطبخات!$C$2:$C$900*COUNTIF('سجل الإنتاج'!$C$2:$C$501,الطبخات!$A$2:$A$900)),3))</f>
        <v/>
      </c>
      <c r="D152" s="11"/>
    </row>
    <row r="153" spans="1:4" ht="24" customHeight="1">
      <c r="A153" s="11"/>
      <c r="B153" s="12"/>
      <c r="C153" s="13" t="str">
        <f>IF(A153="","",ROUND(SUMIFS(الإدخالات!$D$2:$D$501,الإدخالات!$C$2:$C$501,A153)+SUMIFS('تعديل الجرد'!$F$2:$F$501,'تعديل الجرد'!$C$2:$C$501,A153)-SUMIFS('الصرف المباشر'!$D$2:$D$501,'الصرف المباشر'!$C$2:$C$501,A153)-SUMPRODUCT((الطبخات!$B$2:$B$900=A153)*الطبخات!$C$2:$C$900*COUNTIF('سجل الإنتاج'!$C$2:$C$501,الطبخات!$A$2:$A$900)),3))</f>
        <v/>
      </c>
      <c r="D153" s="11"/>
    </row>
    <row r="154" spans="1:4" ht="24" customHeight="1">
      <c r="A154" s="11"/>
      <c r="B154" s="12"/>
      <c r="C154" s="13" t="str">
        <f>IF(A154="","",ROUND(SUMIFS(الإدخالات!$D$2:$D$501,الإدخالات!$C$2:$C$501,A154)+SUMIFS('تعديل الجرد'!$F$2:$F$501,'تعديل الجرد'!$C$2:$C$501,A154)-SUMIFS('الصرف المباشر'!$D$2:$D$501,'الصرف المباشر'!$C$2:$C$501,A154)-SUMPRODUCT((الطبخات!$B$2:$B$900=A154)*الطبخات!$C$2:$C$900*COUNTIF('سجل الإنتاج'!$C$2:$C$501,الطبخات!$A$2:$A$900)),3))</f>
        <v/>
      </c>
      <c r="D154" s="11"/>
    </row>
    <row r="155" spans="1:4" ht="24" customHeight="1">
      <c r="A155" s="11"/>
      <c r="B155" s="12"/>
      <c r="C155" s="13" t="str">
        <f>IF(A155="","",ROUND(SUMIFS(الإدخالات!$D$2:$D$501,الإدخالات!$C$2:$C$501,A155)+SUMIFS('تعديل الجرد'!$F$2:$F$501,'تعديل الجرد'!$C$2:$C$501,A155)-SUMIFS('الصرف المباشر'!$D$2:$D$501,'الصرف المباشر'!$C$2:$C$501,A155)-SUMPRODUCT((الطبخات!$B$2:$B$900=A155)*الطبخات!$C$2:$C$900*COUNTIF('سجل الإنتاج'!$C$2:$C$501,الطبخات!$A$2:$A$900)),3))</f>
        <v/>
      </c>
      <c r="D155" s="11"/>
    </row>
    <row r="156" spans="1:4" ht="24" customHeight="1">
      <c r="A156" s="11"/>
      <c r="B156" s="12"/>
      <c r="C156" s="13" t="str">
        <f>IF(A156="","",ROUND(SUMIFS(الإدخالات!$D$2:$D$501,الإدخالات!$C$2:$C$501,A156)+SUMIFS('تعديل الجرد'!$F$2:$F$501,'تعديل الجرد'!$C$2:$C$501,A156)-SUMIFS('الصرف المباشر'!$D$2:$D$501,'الصرف المباشر'!$C$2:$C$501,A156)-SUMPRODUCT((الطبخات!$B$2:$B$900=A156)*الطبخات!$C$2:$C$900*COUNTIF('سجل الإنتاج'!$C$2:$C$501,الطبخات!$A$2:$A$900)),3))</f>
        <v/>
      </c>
      <c r="D156" s="11"/>
    </row>
    <row r="157" spans="1:4" ht="24" customHeight="1">
      <c r="A157" s="11"/>
      <c r="B157" s="12"/>
      <c r="C157" s="13" t="str">
        <f>IF(A157="","",ROUND(SUMIFS(الإدخالات!$D$2:$D$501,الإدخالات!$C$2:$C$501,A157)+SUMIFS('تعديل الجرد'!$F$2:$F$501,'تعديل الجرد'!$C$2:$C$501,A157)-SUMIFS('الصرف المباشر'!$D$2:$D$501,'الصرف المباشر'!$C$2:$C$501,A157)-SUMPRODUCT((الطبخات!$B$2:$B$900=A157)*الطبخات!$C$2:$C$900*COUNTIF('سجل الإنتاج'!$C$2:$C$501,الطبخات!$A$2:$A$900)),3))</f>
        <v/>
      </c>
      <c r="D157" s="11"/>
    </row>
    <row r="158" spans="1:4" ht="24" customHeight="1">
      <c r="A158" s="11"/>
      <c r="B158" s="12"/>
      <c r="C158" s="13" t="str">
        <f>IF(A158="","",ROUND(SUMIFS(الإدخالات!$D$2:$D$501,الإدخالات!$C$2:$C$501,A158)+SUMIFS('تعديل الجرد'!$F$2:$F$501,'تعديل الجرد'!$C$2:$C$501,A158)-SUMIFS('الصرف المباشر'!$D$2:$D$501,'الصرف المباشر'!$C$2:$C$501,A158)-SUMPRODUCT((الطبخات!$B$2:$B$900=A158)*الطبخات!$C$2:$C$900*COUNTIF('سجل الإنتاج'!$C$2:$C$501,الطبخات!$A$2:$A$900)),3))</f>
        <v/>
      </c>
      <c r="D158" s="11"/>
    </row>
    <row r="159" spans="1:4" ht="24" customHeight="1">
      <c r="A159" s="11"/>
      <c r="B159" s="12"/>
      <c r="C159" s="13" t="str">
        <f>IF(A159="","",ROUND(SUMIFS(الإدخالات!$D$2:$D$501,الإدخالات!$C$2:$C$501,A159)+SUMIFS('تعديل الجرد'!$F$2:$F$501,'تعديل الجرد'!$C$2:$C$501,A159)-SUMIFS('الصرف المباشر'!$D$2:$D$501,'الصرف المباشر'!$C$2:$C$501,A159)-SUMPRODUCT((الطبخات!$B$2:$B$900=A159)*الطبخات!$C$2:$C$900*COUNTIF('سجل الإنتاج'!$C$2:$C$501,الطبخات!$A$2:$A$900)),3))</f>
        <v/>
      </c>
      <c r="D159" s="11"/>
    </row>
    <row r="160" spans="1:4" ht="24" customHeight="1">
      <c r="A160" s="11"/>
      <c r="B160" s="12"/>
      <c r="C160" s="13" t="str">
        <f>IF(A160="","",ROUND(SUMIFS(الإدخالات!$D$2:$D$501,الإدخالات!$C$2:$C$501,A160)+SUMIFS('تعديل الجرد'!$F$2:$F$501,'تعديل الجرد'!$C$2:$C$501,A160)-SUMIFS('الصرف المباشر'!$D$2:$D$501,'الصرف المباشر'!$C$2:$C$501,A160)-SUMPRODUCT((الطبخات!$B$2:$B$900=A160)*الطبخات!$C$2:$C$900*COUNTIF('سجل الإنتاج'!$C$2:$C$501,الطبخات!$A$2:$A$900)),3))</f>
        <v/>
      </c>
      <c r="D160" s="11"/>
    </row>
    <row r="161" spans="1:4" ht="24" customHeight="1">
      <c r="A161" s="11"/>
      <c r="B161" s="12"/>
      <c r="C161" s="13" t="str">
        <f>IF(A161="","",ROUND(SUMIFS(الإدخالات!$D$2:$D$501,الإدخالات!$C$2:$C$501,A161)+SUMIFS('تعديل الجرد'!$F$2:$F$501,'تعديل الجرد'!$C$2:$C$501,A161)-SUMIFS('الصرف المباشر'!$D$2:$D$501,'الصرف المباشر'!$C$2:$C$501,A161)-SUMPRODUCT((الطبخات!$B$2:$B$900=A161)*الطبخات!$C$2:$C$900*COUNTIF('سجل الإنتاج'!$C$2:$C$501,الطبخات!$A$2:$A$900)),3))</f>
        <v/>
      </c>
      <c r="D161" s="11"/>
    </row>
    <row r="162" spans="1:4" ht="24" customHeight="1">
      <c r="A162" s="11"/>
      <c r="B162" s="12"/>
      <c r="C162" s="13" t="str">
        <f>IF(A162="","",ROUND(SUMIFS(الإدخالات!$D$2:$D$501,الإدخالات!$C$2:$C$501,A162)+SUMIFS('تعديل الجرد'!$F$2:$F$501,'تعديل الجرد'!$C$2:$C$501,A162)-SUMIFS('الصرف المباشر'!$D$2:$D$501,'الصرف المباشر'!$C$2:$C$501,A162)-SUMPRODUCT((الطبخات!$B$2:$B$900=A162)*الطبخات!$C$2:$C$900*COUNTIF('سجل الإنتاج'!$C$2:$C$501,الطبخات!$A$2:$A$900)),3))</f>
        <v/>
      </c>
      <c r="D162" s="11"/>
    </row>
    <row r="163" spans="1:4" ht="24" customHeight="1">
      <c r="A163" s="11"/>
      <c r="B163" s="12"/>
      <c r="C163" s="13" t="str">
        <f>IF(A163="","",ROUND(SUMIFS(الإدخالات!$D$2:$D$501,الإدخالات!$C$2:$C$501,A163)+SUMIFS('تعديل الجرد'!$F$2:$F$501,'تعديل الجرد'!$C$2:$C$501,A163)-SUMIFS('الصرف المباشر'!$D$2:$D$501,'الصرف المباشر'!$C$2:$C$501,A163)-SUMPRODUCT((الطبخات!$B$2:$B$900=A163)*الطبخات!$C$2:$C$900*COUNTIF('سجل الإنتاج'!$C$2:$C$501,الطبخات!$A$2:$A$900)),3))</f>
        <v/>
      </c>
      <c r="D163" s="11"/>
    </row>
    <row r="164" spans="1:4" ht="24" customHeight="1">
      <c r="A164" s="11"/>
      <c r="B164" s="12"/>
      <c r="C164" s="13" t="str">
        <f>IF(A164="","",ROUND(SUMIFS(الإدخالات!$D$2:$D$501,الإدخالات!$C$2:$C$501,A164)+SUMIFS('تعديل الجرد'!$F$2:$F$501,'تعديل الجرد'!$C$2:$C$501,A164)-SUMIFS('الصرف المباشر'!$D$2:$D$501,'الصرف المباشر'!$C$2:$C$501,A164)-SUMPRODUCT((الطبخات!$B$2:$B$900=A164)*الطبخات!$C$2:$C$900*COUNTIF('سجل الإنتاج'!$C$2:$C$501,الطبخات!$A$2:$A$900)),3))</f>
        <v/>
      </c>
      <c r="D164" s="11"/>
    </row>
    <row r="165" spans="1:4" ht="24" customHeight="1">
      <c r="A165" s="11"/>
      <c r="B165" s="12"/>
      <c r="C165" s="13" t="str">
        <f>IF(A165="","",ROUND(SUMIFS(الإدخالات!$D$2:$D$501,الإدخالات!$C$2:$C$501,A165)+SUMIFS('تعديل الجرد'!$F$2:$F$501,'تعديل الجرد'!$C$2:$C$501,A165)-SUMIFS('الصرف المباشر'!$D$2:$D$501,'الصرف المباشر'!$C$2:$C$501,A165)-SUMPRODUCT((الطبخات!$B$2:$B$900=A165)*الطبخات!$C$2:$C$900*COUNTIF('سجل الإنتاج'!$C$2:$C$501,الطبخات!$A$2:$A$900)),3))</f>
        <v/>
      </c>
      <c r="D165" s="11"/>
    </row>
    <row r="166" spans="1:4" ht="24" customHeight="1">
      <c r="A166" s="11"/>
      <c r="B166" s="12"/>
      <c r="C166" s="13" t="str">
        <f>IF(A166="","",ROUND(SUMIFS(الإدخالات!$D$2:$D$501,الإدخالات!$C$2:$C$501,A166)+SUMIFS('تعديل الجرد'!$F$2:$F$501,'تعديل الجرد'!$C$2:$C$501,A166)-SUMIFS('الصرف المباشر'!$D$2:$D$501,'الصرف المباشر'!$C$2:$C$501,A166)-SUMPRODUCT((الطبخات!$B$2:$B$900=A166)*الطبخات!$C$2:$C$900*COUNTIF('سجل الإنتاج'!$C$2:$C$501,الطبخات!$A$2:$A$900)),3))</f>
        <v/>
      </c>
      <c r="D166" s="11"/>
    </row>
    <row r="167" spans="1:4" ht="24" customHeight="1">
      <c r="A167" s="11"/>
      <c r="B167" s="12"/>
      <c r="C167" s="13" t="str">
        <f>IF(A167="","",ROUND(SUMIFS(الإدخالات!$D$2:$D$501,الإدخالات!$C$2:$C$501,A167)+SUMIFS('تعديل الجرد'!$F$2:$F$501,'تعديل الجرد'!$C$2:$C$501,A167)-SUMIFS('الصرف المباشر'!$D$2:$D$501,'الصرف المباشر'!$C$2:$C$501,A167)-SUMPRODUCT((الطبخات!$B$2:$B$900=A167)*الطبخات!$C$2:$C$900*COUNTIF('سجل الإنتاج'!$C$2:$C$501,الطبخات!$A$2:$A$900)),3))</f>
        <v/>
      </c>
      <c r="D167" s="11"/>
    </row>
    <row r="168" spans="1:4" ht="24" customHeight="1">
      <c r="A168" s="11"/>
      <c r="B168" s="12"/>
      <c r="C168" s="13" t="str">
        <f>IF(A168="","",ROUND(SUMIFS(الإدخالات!$D$2:$D$501,الإدخالات!$C$2:$C$501,A168)+SUMIFS('تعديل الجرد'!$F$2:$F$501,'تعديل الجرد'!$C$2:$C$501,A168)-SUMIFS('الصرف المباشر'!$D$2:$D$501,'الصرف المباشر'!$C$2:$C$501,A168)-SUMPRODUCT((الطبخات!$B$2:$B$900=A168)*الطبخات!$C$2:$C$900*COUNTIF('سجل الإنتاج'!$C$2:$C$501,الطبخات!$A$2:$A$900)),3))</f>
        <v/>
      </c>
      <c r="D168" s="11"/>
    </row>
    <row r="169" spans="1:4" ht="24" customHeight="1">
      <c r="A169" s="11"/>
      <c r="B169" s="12"/>
      <c r="C169" s="13" t="str">
        <f>IF(A169="","",ROUND(SUMIFS(الإدخالات!$D$2:$D$501,الإدخالات!$C$2:$C$501,A169)+SUMIFS('تعديل الجرد'!$F$2:$F$501,'تعديل الجرد'!$C$2:$C$501,A169)-SUMIFS('الصرف المباشر'!$D$2:$D$501,'الصرف المباشر'!$C$2:$C$501,A169)-SUMPRODUCT((الطبخات!$B$2:$B$900=A169)*الطبخات!$C$2:$C$900*COUNTIF('سجل الإنتاج'!$C$2:$C$501,الطبخات!$A$2:$A$900)),3))</f>
        <v/>
      </c>
      <c r="D169" s="11"/>
    </row>
    <row r="170" spans="1:4" ht="24" customHeight="1">
      <c r="A170" s="11"/>
      <c r="B170" s="12"/>
      <c r="C170" s="13" t="str">
        <f>IF(A170="","",ROUND(SUMIFS(الإدخالات!$D$2:$D$501,الإدخالات!$C$2:$C$501,A170)+SUMIFS('تعديل الجرد'!$F$2:$F$501,'تعديل الجرد'!$C$2:$C$501,A170)-SUMIFS('الصرف المباشر'!$D$2:$D$501,'الصرف المباشر'!$C$2:$C$501,A170)-SUMPRODUCT((الطبخات!$B$2:$B$900=A170)*الطبخات!$C$2:$C$900*COUNTIF('سجل الإنتاج'!$C$2:$C$501,الطبخات!$A$2:$A$900)),3))</f>
        <v/>
      </c>
      <c r="D170" s="11"/>
    </row>
    <row r="171" spans="1:4" ht="24" customHeight="1">
      <c r="A171" s="11"/>
      <c r="B171" s="12"/>
      <c r="C171" s="13" t="str">
        <f>IF(A171="","",ROUND(SUMIFS(الإدخالات!$D$2:$D$501,الإدخالات!$C$2:$C$501,A171)+SUMIFS('تعديل الجرد'!$F$2:$F$501,'تعديل الجرد'!$C$2:$C$501,A171)-SUMIFS('الصرف المباشر'!$D$2:$D$501,'الصرف المباشر'!$C$2:$C$501,A171)-SUMPRODUCT((الطبخات!$B$2:$B$900=A171)*الطبخات!$C$2:$C$900*COUNTIF('سجل الإنتاج'!$C$2:$C$501,الطبخات!$A$2:$A$900)),3))</f>
        <v/>
      </c>
      <c r="D171" s="11"/>
    </row>
    <row r="172" spans="1:4" ht="24" customHeight="1">
      <c r="A172" s="11"/>
      <c r="B172" s="12"/>
      <c r="C172" s="13" t="str">
        <f>IF(A172="","",ROUND(SUMIFS(الإدخالات!$D$2:$D$501,الإدخالات!$C$2:$C$501,A172)+SUMIFS('تعديل الجرد'!$F$2:$F$501,'تعديل الجرد'!$C$2:$C$501,A172)-SUMIFS('الصرف المباشر'!$D$2:$D$501,'الصرف المباشر'!$C$2:$C$501,A172)-SUMPRODUCT((الطبخات!$B$2:$B$900=A172)*الطبخات!$C$2:$C$900*COUNTIF('سجل الإنتاج'!$C$2:$C$501,الطبخات!$A$2:$A$900)),3))</f>
        <v/>
      </c>
      <c r="D172" s="11"/>
    </row>
    <row r="173" spans="1:4" ht="24" customHeight="1">
      <c r="A173" s="11"/>
      <c r="B173" s="12"/>
      <c r="C173" s="13" t="str">
        <f>IF(A173="","",ROUND(SUMIFS(الإدخالات!$D$2:$D$501,الإدخالات!$C$2:$C$501,A173)+SUMIFS('تعديل الجرد'!$F$2:$F$501,'تعديل الجرد'!$C$2:$C$501,A173)-SUMIFS('الصرف المباشر'!$D$2:$D$501,'الصرف المباشر'!$C$2:$C$501,A173)-SUMPRODUCT((الطبخات!$B$2:$B$900=A173)*الطبخات!$C$2:$C$900*COUNTIF('سجل الإنتاج'!$C$2:$C$501,الطبخات!$A$2:$A$900)),3))</f>
        <v/>
      </c>
      <c r="D173" s="11"/>
    </row>
    <row r="174" spans="1:4" ht="24" customHeight="1">
      <c r="A174" s="11"/>
      <c r="B174" s="12"/>
      <c r="C174" s="13" t="str">
        <f>IF(A174="","",ROUND(SUMIFS(الإدخالات!$D$2:$D$501,الإدخالات!$C$2:$C$501,A174)+SUMIFS('تعديل الجرد'!$F$2:$F$501,'تعديل الجرد'!$C$2:$C$501,A174)-SUMIFS('الصرف المباشر'!$D$2:$D$501,'الصرف المباشر'!$C$2:$C$501,A174)-SUMPRODUCT((الطبخات!$B$2:$B$900=A174)*الطبخات!$C$2:$C$900*COUNTIF('سجل الإنتاج'!$C$2:$C$501,الطبخات!$A$2:$A$900)),3))</f>
        <v/>
      </c>
      <c r="D174" s="11"/>
    </row>
    <row r="175" spans="1:4" ht="24" customHeight="1">
      <c r="A175" s="11"/>
      <c r="B175" s="12"/>
      <c r="C175" s="13" t="str">
        <f>IF(A175="","",ROUND(SUMIFS(الإدخالات!$D$2:$D$501,الإدخالات!$C$2:$C$501,A175)+SUMIFS('تعديل الجرد'!$F$2:$F$501,'تعديل الجرد'!$C$2:$C$501,A175)-SUMIFS('الصرف المباشر'!$D$2:$D$501,'الصرف المباشر'!$C$2:$C$501,A175)-SUMPRODUCT((الطبخات!$B$2:$B$900=A175)*الطبخات!$C$2:$C$900*COUNTIF('سجل الإنتاج'!$C$2:$C$501,الطبخات!$A$2:$A$900)),3))</f>
        <v/>
      </c>
      <c r="D175" s="11"/>
    </row>
    <row r="176" spans="1:4" ht="24" customHeight="1">
      <c r="A176" s="11"/>
      <c r="B176" s="12"/>
      <c r="C176" s="13" t="str">
        <f>IF(A176="","",ROUND(SUMIFS(الإدخالات!$D$2:$D$501,الإدخالات!$C$2:$C$501,A176)+SUMIFS('تعديل الجرد'!$F$2:$F$501,'تعديل الجرد'!$C$2:$C$501,A176)-SUMIFS('الصرف المباشر'!$D$2:$D$501,'الصرف المباشر'!$C$2:$C$501,A176)-SUMPRODUCT((الطبخات!$B$2:$B$900=A176)*الطبخات!$C$2:$C$900*COUNTIF('سجل الإنتاج'!$C$2:$C$501,الطبخات!$A$2:$A$900)),3))</f>
        <v/>
      </c>
      <c r="D176" s="11"/>
    </row>
    <row r="177" spans="1:4" ht="24" customHeight="1">
      <c r="A177" s="11"/>
      <c r="B177" s="12"/>
      <c r="C177" s="13" t="str">
        <f>IF(A177="","",ROUND(SUMIFS(الإدخالات!$D$2:$D$501,الإدخالات!$C$2:$C$501,A177)+SUMIFS('تعديل الجرد'!$F$2:$F$501,'تعديل الجرد'!$C$2:$C$501,A177)-SUMIFS('الصرف المباشر'!$D$2:$D$501,'الصرف المباشر'!$C$2:$C$501,A177)-SUMPRODUCT((الطبخات!$B$2:$B$900=A177)*الطبخات!$C$2:$C$900*COUNTIF('سجل الإنتاج'!$C$2:$C$501,الطبخات!$A$2:$A$900)),3))</f>
        <v/>
      </c>
      <c r="D177" s="11"/>
    </row>
    <row r="178" spans="1:4" ht="24" customHeight="1">
      <c r="A178" s="11"/>
      <c r="B178" s="12"/>
      <c r="C178" s="13" t="str">
        <f>IF(A178="","",ROUND(SUMIFS(الإدخالات!$D$2:$D$501,الإدخالات!$C$2:$C$501,A178)+SUMIFS('تعديل الجرد'!$F$2:$F$501,'تعديل الجرد'!$C$2:$C$501,A178)-SUMIFS('الصرف المباشر'!$D$2:$D$501,'الصرف المباشر'!$C$2:$C$501,A178)-SUMPRODUCT((الطبخات!$B$2:$B$900=A178)*الطبخات!$C$2:$C$900*COUNTIF('سجل الإنتاج'!$C$2:$C$501,الطبخات!$A$2:$A$900)),3))</f>
        <v/>
      </c>
      <c r="D178" s="11"/>
    </row>
    <row r="179" spans="1:4" ht="24" customHeight="1">
      <c r="A179" s="11"/>
      <c r="B179" s="12"/>
      <c r="C179" s="13" t="str">
        <f>IF(A179="","",ROUND(SUMIFS(الإدخالات!$D$2:$D$501,الإدخالات!$C$2:$C$501,A179)+SUMIFS('تعديل الجرد'!$F$2:$F$501,'تعديل الجرد'!$C$2:$C$501,A179)-SUMIFS('الصرف المباشر'!$D$2:$D$501,'الصرف المباشر'!$C$2:$C$501,A179)-SUMPRODUCT((الطبخات!$B$2:$B$900=A179)*الطبخات!$C$2:$C$900*COUNTIF('سجل الإنتاج'!$C$2:$C$501,الطبخات!$A$2:$A$900)),3))</f>
        <v/>
      </c>
      <c r="D179" s="11"/>
    </row>
    <row r="180" spans="1:4" ht="24" customHeight="1">
      <c r="A180" s="11"/>
      <c r="B180" s="12"/>
      <c r="C180" s="13" t="str">
        <f>IF(A180="","",ROUND(SUMIFS(الإدخالات!$D$2:$D$501,الإدخالات!$C$2:$C$501,A180)+SUMIFS('تعديل الجرد'!$F$2:$F$501,'تعديل الجرد'!$C$2:$C$501,A180)-SUMIFS('الصرف المباشر'!$D$2:$D$501,'الصرف المباشر'!$C$2:$C$501,A180)-SUMPRODUCT((الطبخات!$B$2:$B$900=A180)*الطبخات!$C$2:$C$900*COUNTIF('سجل الإنتاج'!$C$2:$C$501,الطبخات!$A$2:$A$900)),3))</f>
        <v/>
      </c>
      <c r="D180" s="11"/>
    </row>
    <row r="181" spans="1:4" ht="24" customHeight="1">
      <c r="A181" s="11"/>
      <c r="B181" s="12"/>
      <c r="C181" s="13" t="str">
        <f>IF(A181="","",ROUND(SUMIFS(الإدخالات!$D$2:$D$501,الإدخالات!$C$2:$C$501,A181)+SUMIFS('تعديل الجرد'!$F$2:$F$501,'تعديل الجرد'!$C$2:$C$501,A181)-SUMIFS('الصرف المباشر'!$D$2:$D$501,'الصرف المباشر'!$C$2:$C$501,A181)-SUMPRODUCT((الطبخات!$B$2:$B$900=A181)*الطبخات!$C$2:$C$900*COUNTIF('سجل الإنتاج'!$C$2:$C$501,الطبخات!$A$2:$A$900)),3))</f>
        <v/>
      </c>
      <c r="D181" s="11"/>
    </row>
    <row r="182" spans="1:4" ht="24" customHeight="1">
      <c r="A182" s="11"/>
      <c r="B182" s="12"/>
      <c r="C182" s="13" t="str">
        <f>IF(A182="","",ROUND(SUMIFS(الإدخالات!$D$2:$D$501,الإدخالات!$C$2:$C$501,A182)+SUMIFS('تعديل الجرد'!$F$2:$F$501,'تعديل الجرد'!$C$2:$C$501,A182)-SUMIFS('الصرف المباشر'!$D$2:$D$501,'الصرف المباشر'!$C$2:$C$501,A182)-SUMPRODUCT((الطبخات!$B$2:$B$900=A182)*الطبخات!$C$2:$C$900*COUNTIF('سجل الإنتاج'!$C$2:$C$501,الطبخات!$A$2:$A$900)),3))</f>
        <v/>
      </c>
      <c r="D182" s="11"/>
    </row>
    <row r="183" spans="1:4" ht="24" customHeight="1">
      <c r="A183" s="11"/>
      <c r="B183" s="12"/>
      <c r="C183" s="13" t="str">
        <f>IF(A183="","",ROUND(SUMIFS(الإدخالات!$D$2:$D$501,الإدخالات!$C$2:$C$501,A183)+SUMIFS('تعديل الجرد'!$F$2:$F$501,'تعديل الجرد'!$C$2:$C$501,A183)-SUMIFS('الصرف المباشر'!$D$2:$D$501,'الصرف المباشر'!$C$2:$C$501,A183)-SUMPRODUCT((الطبخات!$B$2:$B$900=A183)*الطبخات!$C$2:$C$900*COUNTIF('سجل الإنتاج'!$C$2:$C$501,الطبخات!$A$2:$A$900)),3))</f>
        <v/>
      </c>
      <c r="D183" s="11"/>
    </row>
    <row r="184" spans="1:4" ht="24" customHeight="1">
      <c r="A184" s="11"/>
      <c r="B184" s="12"/>
      <c r="C184" s="13" t="str">
        <f>IF(A184="","",ROUND(SUMIFS(الإدخالات!$D$2:$D$501,الإدخالات!$C$2:$C$501,A184)+SUMIFS('تعديل الجرد'!$F$2:$F$501,'تعديل الجرد'!$C$2:$C$501,A184)-SUMIFS('الصرف المباشر'!$D$2:$D$501,'الصرف المباشر'!$C$2:$C$501,A184)-SUMPRODUCT((الطبخات!$B$2:$B$900=A184)*الطبخات!$C$2:$C$900*COUNTIF('سجل الإنتاج'!$C$2:$C$501,الطبخات!$A$2:$A$900)),3))</f>
        <v/>
      </c>
      <c r="D184" s="11"/>
    </row>
    <row r="185" spans="1:4" ht="24" customHeight="1">
      <c r="A185" s="11"/>
      <c r="B185" s="12"/>
      <c r="C185" s="13" t="str">
        <f>IF(A185="","",ROUND(SUMIFS(الإدخالات!$D$2:$D$501,الإدخالات!$C$2:$C$501,A185)+SUMIFS('تعديل الجرد'!$F$2:$F$501,'تعديل الجرد'!$C$2:$C$501,A185)-SUMIFS('الصرف المباشر'!$D$2:$D$501,'الصرف المباشر'!$C$2:$C$501,A185)-SUMPRODUCT((الطبخات!$B$2:$B$900=A185)*الطبخات!$C$2:$C$900*COUNTIF('سجل الإنتاج'!$C$2:$C$501,الطبخات!$A$2:$A$900)),3))</f>
        <v/>
      </c>
      <c r="D185" s="11"/>
    </row>
    <row r="186" spans="1:4" ht="24" customHeight="1">
      <c r="A186" s="11"/>
      <c r="B186" s="12"/>
      <c r="C186" s="13" t="str">
        <f>IF(A186="","",ROUND(SUMIFS(الإدخالات!$D$2:$D$501,الإدخالات!$C$2:$C$501,A186)+SUMIFS('تعديل الجرد'!$F$2:$F$501,'تعديل الجرد'!$C$2:$C$501,A186)-SUMIFS('الصرف المباشر'!$D$2:$D$501,'الصرف المباشر'!$C$2:$C$501,A186)-SUMPRODUCT((الطبخات!$B$2:$B$900=A186)*الطبخات!$C$2:$C$900*COUNTIF('سجل الإنتاج'!$C$2:$C$501,الطبخات!$A$2:$A$900)),3))</f>
        <v/>
      </c>
      <c r="D186" s="11"/>
    </row>
    <row r="187" spans="1:4" ht="24" customHeight="1">
      <c r="A187" s="11"/>
      <c r="B187" s="12"/>
      <c r="C187" s="13" t="str">
        <f>IF(A187="","",ROUND(SUMIFS(الإدخالات!$D$2:$D$501,الإدخالات!$C$2:$C$501,A187)+SUMIFS('تعديل الجرد'!$F$2:$F$501,'تعديل الجرد'!$C$2:$C$501,A187)-SUMIFS('الصرف المباشر'!$D$2:$D$501,'الصرف المباشر'!$C$2:$C$501,A187)-SUMPRODUCT((الطبخات!$B$2:$B$900=A187)*الطبخات!$C$2:$C$900*COUNTIF('سجل الإنتاج'!$C$2:$C$501,الطبخات!$A$2:$A$900)),3))</f>
        <v/>
      </c>
      <c r="D187" s="11"/>
    </row>
    <row r="188" spans="1:4" ht="24" customHeight="1">
      <c r="A188" s="11"/>
      <c r="B188" s="12"/>
      <c r="C188" s="13" t="str">
        <f>IF(A188="","",ROUND(SUMIFS(الإدخالات!$D$2:$D$501,الإدخالات!$C$2:$C$501,A188)+SUMIFS('تعديل الجرد'!$F$2:$F$501,'تعديل الجرد'!$C$2:$C$501,A188)-SUMIFS('الصرف المباشر'!$D$2:$D$501,'الصرف المباشر'!$C$2:$C$501,A188)-SUMPRODUCT((الطبخات!$B$2:$B$900=A188)*الطبخات!$C$2:$C$900*COUNTIF('سجل الإنتاج'!$C$2:$C$501,الطبخات!$A$2:$A$900)),3))</f>
        <v/>
      </c>
      <c r="D188" s="11"/>
    </row>
    <row r="189" spans="1:4" ht="24" customHeight="1">
      <c r="A189" s="11"/>
      <c r="B189" s="12"/>
      <c r="C189" s="13" t="str">
        <f>IF(A189="","",ROUND(SUMIFS(الإدخالات!$D$2:$D$501,الإدخالات!$C$2:$C$501,A189)+SUMIFS('تعديل الجرد'!$F$2:$F$501,'تعديل الجرد'!$C$2:$C$501,A189)-SUMIFS('الصرف المباشر'!$D$2:$D$501,'الصرف المباشر'!$C$2:$C$501,A189)-SUMPRODUCT((الطبخات!$B$2:$B$900=A189)*الطبخات!$C$2:$C$900*COUNTIF('سجل الإنتاج'!$C$2:$C$501,الطبخات!$A$2:$A$900)),3))</f>
        <v/>
      </c>
      <c r="D189" s="11"/>
    </row>
    <row r="190" spans="1:4" ht="24" customHeight="1">
      <c r="A190" s="11"/>
      <c r="B190" s="12"/>
      <c r="C190" s="13" t="str">
        <f>IF(A190="","",ROUND(SUMIFS(الإدخالات!$D$2:$D$501,الإدخالات!$C$2:$C$501,A190)+SUMIFS('تعديل الجرد'!$F$2:$F$501,'تعديل الجرد'!$C$2:$C$501,A190)-SUMIFS('الصرف المباشر'!$D$2:$D$501,'الصرف المباشر'!$C$2:$C$501,A190)-SUMPRODUCT((الطبخات!$B$2:$B$900=A190)*الطبخات!$C$2:$C$900*COUNTIF('سجل الإنتاج'!$C$2:$C$501,الطبخات!$A$2:$A$900)),3))</f>
        <v/>
      </c>
      <c r="D190" s="11"/>
    </row>
    <row r="191" spans="1:4" ht="24" customHeight="1">
      <c r="A191" s="11"/>
      <c r="B191" s="12"/>
      <c r="C191" s="13" t="str">
        <f>IF(A191="","",ROUND(SUMIFS(الإدخالات!$D$2:$D$501,الإدخالات!$C$2:$C$501,A191)+SUMIFS('تعديل الجرد'!$F$2:$F$501,'تعديل الجرد'!$C$2:$C$501,A191)-SUMIFS('الصرف المباشر'!$D$2:$D$501,'الصرف المباشر'!$C$2:$C$501,A191)-SUMPRODUCT((الطبخات!$B$2:$B$900=A191)*الطبخات!$C$2:$C$900*COUNTIF('سجل الإنتاج'!$C$2:$C$501,الطبخات!$A$2:$A$900)),3))</f>
        <v/>
      </c>
      <c r="D191" s="11"/>
    </row>
    <row r="192" spans="1:4" ht="24" customHeight="1">
      <c r="A192" s="11"/>
      <c r="B192" s="12"/>
      <c r="C192" s="13" t="str">
        <f>IF(A192="","",ROUND(SUMIFS(الإدخالات!$D$2:$D$501,الإدخالات!$C$2:$C$501,A192)+SUMIFS('تعديل الجرد'!$F$2:$F$501,'تعديل الجرد'!$C$2:$C$501,A192)-SUMIFS('الصرف المباشر'!$D$2:$D$501,'الصرف المباشر'!$C$2:$C$501,A192)-SUMPRODUCT((الطبخات!$B$2:$B$900=A192)*الطبخات!$C$2:$C$900*COUNTIF('سجل الإنتاج'!$C$2:$C$501,الطبخات!$A$2:$A$900)),3))</f>
        <v/>
      </c>
      <c r="D192" s="11"/>
    </row>
    <row r="193" spans="1:4" ht="24" customHeight="1">
      <c r="A193" s="11"/>
      <c r="B193" s="12"/>
      <c r="C193" s="13" t="str">
        <f>IF(A193="","",ROUND(SUMIFS(الإدخالات!$D$2:$D$501,الإدخالات!$C$2:$C$501,A193)+SUMIFS('تعديل الجرد'!$F$2:$F$501,'تعديل الجرد'!$C$2:$C$501,A193)-SUMIFS('الصرف المباشر'!$D$2:$D$501,'الصرف المباشر'!$C$2:$C$501,A193)-SUMPRODUCT((الطبخات!$B$2:$B$900=A193)*الطبخات!$C$2:$C$900*COUNTIF('سجل الإنتاج'!$C$2:$C$501,الطبخات!$A$2:$A$900)),3))</f>
        <v/>
      </c>
      <c r="D193" s="11"/>
    </row>
    <row r="194" spans="1:4" ht="24" customHeight="1">
      <c r="A194" s="11"/>
      <c r="B194" s="12"/>
      <c r="C194" s="13" t="str">
        <f>IF(A194="","",ROUND(SUMIFS(الإدخالات!$D$2:$D$501,الإدخالات!$C$2:$C$501,A194)+SUMIFS('تعديل الجرد'!$F$2:$F$501,'تعديل الجرد'!$C$2:$C$501,A194)-SUMIFS('الصرف المباشر'!$D$2:$D$501,'الصرف المباشر'!$C$2:$C$501,A194)-SUMPRODUCT((الطبخات!$B$2:$B$900=A194)*الطبخات!$C$2:$C$900*COUNTIF('سجل الإنتاج'!$C$2:$C$501,الطبخات!$A$2:$A$900)),3))</f>
        <v/>
      </c>
      <c r="D194" s="11"/>
    </row>
    <row r="195" spans="1:4" ht="24" customHeight="1">
      <c r="A195" s="11"/>
      <c r="B195" s="12"/>
      <c r="C195" s="13" t="str">
        <f>IF(A195="","",ROUND(SUMIFS(الإدخالات!$D$2:$D$501,الإدخالات!$C$2:$C$501,A195)+SUMIFS('تعديل الجرد'!$F$2:$F$501,'تعديل الجرد'!$C$2:$C$501,A195)-SUMIFS('الصرف المباشر'!$D$2:$D$501,'الصرف المباشر'!$C$2:$C$501,A195)-SUMPRODUCT((الطبخات!$B$2:$B$900=A195)*الطبخات!$C$2:$C$900*COUNTIF('سجل الإنتاج'!$C$2:$C$501,الطبخات!$A$2:$A$900)),3))</f>
        <v/>
      </c>
      <c r="D195" s="11"/>
    </row>
    <row r="196" spans="1:4" ht="24" customHeight="1">
      <c r="A196" s="11"/>
      <c r="B196" s="12"/>
      <c r="C196" s="13" t="str">
        <f>IF(A196="","",ROUND(SUMIFS(الإدخالات!$D$2:$D$501,الإدخالات!$C$2:$C$501,A196)+SUMIFS('تعديل الجرد'!$F$2:$F$501,'تعديل الجرد'!$C$2:$C$501,A196)-SUMIFS('الصرف المباشر'!$D$2:$D$501,'الصرف المباشر'!$C$2:$C$501,A196)-SUMPRODUCT((الطبخات!$B$2:$B$900=A196)*الطبخات!$C$2:$C$900*COUNTIF('سجل الإنتاج'!$C$2:$C$501,الطبخات!$A$2:$A$900)),3))</f>
        <v/>
      </c>
      <c r="D196" s="11"/>
    </row>
    <row r="197" spans="1:4" ht="24" customHeight="1">
      <c r="A197" s="11"/>
      <c r="B197" s="12"/>
      <c r="C197" s="13" t="str">
        <f>IF(A197="","",ROUND(SUMIFS(الإدخالات!$D$2:$D$501,الإدخالات!$C$2:$C$501,A197)+SUMIFS('تعديل الجرد'!$F$2:$F$501,'تعديل الجرد'!$C$2:$C$501,A197)-SUMIFS('الصرف المباشر'!$D$2:$D$501,'الصرف المباشر'!$C$2:$C$501,A197)-SUMPRODUCT((الطبخات!$B$2:$B$900=A197)*الطبخات!$C$2:$C$900*COUNTIF('سجل الإنتاج'!$C$2:$C$501,الطبخات!$A$2:$A$900)),3))</f>
        <v/>
      </c>
      <c r="D197" s="11"/>
    </row>
    <row r="198" spans="1:4" ht="24" customHeight="1">
      <c r="A198" s="11"/>
      <c r="B198" s="12"/>
      <c r="C198" s="13" t="str">
        <f>IF(A198="","",ROUND(SUMIFS(الإدخالات!$D$2:$D$501,الإدخالات!$C$2:$C$501,A198)+SUMIFS('تعديل الجرد'!$F$2:$F$501,'تعديل الجرد'!$C$2:$C$501,A198)-SUMIFS('الصرف المباشر'!$D$2:$D$501,'الصرف المباشر'!$C$2:$C$501,A198)-SUMPRODUCT((الطبخات!$B$2:$B$900=A198)*الطبخات!$C$2:$C$900*COUNTIF('سجل الإنتاج'!$C$2:$C$501,الطبخات!$A$2:$A$900)),3))</f>
        <v/>
      </c>
      <c r="D198" s="11"/>
    </row>
    <row r="199" spans="1:4" ht="24" customHeight="1">
      <c r="A199" s="11"/>
      <c r="B199" s="12"/>
      <c r="C199" s="13" t="str">
        <f>IF(A199="","",ROUND(SUMIFS(الإدخالات!$D$2:$D$501,الإدخالات!$C$2:$C$501,A199)+SUMIFS('تعديل الجرد'!$F$2:$F$501,'تعديل الجرد'!$C$2:$C$501,A199)-SUMIFS('الصرف المباشر'!$D$2:$D$501,'الصرف المباشر'!$C$2:$C$501,A199)-SUMPRODUCT((الطبخات!$B$2:$B$900=A199)*الطبخات!$C$2:$C$900*COUNTIF('سجل الإنتاج'!$C$2:$C$501,الطبخات!$A$2:$A$900)),3))</f>
        <v/>
      </c>
      <c r="D199" s="11"/>
    </row>
    <row r="200" spans="1:4" ht="24" customHeight="1">
      <c r="A200" s="11"/>
      <c r="B200" s="12"/>
      <c r="C200" s="13" t="str">
        <f>IF(A200="","",ROUND(SUMIFS(الإدخالات!$D$2:$D$501,الإدخالات!$C$2:$C$501,A200)+SUMIFS('تعديل الجرد'!$F$2:$F$501,'تعديل الجرد'!$C$2:$C$501,A200)-SUMIFS('الصرف المباشر'!$D$2:$D$501,'الصرف المباشر'!$C$2:$C$501,A200)-SUMPRODUCT((الطبخات!$B$2:$B$900=A200)*الطبخات!$C$2:$C$900*COUNTIF('سجل الإنتاج'!$C$2:$C$501,الطبخات!$A$2:$A$900)),3))</f>
        <v/>
      </c>
      <c r="D200" s="11"/>
    </row>
    <row r="201" spans="1:4" ht="24" customHeight="1">
      <c r="A201" s="11"/>
      <c r="B201" s="12"/>
      <c r="C201" s="13" t="str">
        <f>IF(A201="","",ROUND(SUMIFS(الإدخالات!$D$2:$D$501,الإدخالات!$C$2:$C$501,A201)+SUMIFS('تعديل الجرد'!$F$2:$F$501,'تعديل الجرد'!$C$2:$C$501,A201)-SUMIFS('الصرف المباشر'!$D$2:$D$501,'الصرف المباشر'!$C$2:$C$501,A201)-SUMPRODUCT((الطبخات!$B$2:$B$900=A201)*الطبخات!$C$2:$C$900*COUNTIF('سجل الإنتاج'!$C$2:$C$501,الطبخات!$A$2:$A$900)),3))</f>
        <v/>
      </c>
      <c r="D201" s="11"/>
    </row>
    <row r="202" spans="1:4" ht="24" customHeight="1">
      <c r="A202" s="11"/>
      <c r="B202" s="12"/>
      <c r="C202" s="13" t="str">
        <f>IF(A202="","",ROUND(SUMIFS(الإدخالات!$D$2:$D$501,الإدخالات!$C$2:$C$501,A202)+SUMIFS('تعديل الجرد'!$F$2:$F$501,'تعديل الجرد'!$C$2:$C$501,A202)-SUMIFS('الصرف المباشر'!$D$2:$D$501,'الصرف المباشر'!$C$2:$C$501,A202)-SUMPRODUCT((الطبخات!$B$2:$B$900=A202)*الطبخات!$C$2:$C$900*COUNTIF('سجل الإنتاج'!$C$2:$C$501,الطبخات!$A$2:$A$900)),3))</f>
        <v/>
      </c>
      <c r="D202" s="11"/>
    </row>
    <row r="203" spans="1:4" ht="24" customHeight="1">
      <c r="A203" s="11"/>
      <c r="B203" s="12"/>
      <c r="C203" s="13" t="str">
        <f>IF(A203="","",ROUND(SUMIFS(الإدخالات!$D$2:$D$501,الإدخالات!$C$2:$C$501,A203)+SUMIFS('تعديل الجرد'!$F$2:$F$501,'تعديل الجرد'!$C$2:$C$501,A203)-SUMIFS('الصرف المباشر'!$D$2:$D$501,'الصرف المباشر'!$C$2:$C$501,A203)-SUMPRODUCT((الطبخات!$B$2:$B$900=A203)*الطبخات!$C$2:$C$900*COUNTIF('سجل الإنتاج'!$C$2:$C$501,الطبخات!$A$2:$A$900)),3))</f>
        <v/>
      </c>
      <c r="D203" s="11"/>
    </row>
    <row r="204" spans="1:4" ht="24" customHeight="1">
      <c r="A204" s="11"/>
      <c r="B204" s="12"/>
      <c r="C204" s="13" t="str">
        <f>IF(A204="","",ROUND(SUMIFS(الإدخالات!$D$2:$D$501,الإدخالات!$C$2:$C$501,A204)+SUMIFS('تعديل الجرد'!$F$2:$F$501,'تعديل الجرد'!$C$2:$C$501,A204)-SUMIFS('الصرف المباشر'!$D$2:$D$501,'الصرف المباشر'!$C$2:$C$501,A204)-SUMPRODUCT((الطبخات!$B$2:$B$900=A204)*الطبخات!$C$2:$C$900*COUNTIF('سجل الإنتاج'!$C$2:$C$501,الطبخات!$A$2:$A$900)),3))</f>
        <v/>
      </c>
      <c r="D204" s="11"/>
    </row>
    <row r="205" spans="1:4" ht="24" customHeight="1">
      <c r="A205" s="11"/>
      <c r="B205" s="12"/>
      <c r="C205" s="13" t="str">
        <f>IF(A205="","",ROUND(SUMIFS(الإدخالات!$D$2:$D$501,الإدخالات!$C$2:$C$501,A205)+SUMIFS('تعديل الجرد'!$F$2:$F$501,'تعديل الجرد'!$C$2:$C$501,A205)-SUMIFS('الصرف المباشر'!$D$2:$D$501,'الصرف المباشر'!$C$2:$C$501,A205)-SUMPRODUCT((الطبخات!$B$2:$B$900=A205)*الطبخات!$C$2:$C$900*COUNTIF('سجل الإنتاج'!$C$2:$C$501,الطبخات!$A$2:$A$900)),3))</f>
        <v/>
      </c>
      <c r="D205" s="11"/>
    </row>
    <row r="206" spans="1:4" ht="24" customHeight="1">
      <c r="A206" s="11"/>
      <c r="B206" s="12"/>
      <c r="C206" s="13" t="str">
        <f>IF(A206="","",ROUND(SUMIFS(الإدخالات!$D$2:$D$501,الإدخالات!$C$2:$C$501,A206)+SUMIFS('تعديل الجرد'!$F$2:$F$501,'تعديل الجرد'!$C$2:$C$501,A206)-SUMIFS('الصرف المباشر'!$D$2:$D$501,'الصرف المباشر'!$C$2:$C$501,A206)-SUMPRODUCT((الطبخات!$B$2:$B$900=A206)*الطبخات!$C$2:$C$900*COUNTIF('سجل الإنتاج'!$C$2:$C$501,الطبخات!$A$2:$A$900)),3))</f>
        <v/>
      </c>
      <c r="D206" s="11"/>
    </row>
    <row r="207" spans="1:4" ht="24" customHeight="1">
      <c r="A207" s="11"/>
      <c r="B207" s="12"/>
      <c r="C207" s="13" t="str">
        <f>IF(A207="","",ROUND(SUMIFS(الإدخالات!$D$2:$D$501,الإدخالات!$C$2:$C$501,A207)+SUMIFS('تعديل الجرد'!$F$2:$F$501,'تعديل الجرد'!$C$2:$C$501,A207)-SUMIFS('الصرف المباشر'!$D$2:$D$501,'الصرف المباشر'!$C$2:$C$501,A207)-SUMPRODUCT((الطبخات!$B$2:$B$900=A207)*الطبخات!$C$2:$C$900*COUNTIF('سجل الإنتاج'!$C$2:$C$501,الطبخات!$A$2:$A$900)),3))</f>
        <v/>
      </c>
      <c r="D207" s="11"/>
    </row>
    <row r="208" spans="1:4" ht="24" customHeight="1">
      <c r="A208" s="11"/>
      <c r="B208" s="12"/>
      <c r="C208" s="13" t="str">
        <f>IF(A208="","",ROUND(SUMIFS(الإدخالات!$D$2:$D$501,الإدخالات!$C$2:$C$501,A208)+SUMIFS('تعديل الجرد'!$F$2:$F$501,'تعديل الجرد'!$C$2:$C$501,A208)-SUMIFS('الصرف المباشر'!$D$2:$D$501,'الصرف المباشر'!$C$2:$C$501,A208)-SUMPRODUCT((الطبخات!$B$2:$B$900=A208)*الطبخات!$C$2:$C$900*COUNTIF('سجل الإنتاج'!$C$2:$C$501,الطبخات!$A$2:$A$900)),3))</f>
        <v/>
      </c>
      <c r="D208" s="11"/>
    </row>
    <row r="209" spans="1:4" ht="24" customHeight="1">
      <c r="A209" s="11"/>
      <c r="B209" s="12"/>
      <c r="C209" s="13" t="str">
        <f>IF(A209="","",ROUND(SUMIFS(الإدخالات!$D$2:$D$501,الإدخالات!$C$2:$C$501,A209)+SUMIFS('تعديل الجرد'!$F$2:$F$501,'تعديل الجرد'!$C$2:$C$501,A209)-SUMIFS('الصرف المباشر'!$D$2:$D$501,'الصرف المباشر'!$C$2:$C$501,A209)-SUMPRODUCT((الطبخات!$B$2:$B$900=A209)*الطبخات!$C$2:$C$900*COUNTIF('سجل الإنتاج'!$C$2:$C$501,الطبخات!$A$2:$A$900)),3))</f>
        <v/>
      </c>
      <c r="D209" s="11"/>
    </row>
    <row r="210" spans="1:4" ht="24" customHeight="1">
      <c r="A210" s="11"/>
      <c r="B210" s="12"/>
      <c r="C210" s="13" t="str">
        <f>IF(A210="","",ROUND(SUMIFS(الإدخالات!$D$2:$D$501,الإدخالات!$C$2:$C$501,A210)+SUMIFS('تعديل الجرد'!$F$2:$F$501,'تعديل الجرد'!$C$2:$C$501,A210)-SUMIFS('الصرف المباشر'!$D$2:$D$501,'الصرف المباشر'!$C$2:$C$501,A210)-SUMPRODUCT((الطبخات!$B$2:$B$900=A210)*الطبخات!$C$2:$C$900*COUNTIF('سجل الإنتاج'!$C$2:$C$501,الطبخات!$A$2:$A$900)),3))</f>
        <v/>
      </c>
      <c r="D210" s="11"/>
    </row>
    <row r="211" spans="1:4" ht="24" customHeight="1">
      <c r="A211" s="11"/>
      <c r="B211" s="12"/>
      <c r="C211" s="13" t="str">
        <f>IF(A211="","",ROUND(SUMIFS(الإدخالات!$D$2:$D$501,الإدخالات!$C$2:$C$501,A211)+SUMIFS('تعديل الجرد'!$F$2:$F$501,'تعديل الجرد'!$C$2:$C$501,A211)-SUMIFS('الصرف المباشر'!$D$2:$D$501,'الصرف المباشر'!$C$2:$C$501,A211)-SUMPRODUCT((الطبخات!$B$2:$B$900=A211)*الطبخات!$C$2:$C$900*COUNTIF('سجل الإنتاج'!$C$2:$C$501,الطبخات!$A$2:$A$900)),3))</f>
        <v/>
      </c>
      <c r="D211" s="11"/>
    </row>
    <row r="212" spans="1:4" ht="24" customHeight="1">
      <c r="A212" s="11"/>
      <c r="B212" s="12"/>
      <c r="C212" s="13" t="str">
        <f>IF(A212="","",ROUND(SUMIFS(الإدخالات!$D$2:$D$501,الإدخالات!$C$2:$C$501,A212)+SUMIFS('تعديل الجرد'!$F$2:$F$501,'تعديل الجرد'!$C$2:$C$501,A212)-SUMIFS('الصرف المباشر'!$D$2:$D$501,'الصرف المباشر'!$C$2:$C$501,A212)-SUMPRODUCT((الطبخات!$B$2:$B$900=A212)*الطبخات!$C$2:$C$900*COUNTIF('سجل الإنتاج'!$C$2:$C$501,الطبخات!$A$2:$A$900)),3))</f>
        <v/>
      </c>
      <c r="D212" s="11"/>
    </row>
    <row r="213" spans="1:4" ht="24" customHeight="1">
      <c r="A213" s="11"/>
      <c r="B213" s="12"/>
      <c r="C213" s="13" t="str">
        <f>IF(A213="","",ROUND(SUMIFS(الإدخالات!$D$2:$D$501,الإدخالات!$C$2:$C$501,A213)+SUMIFS('تعديل الجرد'!$F$2:$F$501,'تعديل الجرد'!$C$2:$C$501,A213)-SUMIFS('الصرف المباشر'!$D$2:$D$501,'الصرف المباشر'!$C$2:$C$501,A213)-SUMPRODUCT((الطبخات!$B$2:$B$900=A213)*الطبخات!$C$2:$C$900*COUNTIF('سجل الإنتاج'!$C$2:$C$501,الطبخات!$A$2:$A$900)),3))</f>
        <v/>
      </c>
      <c r="D213" s="11"/>
    </row>
    <row r="214" spans="1:4" ht="24" customHeight="1">
      <c r="A214" s="11"/>
      <c r="B214" s="12"/>
      <c r="C214" s="13" t="str">
        <f>IF(A214="","",ROUND(SUMIFS(الإدخالات!$D$2:$D$501,الإدخالات!$C$2:$C$501,A214)+SUMIFS('تعديل الجرد'!$F$2:$F$501,'تعديل الجرد'!$C$2:$C$501,A214)-SUMIFS('الصرف المباشر'!$D$2:$D$501,'الصرف المباشر'!$C$2:$C$501,A214)-SUMPRODUCT((الطبخات!$B$2:$B$900=A214)*الطبخات!$C$2:$C$900*COUNTIF('سجل الإنتاج'!$C$2:$C$501,الطبخات!$A$2:$A$900)),3))</f>
        <v/>
      </c>
      <c r="D214" s="11"/>
    </row>
    <row r="215" spans="1:4" ht="24" customHeight="1">
      <c r="A215" s="11"/>
      <c r="B215" s="12"/>
      <c r="C215" s="13" t="str">
        <f>IF(A215="","",ROUND(SUMIFS(الإدخالات!$D$2:$D$501,الإدخالات!$C$2:$C$501,A215)+SUMIFS('تعديل الجرد'!$F$2:$F$501,'تعديل الجرد'!$C$2:$C$501,A215)-SUMIFS('الصرف المباشر'!$D$2:$D$501,'الصرف المباشر'!$C$2:$C$501,A215)-SUMPRODUCT((الطبخات!$B$2:$B$900=A215)*الطبخات!$C$2:$C$900*COUNTIF('سجل الإنتاج'!$C$2:$C$501,الطبخات!$A$2:$A$900)),3))</f>
        <v/>
      </c>
      <c r="D215" s="11"/>
    </row>
    <row r="216" spans="1:4" ht="24" customHeight="1">
      <c r="A216" s="11"/>
      <c r="B216" s="12"/>
      <c r="C216" s="13" t="str">
        <f>IF(A216="","",ROUND(SUMIFS(الإدخالات!$D$2:$D$501,الإدخالات!$C$2:$C$501,A216)+SUMIFS('تعديل الجرد'!$F$2:$F$501,'تعديل الجرد'!$C$2:$C$501,A216)-SUMIFS('الصرف المباشر'!$D$2:$D$501,'الصرف المباشر'!$C$2:$C$501,A216)-SUMPRODUCT((الطبخات!$B$2:$B$900=A216)*الطبخات!$C$2:$C$900*COUNTIF('سجل الإنتاج'!$C$2:$C$501,الطبخات!$A$2:$A$900)),3))</f>
        <v/>
      </c>
      <c r="D216" s="11"/>
    </row>
    <row r="217" spans="1:4" ht="24" customHeight="1">
      <c r="A217" s="11"/>
      <c r="B217" s="12"/>
      <c r="C217" s="13" t="str">
        <f>IF(A217="","",ROUND(SUMIFS(الإدخالات!$D$2:$D$501,الإدخالات!$C$2:$C$501,A217)+SUMIFS('تعديل الجرد'!$F$2:$F$501,'تعديل الجرد'!$C$2:$C$501,A217)-SUMIFS('الصرف المباشر'!$D$2:$D$501,'الصرف المباشر'!$C$2:$C$501,A217)-SUMPRODUCT((الطبخات!$B$2:$B$900=A217)*الطبخات!$C$2:$C$900*COUNTIF('سجل الإنتاج'!$C$2:$C$501,الطبخات!$A$2:$A$900)),3))</f>
        <v/>
      </c>
      <c r="D217" s="11"/>
    </row>
    <row r="218" spans="1:4" ht="24" customHeight="1">
      <c r="A218" s="11"/>
      <c r="B218" s="12"/>
      <c r="C218" s="13" t="str">
        <f>IF(A218="","",ROUND(SUMIFS(الإدخالات!$D$2:$D$501,الإدخالات!$C$2:$C$501,A218)+SUMIFS('تعديل الجرد'!$F$2:$F$501,'تعديل الجرد'!$C$2:$C$501,A218)-SUMIFS('الصرف المباشر'!$D$2:$D$501,'الصرف المباشر'!$C$2:$C$501,A218)-SUMPRODUCT((الطبخات!$B$2:$B$900=A218)*الطبخات!$C$2:$C$900*COUNTIF('سجل الإنتاج'!$C$2:$C$501,الطبخات!$A$2:$A$900)),3))</f>
        <v/>
      </c>
      <c r="D218" s="11"/>
    </row>
    <row r="219" spans="1:4" ht="24" customHeight="1">
      <c r="A219" s="11"/>
      <c r="B219" s="12"/>
      <c r="C219" s="13" t="str">
        <f>IF(A219="","",ROUND(SUMIFS(الإدخالات!$D$2:$D$501,الإدخالات!$C$2:$C$501,A219)+SUMIFS('تعديل الجرد'!$F$2:$F$501,'تعديل الجرد'!$C$2:$C$501,A219)-SUMIFS('الصرف المباشر'!$D$2:$D$501,'الصرف المباشر'!$C$2:$C$501,A219)-SUMPRODUCT((الطبخات!$B$2:$B$900=A219)*الطبخات!$C$2:$C$900*COUNTIF('سجل الإنتاج'!$C$2:$C$501,الطبخات!$A$2:$A$900)),3))</f>
        <v/>
      </c>
      <c r="D219" s="11"/>
    </row>
    <row r="220" spans="1:4" ht="24" customHeight="1">
      <c r="A220" s="11"/>
      <c r="B220" s="12"/>
      <c r="C220" s="13" t="str">
        <f>IF(A220="","",ROUND(SUMIFS(الإدخالات!$D$2:$D$501,الإدخالات!$C$2:$C$501,A220)+SUMIFS('تعديل الجرد'!$F$2:$F$501,'تعديل الجرد'!$C$2:$C$501,A220)-SUMIFS('الصرف المباشر'!$D$2:$D$501,'الصرف المباشر'!$C$2:$C$501,A220)-SUMPRODUCT((الطبخات!$B$2:$B$900=A220)*الطبخات!$C$2:$C$900*COUNTIF('سجل الإنتاج'!$C$2:$C$501,الطبخات!$A$2:$A$900)),3))</f>
        <v/>
      </c>
      <c r="D220" s="11"/>
    </row>
    <row r="221" spans="1:4" ht="24" customHeight="1">
      <c r="A221" s="11"/>
      <c r="B221" s="12"/>
      <c r="C221" s="13" t="str">
        <f>IF(A221="","",ROUND(SUMIFS(الإدخالات!$D$2:$D$501,الإدخالات!$C$2:$C$501,A221)+SUMIFS('تعديل الجرد'!$F$2:$F$501,'تعديل الجرد'!$C$2:$C$501,A221)-SUMIFS('الصرف المباشر'!$D$2:$D$501,'الصرف المباشر'!$C$2:$C$501,A221)-SUMPRODUCT((الطبخات!$B$2:$B$900=A221)*الطبخات!$C$2:$C$900*COUNTIF('سجل الإنتاج'!$C$2:$C$501,الطبخات!$A$2:$A$900)),3))</f>
        <v/>
      </c>
      <c r="D221" s="11"/>
    </row>
    <row r="222" spans="1:4" ht="24" customHeight="1">
      <c r="A222" s="11"/>
      <c r="B222" s="12"/>
      <c r="C222" s="13" t="str">
        <f>IF(A222="","",ROUND(SUMIFS(الإدخالات!$D$2:$D$501,الإدخالات!$C$2:$C$501,A222)+SUMIFS('تعديل الجرد'!$F$2:$F$501,'تعديل الجرد'!$C$2:$C$501,A222)-SUMIFS('الصرف المباشر'!$D$2:$D$501,'الصرف المباشر'!$C$2:$C$501,A222)-SUMPRODUCT((الطبخات!$B$2:$B$900=A222)*الطبخات!$C$2:$C$900*COUNTIF('سجل الإنتاج'!$C$2:$C$501,الطبخات!$A$2:$A$900)),3))</f>
        <v/>
      </c>
      <c r="D222" s="11"/>
    </row>
    <row r="223" spans="1:4" ht="24" customHeight="1">
      <c r="A223" s="11"/>
      <c r="B223" s="12"/>
      <c r="C223" s="13" t="str">
        <f>IF(A223="","",ROUND(SUMIFS(الإدخالات!$D$2:$D$501,الإدخالات!$C$2:$C$501,A223)+SUMIFS('تعديل الجرد'!$F$2:$F$501,'تعديل الجرد'!$C$2:$C$501,A223)-SUMIFS('الصرف المباشر'!$D$2:$D$501,'الصرف المباشر'!$C$2:$C$501,A223)-SUMPRODUCT((الطبخات!$B$2:$B$900=A223)*الطبخات!$C$2:$C$900*COUNTIF('سجل الإنتاج'!$C$2:$C$501,الطبخات!$A$2:$A$900)),3))</f>
        <v/>
      </c>
      <c r="D223" s="11"/>
    </row>
    <row r="224" spans="1:4" ht="24" customHeight="1">
      <c r="A224" s="11"/>
      <c r="B224" s="12"/>
      <c r="C224" s="13" t="str">
        <f>IF(A224="","",ROUND(SUMIFS(الإدخالات!$D$2:$D$501,الإدخالات!$C$2:$C$501,A224)+SUMIFS('تعديل الجرد'!$F$2:$F$501,'تعديل الجرد'!$C$2:$C$501,A224)-SUMIFS('الصرف المباشر'!$D$2:$D$501,'الصرف المباشر'!$C$2:$C$501,A224)-SUMPRODUCT((الطبخات!$B$2:$B$900=A224)*الطبخات!$C$2:$C$900*COUNTIF('سجل الإنتاج'!$C$2:$C$501,الطبخات!$A$2:$A$900)),3))</f>
        <v/>
      </c>
      <c r="D224" s="11"/>
    </row>
    <row r="225" spans="1:4" ht="24" customHeight="1">
      <c r="A225" s="11"/>
      <c r="B225" s="12"/>
      <c r="C225" s="13" t="str">
        <f>IF(A225="","",ROUND(SUMIFS(الإدخالات!$D$2:$D$501,الإدخالات!$C$2:$C$501,A225)+SUMIFS('تعديل الجرد'!$F$2:$F$501,'تعديل الجرد'!$C$2:$C$501,A225)-SUMIFS('الصرف المباشر'!$D$2:$D$501,'الصرف المباشر'!$C$2:$C$501,A225)-SUMPRODUCT((الطبخات!$B$2:$B$900=A225)*الطبخات!$C$2:$C$900*COUNTIF('سجل الإنتاج'!$C$2:$C$501,الطبخات!$A$2:$A$900)),3))</f>
        <v/>
      </c>
      <c r="D225" s="11"/>
    </row>
    <row r="226" spans="1:4" ht="24" customHeight="1">
      <c r="A226" s="11"/>
      <c r="B226" s="12"/>
      <c r="C226" s="13" t="str">
        <f>IF(A226="","",ROUND(SUMIFS(الإدخالات!$D$2:$D$501,الإدخالات!$C$2:$C$501,A226)+SUMIFS('تعديل الجرد'!$F$2:$F$501,'تعديل الجرد'!$C$2:$C$501,A226)-SUMIFS('الصرف المباشر'!$D$2:$D$501,'الصرف المباشر'!$C$2:$C$501,A226)-SUMPRODUCT((الطبخات!$B$2:$B$900=A226)*الطبخات!$C$2:$C$900*COUNTIF('سجل الإنتاج'!$C$2:$C$501,الطبخات!$A$2:$A$900)),3))</f>
        <v/>
      </c>
      <c r="D226" s="11"/>
    </row>
    <row r="227" spans="1:4" ht="24" customHeight="1">
      <c r="A227" s="11"/>
      <c r="B227" s="12"/>
      <c r="C227" s="13" t="str">
        <f>IF(A227="","",ROUND(SUMIFS(الإدخالات!$D$2:$D$501,الإدخالات!$C$2:$C$501,A227)+SUMIFS('تعديل الجرد'!$F$2:$F$501,'تعديل الجرد'!$C$2:$C$501,A227)-SUMIFS('الصرف المباشر'!$D$2:$D$501,'الصرف المباشر'!$C$2:$C$501,A227)-SUMPRODUCT((الطبخات!$B$2:$B$900=A227)*الطبخات!$C$2:$C$900*COUNTIF('سجل الإنتاج'!$C$2:$C$501,الطبخات!$A$2:$A$900)),3))</f>
        <v/>
      </c>
      <c r="D227" s="11"/>
    </row>
    <row r="228" spans="1:4" ht="24" customHeight="1">
      <c r="A228" s="11"/>
      <c r="B228" s="12"/>
      <c r="C228" s="13" t="str">
        <f>IF(A228="","",ROUND(SUMIFS(الإدخالات!$D$2:$D$501,الإدخالات!$C$2:$C$501,A228)+SUMIFS('تعديل الجرد'!$F$2:$F$501,'تعديل الجرد'!$C$2:$C$501,A228)-SUMIFS('الصرف المباشر'!$D$2:$D$501,'الصرف المباشر'!$C$2:$C$501,A228)-SUMPRODUCT((الطبخات!$B$2:$B$900=A228)*الطبخات!$C$2:$C$900*COUNTIF('سجل الإنتاج'!$C$2:$C$501,الطبخات!$A$2:$A$900)),3))</f>
        <v/>
      </c>
      <c r="D228" s="11"/>
    </row>
    <row r="229" spans="1:4" ht="24" customHeight="1">
      <c r="A229" s="11"/>
      <c r="B229" s="12"/>
      <c r="C229" s="13" t="str">
        <f>IF(A229="","",ROUND(SUMIFS(الإدخالات!$D$2:$D$501,الإدخالات!$C$2:$C$501,A229)+SUMIFS('تعديل الجرد'!$F$2:$F$501,'تعديل الجرد'!$C$2:$C$501,A229)-SUMIFS('الصرف المباشر'!$D$2:$D$501,'الصرف المباشر'!$C$2:$C$501,A229)-SUMPRODUCT((الطبخات!$B$2:$B$900=A229)*الطبخات!$C$2:$C$900*COUNTIF('سجل الإنتاج'!$C$2:$C$501,الطبخات!$A$2:$A$900)),3))</f>
        <v/>
      </c>
      <c r="D229" s="11"/>
    </row>
    <row r="230" spans="1:4" ht="24" customHeight="1">
      <c r="A230" s="11"/>
      <c r="B230" s="12"/>
      <c r="C230" s="13" t="str">
        <f>IF(A230="","",ROUND(SUMIFS(الإدخالات!$D$2:$D$501,الإدخالات!$C$2:$C$501,A230)+SUMIFS('تعديل الجرد'!$F$2:$F$501,'تعديل الجرد'!$C$2:$C$501,A230)-SUMIFS('الصرف المباشر'!$D$2:$D$501,'الصرف المباشر'!$C$2:$C$501,A230)-SUMPRODUCT((الطبخات!$B$2:$B$900=A230)*الطبخات!$C$2:$C$900*COUNTIF('سجل الإنتاج'!$C$2:$C$501,الطبخات!$A$2:$A$900)),3))</f>
        <v/>
      </c>
      <c r="D230" s="11"/>
    </row>
    <row r="231" spans="1:4" ht="24" customHeight="1">
      <c r="A231" s="11"/>
      <c r="B231" s="12"/>
      <c r="C231" s="13" t="str">
        <f>IF(A231="","",ROUND(SUMIFS(الإدخالات!$D$2:$D$501,الإدخالات!$C$2:$C$501,A231)+SUMIFS('تعديل الجرد'!$F$2:$F$501,'تعديل الجرد'!$C$2:$C$501,A231)-SUMIFS('الصرف المباشر'!$D$2:$D$501,'الصرف المباشر'!$C$2:$C$501,A231)-SUMPRODUCT((الطبخات!$B$2:$B$900=A231)*الطبخات!$C$2:$C$900*COUNTIF('سجل الإنتاج'!$C$2:$C$501,الطبخات!$A$2:$A$900)),3))</f>
        <v/>
      </c>
      <c r="D231" s="11"/>
    </row>
    <row r="232" spans="1:4" ht="24" customHeight="1">
      <c r="A232" s="11"/>
      <c r="B232" s="12"/>
      <c r="C232" s="13" t="str">
        <f>IF(A232="","",ROUND(SUMIFS(الإدخالات!$D$2:$D$501,الإدخالات!$C$2:$C$501,A232)+SUMIFS('تعديل الجرد'!$F$2:$F$501,'تعديل الجرد'!$C$2:$C$501,A232)-SUMIFS('الصرف المباشر'!$D$2:$D$501,'الصرف المباشر'!$C$2:$C$501,A232)-SUMPRODUCT((الطبخات!$B$2:$B$900=A232)*الطبخات!$C$2:$C$900*COUNTIF('سجل الإنتاج'!$C$2:$C$501,الطبخات!$A$2:$A$900)),3))</f>
        <v/>
      </c>
      <c r="D232" s="11"/>
    </row>
    <row r="233" spans="1:4" ht="24" customHeight="1">
      <c r="A233" s="11"/>
      <c r="B233" s="12"/>
      <c r="C233" s="13" t="str">
        <f>IF(A233="","",ROUND(SUMIFS(الإدخالات!$D$2:$D$501,الإدخالات!$C$2:$C$501,A233)+SUMIFS('تعديل الجرد'!$F$2:$F$501,'تعديل الجرد'!$C$2:$C$501,A233)-SUMIFS('الصرف المباشر'!$D$2:$D$501,'الصرف المباشر'!$C$2:$C$501,A233)-SUMPRODUCT((الطبخات!$B$2:$B$900=A233)*الطبخات!$C$2:$C$900*COUNTIF('سجل الإنتاج'!$C$2:$C$501,الطبخات!$A$2:$A$900)),3))</f>
        <v/>
      </c>
      <c r="D233" s="11"/>
    </row>
    <row r="234" spans="1:4" ht="24" customHeight="1">
      <c r="A234" s="11"/>
      <c r="B234" s="12"/>
      <c r="C234" s="13" t="str">
        <f>IF(A234="","",ROUND(SUMIFS(الإدخالات!$D$2:$D$501,الإدخالات!$C$2:$C$501,A234)+SUMIFS('تعديل الجرد'!$F$2:$F$501,'تعديل الجرد'!$C$2:$C$501,A234)-SUMIFS('الصرف المباشر'!$D$2:$D$501,'الصرف المباشر'!$C$2:$C$501,A234)-SUMPRODUCT((الطبخات!$B$2:$B$900=A234)*الطبخات!$C$2:$C$900*COUNTIF('سجل الإنتاج'!$C$2:$C$501,الطبخات!$A$2:$A$900)),3))</f>
        <v/>
      </c>
      <c r="D234" s="11"/>
    </row>
    <row r="235" spans="1:4" ht="24" customHeight="1">
      <c r="A235" s="11"/>
      <c r="B235" s="12"/>
      <c r="C235" s="13" t="str">
        <f>IF(A235="","",ROUND(SUMIFS(الإدخالات!$D$2:$D$501,الإدخالات!$C$2:$C$501,A235)+SUMIFS('تعديل الجرد'!$F$2:$F$501,'تعديل الجرد'!$C$2:$C$501,A235)-SUMIFS('الصرف المباشر'!$D$2:$D$501,'الصرف المباشر'!$C$2:$C$501,A235)-SUMPRODUCT((الطبخات!$B$2:$B$900=A235)*الطبخات!$C$2:$C$900*COUNTIF('سجل الإنتاج'!$C$2:$C$501,الطبخات!$A$2:$A$900)),3))</f>
        <v/>
      </c>
      <c r="D235" s="11"/>
    </row>
    <row r="236" spans="1:4" ht="24" customHeight="1">
      <c r="A236" s="11"/>
      <c r="B236" s="12"/>
      <c r="C236" s="13" t="str">
        <f>IF(A236="","",ROUND(SUMIFS(الإدخالات!$D$2:$D$501,الإدخالات!$C$2:$C$501,A236)+SUMIFS('تعديل الجرد'!$F$2:$F$501,'تعديل الجرد'!$C$2:$C$501,A236)-SUMIFS('الصرف المباشر'!$D$2:$D$501,'الصرف المباشر'!$C$2:$C$501,A236)-SUMPRODUCT((الطبخات!$B$2:$B$900=A236)*الطبخات!$C$2:$C$900*COUNTIF('سجل الإنتاج'!$C$2:$C$501,الطبخات!$A$2:$A$900)),3))</f>
        <v/>
      </c>
      <c r="D236" s="11"/>
    </row>
    <row r="237" spans="1:4" ht="24" customHeight="1">
      <c r="A237" s="11"/>
      <c r="B237" s="12"/>
      <c r="C237" s="13" t="str">
        <f>IF(A237="","",ROUND(SUMIFS(الإدخالات!$D$2:$D$501,الإدخالات!$C$2:$C$501,A237)+SUMIFS('تعديل الجرد'!$F$2:$F$501,'تعديل الجرد'!$C$2:$C$501,A237)-SUMIFS('الصرف المباشر'!$D$2:$D$501,'الصرف المباشر'!$C$2:$C$501,A237)-SUMPRODUCT((الطبخات!$B$2:$B$900=A237)*الطبخات!$C$2:$C$900*COUNTIF('سجل الإنتاج'!$C$2:$C$501,الطبخات!$A$2:$A$900)),3))</f>
        <v/>
      </c>
      <c r="D237" s="11"/>
    </row>
    <row r="238" spans="1:4" ht="24" customHeight="1">
      <c r="A238" s="11"/>
      <c r="B238" s="12"/>
      <c r="C238" s="13" t="str">
        <f>IF(A238="","",ROUND(SUMIFS(الإدخالات!$D$2:$D$501,الإدخالات!$C$2:$C$501,A238)+SUMIFS('تعديل الجرد'!$F$2:$F$501,'تعديل الجرد'!$C$2:$C$501,A238)-SUMIFS('الصرف المباشر'!$D$2:$D$501,'الصرف المباشر'!$C$2:$C$501,A238)-SUMPRODUCT((الطبخات!$B$2:$B$900=A238)*الطبخات!$C$2:$C$900*COUNTIF('سجل الإنتاج'!$C$2:$C$501,الطبخات!$A$2:$A$900)),3))</f>
        <v/>
      </c>
      <c r="D238" s="11"/>
    </row>
    <row r="239" spans="1:4" ht="24" customHeight="1">
      <c r="A239" s="11"/>
      <c r="B239" s="12"/>
      <c r="C239" s="13" t="str">
        <f>IF(A239="","",ROUND(SUMIFS(الإدخالات!$D$2:$D$501,الإدخالات!$C$2:$C$501,A239)+SUMIFS('تعديل الجرد'!$F$2:$F$501,'تعديل الجرد'!$C$2:$C$501,A239)-SUMIFS('الصرف المباشر'!$D$2:$D$501,'الصرف المباشر'!$C$2:$C$501,A239)-SUMPRODUCT((الطبخات!$B$2:$B$900=A239)*الطبخات!$C$2:$C$900*COUNTIF('سجل الإنتاج'!$C$2:$C$501,الطبخات!$A$2:$A$900)),3))</f>
        <v/>
      </c>
      <c r="D239" s="11"/>
    </row>
    <row r="240" spans="1:4" ht="24" customHeight="1">
      <c r="A240" s="11"/>
      <c r="B240" s="12"/>
      <c r="C240" s="13" t="str">
        <f>IF(A240="","",ROUND(SUMIFS(الإدخالات!$D$2:$D$501,الإدخالات!$C$2:$C$501,A240)+SUMIFS('تعديل الجرد'!$F$2:$F$501,'تعديل الجرد'!$C$2:$C$501,A240)-SUMIFS('الصرف المباشر'!$D$2:$D$501,'الصرف المباشر'!$C$2:$C$501,A240)-SUMPRODUCT((الطبخات!$B$2:$B$900=A240)*الطبخات!$C$2:$C$900*COUNTIF('سجل الإنتاج'!$C$2:$C$501,الطبخات!$A$2:$A$900)),3))</f>
        <v/>
      </c>
      <c r="D240" s="11"/>
    </row>
    <row r="241" spans="1:4" ht="24" customHeight="1">
      <c r="A241" s="11"/>
      <c r="B241" s="12"/>
      <c r="C241" s="13" t="str">
        <f>IF(A241="","",ROUND(SUMIFS(الإدخالات!$D$2:$D$501,الإدخالات!$C$2:$C$501,A241)+SUMIFS('تعديل الجرد'!$F$2:$F$501,'تعديل الجرد'!$C$2:$C$501,A241)-SUMIFS('الصرف المباشر'!$D$2:$D$501,'الصرف المباشر'!$C$2:$C$501,A241)-SUMPRODUCT((الطبخات!$B$2:$B$900=A241)*الطبخات!$C$2:$C$900*COUNTIF('سجل الإنتاج'!$C$2:$C$501,الطبخات!$A$2:$A$900)),3))</f>
        <v/>
      </c>
      <c r="D241" s="11"/>
    </row>
    <row r="242" spans="1:4" ht="24" customHeight="1">
      <c r="A242" s="11"/>
      <c r="B242" s="12"/>
      <c r="C242" s="13" t="str">
        <f>IF(A242="","",ROUND(SUMIFS(الإدخالات!$D$2:$D$501,الإدخالات!$C$2:$C$501,A242)+SUMIFS('تعديل الجرد'!$F$2:$F$501,'تعديل الجرد'!$C$2:$C$501,A242)-SUMIFS('الصرف المباشر'!$D$2:$D$501,'الصرف المباشر'!$C$2:$C$501,A242)-SUMPRODUCT((الطبخات!$B$2:$B$900=A242)*الطبخات!$C$2:$C$900*COUNTIF('سجل الإنتاج'!$C$2:$C$501,الطبخات!$A$2:$A$900)),3))</f>
        <v/>
      </c>
      <c r="D242" s="11"/>
    </row>
    <row r="243" spans="1:4" ht="24" customHeight="1">
      <c r="A243" s="11"/>
      <c r="B243" s="12"/>
      <c r="C243" s="13" t="str">
        <f>IF(A243="","",ROUND(SUMIFS(الإدخالات!$D$2:$D$501,الإدخالات!$C$2:$C$501,A243)+SUMIFS('تعديل الجرد'!$F$2:$F$501,'تعديل الجرد'!$C$2:$C$501,A243)-SUMIFS('الصرف المباشر'!$D$2:$D$501,'الصرف المباشر'!$C$2:$C$501,A243)-SUMPRODUCT((الطبخات!$B$2:$B$900=A243)*الطبخات!$C$2:$C$900*COUNTIF('سجل الإنتاج'!$C$2:$C$501,الطبخات!$A$2:$A$900)),3))</f>
        <v/>
      </c>
      <c r="D243" s="11"/>
    </row>
    <row r="244" spans="1:4" ht="24" customHeight="1">
      <c r="A244" s="11"/>
      <c r="B244" s="12"/>
      <c r="C244" s="13" t="str">
        <f>IF(A244="","",ROUND(SUMIFS(الإدخالات!$D$2:$D$501,الإدخالات!$C$2:$C$501,A244)+SUMIFS('تعديل الجرد'!$F$2:$F$501,'تعديل الجرد'!$C$2:$C$501,A244)-SUMIFS('الصرف المباشر'!$D$2:$D$501,'الصرف المباشر'!$C$2:$C$501,A244)-SUMPRODUCT((الطبخات!$B$2:$B$900=A244)*الطبخات!$C$2:$C$900*COUNTIF('سجل الإنتاج'!$C$2:$C$501,الطبخات!$A$2:$A$900)),3))</f>
        <v/>
      </c>
      <c r="D244" s="11"/>
    </row>
    <row r="245" spans="1:4" ht="24" customHeight="1">
      <c r="A245" s="11"/>
      <c r="B245" s="12"/>
      <c r="C245" s="13" t="str">
        <f>IF(A245="","",ROUND(SUMIFS(الإدخالات!$D$2:$D$501,الإدخالات!$C$2:$C$501,A245)+SUMIFS('تعديل الجرد'!$F$2:$F$501,'تعديل الجرد'!$C$2:$C$501,A245)-SUMIFS('الصرف المباشر'!$D$2:$D$501,'الصرف المباشر'!$C$2:$C$501,A245)-SUMPRODUCT((الطبخات!$B$2:$B$900=A245)*الطبخات!$C$2:$C$900*COUNTIF('سجل الإنتاج'!$C$2:$C$501,الطبخات!$A$2:$A$900)),3))</f>
        <v/>
      </c>
      <c r="D245" s="11"/>
    </row>
    <row r="246" spans="1:4" ht="24" customHeight="1">
      <c r="A246" s="11"/>
      <c r="B246" s="12"/>
      <c r="C246" s="13" t="str">
        <f>IF(A246="","",ROUND(SUMIFS(الإدخالات!$D$2:$D$501,الإدخالات!$C$2:$C$501,A246)+SUMIFS('تعديل الجرد'!$F$2:$F$501,'تعديل الجرد'!$C$2:$C$501,A246)-SUMIFS('الصرف المباشر'!$D$2:$D$501,'الصرف المباشر'!$C$2:$C$501,A246)-SUMPRODUCT((الطبخات!$B$2:$B$900=A246)*الطبخات!$C$2:$C$900*COUNTIF('سجل الإنتاج'!$C$2:$C$501,الطبخات!$A$2:$A$900)),3))</f>
        <v/>
      </c>
      <c r="D246" s="11"/>
    </row>
    <row r="247" spans="1:4" ht="24" customHeight="1">
      <c r="A247" s="11"/>
      <c r="B247" s="12"/>
      <c r="C247" s="13" t="str">
        <f>IF(A247="","",ROUND(SUMIFS(الإدخالات!$D$2:$D$501,الإدخالات!$C$2:$C$501,A247)+SUMIFS('تعديل الجرد'!$F$2:$F$501,'تعديل الجرد'!$C$2:$C$501,A247)-SUMIFS('الصرف المباشر'!$D$2:$D$501,'الصرف المباشر'!$C$2:$C$501,A247)-SUMPRODUCT((الطبخات!$B$2:$B$900=A247)*الطبخات!$C$2:$C$900*COUNTIF('سجل الإنتاج'!$C$2:$C$501,الطبخات!$A$2:$A$900)),3))</f>
        <v/>
      </c>
      <c r="D247" s="11"/>
    </row>
    <row r="248" spans="1:4" ht="24" customHeight="1">
      <c r="A248" s="11"/>
      <c r="B248" s="12"/>
      <c r="C248" s="13" t="str">
        <f>IF(A248="","",ROUND(SUMIFS(الإدخالات!$D$2:$D$501,الإدخالات!$C$2:$C$501,A248)+SUMIFS('تعديل الجرد'!$F$2:$F$501,'تعديل الجرد'!$C$2:$C$501,A248)-SUMIFS('الصرف المباشر'!$D$2:$D$501,'الصرف المباشر'!$C$2:$C$501,A248)-SUMPRODUCT((الطبخات!$B$2:$B$900=A248)*الطبخات!$C$2:$C$900*COUNTIF('سجل الإنتاج'!$C$2:$C$501,الطبخات!$A$2:$A$900)),3))</f>
        <v/>
      </c>
      <c r="D248" s="11"/>
    </row>
    <row r="249" spans="1:4" ht="24" customHeight="1">
      <c r="A249" s="11"/>
      <c r="B249" s="12"/>
      <c r="C249" s="13" t="str">
        <f>IF(A249="","",ROUND(SUMIFS(الإدخالات!$D$2:$D$501,الإدخالات!$C$2:$C$501,A249)+SUMIFS('تعديل الجرد'!$F$2:$F$501,'تعديل الجرد'!$C$2:$C$501,A249)-SUMIFS('الصرف المباشر'!$D$2:$D$501,'الصرف المباشر'!$C$2:$C$501,A249)-SUMPRODUCT((الطبخات!$B$2:$B$900=A249)*الطبخات!$C$2:$C$900*COUNTIF('سجل الإنتاج'!$C$2:$C$501,الطبخات!$A$2:$A$900)),3))</f>
        <v/>
      </c>
      <c r="D249" s="11"/>
    </row>
    <row r="250" spans="1:4" ht="24" customHeight="1">
      <c r="A250" s="11"/>
      <c r="B250" s="12"/>
      <c r="C250" s="13" t="str">
        <f>IF(A250="","",ROUND(SUMIFS(الإدخالات!$D$2:$D$501,الإدخالات!$C$2:$C$501,A250)+SUMIFS('تعديل الجرد'!$F$2:$F$501,'تعديل الجرد'!$C$2:$C$501,A250)-SUMIFS('الصرف المباشر'!$D$2:$D$501,'الصرف المباشر'!$C$2:$C$501,A250)-SUMPRODUCT((الطبخات!$B$2:$B$900=A250)*الطبخات!$C$2:$C$900*COUNTIF('سجل الإنتاج'!$C$2:$C$501,الطبخات!$A$2:$A$900)),3))</f>
        <v/>
      </c>
      <c r="D250" s="11"/>
    </row>
    <row r="251" spans="1:4" ht="24" customHeight="1">
      <c r="A251" s="11"/>
      <c r="B251" s="12"/>
      <c r="C251" s="13" t="str">
        <f>IF(A251="","",ROUND(SUMIFS(الإدخالات!$D$2:$D$501,الإدخالات!$C$2:$C$501,A251)+SUMIFS('تعديل الجرد'!$F$2:$F$501,'تعديل الجرد'!$C$2:$C$501,A251)-SUMIFS('الصرف المباشر'!$D$2:$D$501,'الصرف المباشر'!$C$2:$C$501,A251)-SUMPRODUCT((الطبخات!$B$2:$B$900=A251)*الطبخات!$C$2:$C$900*COUNTIF('سجل الإنتاج'!$C$2:$C$501,الطبخات!$A$2:$A$900)),3))</f>
        <v/>
      </c>
      <c r="D251" s="11"/>
    </row>
    <row r="252" spans="1:4" ht="24" customHeight="1">
      <c r="A252" s="11"/>
      <c r="B252" s="12"/>
      <c r="C252" s="13" t="str">
        <f>IF(A252="","",ROUND(SUMIFS(الإدخالات!$D$2:$D$501,الإدخالات!$C$2:$C$501,A252)+SUMIFS('تعديل الجرد'!$F$2:$F$501,'تعديل الجرد'!$C$2:$C$501,A252)-SUMIFS('الصرف المباشر'!$D$2:$D$501,'الصرف المباشر'!$C$2:$C$501,A252)-SUMPRODUCT((الطبخات!$B$2:$B$900=A252)*الطبخات!$C$2:$C$900*COUNTIF('سجل الإنتاج'!$C$2:$C$501,الطبخات!$A$2:$A$900)),3))</f>
        <v/>
      </c>
      <c r="D252" s="11"/>
    </row>
    <row r="253" spans="1:4" ht="24" customHeight="1">
      <c r="A253" s="11"/>
      <c r="B253" s="12"/>
      <c r="C253" s="13" t="str">
        <f>IF(A253="","",ROUND(SUMIFS(الإدخالات!$D$2:$D$501,الإدخالات!$C$2:$C$501,A253)+SUMIFS('تعديل الجرد'!$F$2:$F$501,'تعديل الجرد'!$C$2:$C$501,A253)-SUMIFS('الصرف المباشر'!$D$2:$D$501,'الصرف المباشر'!$C$2:$C$501,A253)-SUMPRODUCT((الطبخات!$B$2:$B$900=A253)*الطبخات!$C$2:$C$900*COUNTIF('سجل الإنتاج'!$C$2:$C$501,الطبخات!$A$2:$A$900)),3))</f>
        <v/>
      </c>
      <c r="D253" s="11"/>
    </row>
    <row r="254" spans="1:4" ht="24" customHeight="1">
      <c r="A254" s="11"/>
      <c r="B254" s="12"/>
      <c r="C254" s="13" t="str">
        <f>IF(A254="","",ROUND(SUMIFS(الإدخالات!$D$2:$D$501,الإدخالات!$C$2:$C$501,A254)+SUMIFS('تعديل الجرد'!$F$2:$F$501,'تعديل الجرد'!$C$2:$C$501,A254)-SUMIFS('الصرف المباشر'!$D$2:$D$501,'الصرف المباشر'!$C$2:$C$501,A254)-SUMPRODUCT((الطبخات!$B$2:$B$900=A254)*الطبخات!$C$2:$C$900*COUNTIF('سجل الإنتاج'!$C$2:$C$501,الطبخات!$A$2:$A$900)),3))</f>
        <v/>
      </c>
      <c r="D254" s="11"/>
    </row>
    <row r="255" spans="1:4" ht="24" customHeight="1">
      <c r="A255" s="11"/>
      <c r="B255" s="12"/>
      <c r="C255" s="13" t="str">
        <f>IF(A255="","",ROUND(SUMIFS(الإدخالات!$D$2:$D$501,الإدخالات!$C$2:$C$501,A255)+SUMIFS('تعديل الجرد'!$F$2:$F$501,'تعديل الجرد'!$C$2:$C$501,A255)-SUMIFS('الصرف المباشر'!$D$2:$D$501,'الصرف المباشر'!$C$2:$C$501,A255)-SUMPRODUCT((الطبخات!$B$2:$B$900=A255)*الطبخات!$C$2:$C$900*COUNTIF('سجل الإنتاج'!$C$2:$C$501,الطبخات!$A$2:$A$900)),3))</f>
        <v/>
      </c>
      <c r="D255" s="11"/>
    </row>
    <row r="256" spans="1:4" ht="24" customHeight="1">
      <c r="A256" s="11"/>
      <c r="B256" s="12"/>
      <c r="C256" s="13" t="str">
        <f>IF(A256="","",ROUND(SUMIFS(الإدخالات!$D$2:$D$501,الإدخالات!$C$2:$C$501,A256)+SUMIFS('تعديل الجرد'!$F$2:$F$501,'تعديل الجرد'!$C$2:$C$501,A256)-SUMIFS('الصرف المباشر'!$D$2:$D$501,'الصرف المباشر'!$C$2:$C$501,A256)-SUMPRODUCT((الطبخات!$B$2:$B$900=A256)*الطبخات!$C$2:$C$900*COUNTIF('سجل الإنتاج'!$C$2:$C$501,الطبخات!$A$2:$A$900)),3))</f>
        <v/>
      </c>
      <c r="D256" s="11"/>
    </row>
    <row r="257" spans="1:4" ht="24" customHeight="1">
      <c r="A257" s="11"/>
      <c r="B257" s="12"/>
      <c r="C257" s="13" t="str">
        <f>IF(A257="","",ROUND(SUMIFS(الإدخالات!$D$2:$D$501,الإدخالات!$C$2:$C$501,A257)+SUMIFS('تعديل الجرد'!$F$2:$F$501,'تعديل الجرد'!$C$2:$C$501,A257)-SUMIFS('الصرف المباشر'!$D$2:$D$501,'الصرف المباشر'!$C$2:$C$501,A257)-SUMPRODUCT((الطبخات!$B$2:$B$900=A257)*الطبخات!$C$2:$C$900*COUNTIF('سجل الإنتاج'!$C$2:$C$501,الطبخات!$A$2:$A$900)),3))</f>
        <v/>
      </c>
      <c r="D257" s="11"/>
    </row>
    <row r="258" spans="1:4" ht="24" customHeight="1">
      <c r="A258" s="11"/>
      <c r="B258" s="12"/>
      <c r="C258" s="13" t="str">
        <f>IF(A258="","",ROUND(SUMIFS(الإدخالات!$D$2:$D$501,الإدخالات!$C$2:$C$501,A258)+SUMIFS('تعديل الجرد'!$F$2:$F$501,'تعديل الجرد'!$C$2:$C$501,A258)-SUMIFS('الصرف المباشر'!$D$2:$D$501,'الصرف المباشر'!$C$2:$C$501,A258)-SUMPRODUCT((الطبخات!$B$2:$B$900=A258)*الطبخات!$C$2:$C$900*COUNTIF('سجل الإنتاج'!$C$2:$C$501,الطبخات!$A$2:$A$900)),3))</f>
        <v/>
      </c>
      <c r="D258" s="11"/>
    </row>
    <row r="259" spans="1:4" ht="24" customHeight="1">
      <c r="A259" s="11"/>
      <c r="B259" s="12"/>
      <c r="C259" s="13" t="str">
        <f>IF(A259="","",ROUND(SUMIFS(الإدخالات!$D$2:$D$501,الإدخالات!$C$2:$C$501,A259)+SUMIFS('تعديل الجرد'!$F$2:$F$501,'تعديل الجرد'!$C$2:$C$501,A259)-SUMIFS('الصرف المباشر'!$D$2:$D$501,'الصرف المباشر'!$C$2:$C$501,A259)-SUMPRODUCT((الطبخات!$B$2:$B$900=A259)*الطبخات!$C$2:$C$900*COUNTIF('سجل الإنتاج'!$C$2:$C$501,الطبخات!$A$2:$A$900)),3))</f>
        <v/>
      </c>
      <c r="D259" s="11"/>
    </row>
    <row r="260" spans="1:4" ht="24" customHeight="1">
      <c r="A260" s="11"/>
      <c r="B260" s="12"/>
      <c r="C260" s="13" t="str">
        <f>IF(A260="","",ROUND(SUMIFS(الإدخالات!$D$2:$D$501,الإدخالات!$C$2:$C$501,A260)+SUMIFS('تعديل الجرد'!$F$2:$F$501,'تعديل الجرد'!$C$2:$C$501,A260)-SUMIFS('الصرف المباشر'!$D$2:$D$501,'الصرف المباشر'!$C$2:$C$501,A260)-SUMPRODUCT((الطبخات!$B$2:$B$900=A260)*الطبخات!$C$2:$C$900*COUNTIF('سجل الإنتاج'!$C$2:$C$501,الطبخات!$A$2:$A$900)),3))</f>
        <v/>
      </c>
      <c r="D260" s="11"/>
    </row>
    <row r="261" spans="1:4" ht="24" customHeight="1">
      <c r="A261" s="11"/>
      <c r="B261" s="12"/>
      <c r="C261" s="13" t="str">
        <f>IF(A261="","",ROUND(SUMIFS(الإدخالات!$D$2:$D$501,الإدخالات!$C$2:$C$501,A261)+SUMIFS('تعديل الجرد'!$F$2:$F$501,'تعديل الجرد'!$C$2:$C$501,A261)-SUMIFS('الصرف المباشر'!$D$2:$D$501,'الصرف المباشر'!$C$2:$C$501,A261)-SUMPRODUCT((الطبخات!$B$2:$B$900=A261)*الطبخات!$C$2:$C$900*COUNTIF('سجل الإنتاج'!$C$2:$C$501,الطبخات!$A$2:$A$900)),3))</f>
        <v/>
      </c>
      <c r="D261" s="11"/>
    </row>
    <row r="262" spans="1:4" ht="24" customHeight="1">
      <c r="A262" s="11"/>
      <c r="B262" s="12"/>
      <c r="C262" s="13" t="str">
        <f>IF(A262="","",ROUND(SUMIFS(الإدخالات!$D$2:$D$501,الإدخالات!$C$2:$C$501,A262)+SUMIFS('تعديل الجرد'!$F$2:$F$501,'تعديل الجرد'!$C$2:$C$501,A262)-SUMIFS('الصرف المباشر'!$D$2:$D$501,'الصرف المباشر'!$C$2:$C$501,A262)-SUMPRODUCT((الطبخات!$B$2:$B$900=A262)*الطبخات!$C$2:$C$900*COUNTIF('سجل الإنتاج'!$C$2:$C$501,الطبخات!$A$2:$A$900)),3))</f>
        <v/>
      </c>
      <c r="D262" s="11"/>
    </row>
    <row r="263" spans="1:4" ht="24" customHeight="1">
      <c r="A263" s="11"/>
      <c r="B263" s="12"/>
      <c r="C263" s="13" t="str">
        <f>IF(A263="","",ROUND(SUMIFS(الإدخالات!$D$2:$D$501,الإدخالات!$C$2:$C$501,A263)+SUMIFS('تعديل الجرد'!$F$2:$F$501,'تعديل الجرد'!$C$2:$C$501,A263)-SUMIFS('الصرف المباشر'!$D$2:$D$501,'الصرف المباشر'!$C$2:$C$501,A263)-SUMPRODUCT((الطبخات!$B$2:$B$900=A263)*الطبخات!$C$2:$C$900*COUNTIF('سجل الإنتاج'!$C$2:$C$501,الطبخات!$A$2:$A$900)),3))</f>
        <v/>
      </c>
      <c r="D263" s="11"/>
    </row>
    <row r="264" spans="1:4" ht="24" customHeight="1">
      <c r="A264" s="11"/>
      <c r="B264" s="12"/>
      <c r="C264" s="13" t="str">
        <f>IF(A264="","",ROUND(SUMIFS(الإدخالات!$D$2:$D$501,الإدخالات!$C$2:$C$501,A264)+SUMIFS('تعديل الجرد'!$F$2:$F$501,'تعديل الجرد'!$C$2:$C$501,A264)-SUMIFS('الصرف المباشر'!$D$2:$D$501,'الصرف المباشر'!$C$2:$C$501,A264)-SUMPRODUCT((الطبخات!$B$2:$B$900=A264)*الطبخات!$C$2:$C$900*COUNTIF('سجل الإنتاج'!$C$2:$C$501,الطبخات!$A$2:$A$900)),3))</f>
        <v/>
      </c>
      <c r="D264" s="11"/>
    </row>
    <row r="265" spans="1:4" ht="24" customHeight="1">
      <c r="A265" s="11"/>
      <c r="B265" s="12"/>
      <c r="C265" s="13" t="str">
        <f>IF(A265="","",ROUND(SUMIFS(الإدخالات!$D$2:$D$501,الإدخالات!$C$2:$C$501,A265)+SUMIFS('تعديل الجرد'!$F$2:$F$501,'تعديل الجرد'!$C$2:$C$501,A265)-SUMIFS('الصرف المباشر'!$D$2:$D$501,'الصرف المباشر'!$C$2:$C$501,A265)-SUMPRODUCT((الطبخات!$B$2:$B$900=A265)*الطبخات!$C$2:$C$900*COUNTIF('سجل الإنتاج'!$C$2:$C$501,الطبخات!$A$2:$A$900)),3))</f>
        <v/>
      </c>
      <c r="D265" s="11"/>
    </row>
    <row r="266" spans="1:4" ht="24" customHeight="1">
      <c r="A266" s="11"/>
      <c r="B266" s="12"/>
      <c r="C266" s="13" t="str">
        <f>IF(A266="","",ROUND(SUMIFS(الإدخالات!$D$2:$D$501,الإدخالات!$C$2:$C$501,A266)+SUMIFS('تعديل الجرد'!$F$2:$F$501,'تعديل الجرد'!$C$2:$C$501,A266)-SUMIFS('الصرف المباشر'!$D$2:$D$501,'الصرف المباشر'!$C$2:$C$501,A266)-SUMPRODUCT((الطبخات!$B$2:$B$900=A266)*الطبخات!$C$2:$C$900*COUNTIF('سجل الإنتاج'!$C$2:$C$501,الطبخات!$A$2:$A$900)),3))</f>
        <v/>
      </c>
      <c r="D266" s="11"/>
    </row>
    <row r="267" spans="1:4" ht="24" customHeight="1">
      <c r="A267" s="11"/>
      <c r="B267" s="12"/>
      <c r="C267" s="13" t="str">
        <f>IF(A267="","",ROUND(SUMIFS(الإدخالات!$D$2:$D$501,الإدخالات!$C$2:$C$501,A267)+SUMIFS('تعديل الجرد'!$F$2:$F$501,'تعديل الجرد'!$C$2:$C$501,A267)-SUMIFS('الصرف المباشر'!$D$2:$D$501,'الصرف المباشر'!$C$2:$C$501,A267)-SUMPRODUCT((الطبخات!$B$2:$B$900=A267)*الطبخات!$C$2:$C$900*COUNTIF('سجل الإنتاج'!$C$2:$C$501,الطبخات!$A$2:$A$900)),3))</f>
        <v/>
      </c>
      <c r="D267" s="11"/>
    </row>
    <row r="268" spans="1:4" ht="24" customHeight="1">
      <c r="A268" s="11"/>
      <c r="B268" s="12"/>
      <c r="C268" s="13" t="str">
        <f>IF(A268="","",ROUND(SUMIFS(الإدخالات!$D$2:$D$501,الإدخالات!$C$2:$C$501,A268)+SUMIFS('تعديل الجرد'!$F$2:$F$501,'تعديل الجرد'!$C$2:$C$501,A268)-SUMIFS('الصرف المباشر'!$D$2:$D$501,'الصرف المباشر'!$C$2:$C$501,A268)-SUMPRODUCT((الطبخات!$B$2:$B$900=A268)*الطبخات!$C$2:$C$900*COUNTIF('سجل الإنتاج'!$C$2:$C$501,الطبخات!$A$2:$A$900)),3))</f>
        <v/>
      </c>
      <c r="D268" s="11"/>
    </row>
    <row r="269" spans="1:4" ht="24" customHeight="1">
      <c r="A269" s="11"/>
      <c r="B269" s="12"/>
      <c r="C269" s="13" t="str">
        <f>IF(A269="","",ROUND(SUMIFS(الإدخالات!$D$2:$D$501,الإدخالات!$C$2:$C$501,A269)+SUMIFS('تعديل الجرد'!$F$2:$F$501,'تعديل الجرد'!$C$2:$C$501,A269)-SUMIFS('الصرف المباشر'!$D$2:$D$501,'الصرف المباشر'!$C$2:$C$501,A269)-SUMPRODUCT((الطبخات!$B$2:$B$900=A269)*الطبخات!$C$2:$C$900*COUNTIF('سجل الإنتاج'!$C$2:$C$501,الطبخات!$A$2:$A$900)),3))</f>
        <v/>
      </c>
      <c r="D269" s="11"/>
    </row>
    <row r="270" spans="1:4" ht="24" customHeight="1">
      <c r="A270" s="11"/>
      <c r="B270" s="12"/>
      <c r="C270" s="13" t="str">
        <f>IF(A270="","",ROUND(SUMIFS(الإدخالات!$D$2:$D$501,الإدخالات!$C$2:$C$501,A270)+SUMIFS('تعديل الجرد'!$F$2:$F$501,'تعديل الجرد'!$C$2:$C$501,A270)-SUMIFS('الصرف المباشر'!$D$2:$D$501,'الصرف المباشر'!$C$2:$C$501,A270)-SUMPRODUCT((الطبخات!$B$2:$B$900=A270)*الطبخات!$C$2:$C$900*COUNTIF('سجل الإنتاج'!$C$2:$C$501,الطبخات!$A$2:$A$900)),3))</f>
        <v/>
      </c>
      <c r="D270" s="11"/>
    </row>
    <row r="271" spans="1:4" ht="24" customHeight="1">
      <c r="A271" s="11"/>
      <c r="B271" s="12"/>
      <c r="C271" s="13" t="str">
        <f>IF(A271="","",ROUND(SUMIFS(الإدخالات!$D$2:$D$501,الإدخالات!$C$2:$C$501,A271)+SUMIFS('تعديل الجرد'!$F$2:$F$501,'تعديل الجرد'!$C$2:$C$501,A271)-SUMIFS('الصرف المباشر'!$D$2:$D$501,'الصرف المباشر'!$C$2:$C$501,A271)-SUMPRODUCT((الطبخات!$B$2:$B$900=A271)*الطبخات!$C$2:$C$900*COUNTIF('سجل الإنتاج'!$C$2:$C$501,الطبخات!$A$2:$A$900)),3))</f>
        <v/>
      </c>
      <c r="D271" s="11"/>
    </row>
    <row r="272" spans="1:4" ht="24" customHeight="1">
      <c r="A272" s="11"/>
      <c r="B272" s="12"/>
      <c r="C272" s="13" t="str">
        <f>IF(A272="","",ROUND(SUMIFS(الإدخالات!$D$2:$D$501,الإدخالات!$C$2:$C$501,A272)+SUMIFS('تعديل الجرد'!$F$2:$F$501,'تعديل الجرد'!$C$2:$C$501,A272)-SUMIFS('الصرف المباشر'!$D$2:$D$501,'الصرف المباشر'!$C$2:$C$501,A272)-SUMPRODUCT((الطبخات!$B$2:$B$900=A272)*الطبخات!$C$2:$C$900*COUNTIF('سجل الإنتاج'!$C$2:$C$501,الطبخات!$A$2:$A$900)),3))</f>
        <v/>
      </c>
      <c r="D272" s="11"/>
    </row>
    <row r="273" spans="1:4" ht="24" customHeight="1">
      <c r="A273" s="11"/>
      <c r="B273" s="12"/>
      <c r="C273" s="13" t="str">
        <f>IF(A273="","",ROUND(SUMIFS(الإدخالات!$D$2:$D$501,الإدخالات!$C$2:$C$501,A273)+SUMIFS('تعديل الجرد'!$F$2:$F$501,'تعديل الجرد'!$C$2:$C$501,A273)-SUMIFS('الصرف المباشر'!$D$2:$D$501,'الصرف المباشر'!$C$2:$C$501,A273)-SUMPRODUCT((الطبخات!$B$2:$B$900=A273)*الطبخات!$C$2:$C$900*COUNTIF('سجل الإنتاج'!$C$2:$C$501,الطبخات!$A$2:$A$900)),3))</f>
        <v/>
      </c>
      <c r="D273" s="11"/>
    </row>
    <row r="274" spans="1:4" ht="24" customHeight="1">
      <c r="A274" s="11"/>
      <c r="B274" s="12"/>
      <c r="C274" s="13" t="str">
        <f>IF(A274="","",ROUND(SUMIFS(الإدخالات!$D$2:$D$501,الإدخالات!$C$2:$C$501,A274)+SUMIFS('تعديل الجرد'!$F$2:$F$501,'تعديل الجرد'!$C$2:$C$501,A274)-SUMIFS('الصرف المباشر'!$D$2:$D$501,'الصرف المباشر'!$C$2:$C$501,A274)-SUMPRODUCT((الطبخات!$B$2:$B$900=A274)*الطبخات!$C$2:$C$900*COUNTIF('سجل الإنتاج'!$C$2:$C$501,الطبخات!$A$2:$A$900)),3))</f>
        <v/>
      </c>
      <c r="D274" s="11"/>
    </row>
    <row r="275" spans="1:4" ht="24" customHeight="1">
      <c r="A275" s="11"/>
      <c r="B275" s="12"/>
      <c r="C275" s="13" t="str">
        <f>IF(A275="","",ROUND(SUMIFS(الإدخالات!$D$2:$D$501,الإدخالات!$C$2:$C$501,A275)+SUMIFS('تعديل الجرد'!$F$2:$F$501,'تعديل الجرد'!$C$2:$C$501,A275)-SUMIFS('الصرف المباشر'!$D$2:$D$501,'الصرف المباشر'!$C$2:$C$501,A275)-SUMPRODUCT((الطبخات!$B$2:$B$900=A275)*الطبخات!$C$2:$C$900*COUNTIF('سجل الإنتاج'!$C$2:$C$501,الطبخات!$A$2:$A$900)),3))</f>
        <v/>
      </c>
      <c r="D275" s="11"/>
    </row>
    <row r="276" spans="1:4" ht="24" customHeight="1">
      <c r="A276" s="11"/>
      <c r="B276" s="12"/>
      <c r="C276" s="13" t="str">
        <f>IF(A276="","",ROUND(SUMIFS(الإدخالات!$D$2:$D$501,الإدخالات!$C$2:$C$501,A276)+SUMIFS('تعديل الجرد'!$F$2:$F$501,'تعديل الجرد'!$C$2:$C$501,A276)-SUMIFS('الصرف المباشر'!$D$2:$D$501,'الصرف المباشر'!$C$2:$C$501,A276)-SUMPRODUCT((الطبخات!$B$2:$B$900=A276)*الطبخات!$C$2:$C$900*COUNTIF('سجل الإنتاج'!$C$2:$C$501,الطبخات!$A$2:$A$900)),3))</f>
        <v/>
      </c>
      <c r="D276" s="11"/>
    </row>
    <row r="277" spans="1:4" ht="24" customHeight="1">
      <c r="A277" s="11"/>
      <c r="B277" s="12"/>
      <c r="C277" s="13" t="str">
        <f>IF(A277="","",ROUND(SUMIFS(الإدخالات!$D$2:$D$501,الإدخالات!$C$2:$C$501,A277)+SUMIFS('تعديل الجرد'!$F$2:$F$501,'تعديل الجرد'!$C$2:$C$501,A277)-SUMIFS('الصرف المباشر'!$D$2:$D$501,'الصرف المباشر'!$C$2:$C$501,A277)-SUMPRODUCT((الطبخات!$B$2:$B$900=A277)*الطبخات!$C$2:$C$900*COUNTIF('سجل الإنتاج'!$C$2:$C$501,الطبخات!$A$2:$A$900)),3))</f>
        <v/>
      </c>
      <c r="D277" s="11"/>
    </row>
    <row r="278" spans="1:4" ht="24" customHeight="1">
      <c r="A278" s="11"/>
      <c r="B278" s="12"/>
      <c r="C278" s="13" t="str">
        <f>IF(A278="","",ROUND(SUMIFS(الإدخالات!$D$2:$D$501,الإدخالات!$C$2:$C$501,A278)+SUMIFS('تعديل الجرد'!$F$2:$F$501,'تعديل الجرد'!$C$2:$C$501,A278)-SUMIFS('الصرف المباشر'!$D$2:$D$501,'الصرف المباشر'!$C$2:$C$501,A278)-SUMPRODUCT((الطبخات!$B$2:$B$900=A278)*الطبخات!$C$2:$C$900*COUNTIF('سجل الإنتاج'!$C$2:$C$501,الطبخات!$A$2:$A$900)),3))</f>
        <v/>
      </c>
      <c r="D278" s="11"/>
    </row>
    <row r="279" spans="1:4" ht="24" customHeight="1">
      <c r="A279" s="11"/>
      <c r="B279" s="12"/>
      <c r="C279" s="13" t="str">
        <f>IF(A279="","",ROUND(SUMIFS(الإدخالات!$D$2:$D$501,الإدخالات!$C$2:$C$501,A279)+SUMIFS('تعديل الجرد'!$F$2:$F$501,'تعديل الجرد'!$C$2:$C$501,A279)-SUMIFS('الصرف المباشر'!$D$2:$D$501,'الصرف المباشر'!$C$2:$C$501,A279)-SUMPRODUCT((الطبخات!$B$2:$B$900=A279)*الطبخات!$C$2:$C$900*COUNTIF('سجل الإنتاج'!$C$2:$C$501,الطبخات!$A$2:$A$900)),3))</f>
        <v/>
      </c>
      <c r="D279" s="11"/>
    </row>
    <row r="280" spans="1:4" ht="24" customHeight="1">
      <c r="A280" s="11"/>
      <c r="B280" s="12"/>
      <c r="C280" s="13" t="str">
        <f>IF(A280="","",ROUND(SUMIFS(الإدخالات!$D$2:$D$501,الإدخالات!$C$2:$C$501,A280)+SUMIFS('تعديل الجرد'!$F$2:$F$501,'تعديل الجرد'!$C$2:$C$501,A280)-SUMIFS('الصرف المباشر'!$D$2:$D$501,'الصرف المباشر'!$C$2:$C$501,A280)-SUMPRODUCT((الطبخات!$B$2:$B$900=A280)*الطبخات!$C$2:$C$900*COUNTIF('سجل الإنتاج'!$C$2:$C$501,الطبخات!$A$2:$A$900)),3))</f>
        <v/>
      </c>
      <c r="D280" s="11"/>
    </row>
    <row r="281" spans="1:4" ht="24" customHeight="1">
      <c r="A281" s="11"/>
      <c r="B281" s="12"/>
      <c r="C281" s="13" t="str">
        <f>IF(A281="","",ROUND(SUMIFS(الإدخالات!$D$2:$D$501,الإدخالات!$C$2:$C$501,A281)+SUMIFS('تعديل الجرد'!$F$2:$F$501,'تعديل الجرد'!$C$2:$C$501,A281)-SUMIFS('الصرف المباشر'!$D$2:$D$501,'الصرف المباشر'!$C$2:$C$501,A281)-SUMPRODUCT((الطبخات!$B$2:$B$900=A281)*الطبخات!$C$2:$C$900*COUNTIF('سجل الإنتاج'!$C$2:$C$501,الطبخات!$A$2:$A$900)),3))</f>
        <v/>
      </c>
      <c r="D281" s="11"/>
    </row>
    <row r="282" spans="1:4" ht="24" customHeight="1">
      <c r="A282" s="11"/>
      <c r="B282" s="12"/>
      <c r="C282" s="13" t="str">
        <f>IF(A282="","",ROUND(SUMIFS(الإدخالات!$D$2:$D$501,الإدخالات!$C$2:$C$501,A282)+SUMIFS('تعديل الجرد'!$F$2:$F$501,'تعديل الجرد'!$C$2:$C$501,A282)-SUMIFS('الصرف المباشر'!$D$2:$D$501,'الصرف المباشر'!$C$2:$C$501,A282)-SUMPRODUCT((الطبخات!$B$2:$B$900=A282)*الطبخات!$C$2:$C$900*COUNTIF('سجل الإنتاج'!$C$2:$C$501,الطبخات!$A$2:$A$900)),3))</f>
        <v/>
      </c>
      <c r="D282" s="11"/>
    </row>
    <row r="283" spans="1:4" ht="24" customHeight="1">
      <c r="A283" s="11"/>
      <c r="B283" s="12"/>
      <c r="C283" s="13" t="str">
        <f>IF(A283="","",ROUND(SUMIFS(الإدخالات!$D$2:$D$501,الإدخالات!$C$2:$C$501,A283)+SUMIFS('تعديل الجرد'!$F$2:$F$501,'تعديل الجرد'!$C$2:$C$501,A283)-SUMIFS('الصرف المباشر'!$D$2:$D$501,'الصرف المباشر'!$C$2:$C$501,A283)-SUMPRODUCT((الطبخات!$B$2:$B$900=A283)*الطبخات!$C$2:$C$900*COUNTIF('سجل الإنتاج'!$C$2:$C$501,الطبخات!$A$2:$A$900)),3))</f>
        <v/>
      </c>
      <c r="D283" s="11"/>
    </row>
    <row r="284" spans="1:4" ht="24" customHeight="1">
      <c r="A284" s="11"/>
      <c r="B284" s="12"/>
      <c r="C284" s="13" t="str">
        <f>IF(A284="","",ROUND(SUMIFS(الإدخالات!$D$2:$D$501,الإدخالات!$C$2:$C$501,A284)+SUMIFS('تعديل الجرد'!$F$2:$F$501,'تعديل الجرد'!$C$2:$C$501,A284)-SUMIFS('الصرف المباشر'!$D$2:$D$501,'الصرف المباشر'!$C$2:$C$501,A284)-SUMPRODUCT((الطبخات!$B$2:$B$900=A284)*الطبخات!$C$2:$C$900*COUNTIF('سجل الإنتاج'!$C$2:$C$501,الطبخات!$A$2:$A$900)),3))</f>
        <v/>
      </c>
      <c r="D284" s="11"/>
    </row>
    <row r="285" spans="1:4" ht="24" customHeight="1">
      <c r="A285" s="11"/>
      <c r="B285" s="12"/>
      <c r="C285" s="13" t="str">
        <f>IF(A285="","",ROUND(SUMIFS(الإدخالات!$D$2:$D$501,الإدخالات!$C$2:$C$501,A285)+SUMIFS('تعديل الجرد'!$F$2:$F$501,'تعديل الجرد'!$C$2:$C$501,A285)-SUMIFS('الصرف المباشر'!$D$2:$D$501,'الصرف المباشر'!$C$2:$C$501,A285)-SUMPRODUCT((الطبخات!$B$2:$B$900=A285)*الطبخات!$C$2:$C$900*COUNTIF('سجل الإنتاج'!$C$2:$C$501,الطبخات!$A$2:$A$900)),3))</f>
        <v/>
      </c>
      <c r="D285" s="11"/>
    </row>
    <row r="286" spans="1:4" ht="24" customHeight="1">
      <c r="A286" s="11"/>
      <c r="B286" s="12"/>
      <c r="C286" s="13" t="str">
        <f>IF(A286="","",ROUND(SUMIFS(الإدخالات!$D$2:$D$501,الإدخالات!$C$2:$C$501,A286)+SUMIFS('تعديل الجرد'!$F$2:$F$501,'تعديل الجرد'!$C$2:$C$501,A286)-SUMIFS('الصرف المباشر'!$D$2:$D$501,'الصرف المباشر'!$C$2:$C$501,A286)-SUMPRODUCT((الطبخات!$B$2:$B$900=A286)*الطبخات!$C$2:$C$900*COUNTIF('سجل الإنتاج'!$C$2:$C$501,الطبخات!$A$2:$A$900)),3))</f>
        <v/>
      </c>
      <c r="D286" s="11"/>
    </row>
    <row r="287" spans="1:4" ht="24" customHeight="1">
      <c r="A287" s="11"/>
      <c r="B287" s="12"/>
      <c r="C287" s="13" t="str">
        <f>IF(A287="","",ROUND(SUMIFS(الإدخالات!$D$2:$D$501,الإدخالات!$C$2:$C$501,A287)+SUMIFS('تعديل الجرد'!$F$2:$F$501,'تعديل الجرد'!$C$2:$C$501,A287)-SUMIFS('الصرف المباشر'!$D$2:$D$501,'الصرف المباشر'!$C$2:$C$501,A287)-SUMPRODUCT((الطبخات!$B$2:$B$900=A287)*الطبخات!$C$2:$C$900*COUNTIF('سجل الإنتاج'!$C$2:$C$501,الطبخات!$A$2:$A$900)),3))</f>
        <v/>
      </c>
      <c r="D287" s="11"/>
    </row>
    <row r="288" spans="1:4" ht="24" customHeight="1">
      <c r="A288" s="11"/>
      <c r="B288" s="12"/>
      <c r="C288" s="13" t="str">
        <f>IF(A288="","",ROUND(SUMIFS(الإدخالات!$D$2:$D$501,الإدخالات!$C$2:$C$501,A288)+SUMIFS('تعديل الجرد'!$F$2:$F$501,'تعديل الجرد'!$C$2:$C$501,A288)-SUMIFS('الصرف المباشر'!$D$2:$D$501,'الصرف المباشر'!$C$2:$C$501,A288)-SUMPRODUCT((الطبخات!$B$2:$B$900=A288)*الطبخات!$C$2:$C$900*COUNTIF('سجل الإنتاج'!$C$2:$C$501,الطبخات!$A$2:$A$900)),3))</f>
        <v/>
      </c>
      <c r="D288" s="11"/>
    </row>
    <row r="289" spans="1:4" ht="24" customHeight="1">
      <c r="A289" s="11"/>
      <c r="B289" s="12"/>
      <c r="C289" s="13" t="str">
        <f>IF(A289="","",ROUND(SUMIFS(الإدخالات!$D$2:$D$501,الإدخالات!$C$2:$C$501,A289)+SUMIFS('تعديل الجرد'!$F$2:$F$501,'تعديل الجرد'!$C$2:$C$501,A289)-SUMIFS('الصرف المباشر'!$D$2:$D$501,'الصرف المباشر'!$C$2:$C$501,A289)-SUMPRODUCT((الطبخات!$B$2:$B$900=A289)*الطبخات!$C$2:$C$900*COUNTIF('سجل الإنتاج'!$C$2:$C$501,الطبخات!$A$2:$A$900)),3))</f>
        <v/>
      </c>
      <c r="D289" s="11"/>
    </row>
    <row r="290" spans="1:4" ht="24" customHeight="1">
      <c r="A290" s="11"/>
      <c r="B290" s="12"/>
      <c r="C290" s="13" t="str">
        <f>IF(A290="","",ROUND(SUMIFS(الإدخالات!$D$2:$D$501,الإدخالات!$C$2:$C$501,A290)+SUMIFS('تعديل الجرد'!$F$2:$F$501,'تعديل الجرد'!$C$2:$C$501,A290)-SUMIFS('الصرف المباشر'!$D$2:$D$501,'الصرف المباشر'!$C$2:$C$501,A290)-SUMPRODUCT((الطبخات!$B$2:$B$900=A290)*الطبخات!$C$2:$C$900*COUNTIF('سجل الإنتاج'!$C$2:$C$501,الطبخات!$A$2:$A$900)),3))</f>
        <v/>
      </c>
      <c r="D290" s="11"/>
    </row>
    <row r="291" spans="1:4" ht="24" customHeight="1">
      <c r="A291" s="11"/>
      <c r="B291" s="12"/>
      <c r="C291" s="13" t="str">
        <f>IF(A291="","",ROUND(SUMIFS(الإدخالات!$D$2:$D$501,الإدخالات!$C$2:$C$501,A291)+SUMIFS('تعديل الجرد'!$F$2:$F$501,'تعديل الجرد'!$C$2:$C$501,A291)-SUMIFS('الصرف المباشر'!$D$2:$D$501,'الصرف المباشر'!$C$2:$C$501,A291)-SUMPRODUCT((الطبخات!$B$2:$B$900=A291)*الطبخات!$C$2:$C$900*COUNTIF('سجل الإنتاج'!$C$2:$C$501,الطبخات!$A$2:$A$900)),3))</f>
        <v/>
      </c>
      <c r="D291" s="11"/>
    </row>
    <row r="292" spans="1:4" ht="24" customHeight="1">
      <c r="A292" s="11"/>
      <c r="B292" s="12"/>
      <c r="C292" s="13" t="str">
        <f>IF(A292="","",ROUND(SUMIFS(الإدخالات!$D$2:$D$501,الإدخالات!$C$2:$C$501,A292)+SUMIFS('تعديل الجرد'!$F$2:$F$501,'تعديل الجرد'!$C$2:$C$501,A292)-SUMIFS('الصرف المباشر'!$D$2:$D$501,'الصرف المباشر'!$C$2:$C$501,A292)-SUMPRODUCT((الطبخات!$B$2:$B$900=A292)*الطبخات!$C$2:$C$900*COUNTIF('سجل الإنتاج'!$C$2:$C$501,الطبخات!$A$2:$A$900)),3))</f>
        <v/>
      </c>
      <c r="D292" s="11"/>
    </row>
    <row r="293" spans="1:4" ht="24" customHeight="1">
      <c r="A293" s="11"/>
      <c r="B293" s="12"/>
      <c r="C293" s="13" t="str">
        <f>IF(A293="","",ROUND(SUMIFS(الإدخالات!$D$2:$D$501,الإدخالات!$C$2:$C$501,A293)+SUMIFS('تعديل الجرد'!$F$2:$F$501,'تعديل الجرد'!$C$2:$C$501,A293)-SUMIFS('الصرف المباشر'!$D$2:$D$501,'الصرف المباشر'!$C$2:$C$501,A293)-SUMPRODUCT((الطبخات!$B$2:$B$900=A293)*الطبخات!$C$2:$C$900*COUNTIF('سجل الإنتاج'!$C$2:$C$501,الطبخات!$A$2:$A$900)),3))</f>
        <v/>
      </c>
      <c r="D293" s="11"/>
    </row>
    <row r="294" spans="1:4" ht="24" customHeight="1">
      <c r="A294" s="11"/>
      <c r="B294" s="12"/>
      <c r="C294" s="13" t="str">
        <f>IF(A294="","",ROUND(SUMIFS(الإدخالات!$D$2:$D$501,الإدخالات!$C$2:$C$501,A294)+SUMIFS('تعديل الجرد'!$F$2:$F$501,'تعديل الجرد'!$C$2:$C$501,A294)-SUMIFS('الصرف المباشر'!$D$2:$D$501,'الصرف المباشر'!$C$2:$C$501,A294)-SUMPRODUCT((الطبخات!$B$2:$B$900=A294)*الطبخات!$C$2:$C$900*COUNTIF('سجل الإنتاج'!$C$2:$C$501,الطبخات!$A$2:$A$900)),3))</f>
        <v/>
      </c>
      <c r="D294" s="11"/>
    </row>
    <row r="295" spans="1:4" ht="24" customHeight="1">
      <c r="A295" s="11"/>
      <c r="B295" s="12"/>
      <c r="C295" s="13" t="str">
        <f>IF(A295="","",ROUND(SUMIFS(الإدخالات!$D$2:$D$501,الإدخالات!$C$2:$C$501,A295)+SUMIFS('تعديل الجرد'!$F$2:$F$501,'تعديل الجرد'!$C$2:$C$501,A295)-SUMIFS('الصرف المباشر'!$D$2:$D$501,'الصرف المباشر'!$C$2:$C$501,A295)-SUMPRODUCT((الطبخات!$B$2:$B$900=A295)*الطبخات!$C$2:$C$900*COUNTIF('سجل الإنتاج'!$C$2:$C$501,الطبخات!$A$2:$A$900)),3))</f>
        <v/>
      </c>
      <c r="D295" s="11"/>
    </row>
    <row r="296" spans="1:4" ht="24" customHeight="1">
      <c r="A296" s="11"/>
      <c r="B296" s="12"/>
      <c r="C296" s="13" t="str">
        <f>IF(A296="","",ROUND(SUMIFS(الإدخالات!$D$2:$D$501,الإدخالات!$C$2:$C$501,A296)+SUMIFS('تعديل الجرد'!$F$2:$F$501,'تعديل الجرد'!$C$2:$C$501,A296)-SUMIFS('الصرف المباشر'!$D$2:$D$501,'الصرف المباشر'!$C$2:$C$501,A296)-SUMPRODUCT((الطبخات!$B$2:$B$900=A296)*الطبخات!$C$2:$C$900*COUNTIF('سجل الإنتاج'!$C$2:$C$501,الطبخات!$A$2:$A$900)),3))</f>
        <v/>
      </c>
      <c r="D296" s="11"/>
    </row>
    <row r="297" spans="1:4" ht="24" customHeight="1">
      <c r="A297" s="11"/>
      <c r="B297" s="12"/>
      <c r="C297" s="13" t="str">
        <f>IF(A297="","",ROUND(SUMIFS(الإدخالات!$D$2:$D$501,الإدخالات!$C$2:$C$501,A297)+SUMIFS('تعديل الجرد'!$F$2:$F$501,'تعديل الجرد'!$C$2:$C$501,A297)-SUMIFS('الصرف المباشر'!$D$2:$D$501,'الصرف المباشر'!$C$2:$C$501,A297)-SUMPRODUCT((الطبخات!$B$2:$B$900=A297)*الطبخات!$C$2:$C$900*COUNTIF('سجل الإنتاج'!$C$2:$C$501,الطبخات!$A$2:$A$900)),3))</f>
        <v/>
      </c>
      <c r="D297" s="11"/>
    </row>
    <row r="298" spans="1:4" ht="24" customHeight="1">
      <c r="A298" s="11"/>
      <c r="B298" s="12"/>
      <c r="C298" s="13" t="str">
        <f>IF(A298="","",ROUND(SUMIFS(الإدخالات!$D$2:$D$501,الإدخالات!$C$2:$C$501,A298)+SUMIFS('تعديل الجرد'!$F$2:$F$501,'تعديل الجرد'!$C$2:$C$501,A298)-SUMIFS('الصرف المباشر'!$D$2:$D$501,'الصرف المباشر'!$C$2:$C$501,A298)-SUMPRODUCT((الطبخات!$B$2:$B$900=A298)*الطبخات!$C$2:$C$900*COUNTIF('سجل الإنتاج'!$C$2:$C$501,الطبخات!$A$2:$A$900)),3))</f>
        <v/>
      </c>
      <c r="D298" s="11"/>
    </row>
    <row r="299" spans="1:4" ht="24" customHeight="1">
      <c r="A299" s="11"/>
      <c r="B299" s="12"/>
      <c r="C299" s="13" t="str">
        <f>IF(A299="","",ROUND(SUMIFS(الإدخالات!$D$2:$D$501,الإدخالات!$C$2:$C$501,A299)+SUMIFS('تعديل الجرد'!$F$2:$F$501,'تعديل الجرد'!$C$2:$C$501,A299)-SUMIFS('الصرف المباشر'!$D$2:$D$501,'الصرف المباشر'!$C$2:$C$501,A299)-SUMPRODUCT((الطبخات!$B$2:$B$900=A299)*الطبخات!$C$2:$C$900*COUNTIF('سجل الإنتاج'!$C$2:$C$501,الطبخات!$A$2:$A$900)),3))</f>
        <v/>
      </c>
      <c r="D299" s="11"/>
    </row>
    <row r="300" spans="1:4" ht="24" customHeight="1">
      <c r="A300" s="11"/>
      <c r="B300" s="12"/>
      <c r="C300" s="13" t="str">
        <f>IF(A300="","",ROUND(SUMIFS(الإدخالات!$D$2:$D$501,الإدخالات!$C$2:$C$501,A300)+SUMIFS('تعديل الجرد'!$F$2:$F$501,'تعديل الجرد'!$C$2:$C$501,A300)-SUMIFS('الصرف المباشر'!$D$2:$D$501,'الصرف المباشر'!$C$2:$C$501,A300)-SUMPRODUCT((الطبخات!$B$2:$B$900=A300)*الطبخات!$C$2:$C$900*COUNTIF('سجل الإنتاج'!$C$2:$C$501,الطبخات!$A$2:$A$900)),3))</f>
        <v/>
      </c>
      <c r="D300" s="11"/>
    </row>
    <row r="301" spans="1:4" ht="24" customHeight="1">
      <c r="A301" s="11"/>
      <c r="B301" s="12"/>
      <c r="C301" s="13" t="str">
        <f>IF(A301="","",ROUND(SUMIFS(الإدخالات!$D$2:$D$501,الإدخالات!$C$2:$C$501,A301)+SUMIFS('تعديل الجرد'!$F$2:$F$501,'تعديل الجرد'!$C$2:$C$501,A301)-SUMIFS('الصرف المباشر'!$D$2:$D$501,'الصرف المباشر'!$C$2:$C$501,A301)-SUMPRODUCT((الطبخات!$B$2:$B$900=A301)*الطبخات!$C$2:$C$900*COUNTIF('سجل الإنتاج'!$C$2:$C$501,الطبخات!$A$2:$A$900)),3))</f>
        <v/>
      </c>
      <c r="D301" s="11"/>
    </row>
    <row r="302" spans="1:4" ht="24" customHeight="1">
      <c r="A302" s="11"/>
      <c r="B302" s="12"/>
      <c r="C302" s="13" t="str">
        <f>IF(A302="","",ROUND(SUMIFS(الإدخالات!$D$2:$D$501,الإدخالات!$C$2:$C$501,A302)+SUMIFS('تعديل الجرد'!$F$2:$F$501,'تعديل الجرد'!$C$2:$C$501,A302)-SUMIFS('الصرف المباشر'!$D$2:$D$501,'الصرف المباشر'!$C$2:$C$501,A302)-SUMPRODUCT((الطبخات!$B$2:$B$900=A302)*الطبخات!$C$2:$C$900*COUNTIF('سجل الإنتاج'!$C$2:$C$501,الطبخات!$A$2:$A$900)),3))</f>
        <v/>
      </c>
      <c r="D302" s="11"/>
    </row>
    <row r="303" spans="1:4" ht="24" customHeight="1">
      <c r="A303" s="11"/>
      <c r="B303" s="12"/>
      <c r="C303" s="13" t="str">
        <f>IF(A303="","",ROUND(SUMIFS(الإدخالات!$D$2:$D$501,الإدخالات!$C$2:$C$501,A303)+SUMIFS('تعديل الجرد'!$F$2:$F$501,'تعديل الجرد'!$C$2:$C$501,A303)-SUMIFS('الصرف المباشر'!$D$2:$D$501,'الصرف المباشر'!$C$2:$C$501,A303)-SUMPRODUCT((الطبخات!$B$2:$B$900=A303)*الطبخات!$C$2:$C$900*COUNTIF('سجل الإنتاج'!$C$2:$C$501,الطبخات!$A$2:$A$900)),3))</f>
        <v/>
      </c>
      <c r="D303" s="11"/>
    </row>
    <row r="304" spans="1:4" ht="24" customHeight="1">
      <c r="A304" s="11"/>
      <c r="B304" s="12"/>
      <c r="C304" s="13" t="str">
        <f>IF(A304="","",ROUND(SUMIFS(الإدخالات!$D$2:$D$501,الإدخالات!$C$2:$C$501,A304)+SUMIFS('تعديل الجرد'!$F$2:$F$501,'تعديل الجرد'!$C$2:$C$501,A304)-SUMIFS('الصرف المباشر'!$D$2:$D$501,'الصرف المباشر'!$C$2:$C$501,A304)-SUMPRODUCT((الطبخات!$B$2:$B$900=A304)*الطبخات!$C$2:$C$900*COUNTIF('سجل الإنتاج'!$C$2:$C$501,الطبخات!$A$2:$A$900)),3))</f>
        <v/>
      </c>
      <c r="D304" s="11"/>
    </row>
    <row r="305" spans="1:4" ht="24" customHeight="1">
      <c r="A305" s="11"/>
      <c r="B305" s="12"/>
      <c r="C305" s="13" t="str">
        <f>IF(A305="","",ROUND(SUMIFS(الإدخالات!$D$2:$D$501,الإدخالات!$C$2:$C$501,A305)+SUMIFS('تعديل الجرد'!$F$2:$F$501,'تعديل الجرد'!$C$2:$C$501,A305)-SUMIFS('الصرف المباشر'!$D$2:$D$501,'الصرف المباشر'!$C$2:$C$501,A305)-SUMPRODUCT((الطبخات!$B$2:$B$900=A305)*الطبخات!$C$2:$C$900*COUNTIF('سجل الإنتاج'!$C$2:$C$501,الطبخات!$A$2:$A$900)),3))</f>
        <v/>
      </c>
      <c r="D305" s="11"/>
    </row>
    <row r="306" spans="1:4" ht="24" customHeight="1">
      <c r="A306" s="11"/>
      <c r="B306" s="12"/>
      <c r="C306" s="13" t="str">
        <f>IF(A306="","",ROUND(SUMIFS(الإدخالات!$D$2:$D$501,الإدخالات!$C$2:$C$501,A306)+SUMIFS('تعديل الجرد'!$F$2:$F$501,'تعديل الجرد'!$C$2:$C$501,A306)-SUMIFS('الصرف المباشر'!$D$2:$D$501,'الصرف المباشر'!$C$2:$C$501,A306)-SUMPRODUCT((الطبخات!$B$2:$B$900=A306)*الطبخات!$C$2:$C$900*COUNTIF('سجل الإنتاج'!$C$2:$C$501,الطبخات!$A$2:$A$900)),3))</f>
        <v/>
      </c>
      <c r="D306" s="11"/>
    </row>
    <row r="307" spans="1:4" ht="24" customHeight="1">
      <c r="A307" s="11"/>
      <c r="B307" s="12"/>
      <c r="C307" s="13" t="str">
        <f>IF(A307="","",ROUND(SUMIFS(الإدخالات!$D$2:$D$501,الإدخالات!$C$2:$C$501,A307)+SUMIFS('تعديل الجرد'!$F$2:$F$501,'تعديل الجرد'!$C$2:$C$501,A307)-SUMIFS('الصرف المباشر'!$D$2:$D$501,'الصرف المباشر'!$C$2:$C$501,A307)-SUMPRODUCT((الطبخات!$B$2:$B$900=A307)*الطبخات!$C$2:$C$900*COUNTIF('سجل الإنتاج'!$C$2:$C$501,الطبخات!$A$2:$A$900)),3))</f>
        <v/>
      </c>
      <c r="D307" s="11"/>
    </row>
    <row r="308" spans="1:4" ht="24" customHeight="1">
      <c r="A308" s="11"/>
      <c r="B308" s="12"/>
      <c r="C308" s="13" t="str">
        <f>IF(A308="","",ROUND(SUMIFS(الإدخالات!$D$2:$D$501,الإدخالات!$C$2:$C$501,A308)+SUMIFS('تعديل الجرد'!$F$2:$F$501,'تعديل الجرد'!$C$2:$C$501,A308)-SUMIFS('الصرف المباشر'!$D$2:$D$501,'الصرف المباشر'!$C$2:$C$501,A308)-SUMPRODUCT((الطبخات!$B$2:$B$900=A308)*الطبخات!$C$2:$C$900*COUNTIF('سجل الإنتاج'!$C$2:$C$501,الطبخات!$A$2:$A$900)),3))</f>
        <v/>
      </c>
      <c r="D308" s="11"/>
    </row>
    <row r="309" spans="1:4" ht="24" customHeight="1">
      <c r="A309" s="11"/>
      <c r="B309" s="12"/>
      <c r="C309" s="13" t="str">
        <f>IF(A309="","",ROUND(SUMIFS(الإدخالات!$D$2:$D$501,الإدخالات!$C$2:$C$501,A309)+SUMIFS('تعديل الجرد'!$F$2:$F$501,'تعديل الجرد'!$C$2:$C$501,A309)-SUMIFS('الصرف المباشر'!$D$2:$D$501,'الصرف المباشر'!$C$2:$C$501,A309)-SUMPRODUCT((الطبخات!$B$2:$B$900=A309)*الطبخات!$C$2:$C$900*COUNTIF('سجل الإنتاج'!$C$2:$C$501,الطبخات!$A$2:$A$900)),3))</f>
        <v/>
      </c>
      <c r="D309" s="11"/>
    </row>
    <row r="310" spans="1:4" ht="24" customHeight="1">
      <c r="A310" s="11"/>
      <c r="B310" s="12"/>
      <c r="C310" s="13" t="str">
        <f>IF(A310="","",ROUND(SUMIFS(الإدخالات!$D$2:$D$501,الإدخالات!$C$2:$C$501,A310)+SUMIFS('تعديل الجرد'!$F$2:$F$501,'تعديل الجرد'!$C$2:$C$501,A310)-SUMIFS('الصرف المباشر'!$D$2:$D$501,'الصرف المباشر'!$C$2:$C$501,A310)-SUMPRODUCT((الطبخات!$B$2:$B$900=A310)*الطبخات!$C$2:$C$900*COUNTIF('سجل الإنتاج'!$C$2:$C$501,الطبخات!$A$2:$A$900)),3))</f>
        <v/>
      </c>
      <c r="D310" s="11"/>
    </row>
    <row r="311" spans="1:4" ht="24" customHeight="1">
      <c r="A311" s="11"/>
      <c r="B311" s="12"/>
      <c r="C311" s="13" t="str">
        <f>IF(A311="","",ROUND(SUMIFS(الإدخالات!$D$2:$D$501,الإدخالات!$C$2:$C$501,A311)+SUMIFS('تعديل الجرد'!$F$2:$F$501,'تعديل الجرد'!$C$2:$C$501,A311)-SUMIFS('الصرف المباشر'!$D$2:$D$501,'الصرف المباشر'!$C$2:$C$501,A311)-SUMPRODUCT((الطبخات!$B$2:$B$900=A311)*الطبخات!$C$2:$C$900*COUNTIF('سجل الإنتاج'!$C$2:$C$501,الطبخات!$A$2:$A$900)),3))</f>
        <v/>
      </c>
      <c r="D311" s="11"/>
    </row>
    <row r="312" spans="1:4" ht="24" customHeight="1">
      <c r="A312" s="11"/>
      <c r="B312" s="12"/>
      <c r="C312" s="13" t="str">
        <f>IF(A312="","",ROUND(SUMIFS(الإدخالات!$D$2:$D$501,الإدخالات!$C$2:$C$501,A312)+SUMIFS('تعديل الجرد'!$F$2:$F$501,'تعديل الجرد'!$C$2:$C$501,A312)-SUMIFS('الصرف المباشر'!$D$2:$D$501,'الصرف المباشر'!$C$2:$C$501,A312)-SUMPRODUCT((الطبخات!$B$2:$B$900=A312)*الطبخات!$C$2:$C$900*COUNTIF('سجل الإنتاج'!$C$2:$C$501,الطبخات!$A$2:$A$900)),3))</f>
        <v/>
      </c>
      <c r="D312" s="11"/>
    </row>
    <row r="313" spans="1:4" ht="24" customHeight="1">
      <c r="A313" s="11"/>
      <c r="B313" s="12"/>
      <c r="C313" s="13" t="str">
        <f>IF(A313="","",ROUND(SUMIFS(الإدخالات!$D$2:$D$501,الإدخالات!$C$2:$C$501,A313)+SUMIFS('تعديل الجرد'!$F$2:$F$501,'تعديل الجرد'!$C$2:$C$501,A313)-SUMIFS('الصرف المباشر'!$D$2:$D$501,'الصرف المباشر'!$C$2:$C$501,A313)-SUMPRODUCT((الطبخات!$B$2:$B$900=A313)*الطبخات!$C$2:$C$900*COUNTIF('سجل الإنتاج'!$C$2:$C$501,الطبخات!$A$2:$A$900)),3))</f>
        <v/>
      </c>
      <c r="D313" s="11"/>
    </row>
    <row r="314" spans="1:4" ht="24" customHeight="1">
      <c r="A314" s="11"/>
      <c r="B314" s="12"/>
      <c r="C314" s="13" t="str">
        <f>IF(A314="","",ROUND(SUMIFS(الإدخالات!$D$2:$D$501,الإدخالات!$C$2:$C$501,A314)+SUMIFS('تعديل الجرد'!$F$2:$F$501,'تعديل الجرد'!$C$2:$C$501,A314)-SUMIFS('الصرف المباشر'!$D$2:$D$501,'الصرف المباشر'!$C$2:$C$501,A314)-SUMPRODUCT((الطبخات!$B$2:$B$900=A314)*الطبخات!$C$2:$C$900*COUNTIF('سجل الإنتاج'!$C$2:$C$501,الطبخات!$A$2:$A$900)),3))</f>
        <v/>
      </c>
      <c r="D314" s="11"/>
    </row>
    <row r="315" spans="1:4" ht="24" customHeight="1">
      <c r="A315" s="11"/>
      <c r="B315" s="12"/>
      <c r="C315" s="13" t="str">
        <f>IF(A315="","",ROUND(SUMIFS(الإدخالات!$D$2:$D$501,الإدخالات!$C$2:$C$501,A315)+SUMIFS('تعديل الجرد'!$F$2:$F$501,'تعديل الجرد'!$C$2:$C$501,A315)-SUMIFS('الصرف المباشر'!$D$2:$D$501,'الصرف المباشر'!$C$2:$C$501,A315)-SUMPRODUCT((الطبخات!$B$2:$B$900=A315)*الطبخات!$C$2:$C$900*COUNTIF('سجل الإنتاج'!$C$2:$C$501,الطبخات!$A$2:$A$900)),3))</f>
        <v/>
      </c>
      <c r="D315" s="11"/>
    </row>
    <row r="316" spans="1:4" ht="24" customHeight="1">
      <c r="A316" s="11"/>
      <c r="B316" s="12"/>
      <c r="C316" s="13" t="str">
        <f>IF(A316="","",ROUND(SUMIFS(الإدخالات!$D$2:$D$501,الإدخالات!$C$2:$C$501,A316)+SUMIFS('تعديل الجرد'!$F$2:$F$501,'تعديل الجرد'!$C$2:$C$501,A316)-SUMIFS('الصرف المباشر'!$D$2:$D$501,'الصرف المباشر'!$C$2:$C$501,A316)-SUMPRODUCT((الطبخات!$B$2:$B$900=A316)*الطبخات!$C$2:$C$900*COUNTIF('سجل الإنتاج'!$C$2:$C$501,الطبخات!$A$2:$A$900)),3))</f>
        <v/>
      </c>
      <c r="D316" s="11"/>
    </row>
    <row r="317" spans="1:4" ht="24" customHeight="1">
      <c r="A317" s="11"/>
      <c r="B317" s="12"/>
      <c r="C317" s="13" t="str">
        <f>IF(A317="","",ROUND(SUMIFS(الإدخالات!$D$2:$D$501,الإدخالات!$C$2:$C$501,A317)+SUMIFS('تعديل الجرد'!$F$2:$F$501,'تعديل الجرد'!$C$2:$C$501,A317)-SUMIFS('الصرف المباشر'!$D$2:$D$501,'الصرف المباشر'!$C$2:$C$501,A317)-SUMPRODUCT((الطبخات!$B$2:$B$900=A317)*الطبخات!$C$2:$C$900*COUNTIF('سجل الإنتاج'!$C$2:$C$501,الطبخات!$A$2:$A$900)),3))</f>
        <v/>
      </c>
      <c r="D317" s="11"/>
    </row>
    <row r="318" spans="1:4" ht="24" customHeight="1">
      <c r="A318" s="11"/>
      <c r="B318" s="12"/>
      <c r="C318" s="13" t="str">
        <f>IF(A318="","",ROUND(SUMIFS(الإدخالات!$D$2:$D$501,الإدخالات!$C$2:$C$501,A318)+SUMIFS('تعديل الجرد'!$F$2:$F$501,'تعديل الجرد'!$C$2:$C$501,A318)-SUMIFS('الصرف المباشر'!$D$2:$D$501,'الصرف المباشر'!$C$2:$C$501,A318)-SUMPRODUCT((الطبخات!$B$2:$B$900=A318)*الطبخات!$C$2:$C$900*COUNTIF('سجل الإنتاج'!$C$2:$C$501,الطبخات!$A$2:$A$900)),3))</f>
        <v/>
      </c>
      <c r="D318" s="11"/>
    </row>
    <row r="319" spans="1:4" ht="24" customHeight="1">
      <c r="A319" s="11"/>
      <c r="B319" s="12"/>
      <c r="C319" s="13" t="str">
        <f>IF(A319="","",ROUND(SUMIFS(الإدخالات!$D$2:$D$501,الإدخالات!$C$2:$C$501,A319)+SUMIFS('تعديل الجرد'!$F$2:$F$501,'تعديل الجرد'!$C$2:$C$501,A319)-SUMIFS('الصرف المباشر'!$D$2:$D$501,'الصرف المباشر'!$C$2:$C$501,A319)-SUMPRODUCT((الطبخات!$B$2:$B$900=A319)*الطبخات!$C$2:$C$900*COUNTIF('سجل الإنتاج'!$C$2:$C$501,الطبخات!$A$2:$A$900)),3))</f>
        <v/>
      </c>
      <c r="D319" s="11"/>
    </row>
    <row r="320" spans="1:4" ht="24" customHeight="1">
      <c r="A320" s="11"/>
      <c r="B320" s="12"/>
      <c r="C320" s="13" t="str">
        <f>IF(A320="","",ROUND(SUMIFS(الإدخالات!$D$2:$D$501,الإدخالات!$C$2:$C$501,A320)+SUMIFS('تعديل الجرد'!$F$2:$F$501,'تعديل الجرد'!$C$2:$C$501,A320)-SUMIFS('الصرف المباشر'!$D$2:$D$501,'الصرف المباشر'!$C$2:$C$501,A320)-SUMPRODUCT((الطبخات!$B$2:$B$900=A320)*الطبخات!$C$2:$C$900*COUNTIF('سجل الإنتاج'!$C$2:$C$501,الطبخات!$A$2:$A$900)),3))</f>
        <v/>
      </c>
      <c r="D320" s="11"/>
    </row>
  </sheetData>
  <autoFilter ref="A1:D320" xr:uid="{00000000-0009-0000-0000-000001000000}"/>
  <conditionalFormatting sqref="A2:D320">
    <cfRule type="expression" dxfId="21" priority="1">
      <formula>AND($A2&lt;&gt;"",COUNTIF($A$2:$A$320,$A2)&gt;1)</formula>
    </cfRule>
    <cfRule type="expression" dxfId="20" priority="2">
      <formula>AND($C2&lt;&gt;"",$C2&lt;0)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5395"/>
  </sheetPr>
  <dimension ref="A1:G900"/>
  <sheetViews>
    <sheetView rightToLeft="1" workbookViewId="0">
      <pane ySplit="1" topLeftCell="A18" activePane="bottomLeft" state="frozen"/>
      <selection pane="bottomLeft" activeCell="B33" sqref="B33"/>
    </sheetView>
  </sheetViews>
  <sheetFormatPr defaultRowHeight="14.25"/>
  <cols>
    <col min="1" max="1" width="32" customWidth="1"/>
    <col min="2" max="2" width="41.625" customWidth="1"/>
    <col min="3" max="3" width="12" customWidth="1"/>
    <col min="4" max="4" width="10" customWidth="1"/>
    <col min="5" max="5" width="40" customWidth="1"/>
    <col min="6" max="6" width="27.25" customWidth="1"/>
    <col min="7" max="7" width="38.375" customWidth="1"/>
  </cols>
  <sheetData>
    <row r="1" spans="1:7" ht="26.1" customHeight="1">
      <c r="A1" s="2" t="s">
        <v>16</v>
      </c>
      <c r="B1" s="2" t="s">
        <v>21</v>
      </c>
      <c r="C1" s="2" t="s">
        <v>22</v>
      </c>
      <c r="D1" s="2" t="s">
        <v>11</v>
      </c>
      <c r="E1" s="2" t="s">
        <v>26</v>
      </c>
      <c r="F1" s="14" t="s">
        <v>105</v>
      </c>
      <c r="G1" s="14" t="s">
        <v>106</v>
      </c>
    </row>
    <row r="2" spans="1:7" ht="21.95" customHeight="1">
      <c r="A2" s="9" t="s">
        <v>107</v>
      </c>
      <c r="B2" s="9" t="s">
        <v>41</v>
      </c>
      <c r="C2" s="15">
        <v>105</v>
      </c>
      <c r="D2" s="16" t="s">
        <v>28</v>
      </c>
      <c r="E2" s="9"/>
      <c r="F2" t="str">
        <f>IF(AND($A2&lt;&gt;"",COUNTIF($A$2:A2,$A2)=1),$A2,"")</f>
        <v>دوا غسيل بودرا 157 كغ - ببوري</v>
      </c>
      <c r="G2">
        <f>IF($F2&lt;&gt;"",SUMPRODUCT(($F$2:F2&lt;&gt;"")*1),"")</f>
        <v>1</v>
      </c>
    </row>
    <row r="3" spans="1:7" ht="21.95" customHeight="1">
      <c r="A3" s="9" t="s">
        <v>107</v>
      </c>
      <c r="B3" s="9" t="s">
        <v>104</v>
      </c>
      <c r="C3" s="15">
        <v>40</v>
      </c>
      <c r="D3" s="16" t="s">
        <v>28</v>
      </c>
      <c r="E3" s="9"/>
      <c r="F3" t="str">
        <f>IF(AND($A3&lt;&gt;"",COUNTIF($A$2:A3,$A3)=1),$A3,"")</f>
        <v/>
      </c>
      <c r="G3" t="str">
        <f>IF($F3&lt;&gt;"",SUMPRODUCT(($F$2:F3&lt;&gt;"")*1),"")</f>
        <v/>
      </c>
    </row>
    <row r="4" spans="1:7" ht="21.95" customHeight="1">
      <c r="A4" s="9" t="s">
        <v>107</v>
      </c>
      <c r="B4" s="9" t="s">
        <v>80</v>
      </c>
      <c r="C4" s="15">
        <v>1</v>
      </c>
      <c r="D4" s="16" t="s">
        <v>28</v>
      </c>
      <c r="E4" s="9"/>
      <c r="F4" t="str">
        <f>IF(AND($A4&lt;&gt;"",COUNTIF($A$2:A4,$A4)=1),$A4,"")</f>
        <v/>
      </c>
      <c r="G4" t="str">
        <f>IF($F4&lt;&gt;"",SUMPRODUCT(($F$2:F4&lt;&gt;"")*1),"")</f>
        <v/>
      </c>
    </row>
    <row r="5" spans="1:7" ht="21.95" customHeight="1">
      <c r="A5" s="9" t="s">
        <v>107</v>
      </c>
      <c r="B5" s="9" t="s">
        <v>36</v>
      </c>
      <c r="C5" s="15">
        <v>11</v>
      </c>
      <c r="D5" s="16" t="str">
        <f>IFERROR(INDEX(المواد!$B$2:$B$320,MATCH(B5,المواد!$A$2:$A$320,0)),"")</f>
        <v/>
      </c>
      <c r="E5" s="9"/>
      <c r="F5" t="str">
        <f>IF(AND($A5&lt;&gt;"",COUNTIF($A$2:A5,$A5)=1),$A5,"")</f>
        <v/>
      </c>
      <c r="G5" t="str">
        <f>IF($F5&lt;&gt;"",SUMPRODUCT(($F$2:F5&lt;&gt;"")*1),"")</f>
        <v/>
      </c>
    </row>
    <row r="6" spans="1:7" ht="21.95" customHeight="1">
      <c r="A6" s="9" t="s">
        <v>107</v>
      </c>
      <c r="B6" s="9" t="s">
        <v>100</v>
      </c>
      <c r="C6" s="15">
        <v>210</v>
      </c>
      <c r="D6" s="16" t="str">
        <f>IFERROR(INDEX(المواد!$B$2:$B$320,MATCH(B6,المواد!$A$2:$A$320,0)),"")</f>
        <v>كغ</v>
      </c>
      <c r="E6" s="9"/>
      <c r="F6" t="str">
        <f>IF(AND($A6&lt;&gt;"",COUNTIF($A$2:A6,$A6)=1),$A6,"")</f>
        <v/>
      </c>
      <c r="G6" t="str">
        <f>IF($F6&lt;&gt;"",SUMPRODUCT(($F$2:F6&lt;&gt;"")*1),"")</f>
        <v/>
      </c>
    </row>
    <row r="7" spans="1:7" ht="21.95" customHeight="1">
      <c r="A7" s="9" t="s">
        <v>108</v>
      </c>
      <c r="B7" s="9" t="s">
        <v>41</v>
      </c>
      <c r="C7" s="15">
        <v>45</v>
      </c>
      <c r="D7" s="16" t="str">
        <f>IFERROR(INDEX(المواد!$B$2:$B$320,MATCH(B7,المواد!$A$2:$A$320,0)),"")</f>
        <v>كغ</v>
      </c>
      <c r="E7" s="9"/>
      <c r="F7" t="str">
        <f>IF(AND($A7&lt;&gt;"",COUNTIF($A$2:A7,$A7)=1),$A7,"")</f>
        <v>دوا غسيل بودرا 45كغ مصنع</v>
      </c>
      <c r="G7">
        <f>IF($F7&lt;&gt;"",SUMPRODUCT(($F$2:F7&lt;&gt;"")*1),"")</f>
        <v>2</v>
      </c>
    </row>
    <row r="8" spans="1:7" ht="21.95" customHeight="1">
      <c r="A8" s="9" t="s">
        <v>108</v>
      </c>
      <c r="B8" s="9" t="s">
        <v>104</v>
      </c>
      <c r="C8" s="15">
        <v>18</v>
      </c>
      <c r="D8" s="16" t="str">
        <f>IFERROR(INDEX(المواد!$B$2:$B$320,MATCH(B8,المواد!$A$2:$A$320,0)),"")</f>
        <v>كغ</v>
      </c>
      <c r="E8" s="9"/>
      <c r="F8" t="str">
        <f>IF(AND($A8&lt;&gt;"",COUNTIF($A$2:A8,$A8)=1),$A8,"")</f>
        <v/>
      </c>
      <c r="G8" t="str">
        <f>IF($F8&lt;&gt;"",SUMPRODUCT(($F$2:F8&lt;&gt;"")*1),"")</f>
        <v/>
      </c>
    </row>
    <row r="9" spans="1:7" ht="21.95" customHeight="1">
      <c r="A9" s="9" t="s">
        <v>108</v>
      </c>
      <c r="B9" s="9" t="s">
        <v>80</v>
      </c>
      <c r="C9" s="15">
        <v>0.45</v>
      </c>
      <c r="D9" s="16" t="str">
        <f>IFERROR(INDEX(المواد!$B$2:$B$320,MATCH(B9,المواد!$A$2:$A$320,0)),"")</f>
        <v>كغ</v>
      </c>
      <c r="E9" s="9"/>
      <c r="F9" t="str">
        <f>IF(AND($A9&lt;&gt;"",COUNTIF($A$2:A9,$A9)=1),$A9,"")</f>
        <v/>
      </c>
      <c r="G9" t="str">
        <f>IF($F9&lt;&gt;"",SUMPRODUCT(($F$2:F9&lt;&gt;"")*1),"")</f>
        <v/>
      </c>
    </row>
    <row r="10" spans="1:7" ht="21.95" customHeight="1">
      <c r="A10" s="9" t="s">
        <v>108</v>
      </c>
      <c r="B10" s="9" t="s">
        <v>36</v>
      </c>
      <c r="C10" s="15">
        <v>5</v>
      </c>
      <c r="D10" s="16" t="str">
        <f>IFERROR(INDEX(المواد!$B$2:$B$320,MATCH(B10,المواد!$A$2:$A$320,0)),"")</f>
        <v/>
      </c>
      <c r="E10" s="9"/>
      <c r="F10" t="str">
        <f>IF(AND($A10&lt;&gt;"",COUNTIF($A$2:A10,$A10)=1),$A10,"")</f>
        <v/>
      </c>
      <c r="G10" t="str">
        <f>IF($F10&lt;&gt;"",SUMPRODUCT(($F$2:F10&lt;&gt;"")*1),"")</f>
        <v/>
      </c>
    </row>
    <row r="11" spans="1:7" ht="21.95" customHeight="1">
      <c r="A11" s="9" t="s">
        <v>108</v>
      </c>
      <c r="B11" s="9" t="s">
        <v>100</v>
      </c>
      <c r="C11" s="15">
        <v>95</v>
      </c>
      <c r="D11" s="16" t="str">
        <f>IFERROR(INDEX(المواد!$B$2:$B$320,MATCH(B11,المواد!$A$2:$A$320,0)),"")</f>
        <v>كغ</v>
      </c>
      <c r="E11" s="9"/>
      <c r="F11" t="str">
        <f>IF(AND($A11&lt;&gt;"",COUNTIF($A$2:A11,$A11)=1),$A11,"")</f>
        <v/>
      </c>
      <c r="G11" t="str">
        <f>IF($F11&lt;&gt;"",SUMPRODUCT(($F$2:F11&lt;&gt;"")*1),"")</f>
        <v/>
      </c>
    </row>
    <row r="12" spans="1:7" ht="21.95" customHeight="1">
      <c r="A12" s="9" t="s">
        <v>109</v>
      </c>
      <c r="B12" s="9" t="s">
        <v>41</v>
      </c>
      <c r="C12" s="15">
        <v>60</v>
      </c>
      <c r="D12" s="16" t="str">
        <f>IFERROR(INDEX(المواد!$B$2:$B$320,MATCH(B12,المواد!$A$2:$A$320,0)),"")</f>
        <v>كغ</v>
      </c>
      <c r="E12" s="9"/>
      <c r="F12" t="str">
        <f>IF(AND($A12&lt;&gt;"",COUNTIF($A$2:A12,$A12)=1),$A12,"")</f>
        <v>دوا غسيل بودرا 60 كغ -عطر ببوري</v>
      </c>
      <c r="G12">
        <f>IF($F12&lt;&gt;"",SUMPRODUCT(($F$2:F12&lt;&gt;"")*1),"")</f>
        <v>3</v>
      </c>
    </row>
    <row r="13" spans="1:7" ht="21.95" customHeight="1">
      <c r="A13" s="9" t="s">
        <v>109</v>
      </c>
      <c r="B13" s="9" t="s">
        <v>104</v>
      </c>
      <c r="C13" s="15">
        <v>24</v>
      </c>
      <c r="D13" s="16" t="str">
        <f>IFERROR(INDEX(المواد!$B$2:$B$320,MATCH(B13,المواد!$A$2:$A$320,0)),"")</f>
        <v>كغ</v>
      </c>
      <c r="E13" s="9"/>
      <c r="F13" t="str">
        <f>IF(AND($A13&lt;&gt;"",COUNTIF($A$2:A13,$A13)=1),$A13,"")</f>
        <v/>
      </c>
      <c r="G13" t="str">
        <f>IF($F13&lt;&gt;"",SUMPRODUCT(($F$2:F13&lt;&gt;"")*1),"")</f>
        <v/>
      </c>
    </row>
    <row r="14" spans="1:7" ht="21.95" customHeight="1">
      <c r="A14" s="9" t="s">
        <v>109</v>
      </c>
      <c r="B14" s="9" t="s">
        <v>80</v>
      </c>
      <c r="C14" s="15">
        <v>0.6</v>
      </c>
      <c r="D14" s="16" t="str">
        <f>IFERROR(INDEX(المواد!$B$2:$B$320,MATCH(B14,المواد!$A$2:$A$320,0)),"")</f>
        <v>كغ</v>
      </c>
      <c r="E14" s="9"/>
      <c r="F14" t="str">
        <f>IF(AND($A14&lt;&gt;"",COUNTIF($A$2:A14,$A14)=1),$A14,"")</f>
        <v/>
      </c>
      <c r="G14" t="str">
        <f>IF($F14&lt;&gt;"",SUMPRODUCT(($F$2:F14&lt;&gt;"")*1),"")</f>
        <v/>
      </c>
    </row>
    <row r="15" spans="1:7" ht="21.95" customHeight="1">
      <c r="A15" s="9" t="s">
        <v>109</v>
      </c>
      <c r="B15" s="9" t="s">
        <v>36</v>
      </c>
      <c r="C15" s="15">
        <v>6.6</v>
      </c>
      <c r="D15" s="16" t="str">
        <f>IFERROR(INDEX(المواد!$B$2:$B$320,MATCH(B15,المواد!$A$2:$A$320,0)),"")</f>
        <v/>
      </c>
      <c r="E15" s="9"/>
      <c r="F15" t="str">
        <f>IF(AND($A15&lt;&gt;"",COUNTIF($A$2:A15,$A15)=1),$A15,"")</f>
        <v/>
      </c>
      <c r="G15" t="str">
        <f>IF($F15&lt;&gt;"",SUMPRODUCT(($F$2:F15&lt;&gt;"")*1),"")</f>
        <v/>
      </c>
    </row>
    <row r="16" spans="1:7" ht="21.95" customHeight="1">
      <c r="A16" s="9" t="s">
        <v>109</v>
      </c>
      <c r="B16" s="9" t="s">
        <v>100</v>
      </c>
      <c r="C16" s="15">
        <v>126</v>
      </c>
      <c r="D16" s="16" t="str">
        <f>IFERROR(INDEX(المواد!$B$2:$B$320,MATCH(B16,المواد!$A$2:$A$320,0)),"")</f>
        <v>كغ</v>
      </c>
      <c r="E16" s="9"/>
      <c r="F16" t="str">
        <f>IF(AND($A16&lt;&gt;"",COUNTIF($A$2:A16,$A16)=1),$A16,"")</f>
        <v/>
      </c>
      <c r="G16" t="str">
        <f>IF($F16&lt;&gt;"",SUMPRODUCT(($F$2:F16&lt;&gt;"")*1),"")</f>
        <v/>
      </c>
    </row>
    <row r="17" spans="1:7" ht="21.95" customHeight="1">
      <c r="A17" s="9" t="s">
        <v>110</v>
      </c>
      <c r="B17" s="9" t="s">
        <v>35</v>
      </c>
      <c r="C17" s="15">
        <v>120</v>
      </c>
      <c r="D17" s="16" t="str">
        <f>IFERROR(INDEX(المواد!$B$2:$B$320,MATCH(B17,المواد!$A$2:$A$320,0)),"")</f>
        <v>كغ</v>
      </c>
      <c r="E17" s="9"/>
      <c r="F17" t="str">
        <f>IF(AND($A17&lt;&gt;"",COUNTIF($A$2:A17,$A17)=1),$A17,"")</f>
        <v>صابون سائل رمان - لافندر</v>
      </c>
      <c r="G17">
        <f>IF($F17&lt;&gt;"",SUMPRODUCT(($F$2:F17&lt;&gt;"")*1),"")</f>
        <v>4</v>
      </c>
    </row>
    <row r="18" spans="1:7" ht="21.95" customHeight="1">
      <c r="A18" s="9" t="s">
        <v>110</v>
      </c>
      <c r="B18" s="9" t="s">
        <v>46</v>
      </c>
      <c r="C18" s="15">
        <v>40</v>
      </c>
      <c r="D18" s="16" t="str">
        <f>IFERROR(INDEX(المواد!$B$2:$B$320,MATCH(B18,المواد!$A$2:$A$320,0)),"")</f>
        <v>كغ</v>
      </c>
      <c r="E18" s="9"/>
      <c r="F18" t="str">
        <f>IF(AND($A18&lt;&gt;"",COUNTIF($A$2:A18,$A18)=1),$A18,"")</f>
        <v/>
      </c>
      <c r="G18" t="str">
        <f>IF($F18&lt;&gt;"",SUMPRODUCT(($F$2:F18&lt;&gt;"")*1),"")</f>
        <v/>
      </c>
    </row>
    <row r="19" spans="1:7" ht="21.95" customHeight="1">
      <c r="A19" s="9" t="s">
        <v>110</v>
      </c>
      <c r="B19" s="9" t="s">
        <v>96</v>
      </c>
      <c r="C19" s="15">
        <v>5</v>
      </c>
      <c r="D19" s="16" t="str">
        <f>IFERROR(INDEX(المواد!$B$2:$B$320,MATCH(B19,المواد!$A$2:$A$320,0)),"")</f>
        <v>كغ</v>
      </c>
      <c r="E19" s="9"/>
      <c r="F19" t="str">
        <f>IF(AND($A19&lt;&gt;"",COUNTIF($A$2:A19,$A19)=1),$A19,"")</f>
        <v/>
      </c>
      <c r="G19" t="str">
        <f>IF($F19&lt;&gt;"",SUMPRODUCT(($F$2:F19&lt;&gt;"")*1),"")</f>
        <v/>
      </c>
    </row>
    <row r="20" spans="1:7" ht="21.95" customHeight="1">
      <c r="A20" s="9" t="s">
        <v>110</v>
      </c>
      <c r="B20" s="9" t="s">
        <v>88</v>
      </c>
      <c r="C20" s="15">
        <v>5</v>
      </c>
      <c r="D20" s="16" t="str">
        <f>IFERROR(INDEX(المواد!$B$2:$B$320,MATCH(B20,المواد!$A$2:$A$320,0)),"")</f>
        <v>كغ</v>
      </c>
      <c r="E20" s="9"/>
      <c r="F20" t="str">
        <f>IF(AND($A20&lt;&gt;"",COUNTIF($A$2:A20,$A20)=1),$A20,"")</f>
        <v/>
      </c>
      <c r="G20" t="str">
        <f>IF($F20&lt;&gt;"",SUMPRODUCT(($F$2:F20&lt;&gt;"")*1),"")</f>
        <v/>
      </c>
    </row>
    <row r="21" spans="1:7" ht="21.95" customHeight="1">
      <c r="A21" s="9" t="s">
        <v>110</v>
      </c>
      <c r="B21" s="9" t="s">
        <v>232</v>
      </c>
      <c r="C21" s="15">
        <v>1.5</v>
      </c>
      <c r="D21" s="16" t="str">
        <f>IFERROR(INDEX(المواد!$B$2:$B$320,MATCH(B21,المواد!$A$2:$A$320,0)),"")</f>
        <v>كغ</v>
      </c>
      <c r="E21" s="9"/>
      <c r="F21" t="str">
        <f>IF(AND($A21&lt;&gt;"",COUNTIF($A$2:A21,$A21)=1),$A21,"")</f>
        <v/>
      </c>
      <c r="G21" t="str">
        <f>IF($F21&lt;&gt;"",SUMPRODUCT(($F$2:F21&lt;&gt;"")*1),"")</f>
        <v/>
      </c>
    </row>
    <row r="22" spans="1:7" ht="21.95" customHeight="1">
      <c r="A22" s="9" t="s">
        <v>110</v>
      </c>
      <c r="B22" s="9" t="s">
        <v>34</v>
      </c>
      <c r="C22" s="15">
        <v>20</v>
      </c>
      <c r="D22" s="16" t="str">
        <f>IFERROR(INDEX(المواد!$B$2:$B$320,MATCH(B22,المواد!$A$2:$A$320,0)),"")</f>
        <v>كغ</v>
      </c>
      <c r="E22" s="9"/>
      <c r="F22" t="str">
        <f>IF(AND($A22&lt;&gt;"",COUNTIF($A$2:A22,$A22)=1),$A22,"")</f>
        <v/>
      </c>
      <c r="G22" t="str">
        <f>IF($F22&lt;&gt;"",SUMPRODUCT(($F$2:F22&lt;&gt;"")*1),"")</f>
        <v/>
      </c>
    </row>
    <row r="23" spans="1:7" ht="21.95" customHeight="1">
      <c r="A23" s="9" t="s">
        <v>110</v>
      </c>
      <c r="B23" s="9" t="s">
        <v>255</v>
      </c>
      <c r="C23" s="15">
        <v>2</v>
      </c>
      <c r="D23" s="16" t="str">
        <f>IFERROR(INDEX(المواد!$B$2:$B$320,MATCH(B23,المواد!$A$2:$A$320,0)),"")</f>
        <v/>
      </c>
      <c r="E23" s="9"/>
      <c r="F23" t="str">
        <f>IF(AND($A23&lt;&gt;"",COUNTIF($A$2:A23,$A23)=1),$A23,"")</f>
        <v/>
      </c>
      <c r="G23" t="str">
        <f>IF($F23&lt;&gt;"",SUMPRODUCT(($F$2:F23&lt;&gt;"")*1),"")</f>
        <v/>
      </c>
    </row>
    <row r="24" spans="1:7" ht="21.95" customHeight="1">
      <c r="A24" s="9" t="s">
        <v>110</v>
      </c>
      <c r="B24" s="9" t="s">
        <v>49</v>
      </c>
      <c r="C24" s="15"/>
      <c r="D24" s="16" t="str">
        <f>IFERROR(INDEX(المواد!$B$2:$B$320,MATCH(B24,المواد!$A$2:$A$320,0)),"")</f>
        <v/>
      </c>
      <c r="E24" s="9"/>
      <c r="F24" t="str">
        <f>IF(AND($A24&lt;&gt;"",COUNTIF($A$2:A24,$A24)=1),$A24,"")</f>
        <v/>
      </c>
      <c r="G24" t="str">
        <f>IF($F24&lt;&gt;"",SUMPRODUCT(($F$2:F24&lt;&gt;"")*1),"")</f>
        <v/>
      </c>
    </row>
    <row r="25" spans="1:7" ht="21.95" customHeight="1">
      <c r="A25" s="9" t="s">
        <v>110</v>
      </c>
      <c r="B25" s="9" t="s">
        <v>99</v>
      </c>
      <c r="C25" s="15">
        <v>800</v>
      </c>
      <c r="D25" s="16" t="str">
        <f>IFERROR(INDEX(المواد!$B$2:$B$320,MATCH(B25,المواد!$A$2:$A$320,0)),"")</f>
        <v>كغ</v>
      </c>
      <c r="E25" s="9"/>
      <c r="F25" t="str">
        <f>IF(AND($A25&lt;&gt;"",COUNTIF($A$2:A25,$A25)=1),$A25,"")</f>
        <v/>
      </c>
      <c r="G25" t="str">
        <f>IF($F25&lt;&gt;"",SUMPRODUCT(($F$2:F25&lt;&gt;"")*1),"")</f>
        <v/>
      </c>
    </row>
    <row r="26" spans="1:7" ht="21.95" customHeight="1">
      <c r="A26" s="9" t="s">
        <v>110</v>
      </c>
      <c r="B26" s="9" t="s">
        <v>40</v>
      </c>
      <c r="C26" s="15"/>
      <c r="D26" s="16" t="str">
        <f>IFERROR(INDEX(المواد!$B$2:$B$320,MATCH(B26,المواد!$A$2:$A$320,0)),"")</f>
        <v>كغ</v>
      </c>
      <c r="E26" s="9"/>
      <c r="F26" t="str">
        <f>IF(AND($A26&lt;&gt;"",COUNTIF($A$2:A26,$A26)=1),$A26,"")</f>
        <v/>
      </c>
      <c r="G26" t="str">
        <f>IF($F26&lt;&gt;"",SUMPRODUCT(($F$2:F26&lt;&gt;"")*1),"")</f>
        <v/>
      </c>
    </row>
    <row r="27" spans="1:7" ht="21.95" customHeight="1">
      <c r="A27" s="9" t="s">
        <v>111</v>
      </c>
      <c r="B27" s="9" t="s">
        <v>35</v>
      </c>
      <c r="C27" s="15">
        <v>120</v>
      </c>
      <c r="D27" s="16" t="str">
        <f>IFERROR(INDEX(المواد!$B$2:$B$320,MATCH(B27,المواد!$A$2:$A$320,0)),"")</f>
        <v>كغ</v>
      </c>
      <c r="E27" s="9"/>
      <c r="F27" t="str">
        <f>IF(AND($A27&lt;&gt;"",COUNTIF($A$2:A27,$A27)=1),$A27,"")</f>
        <v>صابون سائل عود</v>
      </c>
      <c r="G27">
        <f>IF($F27&lt;&gt;"",SUMPRODUCT(($F$2:F27&lt;&gt;"")*1),"")</f>
        <v>5</v>
      </c>
    </row>
    <row r="28" spans="1:7" ht="21.95" customHeight="1">
      <c r="A28" s="9" t="s">
        <v>111</v>
      </c>
      <c r="B28" s="9" t="s">
        <v>46</v>
      </c>
      <c r="C28" s="15">
        <v>40</v>
      </c>
      <c r="D28" s="16" t="str">
        <f>IFERROR(INDEX(المواد!$B$2:$B$320,MATCH(B28,المواد!$A$2:$A$320,0)),"")</f>
        <v>كغ</v>
      </c>
      <c r="E28" s="9"/>
      <c r="F28" t="str">
        <f>IF(AND($A28&lt;&gt;"",COUNTIF($A$2:A28,$A28)=1),$A28,"")</f>
        <v/>
      </c>
      <c r="G28" t="str">
        <f>IF($F28&lt;&gt;"",SUMPRODUCT(($F$2:F28&lt;&gt;"")*1),"")</f>
        <v/>
      </c>
    </row>
    <row r="29" spans="1:7" ht="21.95" customHeight="1">
      <c r="A29" s="9" t="s">
        <v>111</v>
      </c>
      <c r="B29" s="9" t="s">
        <v>96</v>
      </c>
      <c r="C29" s="15">
        <v>5</v>
      </c>
      <c r="D29" s="16" t="str">
        <f>IFERROR(INDEX(المواد!$B$2:$B$320,MATCH(B29,المواد!$A$2:$A$320,0)),"")</f>
        <v>كغ</v>
      </c>
      <c r="E29" s="9"/>
      <c r="F29" t="str">
        <f>IF(AND($A29&lt;&gt;"",COUNTIF($A$2:A29,$A29)=1),$A29,"")</f>
        <v/>
      </c>
      <c r="G29" t="str">
        <f>IF($F29&lt;&gt;"",SUMPRODUCT(($F$2:F29&lt;&gt;"")*1),"")</f>
        <v/>
      </c>
    </row>
    <row r="30" spans="1:7" ht="21.95" customHeight="1">
      <c r="A30" s="9" t="s">
        <v>111</v>
      </c>
      <c r="B30" s="9" t="s">
        <v>88</v>
      </c>
      <c r="C30" s="15">
        <v>5</v>
      </c>
      <c r="D30" s="16" t="str">
        <f>IFERROR(INDEX(المواد!$B$2:$B$320,MATCH(B30,المواد!$A$2:$A$320,0)),"")</f>
        <v>كغ</v>
      </c>
      <c r="E30" s="9"/>
      <c r="F30" t="str">
        <f>IF(AND($A30&lt;&gt;"",COUNTIF($A$2:A30,$A30)=1),$A30,"")</f>
        <v/>
      </c>
      <c r="G30" t="str">
        <f>IF($F30&lt;&gt;"",SUMPRODUCT(($F$2:F30&lt;&gt;"")*1),"")</f>
        <v/>
      </c>
    </row>
    <row r="31" spans="1:7" ht="21.95" customHeight="1">
      <c r="A31" s="9" t="s">
        <v>111</v>
      </c>
      <c r="B31" s="9" t="s">
        <v>232</v>
      </c>
      <c r="C31" s="15">
        <v>1.5</v>
      </c>
      <c r="D31" s="16" t="str">
        <f>IFERROR(INDEX(المواد!$B$2:$B$320,MATCH(B31,المواد!$A$2:$A$320,0)),"")</f>
        <v>كغ</v>
      </c>
      <c r="E31" s="9"/>
      <c r="F31" t="str">
        <f>IF(AND($A31&lt;&gt;"",COUNTIF($A$2:A31,$A31)=1),$A31,"")</f>
        <v/>
      </c>
      <c r="G31" t="str">
        <f>IF($F31&lt;&gt;"",SUMPRODUCT(($F$2:F31&lt;&gt;"")*1),"")</f>
        <v/>
      </c>
    </row>
    <row r="32" spans="1:7" ht="21.95" customHeight="1">
      <c r="A32" s="9" t="s">
        <v>111</v>
      </c>
      <c r="B32" s="9" t="s">
        <v>34</v>
      </c>
      <c r="C32" s="15">
        <v>20</v>
      </c>
      <c r="D32" s="16" t="str">
        <f>IFERROR(INDEX(المواد!$B$2:$B$320,MATCH(B32,المواد!$A$2:$A$320,0)),"")</f>
        <v>كغ</v>
      </c>
      <c r="E32" s="9"/>
      <c r="F32" t="str">
        <f>IF(AND($A32&lt;&gt;"",COUNTIF($A$2:A32,$A32)=1),$A32,"")</f>
        <v/>
      </c>
      <c r="G32" t="str">
        <f>IF($F32&lt;&gt;"",SUMPRODUCT(($F$2:F32&lt;&gt;"")*1),"")</f>
        <v/>
      </c>
    </row>
    <row r="33" spans="1:7" ht="21.95" customHeight="1">
      <c r="A33" s="9" t="s">
        <v>111</v>
      </c>
      <c r="B33" s="9" t="s">
        <v>70</v>
      </c>
      <c r="C33" s="15">
        <v>2</v>
      </c>
      <c r="D33" s="16" t="str">
        <f>IFERROR(INDEX(المواد!$B$2:$B$320,MATCH(B33,المواد!$A$2:$A$320,0)),"")</f>
        <v/>
      </c>
      <c r="E33" s="9"/>
      <c r="F33" t="str">
        <f>IF(AND($A33&lt;&gt;"",COUNTIF($A$2:A33,$A33)=1),$A33,"")</f>
        <v/>
      </c>
      <c r="G33" t="str">
        <f>IF($F33&lt;&gt;"",SUMPRODUCT(($F$2:F33&lt;&gt;"")*1),"")</f>
        <v/>
      </c>
    </row>
    <row r="34" spans="1:7" ht="21.95" customHeight="1">
      <c r="A34" s="9" t="s">
        <v>111</v>
      </c>
      <c r="B34" s="9" t="s">
        <v>49</v>
      </c>
      <c r="C34" s="15"/>
      <c r="D34" s="16" t="str">
        <f>IFERROR(INDEX(المواد!$B$2:$B$320,MATCH(B34,المواد!$A$2:$A$320,0)),"")</f>
        <v/>
      </c>
      <c r="E34" s="9"/>
      <c r="F34" t="str">
        <f>IF(AND($A34&lt;&gt;"",COUNTIF($A$2:A34,$A34)=1),$A34,"")</f>
        <v/>
      </c>
      <c r="G34" t="str">
        <f>IF($F34&lt;&gt;"",SUMPRODUCT(($F$2:F34&lt;&gt;"")*1),"")</f>
        <v/>
      </c>
    </row>
    <row r="35" spans="1:7" ht="21.95" customHeight="1">
      <c r="A35" s="9" t="s">
        <v>111</v>
      </c>
      <c r="B35" s="9" t="s">
        <v>99</v>
      </c>
      <c r="C35" s="15">
        <v>800</v>
      </c>
      <c r="D35" s="16" t="str">
        <f>IFERROR(INDEX(المواد!$B$2:$B$320,MATCH(B35,المواد!$A$2:$A$320,0)),"")</f>
        <v>كغ</v>
      </c>
      <c r="E35" s="9"/>
      <c r="F35" t="str">
        <f>IF(AND($A35&lt;&gt;"",COUNTIF($A$2:A35,$A35)=1),$A35,"")</f>
        <v/>
      </c>
      <c r="G35" t="str">
        <f>IF($F35&lt;&gt;"",SUMPRODUCT(($F$2:F35&lt;&gt;"")*1),"")</f>
        <v/>
      </c>
    </row>
    <row r="36" spans="1:7" ht="21.95" customHeight="1">
      <c r="A36" s="9" t="s">
        <v>111</v>
      </c>
      <c r="B36" s="9" t="s">
        <v>40</v>
      </c>
      <c r="C36" s="15"/>
      <c r="D36" s="16" t="str">
        <f>IFERROR(INDEX(المواد!$B$2:$B$320,MATCH(B36,المواد!$A$2:$A$320,0)),"")</f>
        <v>كغ</v>
      </c>
      <c r="E36" s="9"/>
      <c r="F36" t="str">
        <f>IF(AND($A36&lt;&gt;"",COUNTIF($A$2:A36,$A36)=1),$A36,"")</f>
        <v/>
      </c>
      <c r="G36" t="str">
        <f>IF($F36&lt;&gt;"",SUMPRODUCT(($F$2:F36&lt;&gt;"")*1),"")</f>
        <v/>
      </c>
    </row>
    <row r="37" spans="1:7" ht="21.95" customHeight="1">
      <c r="A37" s="9" t="s">
        <v>112</v>
      </c>
      <c r="B37" s="9" t="s">
        <v>35</v>
      </c>
      <c r="C37" s="15">
        <v>120</v>
      </c>
      <c r="D37" s="16" t="str">
        <f>IFERROR(INDEX(المواد!$B$2:$B$320,MATCH(B37,المواد!$A$2:$A$320,0)),"")</f>
        <v>كغ</v>
      </c>
      <c r="E37" s="9"/>
      <c r="F37" t="str">
        <f>IF(AND($A37&lt;&gt;"",COUNTIF($A$2:A37,$A37)=1),$A37,"")</f>
        <v>صابون سائل ماء الذهب</v>
      </c>
      <c r="G37">
        <f>IF($F37&lt;&gt;"",SUMPRODUCT(($F$2:F37&lt;&gt;"")*1),"")</f>
        <v>6</v>
      </c>
    </row>
    <row r="38" spans="1:7" ht="21.95" customHeight="1">
      <c r="A38" s="9" t="s">
        <v>112</v>
      </c>
      <c r="B38" s="9" t="s">
        <v>46</v>
      </c>
      <c r="C38" s="15">
        <v>40</v>
      </c>
      <c r="D38" s="16" t="str">
        <f>IFERROR(INDEX(المواد!$B$2:$B$320,MATCH(B38,المواد!$A$2:$A$320,0)),"")</f>
        <v>كغ</v>
      </c>
      <c r="E38" s="9"/>
      <c r="F38" t="str">
        <f>IF(AND($A38&lt;&gt;"",COUNTIF($A$2:A38,$A38)=1),$A38,"")</f>
        <v/>
      </c>
      <c r="G38" t="str">
        <f>IF($F38&lt;&gt;"",SUMPRODUCT(($F$2:F38&lt;&gt;"")*1),"")</f>
        <v/>
      </c>
    </row>
    <row r="39" spans="1:7" ht="21.95" customHeight="1">
      <c r="A39" s="9" t="s">
        <v>112</v>
      </c>
      <c r="B39" s="9" t="s">
        <v>96</v>
      </c>
      <c r="C39" s="15">
        <v>5</v>
      </c>
      <c r="D39" s="16" t="str">
        <f>IFERROR(INDEX(المواد!$B$2:$B$320,MATCH(B39,المواد!$A$2:$A$320,0)),"")</f>
        <v>كغ</v>
      </c>
      <c r="E39" s="9"/>
      <c r="F39" t="str">
        <f>IF(AND($A39&lt;&gt;"",COUNTIF($A$2:A39,$A39)=1),$A39,"")</f>
        <v/>
      </c>
      <c r="G39" t="str">
        <f>IF($F39&lt;&gt;"",SUMPRODUCT(($F$2:F39&lt;&gt;"")*1),"")</f>
        <v/>
      </c>
    </row>
    <row r="40" spans="1:7" ht="21.95" customHeight="1">
      <c r="A40" s="9" t="s">
        <v>112</v>
      </c>
      <c r="B40" s="9" t="s">
        <v>88</v>
      </c>
      <c r="C40" s="15">
        <v>5</v>
      </c>
      <c r="D40" s="16" t="str">
        <f>IFERROR(INDEX(المواد!$B$2:$B$320,MATCH(B40,المواد!$A$2:$A$320,0)),"")</f>
        <v>كغ</v>
      </c>
      <c r="E40" s="9"/>
      <c r="F40" t="str">
        <f>IF(AND($A40&lt;&gt;"",COUNTIF($A$2:A40,$A40)=1),$A40,"")</f>
        <v/>
      </c>
      <c r="G40" t="str">
        <f>IF($F40&lt;&gt;"",SUMPRODUCT(($F$2:F40&lt;&gt;"")*1),"")</f>
        <v/>
      </c>
    </row>
    <row r="41" spans="1:7" ht="21.95" customHeight="1">
      <c r="A41" s="9" t="s">
        <v>112</v>
      </c>
      <c r="B41" s="9" t="s">
        <v>232</v>
      </c>
      <c r="C41" s="15">
        <v>1.5</v>
      </c>
      <c r="D41" s="16" t="str">
        <f>IFERROR(INDEX(المواد!$B$2:$B$320,MATCH(B41,المواد!$A$2:$A$320,0)),"")</f>
        <v>كغ</v>
      </c>
      <c r="E41" s="9"/>
      <c r="F41" t="str">
        <f>IF(AND($A41&lt;&gt;"",COUNTIF($A$2:A41,$A41)=1),$A41,"")</f>
        <v/>
      </c>
      <c r="G41" t="str">
        <f>IF($F41&lt;&gt;"",SUMPRODUCT(($F$2:F41&lt;&gt;"")*1),"")</f>
        <v/>
      </c>
    </row>
    <row r="42" spans="1:7" ht="21.95" customHeight="1">
      <c r="A42" s="9" t="s">
        <v>112</v>
      </c>
      <c r="B42" s="9" t="s">
        <v>34</v>
      </c>
      <c r="C42" s="15">
        <v>20</v>
      </c>
      <c r="D42" s="16" t="str">
        <f>IFERROR(INDEX(المواد!$B$2:$B$320,MATCH(B42,المواد!$A$2:$A$320,0)),"")</f>
        <v>كغ</v>
      </c>
      <c r="E42" s="9"/>
      <c r="F42" t="str">
        <f>IF(AND($A42&lt;&gt;"",COUNTIF($A$2:A42,$A42)=1),$A42,"")</f>
        <v/>
      </c>
      <c r="G42" t="str">
        <f>IF($F42&lt;&gt;"",SUMPRODUCT(($F$2:F42&lt;&gt;"")*1),"")</f>
        <v/>
      </c>
    </row>
    <row r="43" spans="1:7" ht="21.95" customHeight="1">
      <c r="A43" s="9" t="s">
        <v>112</v>
      </c>
      <c r="B43" s="9" t="s">
        <v>74</v>
      </c>
      <c r="C43" s="15">
        <v>2</v>
      </c>
      <c r="D43" s="16" t="str">
        <f>IFERROR(INDEX(المواد!$B$2:$B$320,MATCH(B43,المواد!$A$2:$A$320,0)),"")</f>
        <v/>
      </c>
      <c r="E43" s="9"/>
      <c r="F43" t="str">
        <f>IF(AND($A43&lt;&gt;"",COUNTIF($A$2:A43,$A43)=1),$A43,"")</f>
        <v/>
      </c>
      <c r="G43" t="str">
        <f>IF($F43&lt;&gt;"",SUMPRODUCT(($F$2:F43&lt;&gt;"")*1),"")</f>
        <v/>
      </c>
    </row>
    <row r="44" spans="1:7" ht="21.95" customHeight="1">
      <c r="A44" s="9" t="s">
        <v>112</v>
      </c>
      <c r="B44" s="9" t="s">
        <v>49</v>
      </c>
      <c r="C44" s="15"/>
      <c r="D44" s="16" t="str">
        <f>IFERROR(INDEX(المواد!$B$2:$B$320,MATCH(B44,المواد!$A$2:$A$320,0)),"")</f>
        <v/>
      </c>
      <c r="E44" s="9"/>
      <c r="F44" t="str">
        <f>IF(AND($A44&lt;&gt;"",COUNTIF($A$2:A44,$A44)=1),$A44,"")</f>
        <v/>
      </c>
      <c r="G44" t="str">
        <f>IF($F44&lt;&gt;"",SUMPRODUCT(($F$2:F44&lt;&gt;"")*1),"")</f>
        <v/>
      </c>
    </row>
    <row r="45" spans="1:7" ht="21.95" customHeight="1">
      <c r="A45" s="9" t="s">
        <v>112</v>
      </c>
      <c r="B45" s="9" t="s">
        <v>99</v>
      </c>
      <c r="C45" s="15">
        <v>800</v>
      </c>
      <c r="D45" s="16" t="str">
        <f>IFERROR(INDEX(المواد!$B$2:$B$320,MATCH(B45,المواد!$A$2:$A$320,0)),"")</f>
        <v>كغ</v>
      </c>
      <c r="E45" s="9"/>
      <c r="F45" t="str">
        <f>IF(AND($A45&lt;&gt;"",COUNTIF($A$2:A45,$A45)=1),$A45,"")</f>
        <v/>
      </c>
      <c r="G45" t="str">
        <f>IF($F45&lt;&gt;"",SUMPRODUCT(($F$2:F45&lt;&gt;"")*1),"")</f>
        <v/>
      </c>
    </row>
    <row r="46" spans="1:7" ht="21.95" customHeight="1">
      <c r="A46" s="9" t="s">
        <v>112</v>
      </c>
      <c r="B46" s="9" t="s">
        <v>40</v>
      </c>
      <c r="C46" s="15"/>
      <c r="D46" s="16" t="str">
        <f>IFERROR(INDEX(المواد!$B$2:$B$320,MATCH(B46,المواد!$A$2:$A$320,0)),"")</f>
        <v>كغ</v>
      </c>
      <c r="E46" s="9"/>
      <c r="F46" t="str">
        <f>IF(AND($A46&lt;&gt;"",COUNTIF($A$2:A46,$A46)=1),$A46,"")</f>
        <v/>
      </c>
      <c r="G46" t="str">
        <f>IF($F46&lt;&gt;"",SUMPRODUCT(($F$2:F46&lt;&gt;"")*1),"")</f>
        <v/>
      </c>
    </row>
    <row r="47" spans="1:7" ht="21.95" customHeight="1">
      <c r="A47" s="9" t="s">
        <v>113</v>
      </c>
      <c r="B47" s="9" t="s">
        <v>35</v>
      </c>
      <c r="C47" s="15">
        <v>120</v>
      </c>
      <c r="D47" s="16" t="str">
        <f>IFERROR(INDEX(المواد!$B$2:$B$320,MATCH(B47,المواد!$A$2:$A$320,0)),"")</f>
        <v>كغ</v>
      </c>
      <c r="E47" s="9"/>
      <c r="F47" t="str">
        <f>IF(AND($A47&lt;&gt;"",COUNTIF($A$2:A47,$A47)=1),$A47,"")</f>
        <v>صابون سادة</v>
      </c>
      <c r="G47">
        <f>IF($F47&lt;&gt;"",SUMPRODUCT(($F$2:F47&lt;&gt;"")*1),"")</f>
        <v>7</v>
      </c>
    </row>
    <row r="48" spans="1:7" ht="21.95" customHeight="1">
      <c r="A48" s="9" t="s">
        <v>113</v>
      </c>
      <c r="B48" s="9" t="s">
        <v>46</v>
      </c>
      <c r="C48" s="15">
        <v>40</v>
      </c>
      <c r="D48" s="16" t="str">
        <f>IFERROR(INDEX(المواد!$B$2:$B$320,MATCH(B48,المواد!$A$2:$A$320,0)),"")</f>
        <v>كغ</v>
      </c>
      <c r="E48" s="9"/>
      <c r="F48" t="str">
        <f>IF(AND($A48&lt;&gt;"",COUNTIF($A$2:A48,$A48)=1),$A48,"")</f>
        <v/>
      </c>
      <c r="G48" t="str">
        <f>IF($F48&lt;&gt;"",SUMPRODUCT(($F$2:F48&lt;&gt;"")*1),"")</f>
        <v/>
      </c>
    </row>
    <row r="49" spans="1:7" ht="21.95" customHeight="1">
      <c r="A49" s="9" t="s">
        <v>113</v>
      </c>
      <c r="B49" s="9" t="s">
        <v>96</v>
      </c>
      <c r="C49" s="15">
        <v>5</v>
      </c>
      <c r="D49" s="16" t="str">
        <f>IFERROR(INDEX(المواد!$B$2:$B$320,MATCH(B49,المواد!$A$2:$A$320,0)),"")</f>
        <v>كغ</v>
      </c>
      <c r="E49" s="9"/>
      <c r="F49" t="str">
        <f>IF(AND($A49&lt;&gt;"",COUNTIF($A$2:A49,$A49)=1),$A49,"")</f>
        <v/>
      </c>
      <c r="G49" t="str">
        <f>IF($F49&lt;&gt;"",SUMPRODUCT(($F$2:F49&lt;&gt;"")*1),"")</f>
        <v/>
      </c>
    </row>
    <row r="50" spans="1:7" ht="21.95" customHeight="1">
      <c r="A50" s="9" t="s">
        <v>113</v>
      </c>
      <c r="B50" s="9" t="s">
        <v>88</v>
      </c>
      <c r="C50" s="15">
        <v>5</v>
      </c>
      <c r="D50" s="16" t="str">
        <f>IFERROR(INDEX(المواد!$B$2:$B$320,MATCH(B50,المواد!$A$2:$A$320,0)),"")</f>
        <v>كغ</v>
      </c>
      <c r="E50" s="9"/>
      <c r="F50" t="str">
        <f>IF(AND($A50&lt;&gt;"",COUNTIF($A$2:A50,$A50)=1),$A50,"")</f>
        <v/>
      </c>
      <c r="G50" t="str">
        <f>IF($F50&lt;&gt;"",SUMPRODUCT(($F$2:F50&lt;&gt;"")*1),"")</f>
        <v/>
      </c>
    </row>
    <row r="51" spans="1:7" ht="21.95" customHeight="1">
      <c r="A51" s="9" t="s">
        <v>113</v>
      </c>
      <c r="B51" s="9" t="s">
        <v>232</v>
      </c>
      <c r="C51" s="15">
        <v>1.5</v>
      </c>
      <c r="D51" s="16" t="str">
        <f>IFERROR(INDEX(المواد!$B$2:$B$320,MATCH(B51,المواد!$A$2:$A$320,0)),"")</f>
        <v>كغ</v>
      </c>
      <c r="E51" s="9"/>
      <c r="F51" t="str">
        <f>IF(AND($A51&lt;&gt;"",COUNTIF($A$2:A51,$A51)=1),$A51,"")</f>
        <v/>
      </c>
      <c r="G51" t="str">
        <f>IF($F51&lt;&gt;"",SUMPRODUCT(($F$2:F51&lt;&gt;"")*1),"")</f>
        <v/>
      </c>
    </row>
    <row r="52" spans="1:7" ht="21.95" customHeight="1">
      <c r="A52" s="9" t="s">
        <v>113</v>
      </c>
      <c r="B52" s="9" t="s">
        <v>34</v>
      </c>
      <c r="C52" s="15">
        <v>20</v>
      </c>
      <c r="D52" s="16" t="str">
        <f>IFERROR(INDEX(المواد!$B$2:$B$320,MATCH(B52,المواد!$A$2:$A$320,0)),"")</f>
        <v>كغ</v>
      </c>
      <c r="E52" s="9"/>
      <c r="F52" t="str">
        <f>IF(AND($A52&lt;&gt;"",COUNTIF($A$2:A52,$A52)=1),$A52,"")</f>
        <v/>
      </c>
      <c r="G52" t="str">
        <f>IF($F52&lt;&gt;"",SUMPRODUCT(($F$2:F52&lt;&gt;"")*1),"")</f>
        <v/>
      </c>
    </row>
    <row r="53" spans="1:7" ht="21.95" customHeight="1">
      <c r="A53" s="9" t="s">
        <v>113</v>
      </c>
      <c r="B53" s="9" t="s">
        <v>49</v>
      </c>
      <c r="C53" s="15"/>
      <c r="D53" s="16" t="str">
        <f>IFERROR(INDEX(المواد!$B$2:$B$320,MATCH(B53,المواد!$A$2:$A$320,0)),"")</f>
        <v/>
      </c>
      <c r="E53" s="9"/>
      <c r="F53" t="str">
        <f>IF(AND($A53&lt;&gt;"",COUNTIF($A$2:A53,$A53)=1),$A53,"")</f>
        <v/>
      </c>
      <c r="G53" t="str">
        <f>IF($F53&lt;&gt;"",SUMPRODUCT(($F$2:F53&lt;&gt;"")*1),"")</f>
        <v/>
      </c>
    </row>
    <row r="54" spans="1:7" ht="21.95" customHeight="1">
      <c r="A54" s="9" t="s">
        <v>113</v>
      </c>
      <c r="B54" s="9" t="s">
        <v>99</v>
      </c>
      <c r="C54" s="15">
        <v>800</v>
      </c>
      <c r="D54" s="16" t="str">
        <f>IFERROR(INDEX(المواد!$B$2:$B$320,MATCH(B54,المواد!$A$2:$A$320,0)),"")</f>
        <v>كغ</v>
      </c>
      <c r="E54" s="9"/>
      <c r="F54" t="str">
        <f>IF(AND($A54&lt;&gt;"",COUNTIF($A$2:A54,$A54)=1),$A54,"")</f>
        <v/>
      </c>
      <c r="G54" t="str">
        <f>IF($F54&lt;&gt;"",SUMPRODUCT(($F$2:F54&lt;&gt;"")*1),"")</f>
        <v/>
      </c>
    </row>
    <row r="55" spans="1:7" ht="21.95" customHeight="1">
      <c r="A55" s="9" t="s">
        <v>113</v>
      </c>
      <c r="B55" s="9" t="s">
        <v>40</v>
      </c>
      <c r="C55" s="15"/>
      <c r="D55" s="16" t="str">
        <f>IFERROR(INDEX(المواد!$B$2:$B$320,MATCH(B55,المواد!$A$2:$A$320,0)),"")</f>
        <v>كغ</v>
      </c>
      <c r="E55" s="9"/>
      <c r="F55" t="str">
        <f>IF(AND($A55&lt;&gt;"",COUNTIF($A$2:A55,$A55)=1),$A55,"")</f>
        <v/>
      </c>
      <c r="G55" t="str">
        <f>IF($F55&lt;&gt;"",SUMPRODUCT(($F$2:F55&lt;&gt;"")*1),"")</f>
        <v/>
      </c>
    </row>
    <row r="56" spans="1:7" ht="21.95" customHeight="1">
      <c r="A56" s="9" t="s">
        <v>114</v>
      </c>
      <c r="B56" s="9" t="s">
        <v>35</v>
      </c>
      <c r="C56" s="15">
        <v>140</v>
      </c>
      <c r="D56" s="16" t="str">
        <f>IFERROR(INDEX(المواد!$B$2:$B$320,MATCH(B56,المواد!$A$2:$A$320,0)),"")</f>
        <v>كغ</v>
      </c>
      <c r="E56" s="9"/>
      <c r="F56" t="str">
        <f>IF(AND($A56&lt;&gt;"",COUNTIF($A$2:A56,$A56)=1),$A56,"")</f>
        <v>طبخة الشامبو</v>
      </c>
      <c r="G56">
        <f>IF($F56&lt;&gt;"",SUMPRODUCT(($F$2:F56&lt;&gt;"")*1),"")</f>
        <v>8</v>
      </c>
    </row>
    <row r="57" spans="1:7" ht="21.95" customHeight="1">
      <c r="A57" s="9" t="s">
        <v>114</v>
      </c>
      <c r="B57" s="9" t="s">
        <v>95</v>
      </c>
      <c r="C57" s="15">
        <v>30</v>
      </c>
      <c r="D57" s="16" t="str">
        <f>IFERROR(INDEX(المواد!$B$2:$B$320,MATCH(B57,المواد!$A$2:$A$320,0)),"")</f>
        <v>كغ</v>
      </c>
      <c r="E57" s="9"/>
      <c r="F57" t="str">
        <f>IF(AND($A57&lt;&gt;"",COUNTIF($A$2:A57,$A57)=1),$A57,"")</f>
        <v/>
      </c>
      <c r="G57" t="str">
        <f>IF($F57&lt;&gt;"",SUMPRODUCT(($F$2:F57&lt;&gt;"")*1),"")</f>
        <v/>
      </c>
    </row>
    <row r="58" spans="1:7" ht="21.95" customHeight="1">
      <c r="A58" s="9" t="s">
        <v>114</v>
      </c>
      <c r="B58" s="9" t="s">
        <v>34</v>
      </c>
      <c r="C58" s="15">
        <v>50</v>
      </c>
      <c r="D58" s="16" t="str">
        <f>IFERROR(INDEX(المواد!$B$2:$B$320,MATCH(B58,المواد!$A$2:$A$320,0)),"")</f>
        <v>كغ</v>
      </c>
      <c r="E58" s="9"/>
      <c r="F58" t="str">
        <f>IF(AND($A58&lt;&gt;"",COUNTIF($A$2:A58,$A58)=1),$A58,"")</f>
        <v/>
      </c>
      <c r="G58" t="str">
        <f>IF($F58&lt;&gt;"",SUMPRODUCT(($F$2:F58&lt;&gt;"")*1),"")</f>
        <v/>
      </c>
    </row>
    <row r="59" spans="1:7" ht="21.95" customHeight="1">
      <c r="A59" s="9" t="s">
        <v>114</v>
      </c>
      <c r="B59" s="9" t="s">
        <v>98</v>
      </c>
      <c r="C59" s="15">
        <v>10</v>
      </c>
      <c r="D59" s="16" t="str">
        <f>IFERROR(INDEX(المواد!$B$2:$B$320,MATCH(B59,المواد!$A$2:$A$320,0)),"")</f>
        <v/>
      </c>
      <c r="E59" s="9"/>
      <c r="F59" t="str">
        <f>IF(AND($A59&lt;&gt;"",COUNTIF($A$2:A59,$A59)=1),$A59,"")</f>
        <v/>
      </c>
      <c r="G59" t="str">
        <f>IF($F59&lt;&gt;"",SUMPRODUCT(($F$2:F59&lt;&gt;"")*1),"")</f>
        <v/>
      </c>
    </row>
    <row r="60" spans="1:7" ht="21.95" customHeight="1">
      <c r="A60" s="9" t="s">
        <v>114</v>
      </c>
      <c r="B60" s="9" t="s">
        <v>32</v>
      </c>
      <c r="C60" s="15">
        <v>12.5</v>
      </c>
      <c r="D60" s="16" t="str">
        <f>IFERROR(INDEX(المواد!$B$2:$B$320,MATCH(B60,المواد!$A$2:$A$320,0)),"")</f>
        <v>كغ</v>
      </c>
      <c r="E60" s="9"/>
      <c r="F60" t="str">
        <f>IF(AND($A60&lt;&gt;"",COUNTIF($A$2:A60,$A60)=1),$A60,"")</f>
        <v/>
      </c>
      <c r="G60" t="str">
        <f>IF($F60&lt;&gt;"",SUMPRODUCT(($F$2:F60&lt;&gt;"")*1),"")</f>
        <v/>
      </c>
    </row>
    <row r="61" spans="1:7" ht="21.95" customHeight="1">
      <c r="A61" s="9" t="s">
        <v>114</v>
      </c>
      <c r="B61" s="9" t="s">
        <v>94</v>
      </c>
      <c r="C61" s="15">
        <v>950</v>
      </c>
      <c r="D61" s="16" t="str">
        <f>IFERROR(INDEX(المواد!$B$2:$B$320,MATCH(B61,المواد!$A$2:$A$320,0)),"")</f>
        <v>كغ</v>
      </c>
      <c r="E61" s="9"/>
      <c r="F61" t="str">
        <f>IF(AND($A61&lt;&gt;"",COUNTIF($A$2:A61,$A61)=1),$A61,"")</f>
        <v/>
      </c>
      <c r="G61" t="str">
        <f>IF($F61&lt;&gt;"",SUMPRODUCT(($F$2:F61&lt;&gt;"")*1),"")</f>
        <v/>
      </c>
    </row>
    <row r="62" spans="1:7" ht="21.95" customHeight="1">
      <c r="A62" s="9" t="s">
        <v>114</v>
      </c>
      <c r="B62" s="9" t="s">
        <v>43</v>
      </c>
      <c r="C62" s="15">
        <v>500</v>
      </c>
      <c r="D62" s="16" t="str">
        <f>IFERROR(INDEX(المواد!$B$2:$B$320,MATCH(B62,المواد!$A$2:$A$320,0)),"")</f>
        <v/>
      </c>
      <c r="E62" s="9"/>
      <c r="F62" t="str">
        <f>IF(AND($A62&lt;&gt;"",COUNTIF($A$2:A62,$A62)=1),$A62,"")</f>
        <v/>
      </c>
      <c r="G62" t="str">
        <f>IF($F62&lt;&gt;"",SUMPRODUCT(($F$2:F62&lt;&gt;"")*1),"")</f>
        <v/>
      </c>
    </row>
    <row r="63" spans="1:7" ht="21.95" customHeight="1">
      <c r="A63" s="9" t="s">
        <v>114</v>
      </c>
      <c r="B63" s="9" t="s">
        <v>30</v>
      </c>
      <c r="C63" s="15">
        <v>1</v>
      </c>
      <c r="D63" s="16" t="str">
        <f>IFERROR(INDEX(المواد!$B$2:$B$320,MATCH(B63,المواد!$A$2:$A$320,0)),"")</f>
        <v/>
      </c>
      <c r="E63" s="9"/>
      <c r="F63" t="str">
        <f>IF(AND($A63&lt;&gt;"",COUNTIF($A$2:A63,$A63)=1),$A63,"")</f>
        <v/>
      </c>
      <c r="G63" t="str">
        <f>IF($F63&lt;&gt;"",SUMPRODUCT(($F$2:F63&lt;&gt;"")*1),"")</f>
        <v/>
      </c>
    </row>
    <row r="64" spans="1:7" ht="21.95" customHeight="1">
      <c r="A64" s="9" t="s">
        <v>114</v>
      </c>
      <c r="B64" s="9" t="s">
        <v>103</v>
      </c>
      <c r="C64" s="15">
        <v>5</v>
      </c>
      <c r="D64" s="16" t="str">
        <f>IFERROR(INDEX(المواد!$B$2:$B$320,MATCH(B64,المواد!$A$2:$A$320,0)),"")</f>
        <v>كغ</v>
      </c>
      <c r="E64" s="9"/>
      <c r="F64" t="str">
        <f>IF(AND($A64&lt;&gt;"",COUNTIF($A$2:A64,$A64)=1),$A64,"")</f>
        <v/>
      </c>
      <c r="G64" t="str">
        <f>IF($F64&lt;&gt;"",SUMPRODUCT(($F$2:F64&lt;&gt;"")*1),"")</f>
        <v/>
      </c>
    </row>
    <row r="65" spans="1:7" ht="21.95" customHeight="1">
      <c r="A65" s="9" t="s">
        <v>114</v>
      </c>
      <c r="B65" s="9" t="s">
        <v>232</v>
      </c>
      <c r="C65" s="15">
        <v>1.5</v>
      </c>
      <c r="D65" s="16" t="str">
        <f>IFERROR(INDEX(المواد!$B$2:$B$320,MATCH(B65,المواد!$A$2:$A$320,0)),"")</f>
        <v>كغ</v>
      </c>
      <c r="E65" s="9"/>
      <c r="F65" t="str">
        <f>IF(AND($A65&lt;&gt;"",COUNTIF($A$2:A65,$A65)=1),$A65,"")</f>
        <v/>
      </c>
      <c r="G65" t="str">
        <f>IF($F65&lt;&gt;"",SUMPRODUCT(($F$2:F65&lt;&gt;"")*1),"")</f>
        <v/>
      </c>
    </row>
    <row r="66" spans="1:7" ht="21.95" customHeight="1">
      <c r="A66" s="9" t="s">
        <v>114</v>
      </c>
      <c r="B66" s="9" t="s">
        <v>68</v>
      </c>
      <c r="C66" s="15">
        <v>3</v>
      </c>
      <c r="D66" s="16" t="str">
        <f>IFERROR(INDEX(المواد!$B$2:$B$320,MATCH(B66,المواد!$A$2:$A$320,0)),"")</f>
        <v/>
      </c>
      <c r="E66" s="9"/>
      <c r="F66" t="str">
        <f>IF(AND($A66&lt;&gt;"",COUNTIF($A$2:A66,$A66)=1),$A66,"")</f>
        <v/>
      </c>
      <c r="G66" t="str">
        <f>IF($F66&lt;&gt;"",SUMPRODUCT(($F$2:F66&lt;&gt;"")*1),"")</f>
        <v/>
      </c>
    </row>
    <row r="67" spans="1:7" ht="21.95" customHeight="1">
      <c r="A67" s="9" t="s">
        <v>114</v>
      </c>
      <c r="B67" s="9" t="s">
        <v>99</v>
      </c>
      <c r="C67" s="15">
        <v>750</v>
      </c>
      <c r="D67" s="16" t="str">
        <f>IFERROR(INDEX(المواد!$B$2:$B$320,MATCH(B67,المواد!$A$2:$A$320,0)),"")</f>
        <v>كغ</v>
      </c>
      <c r="E67" s="9"/>
      <c r="F67" t="str">
        <f>IF(AND($A67&lt;&gt;"",COUNTIF($A$2:A67,$A67)=1),$A67,"")</f>
        <v/>
      </c>
      <c r="G67" t="str">
        <f>IF($F67&lt;&gt;"",SUMPRODUCT(($F$2:F67&lt;&gt;"")*1),"")</f>
        <v/>
      </c>
    </row>
    <row r="68" spans="1:7" ht="21.95" customHeight="1">
      <c r="A68" s="9" t="s">
        <v>115</v>
      </c>
      <c r="B68" s="9" t="s">
        <v>41</v>
      </c>
      <c r="C68" s="15">
        <v>100</v>
      </c>
      <c r="D68" s="16" t="str">
        <f>IFERROR(INDEX(المواد!$B$2:$B$320,MATCH(B68,المواد!$A$2:$A$320,0)),"")</f>
        <v>كغ</v>
      </c>
      <c r="E68" s="9"/>
      <c r="F68" t="str">
        <f>IF(AND($A68&lt;&gt;"",COUNTIF($A$2:A68,$A68)=1),$A68,"")</f>
        <v>طبخة دوا غسيل بودرا</v>
      </c>
      <c r="G68">
        <f>IF($F68&lt;&gt;"",SUMPRODUCT(($F$2:F68&lt;&gt;"")*1),"")</f>
        <v>9</v>
      </c>
    </row>
    <row r="69" spans="1:7" ht="21.95" customHeight="1">
      <c r="A69" s="9" t="s">
        <v>115</v>
      </c>
      <c r="B69" s="9" t="s">
        <v>104</v>
      </c>
      <c r="C69" s="15">
        <v>30</v>
      </c>
      <c r="D69" s="16" t="str">
        <f>IFERROR(INDEX(المواد!$B$2:$B$320,MATCH(B69,المواد!$A$2:$A$320,0)),"")</f>
        <v>كغ</v>
      </c>
      <c r="E69" s="9"/>
      <c r="F69" t="str">
        <f>IF(AND($A69&lt;&gt;"",COUNTIF($A$2:A69,$A69)=1),$A69,"")</f>
        <v/>
      </c>
      <c r="G69" t="str">
        <f>IF($F69&lt;&gt;"",SUMPRODUCT(($F$2:F69&lt;&gt;"")*1),"")</f>
        <v/>
      </c>
    </row>
    <row r="70" spans="1:7" ht="21.95" customHeight="1">
      <c r="A70" s="9" t="s">
        <v>115</v>
      </c>
      <c r="B70" s="9" t="s">
        <v>63</v>
      </c>
      <c r="C70" s="15">
        <v>1</v>
      </c>
      <c r="D70" s="16" t="str">
        <f>IFERROR(INDEX(المواد!$B$2:$B$320,MATCH(B70,المواد!$A$2:$A$320,0)),"")</f>
        <v/>
      </c>
      <c r="E70" s="9"/>
      <c r="F70" t="str">
        <f>IF(AND($A70&lt;&gt;"",COUNTIF($A$2:A70,$A70)=1),$A70,"")</f>
        <v/>
      </c>
      <c r="G70" t="str">
        <f>IF($F70&lt;&gt;"",SUMPRODUCT(($F$2:F70&lt;&gt;"")*1),"")</f>
        <v/>
      </c>
    </row>
    <row r="71" spans="1:7" ht="21.95" customHeight="1">
      <c r="A71" s="9" t="s">
        <v>115</v>
      </c>
      <c r="B71" s="9" t="s">
        <v>36</v>
      </c>
      <c r="C71" s="15">
        <v>7</v>
      </c>
      <c r="D71" s="16" t="str">
        <f>IFERROR(INDEX(المواد!$B$2:$B$320,MATCH(B71,المواد!$A$2:$A$320,0)),"")</f>
        <v/>
      </c>
      <c r="E71" s="9"/>
      <c r="F71" t="str">
        <f>IF(AND($A71&lt;&gt;"",COUNTIF($A$2:A71,$A71)=1),$A71,"")</f>
        <v/>
      </c>
      <c r="G71" t="str">
        <f>IF($F71&lt;&gt;"",SUMPRODUCT(($F$2:F71&lt;&gt;"")*1),"")</f>
        <v/>
      </c>
    </row>
    <row r="72" spans="1:7" ht="21.95" customHeight="1">
      <c r="A72" s="9" t="s">
        <v>115</v>
      </c>
      <c r="B72" s="9" t="s">
        <v>100</v>
      </c>
      <c r="C72" s="15">
        <v>200</v>
      </c>
      <c r="D72" s="16" t="str">
        <f>IFERROR(INDEX(المواد!$B$2:$B$320,MATCH(B72,المواد!$A$2:$A$320,0)),"")</f>
        <v>كغ</v>
      </c>
      <c r="E72" s="9"/>
      <c r="F72" t="str">
        <f>IF(AND($A72&lt;&gt;"",COUNTIF($A$2:A72,$A72)=1),$A72,"")</f>
        <v/>
      </c>
      <c r="G72" t="str">
        <f>IF($F72&lt;&gt;"",SUMPRODUCT(($F$2:F72&lt;&gt;"")*1),"")</f>
        <v/>
      </c>
    </row>
    <row r="73" spans="1:7" ht="21.95" customHeight="1">
      <c r="A73" s="9" t="s">
        <v>116</v>
      </c>
      <c r="B73" s="9" t="s">
        <v>46</v>
      </c>
      <c r="C73" s="15">
        <v>180</v>
      </c>
      <c r="D73" s="16" t="str">
        <f>IFERROR(INDEX(المواد!$B$2:$B$320,MATCH(B73,المواد!$A$2:$A$320,0)),"")</f>
        <v>كغ</v>
      </c>
      <c r="E73" s="9"/>
      <c r="F73" t="str">
        <f>IF(AND($A73&lt;&gt;"",COUNTIF($A$2:A73,$A73)=1),$A73,"")</f>
        <v>طبخة قاشط</v>
      </c>
      <c r="G73">
        <f>IF($F73&lt;&gt;"",SUMPRODUCT(($F$2:F73&lt;&gt;"")*1),"")</f>
        <v>10</v>
      </c>
    </row>
    <row r="74" spans="1:7" ht="21.95" customHeight="1">
      <c r="A74" s="9" t="s">
        <v>116</v>
      </c>
      <c r="B74" s="9" t="s">
        <v>35</v>
      </c>
      <c r="C74" s="15">
        <v>20</v>
      </c>
      <c r="D74" s="16" t="str">
        <f>IFERROR(INDEX(المواد!$B$2:$B$320,MATCH(B74,المواد!$A$2:$A$320,0)),"")</f>
        <v>كغ</v>
      </c>
      <c r="E74" s="9"/>
      <c r="F74" t="str">
        <f>IF(AND($A74&lt;&gt;"",COUNTIF($A$2:A74,$A74)=1),$A74,"")</f>
        <v/>
      </c>
      <c r="G74" t="str">
        <f>IF($F74&lt;&gt;"",SUMPRODUCT(($F$2:F74&lt;&gt;"")*1),"")</f>
        <v/>
      </c>
    </row>
    <row r="75" spans="1:7" ht="21.95" customHeight="1">
      <c r="A75" s="9" t="s">
        <v>116</v>
      </c>
      <c r="B75" s="9" t="s">
        <v>99</v>
      </c>
      <c r="C75" s="15">
        <v>800</v>
      </c>
      <c r="D75" s="16" t="str">
        <f>IFERROR(INDEX(المواد!$B$2:$B$320,MATCH(B75,المواد!$A$2:$A$320,0)),"")</f>
        <v>كغ</v>
      </c>
      <c r="E75" s="9"/>
      <c r="F75" t="str">
        <f>IF(AND($A75&lt;&gt;"",COUNTIF($A$2:A75,$A75)=1),$A75,"")</f>
        <v/>
      </c>
      <c r="G75" t="str">
        <f>IF($F75&lt;&gt;"",SUMPRODUCT(($F$2:F75&lt;&gt;"")*1),"")</f>
        <v/>
      </c>
    </row>
    <row r="76" spans="1:7" ht="21.95" customHeight="1">
      <c r="A76" s="9" t="s">
        <v>117</v>
      </c>
      <c r="B76" s="9" t="s">
        <v>46</v>
      </c>
      <c r="C76" s="15">
        <v>20</v>
      </c>
      <c r="D76" s="16" t="str">
        <f>IFERROR(INDEX(المواد!$B$2:$B$320,MATCH(B76,المواد!$A$2:$A$320,0)),"")</f>
        <v>كغ</v>
      </c>
      <c r="E76" s="9"/>
      <c r="F76" t="str">
        <f>IF(AND($A76&lt;&gt;"",COUNTIF($A$2:A76,$A76)=1),$A76,"")</f>
        <v>عملاق 200 كغ</v>
      </c>
      <c r="G76">
        <f>IF($F76&lt;&gt;"",SUMPRODUCT(($F$2:F76&lt;&gt;"")*1),"")</f>
        <v>11</v>
      </c>
    </row>
    <row r="77" spans="1:7" ht="21.95" customHeight="1">
      <c r="A77" s="9" t="s">
        <v>117</v>
      </c>
      <c r="B77" s="9" t="s">
        <v>96</v>
      </c>
      <c r="C77" s="15">
        <v>2.5</v>
      </c>
      <c r="D77" s="16" t="str">
        <f>IFERROR(INDEX(المواد!$B$2:$B$320,MATCH(B77,المواد!$A$2:$A$320,0)),"")</f>
        <v>كغ</v>
      </c>
      <c r="E77" s="9"/>
      <c r="F77" t="str">
        <f>IF(AND($A77&lt;&gt;"",COUNTIF($A$2:A77,$A77)=1),$A77,"")</f>
        <v/>
      </c>
      <c r="G77" t="str">
        <f>IF($F77&lt;&gt;"",SUMPRODUCT(($F$2:F77&lt;&gt;"")*1),"")</f>
        <v/>
      </c>
    </row>
    <row r="78" spans="1:7" ht="21.95" customHeight="1">
      <c r="A78" s="9" t="s">
        <v>117</v>
      </c>
      <c r="B78" s="9" t="s">
        <v>95</v>
      </c>
      <c r="C78" s="15">
        <v>4</v>
      </c>
      <c r="D78" s="16" t="str">
        <f>IFERROR(INDEX(المواد!$B$2:$B$320,MATCH(B78,المواد!$A$2:$A$320,0)),"")</f>
        <v>كغ</v>
      </c>
      <c r="E78" s="9"/>
      <c r="F78" t="str">
        <f>IF(AND($A78&lt;&gt;"",COUNTIF($A$2:A78,$A78)=1),$A78,"")</f>
        <v/>
      </c>
      <c r="G78" t="str">
        <f>IF($F78&lt;&gt;"",SUMPRODUCT(($F$2:F78&lt;&gt;"")*1),"")</f>
        <v/>
      </c>
    </row>
    <row r="79" spans="1:7" ht="21.95" customHeight="1">
      <c r="A79" s="9" t="s">
        <v>117</v>
      </c>
      <c r="B79" s="9" t="s">
        <v>48</v>
      </c>
      <c r="C79" s="15">
        <v>10</v>
      </c>
      <c r="D79" s="16" t="str">
        <f>IFERROR(INDEX(المواد!$B$2:$B$320,MATCH(B79,المواد!$A$2:$A$320,0)),"")</f>
        <v/>
      </c>
      <c r="E79" s="9"/>
      <c r="F79" t="str">
        <f>IF(AND($A79&lt;&gt;"",COUNTIF($A$2:A79,$A79)=1),$A79,"")</f>
        <v/>
      </c>
      <c r="G79" t="str">
        <f>IF($F79&lt;&gt;"",SUMPRODUCT(($F$2:F79&lt;&gt;"")*1),"")</f>
        <v/>
      </c>
    </row>
    <row r="80" spans="1:7" ht="21.95" customHeight="1">
      <c r="A80" s="9" t="s">
        <v>117</v>
      </c>
      <c r="B80" s="9" t="s">
        <v>99</v>
      </c>
      <c r="C80" s="15"/>
      <c r="D80" s="16" t="str">
        <f>IFERROR(INDEX(المواد!$B$2:$B$320,MATCH(B80,المواد!$A$2:$A$320,0)),"")</f>
        <v>كغ</v>
      </c>
      <c r="E80" s="9"/>
      <c r="F80" t="str">
        <f>IF(AND($A80&lt;&gt;"",COUNTIF($A$2:A80,$A80)=1),$A80,"")</f>
        <v/>
      </c>
      <c r="G80" t="str">
        <f>IF($F80&lt;&gt;"",SUMPRODUCT(($F$2:F80&lt;&gt;"")*1),"")</f>
        <v/>
      </c>
    </row>
    <row r="81" spans="1:7" ht="21.95" customHeight="1">
      <c r="A81" s="9" t="s">
        <v>118</v>
      </c>
      <c r="B81" s="9" t="s">
        <v>46</v>
      </c>
      <c r="C81" s="15">
        <v>150</v>
      </c>
      <c r="D81" s="16" t="str">
        <f>IFERROR(INDEX(المواد!$B$2:$B$320,MATCH(B81,المواد!$A$2:$A$320,0)),"")</f>
        <v>كغ</v>
      </c>
      <c r="E81" s="9"/>
      <c r="F81" t="str">
        <f>IF(AND($A81&lt;&gt;"",COUNTIF($A$2:A81,$A81)=1),$A81,"")</f>
        <v>لودلين تفاح أول</v>
      </c>
      <c r="G81">
        <f>IF($F81&lt;&gt;"",SUMPRODUCT(($F$2:F81&lt;&gt;"")*1),"")</f>
        <v>12</v>
      </c>
    </row>
    <row r="82" spans="1:7" ht="21.95" customHeight="1">
      <c r="A82" s="9" t="s">
        <v>118</v>
      </c>
      <c r="B82" s="9" t="s">
        <v>35</v>
      </c>
      <c r="C82" s="15">
        <v>100</v>
      </c>
      <c r="D82" s="16" t="str">
        <f>IFERROR(INDEX(المواد!$B$2:$B$320,MATCH(B82,المواد!$A$2:$A$320,0)),"")</f>
        <v>كغ</v>
      </c>
      <c r="E82" s="9"/>
      <c r="F82" t="str">
        <f>IF(AND($A82&lt;&gt;"",COUNTIF($A$2:A82,$A82)=1),$A82,"")</f>
        <v/>
      </c>
      <c r="G82" t="str">
        <f>IF($F82&lt;&gt;"",SUMPRODUCT(($F$2:F82&lt;&gt;"")*1),"")</f>
        <v/>
      </c>
    </row>
    <row r="83" spans="1:7" ht="21.95" customHeight="1">
      <c r="A83" s="9" t="s">
        <v>118</v>
      </c>
      <c r="B83" s="9" t="s">
        <v>90</v>
      </c>
      <c r="C83" s="15">
        <v>19</v>
      </c>
      <c r="D83" s="16" t="str">
        <f>IFERROR(INDEX(المواد!$B$2:$B$320,MATCH(B83,المواد!$A$2:$A$320,0)),"")</f>
        <v/>
      </c>
      <c r="E83" s="9"/>
      <c r="F83" t="str">
        <f>IF(AND($A83&lt;&gt;"",COUNTIF($A$2:A83,$A83)=1),$A83,"")</f>
        <v/>
      </c>
      <c r="G83" t="str">
        <f>IF($F83&lt;&gt;"",SUMPRODUCT(($F$2:F83&lt;&gt;"")*1),"")</f>
        <v/>
      </c>
    </row>
    <row r="84" spans="1:7" ht="21.95" customHeight="1">
      <c r="A84" s="9" t="s">
        <v>118</v>
      </c>
      <c r="B84" s="9" t="s">
        <v>88</v>
      </c>
      <c r="C84" s="15">
        <v>5</v>
      </c>
      <c r="D84" s="16" t="str">
        <f>IFERROR(INDEX(المواد!$B$2:$B$320,MATCH(B84,المواد!$A$2:$A$320,0)),"")</f>
        <v>كغ</v>
      </c>
      <c r="E84" s="9"/>
      <c r="F84" t="str">
        <f>IF(AND($A84&lt;&gt;"",COUNTIF($A$2:A84,$A84)=1),$A84,"")</f>
        <v/>
      </c>
      <c r="G84" t="str">
        <f>IF($F84&lt;&gt;"",SUMPRODUCT(($F$2:F84&lt;&gt;"")*1),"")</f>
        <v/>
      </c>
    </row>
    <row r="85" spans="1:7" ht="21.95" customHeight="1">
      <c r="A85" s="9" t="s">
        <v>118</v>
      </c>
      <c r="B85" s="9" t="s">
        <v>232</v>
      </c>
      <c r="C85" s="15">
        <v>1.5</v>
      </c>
      <c r="D85" s="16" t="str">
        <f>IFERROR(INDEX(المواد!$B$2:$B$320,MATCH(B85,المواد!$A$2:$A$320,0)),"")</f>
        <v>كغ</v>
      </c>
      <c r="E85" s="9"/>
      <c r="F85" t="str">
        <f>IF(AND($A85&lt;&gt;"",COUNTIF($A$2:A85,$A85)=1),$A85,"")</f>
        <v/>
      </c>
      <c r="G85" t="str">
        <f>IF($F85&lt;&gt;"",SUMPRODUCT(($F$2:F85&lt;&gt;"")*1),"")</f>
        <v/>
      </c>
    </row>
    <row r="86" spans="1:7" ht="21.95" customHeight="1">
      <c r="A86" s="9" t="s">
        <v>118</v>
      </c>
      <c r="B86" s="9" t="s">
        <v>34</v>
      </c>
      <c r="C86" s="15">
        <v>50</v>
      </c>
      <c r="D86" s="16" t="str">
        <f>IFERROR(INDEX(المواد!$B$2:$B$320,MATCH(B86,المواد!$A$2:$A$320,0)),"")</f>
        <v>كغ</v>
      </c>
      <c r="E86" s="9"/>
      <c r="F86" t="str">
        <f>IF(AND($A86&lt;&gt;"",COUNTIF($A$2:A86,$A86)=1),$A86,"")</f>
        <v/>
      </c>
      <c r="G86" t="str">
        <f>IF($F86&lt;&gt;"",SUMPRODUCT(($F$2:F86&lt;&gt;"")*1),"")</f>
        <v/>
      </c>
    </row>
    <row r="87" spans="1:7" ht="21.95" customHeight="1">
      <c r="A87" s="9" t="s">
        <v>118</v>
      </c>
      <c r="B87" s="9" t="s">
        <v>40</v>
      </c>
      <c r="C87" s="15"/>
      <c r="D87" s="16" t="str">
        <f>IFERROR(INDEX(المواد!$B$2:$B$320,MATCH(B87,المواد!$A$2:$A$320,0)),"")</f>
        <v>كغ</v>
      </c>
      <c r="E87" s="9"/>
      <c r="F87" t="str">
        <f>IF(AND($A87&lt;&gt;"",COUNTIF($A$2:A87,$A87)=1),$A87,"")</f>
        <v/>
      </c>
      <c r="G87" t="str">
        <f>IF($F87&lt;&gt;"",SUMPRODUCT(($F$2:F87&lt;&gt;"")*1),"")</f>
        <v/>
      </c>
    </row>
    <row r="88" spans="1:7" ht="21.95" customHeight="1">
      <c r="A88" s="9" t="s">
        <v>118</v>
      </c>
      <c r="B88" s="9" t="s">
        <v>99</v>
      </c>
      <c r="C88" s="15">
        <v>675</v>
      </c>
      <c r="D88" s="16" t="str">
        <f>IFERROR(INDEX(المواد!$B$2:$B$320,MATCH(B88,المواد!$A$2:$A$320,0)),"")</f>
        <v>كغ</v>
      </c>
      <c r="E88" s="9"/>
      <c r="F88" t="str">
        <f>IF(AND($A88&lt;&gt;"",COUNTIF($A$2:A88,$A88)=1),$A88,"")</f>
        <v/>
      </c>
      <c r="G88" t="str">
        <f>IF($F88&lt;&gt;"",SUMPRODUCT(($F$2:F88&lt;&gt;"")*1),"")</f>
        <v/>
      </c>
    </row>
    <row r="89" spans="1:7" ht="21.95" customHeight="1">
      <c r="A89" s="9" t="s">
        <v>118</v>
      </c>
      <c r="B89" s="9" t="s">
        <v>64</v>
      </c>
      <c r="C89" s="15">
        <v>2</v>
      </c>
      <c r="D89" s="16" t="str">
        <f>IFERROR(INDEX(المواد!$B$2:$B$320,MATCH(B89,المواد!$A$2:$A$320,0)),"")</f>
        <v/>
      </c>
      <c r="E89" s="9" t="s">
        <v>119</v>
      </c>
      <c r="F89" t="str">
        <f>IF(AND($A89&lt;&gt;"",COUNTIF($A$2:A89,$A89)=1),$A89,"")</f>
        <v/>
      </c>
      <c r="G89" t="str">
        <f>IF($F89&lt;&gt;"",SUMPRODUCT(($F$2:F89&lt;&gt;"")*1),"")</f>
        <v/>
      </c>
    </row>
    <row r="90" spans="1:7" ht="21.95" customHeight="1">
      <c r="A90" s="9" t="s">
        <v>118</v>
      </c>
      <c r="B90" s="9" t="s">
        <v>49</v>
      </c>
      <c r="C90" s="15">
        <v>25</v>
      </c>
      <c r="D90" s="16" t="str">
        <f>IFERROR(INDEX(المواد!$B$2:$B$320,MATCH(B90,المواد!$A$2:$A$320,0)),"")</f>
        <v/>
      </c>
      <c r="E90" s="9" t="s">
        <v>120</v>
      </c>
      <c r="F90" t="str">
        <f>IF(AND($A90&lt;&gt;"",COUNTIF($A$2:A90,$A90)=1),$A90,"")</f>
        <v/>
      </c>
      <c r="G90" t="str">
        <f>IF($F90&lt;&gt;"",SUMPRODUCT(($F$2:F90&lt;&gt;"")*1),"")</f>
        <v/>
      </c>
    </row>
    <row r="91" spans="1:7" ht="21.95" customHeight="1">
      <c r="A91" s="9" t="s">
        <v>121</v>
      </c>
      <c r="B91" s="9" t="s">
        <v>46</v>
      </c>
      <c r="C91" s="15">
        <v>35</v>
      </c>
      <c r="D91" s="16" t="str">
        <f>IFERROR(INDEX(المواد!$B$2:$B$320,MATCH(B91,المواد!$A$2:$A$320,0)),"")</f>
        <v>كغ</v>
      </c>
      <c r="E91" s="9"/>
      <c r="F91" t="str">
        <f>IF(AND($A91&lt;&gt;"",COUNTIF($A$2:A91,$A91)=1),$A91,"")</f>
        <v>لودلين تفاح ثالث</v>
      </c>
      <c r="G91">
        <f>IF($F91&lt;&gt;"",SUMPRODUCT(($F$2:F91&lt;&gt;"")*1),"")</f>
        <v>13</v>
      </c>
    </row>
    <row r="92" spans="1:7" ht="21.95" customHeight="1">
      <c r="A92" s="9" t="s">
        <v>121</v>
      </c>
      <c r="B92" s="9" t="s">
        <v>35</v>
      </c>
      <c r="C92" s="15">
        <v>50</v>
      </c>
      <c r="D92" s="16" t="str">
        <f>IFERROR(INDEX(المواد!$B$2:$B$320,MATCH(B92,المواد!$A$2:$A$320,0)),"")</f>
        <v>كغ</v>
      </c>
      <c r="E92" s="9"/>
      <c r="F92" t="str">
        <f>IF(AND($A92&lt;&gt;"",COUNTIF($A$2:A92,$A92)=1),$A92,"")</f>
        <v/>
      </c>
      <c r="G92" t="str">
        <f>IF($F92&lt;&gt;"",SUMPRODUCT(($F$2:F92&lt;&gt;"")*1),"")</f>
        <v/>
      </c>
    </row>
    <row r="93" spans="1:7" ht="21.95" customHeight="1">
      <c r="A93" s="9" t="s">
        <v>121</v>
      </c>
      <c r="B93" s="9" t="s">
        <v>90</v>
      </c>
      <c r="C93" s="15">
        <v>4</v>
      </c>
      <c r="D93" s="16" t="str">
        <f>IFERROR(INDEX(المواد!$B$2:$B$320,MATCH(B93,المواد!$A$2:$A$320,0)),"")</f>
        <v/>
      </c>
      <c r="E93" s="9"/>
      <c r="F93" t="str">
        <f>IF(AND($A93&lt;&gt;"",COUNTIF($A$2:A93,$A93)=1),$A93,"")</f>
        <v/>
      </c>
      <c r="G93" t="str">
        <f>IF($F93&lt;&gt;"",SUMPRODUCT(($F$2:F93&lt;&gt;"")*1),"")</f>
        <v/>
      </c>
    </row>
    <row r="94" spans="1:7" ht="21.95" customHeight="1">
      <c r="A94" s="9" t="s">
        <v>121</v>
      </c>
      <c r="B94" s="9" t="s">
        <v>102</v>
      </c>
      <c r="C94" s="15">
        <v>2.5</v>
      </c>
      <c r="D94" s="16" t="str">
        <f>IFERROR(INDEX(المواد!$B$2:$B$320,MATCH(B94,المواد!$A$2:$A$320,0)),"")</f>
        <v/>
      </c>
      <c r="E94" s="9"/>
      <c r="F94" t="str">
        <f>IF(AND($A94&lt;&gt;"",COUNTIF($A$2:A94,$A94)=1),$A94,"")</f>
        <v/>
      </c>
      <c r="G94" t="str">
        <f>IF($F94&lt;&gt;"",SUMPRODUCT(($F$2:F94&lt;&gt;"")*1),"")</f>
        <v/>
      </c>
    </row>
    <row r="95" spans="1:7" ht="21.95" customHeight="1">
      <c r="A95" s="9" t="s">
        <v>121</v>
      </c>
      <c r="B95" s="9" t="s">
        <v>232</v>
      </c>
      <c r="C95" s="15">
        <v>1.5</v>
      </c>
      <c r="D95" s="16" t="str">
        <f>IFERROR(INDEX(المواد!$B$2:$B$320,MATCH(B95,المواد!$A$2:$A$320,0)),"")</f>
        <v>كغ</v>
      </c>
      <c r="E95" s="9"/>
      <c r="F95" t="str">
        <f>IF(AND($A95&lt;&gt;"",COUNTIF($A$2:A95,$A95)=1),$A95,"")</f>
        <v/>
      </c>
      <c r="G95" t="str">
        <f>IF($F95&lt;&gt;"",SUMPRODUCT(($F$2:F95&lt;&gt;"")*1),"")</f>
        <v/>
      </c>
    </row>
    <row r="96" spans="1:7" ht="21.95" customHeight="1">
      <c r="A96" s="9" t="s">
        <v>121</v>
      </c>
      <c r="B96" s="9" t="s">
        <v>34</v>
      </c>
      <c r="C96" s="15">
        <v>15</v>
      </c>
      <c r="D96" s="16" t="str">
        <f>IFERROR(INDEX(المواد!$B$2:$B$320,MATCH(B96,المواد!$A$2:$A$320,0)),"")</f>
        <v>كغ</v>
      </c>
      <c r="E96" s="9"/>
      <c r="F96" t="str">
        <f>IF(AND($A96&lt;&gt;"",COUNTIF($A$2:A96,$A96)=1),$A96,"")</f>
        <v/>
      </c>
      <c r="G96" t="str">
        <f>IF($F96&lt;&gt;"",SUMPRODUCT(($F$2:F96&lt;&gt;"")*1),"")</f>
        <v/>
      </c>
    </row>
    <row r="97" spans="1:7" ht="21.95" customHeight="1">
      <c r="A97" s="9" t="s">
        <v>121</v>
      </c>
      <c r="B97" s="9" t="s">
        <v>40</v>
      </c>
      <c r="C97" s="15"/>
      <c r="D97" s="16" t="str">
        <f>IFERROR(INDEX(المواد!$B$2:$B$320,MATCH(B97,المواد!$A$2:$A$320,0)),"")</f>
        <v>كغ</v>
      </c>
      <c r="E97" s="9"/>
      <c r="F97" t="str">
        <f>IF(AND($A97&lt;&gt;"",COUNTIF($A$2:A97,$A97)=1),$A97,"")</f>
        <v/>
      </c>
      <c r="G97" t="str">
        <f>IF($F97&lt;&gt;"",SUMPRODUCT(($F$2:F97&lt;&gt;"")*1),"")</f>
        <v/>
      </c>
    </row>
    <row r="98" spans="1:7" ht="21.95" customHeight="1">
      <c r="A98" s="9" t="s">
        <v>121</v>
      </c>
      <c r="B98" s="9" t="s">
        <v>99</v>
      </c>
      <c r="C98" s="15">
        <v>890</v>
      </c>
      <c r="D98" s="16" t="str">
        <f>IFERROR(INDEX(المواد!$B$2:$B$320,MATCH(B98,المواد!$A$2:$A$320,0)),"")</f>
        <v>كغ</v>
      </c>
      <c r="E98" s="9"/>
      <c r="F98" t="str">
        <f>IF(AND($A98&lt;&gt;"",COUNTIF($A$2:A98,$A98)=1),$A98,"")</f>
        <v/>
      </c>
      <c r="G98" t="str">
        <f>IF($F98&lt;&gt;"",SUMPRODUCT(($F$2:F98&lt;&gt;"")*1),"")</f>
        <v/>
      </c>
    </row>
    <row r="99" spans="1:7" ht="21.95" customHeight="1">
      <c r="A99" s="9" t="s">
        <v>121</v>
      </c>
      <c r="B99" s="9" t="s">
        <v>104</v>
      </c>
      <c r="C99" s="15">
        <v>75</v>
      </c>
      <c r="D99" s="16" t="str">
        <f>IFERROR(INDEX(المواد!$B$2:$B$320,MATCH(B99,المواد!$A$2:$A$320,0)),"")</f>
        <v>كغ</v>
      </c>
      <c r="E99" s="9" t="s">
        <v>256</v>
      </c>
      <c r="F99" t="str">
        <f>IF(AND($A99&lt;&gt;"",COUNTIF($A$2:A99,$A99)=1),$A99,"")</f>
        <v/>
      </c>
      <c r="G99" t="str">
        <f>IF($F99&lt;&gt;"",SUMPRODUCT(($F$2:F99&lt;&gt;"")*1),"")</f>
        <v/>
      </c>
    </row>
    <row r="100" spans="1:7" ht="21.95" customHeight="1">
      <c r="A100" s="9" t="s">
        <v>121</v>
      </c>
      <c r="B100" s="9" t="s">
        <v>49</v>
      </c>
      <c r="C100" s="15"/>
      <c r="D100" s="16" t="str">
        <f>IFERROR(INDEX(المواد!$B$2:$B$320,MATCH(B100,المواد!$A$2:$A$320,0)),"")</f>
        <v/>
      </c>
      <c r="E100" s="9"/>
      <c r="F100" t="str">
        <f>IF(AND($A100&lt;&gt;"",COUNTIF($A$2:A100,$A100)=1),$A100,"")</f>
        <v/>
      </c>
      <c r="G100" t="str">
        <f>IF($F100&lt;&gt;"",SUMPRODUCT(($F$2:F100&lt;&gt;"")*1),"")</f>
        <v/>
      </c>
    </row>
    <row r="101" spans="1:7" ht="21.95" customHeight="1">
      <c r="A101" s="9" t="s">
        <v>121</v>
      </c>
      <c r="B101" s="9" t="s">
        <v>80</v>
      </c>
      <c r="C101" s="15">
        <v>1</v>
      </c>
      <c r="D101" s="16" t="str">
        <f>IFERROR(INDEX(المواد!$B$2:$B$320,MATCH(B101,المواد!$A$2:$A$320,0)),"")</f>
        <v>كغ</v>
      </c>
      <c r="E101" s="9" t="s">
        <v>80</v>
      </c>
      <c r="F101" t="str">
        <f>IF(AND($A101&lt;&gt;"",COUNTIF($A$2:A101,$A101)=1),$A101,"")</f>
        <v/>
      </c>
      <c r="G101" t="str">
        <f>IF($F101&lt;&gt;"",SUMPRODUCT(($F$2:F101&lt;&gt;"")*1),"")</f>
        <v/>
      </c>
    </row>
    <row r="102" spans="1:7" ht="21.95" customHeight="1">
      <c r="A102" s="9" t="s">
        <v>123</v>
      </c>
      <c r="B102" s="9" t="s">
        <v>46</v>
      </c>
      <c r="C102" s="15">
        <v>60</v>
      </c>
      <c r="D102" s="16" t="str">
        <f>IFERROR(INDEX(المواد!$B$2:$B$320,MATCH(B102,المواد!$A$2:$A$320,0)),"")</f>
        <v>كغ</v>
      </c>
      <c r="E102" s="9"/>
      <c r="F102" t="str">
        <f>IF(AND($A102&lt;&gt;"",COUNTIF($A$2:A102,$A102)=1),$A102,"")</f>
        <v>لودلين تفاح ثاني</v>
      </c>
      <c r="G102">
        <f>IF($F102&lt;&gt;"",SUMPRODUCT(($F$2:F102&lt;&gt;"")*1),"")</f>
        <v>14</v>
      </c>
    </row>
    <row r="103" spans="1:7" ht="21.95" customHeight="1">
      <c r="A103" s="9" t="s">
        <v>123</v>
      </c>
      <c r="B103" s="9" t="s">
        <v>35</v>
      </c>
      <c r="C103" s="15">
        <v>50</v>
      </c>
      <c r="D103" s="16" t="str">
        <f>IFERROR(INDEX(المواد!$B$2:$B$320,MATCH(B103,المواد!$A$2:$A$320,0)),"")</f>
        <v>كغ</v>
      </c>
      <c r="E103" s="9"/>
      <c r="F103" t="str">
        <f>IF(AND($A103&lt;&gt;"",COUNTIF($A$2:A103,$A103)=1),$A103,"")</f>
        <v/>
      </c>
      <c r="G103" t="str">
        <f>IF($F103&lt;&gt;"",SUMPRODUCT(($F$2:F103&lt;&gt;"")*1),"")</f>
        <v/>
      </c>
    </row>
    <row r="104" spans="1:7" ht="21.95" customHeight="1">
      <c r="A104" s="9" t="s">
        <v>123</v>
      </c>
      <c r="B104" s="9" t="s">
        <v>90</v>
      </c>
      <c r="C104" s="15">
        <v>7.25</v>
      </c>
      <c r="D104" s="16" t="str">
        <f>IFERROR(INDEX(المواد!$B$2:$B$320,MATCH(B104,المواد!$A$2:$A$320,0)),"")</f>
        <v/>
      </c>
      <c r="E104" s="9"/>
      <c r="F104" t="str">
        <f>IF(AND($A104&lt;&gt;"",COUNTIF($A$2:A104,$A104)=1),$A104,"")</f>
        <v/>
      </c>
      <c r="G104" t="str">
        <f>IF($F104&lt;&gt;"",SUMPRODUCT(($F$2:F104&lt;&gt;"")*1),"")</f>
        <v/>
      </c>
    </row>
    <row r="105" spans="1:7" ht="21.95" customHeight="1">
      <c r="A105" s="9" t="s">
        <v>123</v>
      </c>
      <c r="B105" s="9" t="s">
        <v>102</v>
      </c>
      <c r="C105" s="15">
        <v>2.5</v>
      </c>
      <c r="D105" s="16" t="str">
        <f>IFERROR(INDEX(المواد!$B$2:$B$320,MATCH(B105,المواد!$A$2:$A$320,0)),"")</f>
        <v/>
      </c>
      <c r="E105" s="9"/>
      <c r="F105" t="str">
        <f>IF(AND($A105&lt;&gt;"",COUNTIF($A$2:A105,$A105)=1),$A105,"")</f>
        <v/>
      </c>
      <c r="G105" t="str">
        <f>IF($F105&lt;&gt;"",SUMPRODUCT(($F$2:F105&lt;&gt;"")*1),"")</f>
        <v/>
      </c>
    </row>
    <row r="106" spans="1:7" ht="21.95" customHeight="1">
      <c r="A106" s="9" t="s">
        <v>123</v>
      </c>
      <c r="B106" s="9" t="s">
        <v>232</v>
      </c>
      <c r="C106" s="15">
        <v>1.5</v>
      </c>
      <c r="D106" s="16" t="str">
        <f>IFERROR(INDEX(المواد!$B$2:$B$320,MATCH(B106,المواد!$A$2:$A$320,0)),"")</f>
        <v>كغ</v>
      </c>
      <c r="E106" s="9"/>
      <c r="F106" t="str">
        <f>IF(AND($A106&lt;&gt;"",COUNTIF($A$2:A106,$A106)=1),$A106,"")</f>
        <v/>
      </c>
      <c r="G106" t="str">
        <f>IF($F106&lt;&gt;"",SUMPRODUCT(($F$2:F106&lt;&gt;"")*1),"")</f>
        <v/>
      </c>
    </row>
    <row r="107" spans="1:7" ht="21.95" customHeight="1">
      <c r="A107" s="9" t="s">
        <v>123</v>
      </c>
      <c r="B107" s="9" t="s">
        <v>34</v>
      </c>
      <c r="C107" s="15">
        <v>10</v>
      </c>
      <c r="D107" s="16" t="str">
        <f>IFERROR(INDEX(المواد!$B$2:$B$320,MATCH(B107,المواد!$A$2:$A$320,0)),"")</f>
        <v>كغ</v>
      </c>
      <c r="E107" s="9"/>
      <c r="F107" t="str">
        <f>IF(AND($A107&lt;&gt;"",COUNTIF($A$2:A107,$A107)=1),$A107,"")</f>
        <v/>
      </c>
      <c r="G107" t="str">
        <f>IF($F107&lt;&gt;"",SUMPRODUCT(($F$2:F107&lt;&gt;"")*1),"")</f>
        <v/>
      </c>
    </row>
    <row r="108" spans="1:7" ht="21.95" customHeight="1">
      <c r="A108" s="9" t="s">
        <v>123</v>
      </c>
      <c r="B108" s="9" t="s">
        <v>40</v>
      </c>
      <c r="C108" s="15"/>
      <c r="D108" s="16" t="str">
        <f>IFERROR(INDEX(المواد!$B$2:$B$320,MATCH(B108,المواد!$A$2:$A$320,0)),"")</f>
        <v>كغ</v>
      </c>
      <c r="E108" s="9"/>
      <c r="F108" t="str">
        <f>IF(AND($A108&lt;&gt;"",COUNTIF($A$2:A108,$A108)=1),$A108,"")</f>
        <v/>
      </c>
      <c r="G108" t="str">
        <f>IF($F108&lt;&gt;"",SUMPRODUCT(($F$2:F108&lt;&gt;"")*1),"")</f>
        <v/>
      </c>
    </row>
    <row r="109" spans="1:7" ht="21.95" customHeight="1">
      <c r="A109" s="9" t="s">
        <v>123</v>
      </c>
      <c r="B109" s="9" t="s">
        <v>99</v>
      </c>
      <c r="C109" s="15">
        <v>825</v>
      </c>
      <c r="D109" s="16" t="str">
        <f>IFERROR(INDEX(المواد!$B$2:$B$320,MATCH(B109,المواد!$A$2:$A$320,0)),"")</f>
        <v>كغ</v>
      </c>
      <c r="E109" s="9"/>
      <c r="F109" t="str">
        <f>IF(AND($A109&lt;&gt;"",COUNTIF($A$2:A109,$A109)=1),$A109,"")</f>
        <v/>
      </c>
      <c r="G109" t="str">
        <f>IF($F109&lt;&gt;"",SUMPRODUCT(($F$2:F109&lt;&gt;"")*1),"")</f>
        <v/>
      </c>
    </row>
    <row r="110" spans="1:7" ht="21.95" customHeight="1">
      <c r="A110" s="9" t="s">
        <v>123</v>
      </c>
      <c r="B110" s="9" t="s">
        <v>104</v>
      </c>
      <c r="C110" s="15">
        <v>50</v>
      </c>
      <c r="D110" s="16" t="str">
        <f>IFERROR(INDEX(المواد!$B$2:$B$320,MATCH(B110,المواد!$A$2:$A$320,0)),"")</f>
        <v>كغ</v>
      </c>
      <c r="E110" s="9" t="s">
        <v>256</v>
      </c>
      <c r="F110" t="str">
        <f>IF(AND($A110&lt;&gt;"",COUNTIF($A$2:A110,$A110)=1),$A110,"")</f>
        <v/>
      </c>
      <c r="G110" t="str">
        <f>IF($F110&lt;&gt;"",SUMPRODUCT(($F$2:F110&lt;&gt;"")*1),"")</f>
        <v/>
      </c>
    </row>
    <row r="111" spans="1:7" ht="21.95" customHeight="1">
      <c r="A111" s="9" t="s">
        <v>123</v>
      </c>
      <c r="B111" s="9" t="s">
        <v>49</v>
      </c>
      <c r="C111" s="15"/>
      <c r="D111" s="16" t="str">
        <f>IFERROR(INDEX(المواد!$B$2:$B$320,MATCH(B111,المواد!$A$2:$A$320,0)),"")</f>
        <v/>
      </c>
      <c r="E111" s="9"/>
      <c r="F111" t="str">
        <f>IF(AND($A111&lt;&gt;"",COUNTIF($A$2:A111,$A111)=1),$A111,"")</f>
        <v/>
      </c>
      <c r="G111" t="str">
        <f>IF($F111&lt;&gt;"",SUMPRODUCT(($F$2:F111&lt;&gt;"")*1),"")</f>
        <v/>
      </c>
    </row>
    <row r="112" spans="1:7" ht="21.95" customHeight="1">
      <c r="A112" s="9" t="s">
        <v>123</v>
      </c>
      <c r="B112" s="9" t="s">
        <v>64</v>
      </c>
      <c r="C112" s="15">
        <v>1</v>
      </c>
      <c r="D112" s="16" t="str">
        <f>IFERROR(INDEX(المواد!$B$2:$B$320,MATCH(B112,المواد!$A$2:$A$320,0)),"")</f>
        <v/>
      </c>
      <c r="E112" s="9" t="s">
        <v>124</v>
      </c>
      <c r="F112" t="str">
        <f>IF(AND($A112&lt;&gt;"",COUNTIF($A$2:A112,$A112)=1),$A112,"")</f>
        <v/>
      </c>
      <c r="G112" t="str">
        <f>IF($F112&lt;&gt;"",SUMPRODUCT(($F$2:F112&lt;&gt;"")*1),"")</f>
        <v/>
      </c>
    </row>
    <row r="113" spans="1:7" ht="21.95" customHeight="1">
      <c r="A113" s="9" t="s">
        <v>125</v>
      </c>
      <c r="B113" s="9" t="s">
        <v>46</v>
      </c>
      <c r="C113" s="15">
        <v>20</v>
      </c>
      <c r="D113" s="16" t="str">
        <f>IFERROR(INDEX(المواد!$B$2:$B$320,MATCH(B113,المواد!$A$2:$A$320,0)),"")</f>
        <v>كغ</v>
      </c>
      <c r="E113" s="9"/>
      <c r="F113" t="str">
        <f>IF(AND($A113&lt;&gt;"",COUNTIF($A$2:A113,$A113)=1),$A113,"")</f>
        <v>لودلين تفاح رابع</v>
      </c>
      <c r="G113">
        <f>IF($F113&lt;&gt;"",SUMPRODUCT(($F$2:F113&lt;&gt;"")*1),"")</f>
        <v>15</v>
      </c>
    </row>
    <row r="114" spans="1:7" ht="21.95" customHeight="1">
      <c r="A114" s="9" t="s">
        <v>125</v>
      </c>
      <c r="B114" s="9" t="s">
        <v>35</v>
      </c>
      <c r="C114" s="15">
        <v>40</v>
      </c>
      <c r="D114" s="16" t="str">
        <f>IFERROR(INDEX(المواد!$B$2:$B$320,MATCH(B114,المواد!$A$2:$A$320,0)),"")</f>
        <v>كغ</v>
      </c>
      <c r="E114" s="9"/>
      <c r="F114" t="str">
        <f>IF(AND($A114&lt;&gt;"",COUNTIF($A$2:A114,$A114)=1),$A114,"")</f>
        <v/>
      </c>
      <c r="G114" t="str">
        <f>IF($F114&lt;&gt;"",SUMPRODUCT(($F$2:F114&lt;&gt;"")*1),"")</f>
        <v/>
      </c>
    </row>
    <row r="115" spans="1:7" ht="21.95" customHeight="1">
      <c r="A115" s="9" t="s">
        <v>125</v>
      </c>
      <c r="B115" s="9" t="s">
        <v>90</v>
      </c>
      <c r="C115" s="15">
        <v>2.5</v>
      </c>
      <c r="D115" s="16" t="str">
        <f>IFERROR(INDEX(المواد!$B$2:$B$320,MATCH(B115,المواد!$A$2:$A$320,0)),"")</f>
        <v/>
      </c>
      <c r="E115" s="9"/>
      <c r="F115" t="str">
        <f>IF(AND($A115&lt;&gt;"",COUNTIF($A$2:A115,$A115)=1),$A115,"")</f>
        <v/>
      </c>
      <c r="G115" t="str">
        <f>IF($F115&lt;&gt;"",SUMPRODUCT(($F$2:F115&lt;&gt;"")*1),"")</f>
        <v/>
      </c>
    </row>
    <row r="116" spans="1:7" ht="21.95" customHeight="1">
      <c r="A116" s="9" t="s">
        <v>125</v>
      </c>
      <c r="B116" s="9" t="s">
        <v>102</v>
      </c>
      <c r="C116" s="15">
        <v>3</v>
      </c>
      <c r="D116" s="16" t="str">
        <f>IFERROR(INDEX(المواد!$B$2:$B$320,MATCH(B116,المواد!$A$2:$A$320,0)),"")</f>
        <v/>
      </c>
      <c r="E116" s="9"/>
      <c r="F116" t="str">
        <f>IF(AND($A116&lt;&gt;"",COUNTIF($A$2:A116,$A116)=1),$A116,"")</f>
        <v/>
      </c>
      <c r="G116" t="str">
        <f>IF($F116&lt;&gt;"",SUMPRODUCT(($F$2:F116&lt;&gt;"")*1),"")</f>
        <v/>
      </c>
    </row>
    <row r="117" spans="1:7" ht="21.95" customHeight="1">
      <c r="A117" s="9" t="s">
        <v>125</v>
      </c>
      <c r="B117" s="9" t="s">
        <v>232</v>
      </c>
      <c r="C117" s="15">
        <v>1.5</v>
      </c>
      <c r="D117" s="16" t="str">
        <f>IFERROR(INDEX(المواد!$B$2:$B$320,MATCH(B117,المواد!$A$2:$A$320,0)),"")</f>
        <v>كغ</v>
      </c>
      <c r="E117" s="9"/>
      <c r="F117" t="str">
        <f>IF(AND($A117&lt;&gt;"",COUNTIF($A$2:A117,$A117)=1),$A117,"")</f>
        <v/>
      </c>
      <c r="G117" t="str">
        <f>IF($F117&lt;&gt;"",SUMPRODUCT(($F$2:F117&lt;&gt;"")*1),"")</f>
        <v/>
      </c>
    </row>
    <row r="118" spans="1:7" ht="21.95" customHeight="1">
      <c r="A118" s="9" t="s">
        <v>125</v>
      </c>
      <c r="B118" s="9" t="s">
        <v>34</v>
      </c>
      <c r="C118" s="15">
        <v>15</v>
      </c>
      <c r="D118" s="16" t="str">
        <f>IFERROR(INDEX(المواد!$B$2:$B$320,MATCH(B118,المواد!$A$2:$A$320,0)),"")</f>
        <v>كغ</v>
      </c>
      <c r="E118" s="9"/>
      <c r="F118" t="str">
        <f>IF(AND($A118&lt;&gt;"",COUNTIF($A$2:A118,$A118)=1),$A118,"")</f>
        <v/>
      </c>
      <c r="G118" t="str">
        <f>IF($F118&lt;&gt;"",SUMPRODUCT(($F$2:F118&lt;&gt;"")*1),"")</f>
        <v/>
      </c>
    </row>
    <row r="119" spans="1:7" ht="21.95" customHeight="1">
      <c r="A119" s="9" t="s">
        <v>125</v>
      </c>
      <c r="B119" s="9" t="s">
        <v>40</v>
      </c>
      <c r="C119" s="15"/>
      <c r="D119" s="16" t="str">
        <f>IFERROR(INDEX(المواد!$B$2:$B$320,MATCH(B119,المواد!$A$2:$A$320,0)),"")</f>
        <v>كغ</v>
      </c>
      <c r="E119" s="9"/>
      <c r="F119" t="str">
        <f>IF(AND($A119&lt;&gt;"",COUNTIF($A$2:A119,$A119)=1),$A119,"")</f>
        <v/>
      </c>
      <c r="G119" t="str">
        <f>IF($F119&lt;&gt;"",SUMPRODUCT(($F$2:F119&lt;&gt;"")*1),"")</f>
        <v/>
      </c>
    </row>
    <row r="120" spans="1:7" ht="21.95" customHeight="1">
      <c r="A120" s="9" t="s">
        <v>125</v>
      </c>
      <c r="B120" s="9" t="s">
        <v>99</v>
      </c>
      <c r="C120" s="15">
        <v>890</v>
      </c>
      <c r="D120" s="16" t="str">
        <f>IFERROR(INDEX(المواد!$B$2:$B$320,MATCH(B120,المواد!$A$2:$A$320,0)),"")</f>
        <v>كغ</v>
      </c>
      <c r="E120" s="9"/>
      <c r="F120" t="str">
        <f>IF(AND($A120&lt;&gt;"",COUNTIF($A$2:A120,$A120)=1),$A120,"")</f>
        <v/>
      </c>
      <c r="G120" t="str">
        <f>IF($F120&lt;&gt;"",SUMPRODUCT(($F$2:F120&lt;&gt;"")*1),"")</f>
        <v/>
      </c>
    </row>
    <row r="121" spans="1:7" ht="21.95" customHeight="1">
      <c r="A121" s="9" t="s">
        <v>125</v>
      </c>
      <c r="B121" s="9" t="s">
        <v>104</v>
      </c>
      <c r="C121" s="15">
        <v>100</v>
      </c>
      <c r="D121" s="16" t="str">
        <f>IFERROR(INDEX(المواد!$B$2:$B$320,MATCH(B121,المواد!$A$2:$A$320,0)),"")</f>
        <v>كغ</v>
      </c>
      <c r="E121" s="9" t="s">
        <v>256</v>
      </c>
      <c r="F121" t="str">
        <f>IF(AND($A121&lt;&gt;"",COUNTIF($A$2:A121,$A121)=1),$A121,"")</f>
        <v/>
      </c>
      <c r="G121" t="str">
        <f>IF($F121&lt;&gt;"",SUMPRODUCT(($F$2:F121&lt;&gt;"")*1),"")</f>
        <v/>
      </c>
    </row>
    <row r="122" spans="1:7" ht="21.95" customHeight="1">
      <c r="A122" s="9" t="s">
        <v>125</v>
      </c>
      <c r="B122" s="9" t="s">
        <v>49</v>
      </c>
      <c r="C122" s="15"/>
      <c r="D122" s="16" t="str">
        <f>IFERROR(INDEX(المواد!$B$2:$B$320,MATCH(B122,المواد!$A$2:$A$320,0)),"")</f>
        <v/>
      </c>
      <c r="E122" s="9"/>
      <c r="F122" t="str">
        <f>IF(AND($A122&lt;&gt;"",COUNTIF($A$2:A122,$A122)=1),$A122,"")</f>
        <v/>
      </c>
      <c r="G122" t="str">
        <f>IF($F122&lt;&gt;"",SUMPRODUCT(($F$2:F122&lt;&gt;"")*1),"")</f>
        <v/>
      </c>
    </row>
    <row r="123" spans="1:7" ht="21.95" customHeight="1">
      <c r="A123" s="9" t="s">
        <v>125</v>
      </c>
      <c r="B123" s="9" t="s">
        <v>80</v>
      </c>
      <c r="C123" s="15">
        <v>1</v>
      </c>
      <c r="D123" s="16" t="str">
        <f>IFERROR(INDEX(المواد!$B$2:$B$320,MATCH(B123,المواد!$A$2:$A$320,0)),"")</f>
        <v>كغ</v>
      </c>
      <c r="E123" s="9" t="s">
        <v>80</v>
      </c>
      <c r="F123" t="str">
        <f>IF(AND($A123&lt;&gt;"",COUNTIF($A$2:A123,$A123)=1),$A123,"")</f>
        <v/>
      </c>
      <c r="G123" t="str">
        <f>IF($F123&lt;&gt;"",SUMPRODUCT(($F$2:F123&lt;&gt;"")*1),"")</f>
        <v/>
      </c>
    </row>
    <row r="124" spans="1:7" ht="21.95" customHeight="1">
      <c r="A124" s="9" t="s">
        <v>126</v>
      </c>
      <c r="B124" s="9" t="s">
        <v>46</v>
      </c>
      <c r="C124" s="15">
        <v>150</v>
      </c>
      <c r="D124" s="16" t="str">
        <f>IFERROR(INDEX(المواد!$B$2:$B$320,MATCH(B124,المواد!$A$2:$A$320,0)),"")</f>
        <v>كغ</v>
      </c>
      <c r="E124" s="9"/>
      <c r="F124" t="str">
        <f>IF(AND($A124&lt;&gt;"",COUNTIF($A$2:A124,$A124)=1),$A124,"")</f>
        <v>لودلين سادة أول</v>
      </c>
      <c r="G124">
        <f>IF($F124&lt;&gt;"",SUMPRODUCT(($F$2:F124&lt;&gt;"")*1),"")</f>
        <v>16</v>
      </c>
    </row>
    <row r="125" spans="1:7" ht="21.95" customHeight="1">
      <c r="A125" s="9" t="s">
        <v>126</v>
      </c>
      <c r="B125" s="9" t="s">
        <v>35</v>
      </c>
      <c r="C125" s="15">
        <v>100</v>
      </c>
      <c r="D125" s="16" t="str">
        <f>IFERROR(INDEX(المواد!$B$2:$B$320,MATCH(B125,المواد!$A$2:$A$320,0)),"")</f>
        <v>كغ</v>
      </c>
      <c r="E125" s="9"/>
      <c r="F125" t="str">
        <f>IF(AND($A125&lt;&gt;"",COUNTIF($A$2:A125,$A125)=1),$A125,"")</f>
        <v/>
      </c>
      <c r="G125" t="str">
        <f>IF($F125&lt;&gt;"",SUMPRODUCT(($F$2:F125&lt;&gt;"")*1),"")</f>
        <v/>
      </c>
    </row>
    <row r="126" spans="1:7" ht="21.95" customHeight="1">
      <c r="A126" s="9" t="s">
        <v>126</v>
      </c>
      <c r="B126" s="9" t="s">
        <v>90</v>
      </c>
      <c r="C126" s="15">
        <v>19</v>
      </c>
      <c r="D126" s="16" t="str">
        <f>IFERROR(INDEX(المواد!$B$2:$B$320,MATCH(B126,المواد!$A$2:$A$320,0)),"")</f>
        <v/>
      </c>
      <c r="E126" s="9"/>
      <c r="F126" t="str">
        <f>IF(AND($A126&lt;&gt;"",COUNTIF($A$2:A126,$A126)=1),$A126,"")</f>
        <v/>
      </c>
      <c r="G126" t="str">
        <f>IF($F126&lt;&gt;"",SUMPRODUCT(($F$2:F126&lt;&gt;"")*1),"")</f>
        <v/>
      </c>
    </row>
    <row r="127" spans="1:7" ht="21.95" customHeight="1">
      <c r="A127" s="9" t="s">
        <v>126</v>
      </c>
      <c r="B127" s="9" t="s">
        <v>88</v>
      </c>
      <c r="C127" s="15">
        <v>5</v>
      </c>
      <c r="D127" s="16" t="str">
        <f>IFERROR(INDEX(المواد!$B$2:$B$320,MATCH(B127,المواد!$A$2:$A$320,0)),"")</f>
        <v>كغ</v>
      </c>
      <c r="E127" s="9"/>
      <c r="F127" t="str">
        <f>IF(AND($A127&lt;&gt;"",COUNTIF($A$2:A127,$A127)=1),$A127,"")</f>
        <v/>
      </c>
      <c r="G127" t="str">
        <f>IF($F127&lt;&gt;"",SUMPRODUCT(($F$2:F127&lt;&gt;"")*1),"")</f>
        <v/>
      </c>
    </row>
    <row r="128" spans="1:7" ht="21.95" customHeight="1">
      <c r="A128" s="9" t="s">
        <v>126</v>
      </c>
      <c r="B128" s="9" t="s">
        <v>232</v>
      </c>
      <c r="C128" s="15">
        <v>1.5</v>
      </c>
      <c r="D128" s="16" t="str">
        <f>IFERROR(INDEX(المواد!$B$2:$B$320,MATCH(B128,المواد!$A$2:$A$320,0)),"")</f>
        <v>كغ</v>
      </c>
      <c r="E128" s="9"/>
      <c r="F128" t="str">
        <f>IF(AND($A128&lt;&gt;"",COUNTIF($A$2:A128,$A128)=1),$A128,"")</f>
        <v/>
      </c>
      <c r="G128" t="str">
        <f>IF($F128&lt;&gt;"",SUMPRODUCT(($F$2:F128&lt;&gt;"")*1),"")</f>
        <v/>
      </c>
    </row>
    <row r="129" spans="1:7" ht="21.95" customHeight="1">
      <c r="A129" s="9" t="s">
        <v>126</v>
      </c>
      <c r="B129" s="9" t="s">
        <v>34</v>
      </c>
      <c r="C129" s="15">
        <v>50</v>
      </c>
      <c r="D129" s="16" t="str">
        <f>IFERROR(INDEX(المواد!$B$2:$B$320,MATCH(B129,المواد!$A$2:$A$320,0)),"")</f>
        <v>كغ</v>
      </c>
      <c r="E129" s="9"/>
      <c r="F129" t="str">
        <f>IF(AND($A129&lt;&gt;"",COUNTIF($A$2:A129,$A129)=1),$A129,"")</f>
        <v/>
      </c>
      <c r="G129" t="str">
        <f>IF($F129&lt;&gt;"",SUMPRODUCT(($F$2:F129&lt;&gt;"")*1),"")</f>
        <v/>
      </c>
    </row>
    <row r="130" spans="1:7" ht="21.95" customHeight="1">
      <c r="A130" s="9" t="s">
        <v>126</v>
      </c>
      <c r="B130" s="9" t="s">
        <v>40</v>
      </c>
      <c r="C130" s="15"/>
      <c r="D130" s="16" t="str">
        <f>IFERROR(INDEX(المواد!$B$2:$B$320,MATCH(B130,المواد!$A$2:$A$320,0)),"")</f>
        <v>كغ</v>
      </c>
      <c r="E130" s="9"/>
      <c r="F130" t="str">
        <f>IF(AND($A130&lt;&gt;"",COUNTIF($A$2:A130,$A130)=1),$A130,"")</f>
        <v/>
      </c>
      <c r="G130" t="str">
        <f>IF($F130&lt;&gt;"",SUMPRODUCT(($F$2:F130&lt;&gt;"")*1),"")</f>
        <v/>
      </c>
    </row>
    <row r="131" spans="1:7" ht="21.95" customHeight="1">
      <c r="A131" s="9" t="s">
        <v>126</v>
      </c>
      <c r="B131" s="9" t="s">
        <v>99</v>
      </c>
      <c r="C131" s="15">
        <v>675</v>
      </c>
      <c r="D131" s="16" t="str">
        <f>IFERROR(INDEX(المواد!$B$2:$B$320,MATCH(B131,المواد!$A$2:$A$320,0)),"")</f>
        <v>كغ</v>
      </c>
      <c r="E131" s="9"/>
      <c r="F131" t="str">
        <f>IF(AND($A131&lt;&gt;"",COUNTIF($A$2:A131,$A131)=1),$A131,"")</f>
        <v/>
      </c>
      <c r="G131" t="str">
        <f>IF($F131&lt;&gt;"",SUMPRODUCT(($F$2:F131&lt;&gt;"")*1),"")</f>
        <v/>
      </c>
    </row>
    <row r="132" spans="1:7" ht="21.95" customHeight="1">
      <c r="A132" s="9" t="s">
        <v>127</v>
      </c>
      <c r="B132" s="9" t="s">
        <v>46</v>
      </c>
      <c r="C132" s="15">
        <v>75</v>
      </c>
      <c r="D132" s="16" t="str">
        <f>IFERROR(INDEX(المواد!$B$2:$B$320,MATCH(B132,المواد!$A$2:$A$320,0)),"")</f>
        <v>كغ</v>
      </c>
      <c r="E132" s="9"/>
      <c r="F132" t="str">
        <f>IF(AND($A132&lt;&gt;"",COUNTIF($A$2:A132,$A132)=1),$A132,"")</f>
        <v>لودلين سادة أول 500 كغ</v>
      </c>
      <c r="G132">
        <f>IF($F132&lt;&gt;"",SUMPRODUCT(($F$2:F132&lt;&gt;"")*1),"")</f>
        <v>17</v>
      </c>
    </row>
    <row r="133" spans="1:7" ht="21.95" customHeight="1">
      <c r="A133" s="9" t="s">
        <v>127</v>
      </c>
      <c r="B133" s="9" t="s">
        <v>35</v>
      </c>
      <c r="C133" s="15">
        <v>50</v>
      </c>
      <c r="D133" s="16" t="str">
        <f>IFERROR(INDEX(المواد!$B$2:$B$320,MATCH(B133,المواد!$A$2:$A$320,0)),"")</f>
        <v>كغ</v>
      </c>
      <c r="E133" s="9"/>
      <c r="F133" t="str">
        <f>IF(AND($A133&lt;&gt;"",COUNTIF($A$2:A133,$A133)=1),$A133,"")</f>
        <v/>
      </c>
      <c r="G133" t="str">
        <f>IF($F133&lt;&gt;"",SUMPRODUCT(($F$2:F133&lt;&gt;"")*1),"")</f>
        <v/>
      </c>
    </row>
    <row r="134" spans="1:7" ht="21.95" customHeight="1">
      <c r="A134" s="9" t="s">
        <v>127</v>
      </c>
      <c r="B134" s="9" t="s">
        <v>90</v>
      </c>
      <c r="C134" s="15">
        <v>9.5</v>
      </c>
      <c r="D134" s="16" t="str">
        <f>IFERROR(INDEX(المواد!$B$2:$B$320,MATCH(B134,المواد!$A$2:$A$320,0)),"")</f>
        <v/>
      </c>
      <c r="E134" s="9"/>
      <c r="F134" t="str">
        <f>IF(AND($A134&lt;&gt;"",COUNTIF($A$2:A134,$A134)=1),$A134,"")</f>
        <v/>
      </c>
      <c r="G134" t="str">
        <f>IF($F134&lt;&gt;"",SUMPRODUCT(($F$2:F134&lt;&gt;"")*1),"")</f>
        <v/>
      </c>
    </row>
    <row r="135" spans="1:7" ht="21.95" customHeight="1">
      <c r="A135" s="9" t="s">
        <v>127</v>
      </c>
      <c r="B135" s="9" t="s">
        <v>88</v>
      </c>
      <c r="C135" s="15">
        <v>2.5</v>
      </c>
      <c r="D135" s="16" t="str">
        <f>IFERROR(INDEX(المواد!$B$2:$B$320,MATCH(B135,المواد!$A$2:$A$320,0)),"")</f>
        <v>كغ</v>
      </c>
      <c r="E135" s="9"/>
      <c r="F135" t="str">
        <f>IF(AND($A135&lt;&gt;"",COUNTIF($A$2:A135,$A135)=1),$A135,"")</f>
        <v/>
      </c>
      <c r="G135" t="str">
        <f>IF($F135&lt;&gt;"",SUMPRODUCT(($F$2:F135&lt;&gt;"")*1),"")</f>
        <v/>
      </c>
    </row>
    <row r="136" spans="1:7" ht="21.95" customHeight="1">
      <c r="A136" s="9" t="s">
        <v>127</v>
      </c>
      <c r="B136" s="9" t="s">
        <v>232</v>
      </c>
      <c r="C136" s="15">
        <v>0.75</v>
      </c>
      <c r="D136" s="16" t="str">
        <f>IFERROR(INDEX(المواد!$B$2:$B$320,MATCH(B136,المواد!$A$2:$A$320,0)),"")</f>
        <v>كغ</v>
      </c>
      <c r="E136" s="9"/>
      <c r="F136" t="str">
        <f>IF(AND($A136&lt;&gt;"",COUNTIF($A$2:A136,$A136)=1),$A136,"")</f>
        <v/>
      </c>
      <c r="G136" t="str">
        <f>IF($F136&lt;&gt;"",SUMPRODUCT(($F$2:F136&lt;&gt;"")*1),"")</f>
        <v/>
      </c>
    </row>
    <row r="137" spans="1:7" ht="21.95" customHeight="1">
      <c r="A137" s="9" t="s">
        <v>127</v>
      </c>
      <c r="B137" s="9" t="s">
        <v>34</v>
      </c>
      <c r="C137" s="15">
        <v>25</v>
      </c>
      <c r="D137" s="16" t="str">
        <f>IFERROR(INDEX(المواد!$B$2:$B$320,MATCH(B137,المواد!$A$2:$A$320,0)),"")</f>
        <v>كغ</v>
      </c>
      <c r="E137" s="9"/>
      <c r="F137" t="str">
        <f>IF(AND($A137&lt;&gt;"",COUNTIF($A$2:A137,$A137)=1),$A137,"")</f>
        <v/>
      </c>
      <c r="G137" t="str">
        <f>IF($F137&lt;&gt;"",SUMPRODUCT(($F$2:F137&lt;&gt;"")*1),"")</f>
        <v/>
      </c>
    </row>
    <row r="138" spans="1:7" ht="21.95" customHeight="1">
      <c r="A138" s="9" t="s">
        <v>127</v>
      </c>
      <c r="B138" s="9" t="s">
        <v>40</v>
      </c>
      <c r="C138" s="15"/>
      <c r="D138" s="16" t="str">
        <f>IFERROR(INDEX(المواد!$B$2:$B$320,MATCH(B138,المواد!$A$2:$A$320,0)),"")</f>
        <v>كغ</v>
      </c>
      <c r="E138" s="9"/>
      <c r="F138" t="str">
        <f>IF(AND($A138&lt;&gt;"",COUNTIF($A$2:A138,$A138)=1),$A138,"")</f>
        <v/>
      </c>
      <c r="G138" t="str">
        <f>IF($F138&lt;&gt;"",SUMPRODUCT(($F$2:F138&lt;&gt;"")*1),"")</f>
        <v/>
      </c>
    </row>
    <row r="139" spans="1:7" ht="21.95" customHeight="1">
      <c r="A139" s="9" t="s">
        <v>127</v>
      </c>
      <c r="B139" s="9" t="s">
        <v>99</v>
      </c>
      <c r="C139" s="15">
        <v>338</v>
      </c>
      <c r="D139" s="16" t="str">
        <f>IFERROR(INDEX(المواد!$B$2:$B$320,MATCH(B139,المواد!$A$2:$A$320,0)),"")</f>
        <v>كغ</v>
      </c>
      <c r="E139" s="9"/>
      <c r="F139" t="str">
        <f>IF(AND($A139&lt;&gt;"",COUNTIF($A$2:A139,$A139)=1),$A139,"")</f>
        <v/>
      </c>
      <c r="G139" t="str">
        <f>IF($F139&lt;&gt;"",SUMPRODUCT(($F$2:F139&lt;&gt;"")*1),"")</f>
        <v/>
      </c>
    </row>
    <row r="140" spans="1:7" ht="21.95" customHeight="1">
      <c r="A140" s="9" t="s">
        <v>128</v>
      </c>
      <c r="B140" s="9" t="s">
        <v>46</v>
      </c>
      <c r="C140" s="15">
        <v>35</v>
      </c>
      <c r="D140" s="16" t="str">
        <f>IFERROR(INDEX(المواد!$B$2:$B$320,MATCH(B140,المواد!$A$2:$A$320,0)),"")</f>
        <v>كغ</v>
      </c>
      <c r="E140" s="9"/>
      <c r="F140" t="str">
        <f>IF(AND($A140&lt;&gt;"",COUNTIF($A$2:A140,$A140)=1),$A140,"")</f>
        <v>لودلين سادة ثالث</v>
      </c>
      <c r="G140">
        <f>IF($F140&lt;&gt;"",SUMPRODUCT(($F$2:F140&lt;&gt;"")*1),"")</f>
        <v>18</v>
      </c>
    </row>
    <row r="141" spans="1:7" ht="21.95" customHeight="1">
      <c r="A141" s="9" t="s">
        <v>128</v>
      </c>
      <c r="B141" s="9" t="s">
        <v>35</v>
      </c>
      <c r="C141" s="15">
        <v>50</v>
      </c>
      <c r="D141" s="16" t="str">
        <f>IFERROR(INDEX(المواد!$B$2:$B$320,MATCH(B141,المواد!$A$2:$A$320,0)),"")</f>
        <v>كغ</v>
      </c>
      <c r="E141" s="9"/>
      <c r="F141" t="str">
        <f>IF(AND($A141&lt;&gt;"",COUNTIF($A$2:A141,$A141)=1),$A141,"")</f>
        <v/>
      </c>
      <c r="G141" t="str">
        <f>IF($F141&lt;&gt;"",SUMPRODUCT(($F$2:F141&lt;&gt;"")*1),"")</f>
        <v/>
      </c>
    </row>
    <row r="142" spans="1:7" ht="21.95" customHeight="1">
      <c r="A142" s="9" t="s">
        <v>128</v>
      </c>
      <c r="B142" s="9" t="s">
        <v>90</v>
      </c>
      <c r="C142" s="15">
        <v>4</v>
      </c>
      <c r="D142" s="16" t="str">
        <f>IFERROR(INDEX(المواد!$B$2:$B$320,MATCH(B142,المواد!$A$2:$A$320,0)),"")</f>
        <v/>
      </c>
      <c r="E142" s="9"/>
      <c r="F142" t="str">
        <f>IF(AND($A142&lt;&gt;"",COUNTIF($A$2:A142,$A142)=1),$A142,"")</f>
        <v/>
      </c>
      <c r="G142" t="str">
        <f>IF($F142&lt;&gt;"",SUMPRODUCT(($F$2:F142&lt;&gt;"")*1),"")</f>
        <v/>
      </c>
    </row>
    <row r="143" spans="1:7" ht="21.95" customHeight="1">
      <c r="A143" s="9" t="s">
        <v>128</v>
      </c>
      <c r="B143" s="9" t="s">
        <v>102</v>
      </c>
      <c r="C143" s="15">
        <v>2.5</v>
      </c>
      <c r="D143" s="16" t="str">
        <f>IFERROR(INDEX(المواد!$B$2:$B$320,MATCH(B143,المواد!$A$2:$A$320,0)),"")</f>
        <v/>
      </c>
      <c r="E143" s="9"/>
      <c r="F143" t="str">
        <f>IF(AND($A143&lt;&gt;"",COUNTIF($A$2:A143,$A143)=1),$A143,"")</f>
        <v/>
      </c>
      <c r="G143" t="str">
        <f>IF($F143&lt;&gt;"",SUMPRODUCT(($F$2:F143&lt;&gt;"")*1),"")</f>
        <v/>
      </c>
    </row>
    <row r="144" spans="1:7" ht="21.95" customHeight="1">
      <c r="A144" s="9" t="s">
        <v>128</v>
      </c>
      <c r="B144" s="9" t="s">
        <v>232</v>
      </c>
      <c r="C144" s="15">
        <v>1.5</v>
      </c>
      <c r="D144" s="16" t="str">
        <f>IFERROR(INDEX(المواد!$B$2:$B$320,MATCH(B144,المواد!$A$2:$A$320,0)),"")</f>
        <v>كغ</v>
      </c>
      <c r="E144" s="9"/>
      <c r="F144" t="str">
        <f>IF(AND($A144&lt;&gt;"",COUNTIF($A$2:A144,$A144)=1),$A144,"")</f>
        <v/>
      </c>
      <c r="G144" t="str">
        <f>IF($F144&lt;&gt;"",SUMPRODUCT(($F$2:F144&lt;&gt;"")*1),"")</f>
        <v/>
      </c>
    </row>
    <row r="145" spans="1:7" ht="21.95" customHeight="1">
      <c r="A145" s="9" t="s">
        <v>128</v>
      </c>
      <c r="B145" s="9" t="s">
        <v>34</v>
      </c>
      <c r="C145" s="15">
        <v>15</v>
      </c>
      <c r="D145" s="16" t="str">
        <f>IFERROR(INDEX(المواد!$B$2:$B$320,MATCH(B145,المواد!$A$2:$A$320,0)),"")</f>
        <v>كغ</v>
      </c>
      <c r="E145" s="9"/>
      <c r="F145" t="str">
        <f>IF(AND($A145&lt;&gt;"",COUNTIF($A$2:A145,$A145)=1),$A145,"")</f>
        <v/>
      </c>
      <c r="G145" t="str">
        <f>IF($F145&lt;&gt;"",SUMPRODUCT(($F$2:F145&lt;&gt;"")*1),"")</f>
        <v/>
      </c>
    </row>
    <row r="146" spans="1:7" ht="21.95" customHeight="1">
      <c r="A146" s="9" t="s">
        <v>128</v>
      </c>
      <c r="B146" s="9" t="s">
        <v>40</v>
      </c>
      <c r="C146" s="15"/>
      <c r="D146" s="16" t="str">
        <f>IFERROR(INDEX(المواد!$B$2:$B$320,MATCH(B146,المواد!$A$2:$A$320,0)),"")</f>
        <v>كغ</v>
      </c>
      <c r="E146" s="9"/>
      <c r="F146" t="str">
        <f>IF(AND($A146&lt;&gt;"",COUNTIF($A$2:A146,$A146)=1),$A146,"")</f>
        <v/>
      </c>
      <c r="G146" t="str">
        <f>IF($F146&lt;&gt;"",SUMPRODUCT(($F$2:F146&lt;&gt;"")*1),"")</f>
        <v/>
      </c>
    </row>
    <row r="147" spans="1:7" ht="21.95" customHeight="1">
      <c r="A147" s="9" t="s">
        <v>128</v>
      </c>
      <c r="B147" s="9" t="s">
        <v>99</v>
      </c>
      <c r="C147" s="15">
        <v>890</v>
      </c>
      <c r="D147" s="16" t="str">
        <f>IFERROR(INDEX(المواد!$B$2:$B$320,MATCH(B147,المواد!$A$2:$A$320,0)),"")</f>
        <v>كغ</v>
      </c>
      <c r="E147" s="9"/>
      <c r="F147" t="str">
        <f>IF(AND($A147&lt;&gt;"",COUNTIF($A$2:A147,$A147)=1),$A147,"")</f>
        <v/>
      </c>
      <c r="G147" t="str">
        <f>IF($F147&lt;&gt;"",SUMPRODUCT(($F$2:F147&lt;&gt;"")*1),"")</f>
        <v/>
      </c>
    </row>
    <row r="148" spans="1:7" ht="21.95" customHeight="1">
      <c r="A148" s="9" t="s">
        <v>128</v>
      </c>
      <c r="B148" s="9" t="s">
        <v>104</v>
      </c>
      <c r="C148" s="15">
        <v>75</v>
      </c>
      <c r="D148" s="16" t="str">
        <f>IFERROR(INDEX(المواد!$B$2:$B$320,MATCH(B148,المواد!$A$2:$A$320,0)),"")</f>
        <v>كغ</v>
      </c>
      <c r="E148" s="9" t="s">
        <v>256</v>
      </c>
      <c r="F148" t="str">
        <f>IF(AND($A148&lt;&gt;"",COUNTIF($A$2:A148,$A148)=1),$A148,"")</f>
        <v/>
      </c>
      <c r="G148" t="str">
        <f>IF($F148&lt;&gt;"",SUMPRODUCT(($F$2:F148&lt;&gt;"")*1),"")</f>
        <v/>
      </c>
    </row>
    <row r="149" spans="1:7" ht="21.95" customHeight="1">
      <c r="A149" s="9" t="s">
        <v>129</v>
      </c>
      <c r="B149" s="9" t="s">
        <v>46</v>
      </c>
      <c r="C149" s="15">
        <v>60</v>
      </c>
      <c r="D149" s="16" t="str">
        <f>IFERROR(INDEX(المواد!$B$2:$B$320,MATCH(B149,المواد!$A$2:$A$320,0)),"")</f>
        <v>كغ</v>
      </c>
      <c r="E149" s="9"/>
      <c r="F149" t="str">
        <f>IF(AND($A149&lt;&gt;"",COUNTIF($A$2:A149,$A149)=1),$A149,"")</f>
        <v>لودلين سادة ثاني</v>
      </c>
      <c r="G149">
        <f>IF($F149&lt;&gt;"",SUMPRODUCT(($F$2:F149&lt;&gt;"")*1),"")</f>
        <v>19</v>
      </c>
    </row>
    <row r="150" spans="1:7" ht="21.95" customHeight="1">
      <c r="A150" s="9" t="s">
        <v>129</v>
      </c>
      <c r="B150" s="9" t="s">
        <v>35</v>
      </c>
      <c r="C150" s="15">
        <v>50</v>
      </c>
      <c r="D150" s="16" t="str">
        <f>IFERROR(INDEX(المواد!$B$2:$B$320,MATCH(B150,المواد!$A$2:$A$320,0)),"")</f>
        <v>كغ</v>
      </c>
      <c r="E150" s="9"/>
      <c r="F150" t="str">
        <f>IF(AND($A150&lt;&gt;"",COUNTIF($A$2:A150,$A150)=1),$A150,"")</f>
        <v/>
      </c>
      <c r="G150" t="str">
        <f>IF($F150&lt;&gt;"",SUMPRODUCT(($F$2:F150&lt;&gt;"")*1),"")</f>
        <v/>
      </c>
    </row>
    <row r="151" spans="1:7" ht="21.95" customHeight="1">
      <c r="A151" s="9" t="s">
        <v>129</v>
      </c>
      <c r="B151" s="9" t="s">
        <v>90</v>
      </c>
      <c r="C151" s="15">
        <v>7.5</v>
      </c>
      <c r="D151" s="16" t="str">
        <f>IFERROR(INDEX(المواد!$B$2:$B$320,MATCH(B151,المواد!$A$2:$A$320,0)),"")</f>
        <v/>
      </c>
      <c r="E151" s="9"/>
      <c r="F151" t="str">
        <f>IF(AND($A151&lt;&gt;"",COUNTIF($A$2:A151,$A151)=1),$A151,"")</f>
        <v/>
      </c>
      <c r="G151" t="str">
        <f>IF($F151&lt;&gt;"",SUMPRODUCT(($F$2:F151&lt;&gt;"")*1),"")</f>
        <v/>
      </c>
    </row>
    <row r="152" spans="1:7" ht="21.95" customHeight="1">
      <c r="A152" s="9" t="s">
        <v>129</v>
      </c>
      <c r="B152" s="9" t="s">
        <v>102</v>
      </c>
      <c r="C152" s="15">
        <v>2.5</v>
      </c>
      <c r="D152" s="16" t="str">
        <f>IFERROR(INDEX(المواد!$B$2:$B$320,MATCH(B152,المواد!$A$2:$A$320,0)),"")</f>
        <v/>
      </c>
      <c r="E152" s="9"/>
      <c r="F152" t="str">
        <f>IF(AND($A152&lt;&gt;"",COUNTIF($A$2:A152,$A152)=1),$A152,"")</f>
        <v/>
      </c>
      <c r="G152" t="str">
        <f>IF($F152&lt;&gt;"",SUMPRODUCT(($F$2:F152&lt;&gt;"")*1),"")</f>
        <v/>
      </c>
    </row>
    <row r="153" spans="1:7" ht="21.95" customHeight="1">
      <c r="A153" s="9" t="s">
        <v>129</v>
      </c>
      <c r="B153" s="9" t="s">
        <v>232</v>
      </c>
      <c r="C153" s="15">
        <v>1.5</v>
      </c>
      <c r="D153" s="16" t="str">
        <f>IFERROR(INDEX(المواد!$B$2:$B$320,MATCH(B153,المواد!$A$2:$A$320,0)),"")</f>
        <v>كغ</v>
      </c>
      <c r="E153" s="9"/>
      <c r="F153" t="str">
        <f>IF(AND($A153&lt;&gt;"",COUNTIF($A$2:A153,$A153)=1),$A153,"")</f>
        <v/>
      </c>
      <c r="G153" t="str">
        <f>IF($F153&lt;&gt;"",SUMPRODUCT(($F$2:F153&lt;&gt;"")*1),"")</f>
        <v/>
      </c>
    </row>
    <row r="154" spans="1:7" ht="21.95" customHeight="1">
      <c r="A154" s="9" t="s">
        <v>129</v>
      </c>
      <c r="B154" s="9" t="s">
        <v>34</v>
      </c>
      <c r="C154" s="15">
        <v>10</v>
      </c>
      <c r="D154" s="16" t="str">
        <f>IFERROR(INDEX(المواد!$B$2:$B$320,MATCH(B154,المواد!$A$2:$A$320,0)),"")</f>
        <v>كغ</v>
      </c>
      <c r="E154" s="9"/>
      <c r="F154" t="str">
        <f>IF(AND($A154&lt;&gt;"",COUNTIF($A$2:A154,$A154)=1),$A154,"")</f>
        <v/>
      </c>
      <c r="G154" t="str">
        <f>IF($F154&lt;&gt;"",SUMPRODUCT(($F$2:F154&lt;&gt;"")*1),"")</f>
        <v/>
      </c>
    </row>
    <row r="155" spans="1:7" ht="21.95" customHeight="1">
      <c r="A155" s="9" t="s">
        <v>129</v>
      </c>
      <c r="B155" s="9" t="s">
        <v>40</v>
      </c>
      <c r="C155" s="15"/>
      <c r="D155" s="16" t="str">
        <f>IFERROR(INDEX(المواد!$B$2:$B$320,MATCH(B155,المواد!$A$2:$A$320,0)),"")</f>
        <v>كغ</v>
      </c>
      <c r="E155" s="9"/>
      <c r="F155" t="str">
        <f>IF(AND($A155&lt;&gt;"",COUNTIF($A$2:A155,$A155)=1),$A155,"")</f>
        <v/>
      </c>
      <c r="G155" t="str">
        <f>IF($F155&lt;&gt;"",SUMPRODUCT(($F$2:F155&lt;&gt;"")*1),"")</f>
        <v/>
      </c>
    </row>
    <row r="156" spans="1:7" ht="21.95" customHeight="1">
      <c r="A156" s="9" t="s">
        <v>129</v>
      </c>
      <c r="B156" s="9" t="s">
        <v>99</v>
      </c>
      <c r="C156" s="15">
        <v>825</v>
      </c>
      <c r="D156" s="16" t="str">
        <f>IFERROR(INDEX(المواد!$B$2:$B$320,MATCH(B156,المواد!$A$2:$A$320,0)),"")</f>
        <v>كغ</v>
      </c>
      <c r="E156" s="9"/>
      <c r="F156" t="str">
        <f>IF(AND($A156&lt;&gt;"",COUNTIF($A$2:A156,$A156)=1),$A156,"")</f>
        <v/>
      </c>
      <c r="G156" t="str">
        <f>IF($F156&lt;&gt;"",SUMPRODUCT(($F$2:F156&lt;&gt;"")*1),"")</f>
        <v/>
      </c>
    </row>
    <row r="157" spans="1:7" ht="21.95" customHeight="1">
      <c r="A157" s="9" t="s">
        <v>129</v>
      </c>
      <c r="B157" s="9" t="s">
        <v>104</v>
      </c>
      <c r="C157" s="15">
        <v>50</v>
      </c>
      <c r="D157" s="16" t="str">
        <f>IFERROR(INDEX(المواد!$B$2:$B$320,MATCH(B157,المواد!$A$2:$A$320,0)),"")</f>
        <v>كغ</v>
      </c>
      <c r="E157" s="9" t="s">
        <v>256</v>
      </c>
      <c r="F157" t="str">
        <f>IF(AND($A157&lt;&gt;"",COUNTIF($A$2:A157,$A157)=1),$A157,"")</f>
        <v/>
      </c>
      <c r="G157" t="str">
        <f>IF($F157&lt;&gt;"",SUMPRODUCT(($F$2:F157&lt;&gt;"")*1),"")</f>
        <v/>
      </c>
    </row>
    <row r="158" spans="1:7" ht="21.95" customHeight="1">
      <c r="A158" s="9" t="s">
        <v>130</v>
      </c>
      <c r="B158" s="9" t="s">
        <v>46</v>
      </c>
      <c r="C158" s="15">
        <v>20</v>
      </c>
      <c r="D158" s="16" t="str">
        <f>IFERROR(INDEX(المواد!$B$2:$B$320,MATCH(B158,المواد!$A$2:$A$320,0)),"")</f>
        <v>كغ</v>
      </c>
      <c r="E158" s="9"/>
      <c r="F158" t="str">
        <f>IF(AND($A158&lt;&gt;"",COUNTIF($A$2:A158,$A158)=1),$A158,"")</f>
        <v>لودلين سادة رابع</v>
      </c>
      <c r="G158">
        <f>IF($F158&lt;&gt;"",SUMPRODUCT(($F$2:F158&lt;&gt;"")*1),"")</f>
        <v>20</v>
      </c>
    </row>
    <row r="159" spans="1:7" ht="21.95" customHeight="1">
      <c r="A159" s="9" t="s">
        <v>130</v>
      </c>
      <c r="B159" s="9" t="s">
        <v>35</v>
      </c>
      <c r="C159" s="15">
        <v>40</v>
      </c>
      <c r="D159" s="16" t="str">
        <f>IFERROR(INDEX(المواد!$B$2:$B$320,MATCH(B159,المواد!$A$2:$A$320,0)),"")</f>
        <v>كغ</v>
      </c>
      <c r="E159" s="9"/>
      <c r="F159" t="str">
        <f>IF(AND($A159&lt;&gt;"",COUNTIF($A$2:A159,$A159)=1),$A159,"")</f>
        <v/>
      </c>
      <c r="G159" t="str">
        <f>IF($F159&lt;&gt;"",SUMPRODUCT(($F$2:F159&lt;&gt;"")*1),"")</f>
        <v/>
      </c>
    </row>
    <row r="160" spans="1:7" ht="21.95" customHeight="1">
      <c r="A160" s="9" t="s">
        <v>130</v>
      </c>
      <c r="B160" s="9" t="s">
        <v>90</v>
      </c>
      <c r="C160" s="15">
        <v>2.5</v>
      </c>
      <c r="D160" s="16" t="str">
        <f>IFERROR(INDEX(المواد!$B$2:$B$320,MATCH(B160,المواد!$A$2:$A$320,0)),"")</f>
        <v/>
      </c>
      <c r="E160" s="9"/>
      <c r="F160" t="str">
        <f>IF(AND($A160&lt;&gt;"",COUNTIF($A$2:A160,$A160)=1),$A160,"")</f>
        <v/>
      </c>
      <c r="G160" t="str">
        <f>IF($F160&lt;&gt;"",SUMPRODUCT(($F$2:F160&lt;&gt;"")*1),"")</f>
        <v/>
      </c>
    </row>
    <row r="161" spans="1:7" ht="21.95" customHeight="1">
      <c r="A161" s="9" t="s">
        <v>130</v>
      </c>
      <c r="B161" s="9" t="s">
        <v>102</v>
      </c>
      <c r="C161" s="15">
        <v>3</v>
      </c>
      <c r="D161" s="16" t="str">
        <f>IFERROR(INDEX(المواد!$B$2:$B$320,MATCH(B161,المواد!$A$2:$A$320,0)),"")</f>
        <v/>
      </c>
      <c r="E161" s="9"/>
      <c r="F161" t="str">
        <f>IF(AND($A161&lt;&gt;"",COUNTIF($A$2:A161,$A161)=1),$A161,"")</f>
        <v/>
      </c>
      <c r="G161" t="str">
        <f>IF($F161&lt;&gt;"",SUMPRODUCT(($F$2:F161&lt;&gt;"")*1),"")</f>
        <v/>
      </c>
    </row>
    <row r="162" spans="1:7" ht="21.95" customHeight="1">
      <c r="A162" s="9" t="s">
        <v>130</v>
      </c>
      <c r="B162" s="9" t="s">
        <v>232</v>
      </c>
      <c r="C162" s="15">
        <v>1.5</v>
      </c>
      <c r="D162" s="16" t="str">
        <f>IFERROR(INDEX(المواد!$B$2:$B$320,MATCH(B162,المواد!$A$2:$A$320,0)),"")</f>
        <v>كغ</v>
      </c>
      <c r="E162" s="9"/>
      <c r="F162" t="str">
        <f>IF(AND($A162&lt;&gt;"",COUNTIF($A$2:A162,$A162)=1),$A162,"")</f>
        <v/>
      </c>
      <c r="G162" t="str">
        <f>IF($F162&lt;&gt;"",SUMPRODUCT(($F$2:F162&lt;&gt;"")*1),"")</f>
        <v/>
      </c>
    </row>
    <row r="163" spans="1:7" ht="21.95" customHeight="1">
      <c r="A163" s="9" t="s">
        <v>130</v>
      </c>
      <c r="B163" s="9" t="s">
        <v>34</v>
      </c>
      <c r="C163" s="15">
        <v>15</v>
      </c>
      <c r="D163" s="16" t="str">
        <f>IFERROR(INDEX(المواد!$B$2:$B$320,MATCH(B163,المواد!$A$2:$A$320,0)),"")</f>
        <v>كغ</v>
      </c>
      <c r="E163" s="9"/>
      <c r="F163" t="str">
        <f>IF(AND($A163&lt;&gt;"",COUNTIF($A$2:A163,$A163)=1),$A163,"")</f>
        <v/>
      </c>
      <c r="G163" t="str">
        <f>IF($F163&lt;&gt;"",SUMPRODUCT(($F$2:F163&lt;&gt;"")*1),"")</f>
        <v/>
      </c>
    </row>
    <row r="164" spans="1:7" ht="21.95" customHeight="1">
      <c r="A164" s="9" t="s">
        <v>130</v>
      </c>
      <c r="B164" s="9" t="s">
        <v>40</v>
      </c>
      <c r="C164" s="15"/>
      <c r="D164" s="16" t="str">
        <f>IFERROR(INDEX(المواد!$B$2:$B$320,MATCH(B164,المواد!$A$2:$A$320,0)),"")</f>
        <v>كغ</v>
      </c>
      <c r="E164" s="9"/>
      <c r="F164" t="str">
        <f>IF(AND($A164&lt;&gt;"",COUNTIF($A$2:A164,$A164)=1),$A164,"")</f>
        <v/>
      </c>
      <c r="G164" t="str">
        <f>IF($F164&lt;&gt;"",SUMPRODUCT(($F$2:F164&lt;&gt;"")*1),"")</f>
        <v/>
      </c>
    </row>
    <row r="165" spans="1:7" ht="21.95" customHeight="1">
      <c r="A165" s="9" t="s">
        <v>130</v>
      </c>
      <c r="B165" s="9" t="s">
        <v>99</v>
      </c>
      <c r="C165" s="15">
        <v>890</v>
      </c>
      <c r="D165" s="16" t="str">
        <f>IFERROR(INDEX(المواد!$B$2:$B$320,MATCH(B165,المواد!$A$2:$A$320,0)),"")</f>
        <v>كغ</v>
      </c>
      <c r="E165" s="9"/>
      <c r="F165" t="str">
        <f>IF(AND($A165&lt;&gt;"",COUNTIF($A$2:A165,$A165)=1),$A165,"")</f>
        <v/>
      </c>
      <c r="G165" t="str">
        <f>IF($F165&lt;&gt;"",SUMPRODUCT(($F$2:F165&lt;&gt;"")*1),"")</f>
        <v/>
      </c>
    </row>
    <row r="166" spans="1:7" ht="21.95" customHeight="1">
      <c r="A166" s="9" t="s">
        <v>130</v>
      </c>
      <c r="B166" s="9" t="s">
        <v>104</v>
      </c>
      <c r="C166" s="15">
        <v>100</v>
      </c>
      <c r="D166" s="16" t="str">
        <f>IFERROR(INDEX(المواد!$B$2:$B$320,MATCH(B166,المواد!$A$2:$A$320,0)),"")</f>
        <v>كغ</v>
      </c>
      <c r="E166" s="9" t="s">
        <v>256</v>
      </c>
      <c r="F166" t="str">
        <f>IF(AND($A166&lt;&gt;"",COUNTIF($A$2:A166,$A166)=1),$A166,"")</f>
        <v/>
      </c>
      <c r="G166" t="str">
        <f>IF($F166&lt;&gt;"",SUMPRODUCT(($F$2:F166&lt;&gt;"")*1),"")</f>
        <v/>
      </c>
    </row>
    <row r="167" spans="1:7" ht="21.95" customHeight="1">
      <c r="A167" s="9" t="s">
        <v>131</v>
      </c>
      <c r="B167" s="9" t="s">
        <v>46</v>
      </c>
      <c r="C167" s="15">
        <v>150</v>
      </c>
      <c r="D167" s="16" t="str">
        <f>IFERROR(INDEX(المواد!$B$2:$B$320,MATCH(B167,المواد!$A$2:$A$320,0)),"")</f>
        <v>كغ</v>
      </c>
      <c r="E167" s="9"/>
      <c r="F167" t="str">
        <f>IF(AND($A167&lt;&gt;"",COUNTIF($A$2:A167,$A167)=1),$A167,"")</f>
        <v>لودلين فريز أول</v>
      </c>
      <c r="G167">
        <f>IF($F167&lt;&gt;"",SUMPRODUCT(($F$2:F167&lt;&gt;"")*1),"")</f>
        <v>21</v>
      </c>
    </row>
    <row r="168" spans="1:7" ht="21.95" customHeight="1">
      <c r="A168" s="9" t="s">
        <v>131</v>
      </c>
      <c r="B168" s="9" t="s">
        <v>35</v>
      </c>
      <c r="C168" s="15">
        <v>100</v>
      </c>
      <c r="D168" s="16" t="str">
        <f>IFERROR(INDEX(المواد!$B$2:$B$320,MATCH(B168,المواد!$A$2:$A$320,0)),"")</f>
        <v>كغ</v>
      </c>
      <c r="E168" s="9"/>
      <c r="F168" t="str">
        <f>IF(AND($A168&lt;&gt;"",COUNTIF($A$2:A168,$A168)=1),$A168,"")</f>
        <v/>
      </c>
      <c r="G168" t="str">
        <f>IF($F168&lt;&gt;"",SUMPRODUCT(($F$2:F168&lt;&gt;"")*1),"")</f>
        <v/>
      </c>
    </row>
    <row r="169" spans="1:7" ht="21.95" customHeight="1">
      <c r="A169" s="9" t="s">
        <v>131</v>
      </c>
      <c r="B169" s="9" t="s">
        <v>90</v>
      </c>
      <c r="C169" s="15">
        <v>19</v>
      </c>
      <c r="D169" s="16" t="str">
        <f>IFERROR(INDEX(المواد!$B$2:$B$320,MATCH(B169,المواد!$A$2:$A$320,0)),"")</f>
        <v/>
      </c>
      <c r="E169" s="9"/>
      <c r="F169" t="str">
        <f>IF(AND($A169&lt;&gt;"",COUNTIF($A$2:A169,$A169)=1),$A169,"")</f>
        <v/>
      </c>
      <c r="G169" t="str">
        <f>IF($F169&lt;&gt;"",SUMPRODUCT(($F$2:F169&lt;&gt;"")*1),"")</f>
        <v/>
      </c>
    </row>
    <row r="170" spans="1:7" ht="21.95" customHeight="1">
      <c r="A170" s="9" t="s">
        <v>131</v>
      </c>
      <c r="B170" s="9" t="s">
        <v>88</v>
      </c>
      <c r="C170" s="15">
        <v>5</v>
      </c>
      <c r="D170" s="16" t="str">
        <f>IFERROR(INDEX(المواد!$B$2:$B$320,MATCH(B170,المواد!$A$2:$A$320,0)),"")</f>
        <v>كغ</v>
      </c>
      <c r="E170" s="9"/>
      <c r="F170" t="str">
        <f>IF(AND($A170&lt;&gt;"",COUNTIF($A$2:A170,$A170)=1),$A170,"")</f>
        <v/>
      </c>
      <c r="G170" t="str">
        <f>IF($F170&lt;&gt;"",SUMPRODUCT(($F$2:F170&lt;&gt;"")*1),"")</f>
        <v/>
      </c>
    </row>
    <row r="171" spans="1:7" ht="21.95" customHeight="1">
      <c r="A171" s="9" t="s">
        <v>131</v>
      </c>
      <c r="B171" s="9" t="s">
        <v>232</v>
      </c>
      <c r="C171" s="15">
        <v>1.5</v>
      </c>
      <c r="D171" s="16" t="str">
        <f>IFERROR(INDEX(المواد!$B$2:$B$320,MATCH(B171,المواد!$A$2:$A$320,0)),"")</f>
        <v>كغ</v>
      </c>
      <c r="E171" s="9"/>
      <c r="F171" t="str">
        <f>IF(AND($A171&lt;&gt;"",COUNTIF($A$2:A171,$A171)=1),$A171,"")</f>
        <v/>
      </c>
      <c r="G171" t="str">
        <f>IF($F171&lt;&gt;"",SUMPRODUCT(($F$2:F171&lt;&gt;"")*1),"")</f>
        <v/>
      </c>
    </row>
    <row r="172" spans="1:7" ht="21.95" customHeight="1">
      <c r="A172" s="9" t="s">
        <v>131</v>
      </c>
      <c r="B172" s="9" t="s">
        <v>34</v>
      </c>
      <c r="C172" s="15">
        <v>50</v>
      </c>
      <c r="D172" s="16" t="str">
        <f>IFERROR(INDEX(المواد!$B$2:$B$320,MATCH(B172,المواد!$A$2:$A$320,0)),"")</f>
        <v>كغ</v>
      </c>
      <c r="E172" s="9"/>
      <c r="F172" t="str">
        <f>IF(AND($A172&lt;&gt;"",COUNTIF($A$2:A172,$A172)=1),$A172,"")</f>
        <v/>
      </c>
      <c r="G172" t="str">
        <f>IF($F172&lt;&gt;"",SUMPRODUCT(($F$2:F172&lt;&gt;"")*1),"")</f>
        <v/>
      </c>
    </row>
    <row r="173" spans="1:7" ht="21.95" customHeight="1">
      <c r="A173" s="9" t="s">
        <v>131</v>
      </c>
      <c r="B173" s="9" t="s">
        <v>40</v>
      </c>
      <c r="C173" s="15"/>
      <c r="D173" s="16" t="str">
        <f>IFERROR(INDEX(المواد!$B$2:$B$320,MATCH(B173,المواد!$A$2:$A$320,0)),"")</f>
        <v>كغ</v>
      </c>
      <c r="E173" s="9"/>
      <c r="F173" t="str">
        <f>IF(AND($A173&lt;&gt;"",COUNTIF($A$2:A173,$A173)=1),$A173,"")</f>
        <v/>
      </c>
      <c r="G173" t="str">
        <f>IF($F173&lt;&gt;"",SUMPRODUCT(($F$2:F173&lt;&gt;"")*1),"")</f>
        <v/>
      </c>
    </row>
    <row r="174" spans="1:7" ht="21.95" customHeight="1">
      <c r="A174" s="9" t="s">
        <v>131</v>
      </c>
      <c r="B174" s="9" t="s">
        <v>99</v>
      </c>
      <c r="C174" s="15">
        <v>675</v>
      </c>
      <c r="D174" s="16" t="str">
        <f>IFERROR(INDEX(المواد!$B$2:$B$320,MATCH(B174,المواد!$A$2:$A$320,0)),"")</f>
        <v>كغ</v>
      </c>
      <c r="E174" s="9"/>
      <c r="F174" t="str">
        <f>IF(AND($A174&lt;&gt;"",COUNTIF($A$2:A174,$A174)=1),$A174,"")</f>
        <v/>
      </c>
      <c r="G174" t="str">
        <f>IF($F174&lt;&gt;"",SUMPRODUCT(($F$2:F174&lt;&gt;"")*1),"")</f>
        <v/>
      </c>
    </row>
    <row r="175" spans="1:7" ht="21.95" customHeight="1">
      <c r="A175" s="9" t="s">
        <v>131</v>
      </c>
      <c r="B175" s="9" t="s">
        <v>71</v>
      </c>
      <c r="C175" s="15">
        <v>2</v>
      </c>
      <c r="D175" s="16" t="str">
        <f>IFERROR(INDEX(المواد!$B$2:$B$320,MATCH(B175,المواد!$A$2:$A$320,0)),"")</f>
        <v/>
      </c>
      <c r="E175" s="9" t="s">
        <v>132</v>
      </c>
      <c r="F175" t="str">
        <f>IF(AND($A175&lt;&gt;"",COUNTIF($A$2:A175,$A175)=1),$A175,"")</f>
        <v/>
      </c>
      <c r="G175" t="str">
        <f>IF($F175&lt;&gt;"",SUMPRODUCT(($F$2:F175&lt;&gt;"")*1),"")</f>
        <v/>
      </c>
    </row>
    <row r="176" spans="1:7" ht="21.95" customHeight="1">
      <c r="A176" s="9" t="s">
        <v>131</v>
      </c>
      <c r="B176" s="9" t="s">
        <v>49</v>
      </c>
      <c r="C176" s="15">
        <v>25</v>
      </c>
      <c r="D176" s="16" t="str">
        <f>IFERROR(INDEX(المواد!$B$2:$B$320,MATCH(B176,المواد!$A$2:$A$320,0)),"")</f>
        <v/>
      </c>
      <c r="E176" s="9" t="s">
        <v>133</v>
      </c>
      <c r="F176" t="str">
        <f>IF(AND($A176&lt;&gt;"",COUNTIF($A$2:A176,$A176)=1),$A176,"")</f>
        <v/>
      </c>
      <c r="G176" t="str">
        <f>IF($F176&lt;&gt;"",SUMPRODUCT(($F$2:F176&lt;&gt;"")*1),"")</f>
        <v/>
      </c>
    </row>
    <row r="177" spans="1:7" ht="21.95" customHeight="1">
      <c r="A177" s="9" t="s">
        <v>134</v>
      </c>
      <c r="B177" s="9" t="s">
        <v>46</v>
      </c>
      <c r="C177" s="15">
        <v>35</v>
      </c>
      <c r="D177" s="16" t="str">
        <f>IFERROR(INDEX(المواد!$B$2:$B$320,MATCH(B177,المواد!$A$2:$A$320,0)),"")</f>
        <v>كغ</v>
      </c>
      <c r="E177" s="9"/>
      <c r="F177" t="str">
        <f>IF(AND($A177&lt;&gt;"",COUNTIF($A$2:A177,$A177)=1),$A177,"")</f>
        <v>لودلين فريز ثالث</v>
      </c>
      <c r="G177">
        <f>IF($F177&lt;&gt;"",SUMPRODUCT(($F$2:F177&lt;&gt;"")*1),"")</f>
        <v>22</v>
      </c>
    </row>
    <row r="178" spans="1:7" ht="21.95" customHeight="1">
      <c r="A178" s="9" t="s">
        <v>134</v>
      </c>
      <c r="B178" s="9" t="s">
        <v>35</v>
      </c>
      <c r="C178" s="15">
        <v>50</v>
      </c>
      <c r="D178" s="16" t="str">
        <f>IFERROR(INDEX(المواد!$B$2:$B$320,MATCH(B178,المواد!$A$2:$A$320,0)),"")</f>
        <v>كغ</v>
      </c>
      <c r="E178" s="9"/>
      <c r="F178" t="str">
        <f>IF(AND($A178&lt;&gt;"",COUNTIF($A$2:A178,$A178)=1),$A178,"")</f>
        <v/>
      </c>
      <c r="G178" t="str">
        <f>IF($F178&lt;&gt;"",SUMPRODUCT(($F$2:F178&lt;&gt;"")*1),"")</f>
        <v/>
      </c>
    </row>
    <row r="179" spans="1:7" ht="21.95" customHeight="1">
      <c r="A179" s="9" t="s">
        <v>134</v>
      </c>
      <c r="B179" s="9" t="s">
        <v>90</v>
      </c>
      <c r="C179" s="15">
        <v>4</v>
      </c>
      <c r="D179" s="16" t="str">
        <f>IFERROR(INDEX(المواد!$B$2:$B$320,MATCH(B179,المواد!$A$2:$A$320,0)),"")</f>
        <v/>
      </c>
      <c r="E179" s="9"/>
      <c r="F179" t="str">
        <f>IF(AND($A179&lt;&gt;"",COUNTIF($A$2:A179,$A179)=1),$A179,"")</f>
        <v/>
      </c>
      <c r="G179" t="str">
        <f>IF($F179&lt;&gt;"",SUMPRODUCT(($F$2:F179&lt;&gt;"")*1),"")</f>
        <v/>
      </c>
    </row>
    <row r="180" spans="1:7" ht="21.95" customHeight="1">
      <c r="A180" s="9" t="s">
        <v>134</v>
      </c>
      <c r="B180" s="9" t="s">
        <v>102</v>
      </c>
      <c r="C180" s="15">
        <v>2.5</v>
      </c>
      <c r="D180" s="16" t="str">
        <f>IFERROR(INDEX(المواد!$B$2:$B$320,MATCH(B180,المواد!$A$2:$A$320,0)),"")</f>
        <v/>
      </c>
      <c r="E180" s="9"/>
      <c r="F180" t="str">
        <f>IF(AND($A180&lt;&gt;"",COUNTIF($A$2:A180,$A180)=1),$A180,"")</f>
        <v/>
      </c>
      <c r="G180" t="str">
        <f>IF($F180&lt;&gt;"",SUMPRODUCT(($F$2:F180&lt;&gt;"")*1),"")</f>
        <v/>
      </c>
    </row>
    <row r="181" spans="1:7" ht="21.95" customHeight="1">
      <c r="A181" s="9" t="s">
        <v>134</v>
      </c>
      <c r="B181" s="9" t="s">
        <v>232</v>
      </c>
      <c r="C181" s="15">
        <v>1.5</v>
      </c>
      <c r="D181" s="16" t="str">
        <f>IFERROR(INDEX(المواد!$B$2:$B$320,MATCH(B181,المواد!$A$2:$A$320,0)),"")</f>
        <v>كغ</v>
      </c>
      <c r="E181" s="9"/>
      <c r="F181" t="str">
        <f>IF(AND($A181&lt;&gt;"",COUNTIF($A$2:A181,$A181)=1),$A181,"")</f>
        <v/>
      </c>
      <c r="G181" t="str">
        <f>IF($F181&lt;&gt;"",SUMPRODUCT(($F$2:F181&lt;&gt;"")*1),"")</f>
        <v/>
      </c>
    </row>
    <row r="182" spans="1:7" ht="21.95" customHeight="1">
      <c r="A182" s="9" t="s">
        <v>134</v>
      </c>
      <c r="B182" s="9" t="s">
        <v>34</v>
      </c>
      <c r="C182" s="15">
        <v>15</v>
      </c>
      <c r="D182" s="16" t="str">
        <f>IFERROR(INDEX(المواد!$B$2:$B$320,MATCH(B182,المواد!$A$2:$A$320,0)),"")</f>
        <v>كغ</v>
      </c>
      <c r="E182" s="9"/>
      <c r="F182" t="str">
        <f>IF(AND($A182&lt;&gt;"",COUNTIF($A$2:A182,$A182)=1),$A182,"")</f>
        <v/>
      </c>
      <c r="G182" t="str">
        <f>IF($F182&lt;&gt;"",SUMPRODUCT(($F$2:F182&lt;&gt;"")*1),"")</f>
        <v/>
      </c>
    </row>
    <row r="183" spans="1:7" ht="21.95" customHeight="1">
      <c r="A183" s="9" t="s">
        <v>134</v>
      </c>
      <c r="B183" s="9" t="s">
        <v>40</v>
      </c>
      <c r="C183" s="15"/>
      <c r="D183" s="16" t="str">
        <f>IFERROR(INDEX(المواد!$B$2:$B$320,MATCH(B183,المواد!$A$2:$A$320,0)),"")</f>
        <v>كغ</v>
      </c>
      <c r="E183" s="9"/>
      <c r="F183" t="str">
        <f>IF(AND($A183&lt;&gt;"",COUNTIF($A$2:A183,$A183)=1),$A183,"")</f>
        <v/>
      </c>
      <c r="G183" t="str">
        <f>IF($F183&lt;&gt;"",SUMPRODUCT(($F$2:F183&lt;&gt;"")*1),"")</f>
        <v/>
      </c>
    </row>
    <row r="184" spans="1:7" ht="21.95" customHeight="1">
      <c r="A184" s="9" t="s">
        <v>134</v>
      </c>
      <c r="B184" s="9" t="s">
        <v>99</v>
      </c>
      <c r="C184" s="15">
        <v>890</v>
      </c>
      <c r="D184" s="16" t="str">
        <f>IFERROR(INDEX(المواد!$B$2:$B$320,MATCH(B184,المواد!$A$2:$A$320,0)),"")</f>
        <v>كغ</v>
      </c>
      <c r="E184" s="9"/>
      <c r="F184" t="str">
        <f>IF(AND($A184&lt;&gt;"",COUNTIF($A$2:A184,$A184)=1),$A184,"")</f>
        <v/>
      </c>
      <c r="G184" t="str">
        <f>IF($F184&lt;&gt;"",SUMPRODUCT(($F$2:F184&lt;&gt;"")*1),"")</f>
        <v/>
      </c>
    </row>
    <row r="185" spans="1:7" ht="21.95" customHeight="1">
      <c r="A185" s="9" t="s">
        <v>134</v>
      </c>
      <c r="B185" s="9" t="s">
        <v>104</v>
      </c>
      <c r="C185" s="15">
        <v>75</v>
      </c>
      <c r="D185" s="16" t="str">
        <f>IFERROR(INDEX(المواد!$B$2:$B$320,MATCH(B185,المواد!$A$2:$A$320,0)),"")</f>
        <v>كغ</v>
      </c>
      <c r="E185" s="9" t="s">
        <v>256</v>
      </c>
      <c r="F185" t="str">
        <f>IF(AND($A185&lt;&gt;"",COUNTIF($A$2:A185,$A185)=1),$A185,"")</f>
        <v/>
      </c>
      <c r="G185" t="str">
        <f>IF($F185&lt;&gt;"",SUMPRODUCT(($F$2:F185&lt;&gt;"")*1),"")</f>
        <v/>
      </c>
    </row>
    <row r="186" spans="1:7" ht="21.95" customHeight="1">
      <c r="A186" s="9" t="s">
        <v>134</v>
      </c>
      <c r="B186" s="9" t="s">
        <v>49</v>
      </c>
      <c r="C186" s="15"/>
      <c r="D186" s="16" t="str">
        <f>IFERROR(INDEX(المواد!$B$2:$B$320,MATCH(B186,المواد!$A$2:$A$320,0)),"")</f>
        <v/>
      </c>
      <c r="E186" s="9"/>
      <c r="F186" t="str">
        <f>IF(AND($A186&lt;&gt;"",COUNTIF($A$2:A186,$A186)=1),$A186,"")</f>
        <v/>
      </c>
      <c r="G186" t="str">
        <f>IF($F186&lt;&gt;"",SUMPRODUCT(($F$2:F186&lt;&gt;"")*1),"")</f>
        <v/>
      </c>
    </row>
    <row r="187" spans="1:7" ht="21.95" customHeight="1">
      <c r="A187" s="9" t="s">
        <v>134</v>
      </c>
      <c r="B187" s="9" t="s">
        <v>80</v>
      </c>
      <c r="C187" s="15">
        <v>1</v>
      </c>
      <c r="D187" s="16" t="str">
        <f>IFERROR(INDEX(المواد!$B$2:$B$320,MATCH(B187,المواد!$A$2:$A$320,0)),"")</f>
        <v>كغ</v>
      </c>
      <c r="E187" s="9" t="s">
        <v>80</v>
      </c>
      <c r="F187" t="str">
        <f>IF(AND($A187&lt;&gt;"",COUNTIF($A$2:A187,$A187)=1),$A187,"")</f>
        <v/>
      </c>
      <c r="G187" t="str">
        <f>IF($F187&lt;&gt;"",SUMPRODUCT(($F$2:F187&lt;&gt;"")*1),"")</f>
        <v/>
      </c>
    </row>
    <row r="188" spans="1:7" ht="21.95" customHeight="1">
      <c r="A188" s="9" t="s">
        <v>135</v>
      </c>
      <c r="B188" s="9" t="s">
        <v>46</v>
      </c>
      <c r="C188" s="15">
        <v>60</v>
      </c>
      <c r="D188" s="16" t="str">
        <f>IFERROR(INDEX(المواد!$B$2:$B$320,MATCH(B188,المواد!$A$2:$A$320,0)),"")</f>
        <v>كغ</v>
      </c>
      <c r="E188" s="9"/>
      <c r="F188" t="str">
        <f>IF(AND($A188&lt;&gt;"",COUNTIF($A$2:A188,$A188)=1),$A188,"")</f>
        <v>لودلين فريز ثاني</v>
      </c>
      <c r="G188">
        <f>IF($F188&lt;&gt;"",SUMPRODUCT(($F$2:F188&lt;&gt;"")*1),"")</f>
        <v>23</v>
      </c>
    </row>
    <row r="189" spans="1:7" ht="21.95" customHeight="1">
      <c r="A189" s="9" t="s">
        <v>135</v>
      </c>
      <c r="B189" s="9" t="s">
        <v>35</v>
      </c>
      <c r="C189" s="15">
        <v>50</v>
      </c>
      <c r="D189" s="16" t="str">
        <f>IFERROR(INDEX(المواد!$B$2:$B$320,MATCH(B189,المواد!$A$2:$A$320,0)),"")</f>
        <v>كغ</v>
      </c>
      <c r="E189" s="9"/>
      <c r="F189" t="str">
        <f>IF(AND($A189&lt;&gt;"",COUNTIF($A$2:A189,$A189)=1),$A189,"")</f>
        <v/>
      </c>
      <c r="G189" t="str">
        <f>IF($F189&lt;&gt;"",SUMPRODUCT(($F$2:F189&lt;&gt;"")*1),"")</f>
        <v/>
      </c>
    </row>
    <row r="190" spans="1:7" ht="21.95" customHeight="1">
      <c r="A190" s="9" t="s">
        <v>135</v>
      </c>
      <c r="B190" s="9" t="s">
        <v>90</v>
      </c>
      <c r="C190" s="15">
        <v>7.25</v>
      </c>
      <c r="D190" s="16" t="str">
        <f>IFERROR(INDEX(المواد!$B$2:$B$320,MATCH(B190,المواد!$A$2:$A$320,0)),"")</f>
        <v/>
      </c>
      <c r="E190" s="9"/>
      <c r="F190" t="str">
        <f>IF(AND($A190&lt;&gt;"",COUNTIF($A$2:A190,$A190)=1),$A190,"")</f>
        <v/>
      </c>
      <c r="G190" t="str">
        <f>IF($F190&lt;&gt;"",SUMPRODUCT(($F$2:F190&lt;&gt;"")*1),"")</f>
        <v/>
      </c>
    </row>
    <row r="191" spans="1:7" ht="21.95" customHeight="1">
      <c r="A191" s="9" t="s">
        <v>135</v>
      </c>
      <c r="B191" s="9" t="s">
        <v>102</v>
      </c>
      <c r="C191" s="15">
        <v>2.5</v>
      </c>
      <c r="D191" s="16" t="str">
        <f>IFERROR(INDEX(المواد!$B$2:$B$320,MATCH(B191,المواد!$A$2:$A$320,0)),"")</f>
        <v/>
      </c>
      <c r="E191" s="9"/>
      <c r="F191" t="str">
        <f>IF(AND($A191&lt;&gt;"",COUNTIF($A$2:A191,$A191)=1),$A191,"")</f>
        <v/>
      </c>
      <c r="G191" t="str">
        <f>IF($F191&lt;&gt;"",SUMPRODUCT(($F$2:F191&lt;&gt;"")*1),"")</f>
        <v/>
      </c>
    </row>
    <row r="192" spans="1:7" ht="21.95" customHeight="1">
      <c r="A192" s="9" t="s">
        <v>135</v>
      </c>
      <c r="B192" s="9" t="s">
        <v>232</v>
      </c>
      <c r="C192" s="15">
        <v>1.5</v>
      </c>
      <c r="D192" s="16" t="str">
        <f>IFERROR(INDEX(المواد!$B$2:$B$320,MATCH(B192,المواد!$A$2:$A$320,0)),"")</f>
        <v>كغ</v>
      </c>
      <c r="E192" s="9"/>
      <c r="F192" t="str">
        <f>IF(AND($A192&lt;&gt;"",COUNTIF($A$2:A192,$A192)=1),$A192,"")</f>
        <v/>
      </c>
      <c r="G192" t="str">
        <f>IF($F192&lt;&gt;"",SUMPRODUCT(($F$2:F192&lt;&gt;"")*1),"")</f>
        <v/>
      </c>
    </row>
    <row r="193" spans="1:7" ht="21.95" customHeight="1">
      <c r="A193" s="9" t="s">
        <v>135</v>
      </c>
      <c r="B193" s="9" t="s">
        <v>34</v>
      </c>
      <c r="C193" s="15">
        <v>10</v>
      </c>
      <c r="D193" s="16" t="str">
        <f>IFERROR(INDEX(المواد!$B$2:$B$320,MATCH(B193,المواد!$A$2:$A$320,0)),"")</f>
        <v>كغ</v>
      </c>
      <c r="E193" s="9"/>
      <c r="F193" t="str">
        <f>IF(AND($A193&lt;&gt;"",COUNTIF($A$2:A193,$A193)=1),$A193,"")</f>
        <v/>
      </c>
      <c r="G193" t="str">
        <f>IF($F193&lt;&gt;"",SUMPRODUCT(($F$2:F193&lt;&gt;"")*1),"")</f>
        <v/>
      </c>
    </row>
    <row r="194" spans="1:7" ht="21.95" customHeight="1">
      <c r="A194" s="9" t="s">
        <v>135</v>
      </c>
      <c r="B194" s="9" t="s">
        <v>40</v>
      </c>
      <c r="C194" s="15"/>
      <c r="D194" s="16" t="str">
        <f>IFERROR(INDEX(المواد!$B$2:$B$320,MATCH(B194,المواد!$A$2:$A$320,0)),"")</f>
        <v>كغ</v>
      </c>
      <c r="E194" s="9"/>
      <c r="F194" t="str">
        <f>IF(AND($A194&lt;&gt;"",COUNTIF($A$2:A194,$A194)=1),$A194,"")</f>
        <v/>
      </c>
      <c r="G194" t="str">
        <f>IF($F194&lt;&gt;"",SUMPRODUCT(($F$2:F194&lt;&gt;"")*1),"")</f>
        <v/>
      </c>
    </row>
    <row r="195" spans="1:7" ht="21.95" customHeight="1">
      <c r="A195" s="9" t="s">
        <v>135</v>
      </c>
      <c r="B195" s="9" t="s">
        <v>99</v>
      </c>
      <c r="C195" s="15">
        <v>825</v>
      </c>
      <c r="D195" s="16" t="str">
        <f>IFERROR(INDEX(المواد!$B$2:$B$320,MATCH(B195,المواد!$A$2:$A$320,0)),"")</f>
        <v>كغ</v>
      </c>
      <c r="E195" s="9"/>
      <c r="F195" t="str">
        <f>IF(AND($A195&lt;&gt;"",COUNTIF($A$2:A195,$A195)=1),$A195,"")</f>
        <v/>
      </c>
      <c r="G195" t="str">
        <f>IF($F195&lt;&gt;"",SUMPRODUCT(($F$2:F195&lt;&gt;"")*1),"")</f>
        <v/>
      </c>
    </row>
    <row r="196" spans="1:7" ht="21.95" customHeight="1">
      <c r="A196" s="9" t="s">
        <v>135</v>
      </c>
      <c r="B196" s="9" t="s">
        <v>104</v>
      </c>
      <c r="C196" s="15">
        <v>50</v>
      </c>
      <c r="D196" s="16" t="str">
        <f>IFERROR(INDEX(المواد!$B$2:$B$320,MATCH(B196,المواد!$A$2:$A$320,0)),"")</f>
        <v>كغ</v>
      </c>
      <c r="E196" s="9" t="s">
        <v>256</v>
      </c>
      <c r="F196" t="str">
        <f>IF(AND($A196&lt;&gt;"",COUNTIF($A$2:A196,$A196)=1),$A196,"")</f>
        <v/>
      </c>
      <c r="G196" t="str">
        <f>IF($F196&lt;&gt;"",SUMPRODUCT(($F$2:F196&lt;&gt;"")*1),"")</f>
        <v/>
      </c>
    </row>
    <row r="197" spans="1:7" ht="21.95" customHeight="1">
      <c r="A197" s="9" t="s">
        <v>135</v>
      </c>
      <c r="B197" s="9" t="s">
        <v>49</v>
      </c>
      <c r="C197" s="15"/>
      <c r="D197" s="16" t="str">
        <f>IFERROR(INDEX(المواد!$B$2:$B$320,MATCH(B197,المواد!$A$2:$A$320,0)),"")</f>
        <v/>
      </c>
      <c r="E197" s="9"/>
      <c r="F197" t="str">
        <f>IF(AND($A197&lt;&gt;"",COUNTIF($A$2:A197,$A197)=1),$A197,"")</f>
        <v/>
      </c>
      <c r="G197" t="str">
        <f>IF($F197&lt;&gt;"",SUMPRODUCT(($F$2:F197&lt;&gt;"")*1),"")</f>
        <v/>
      </c>
    </row>
    <row r="198" spans="1:7" ht="21.95" customHeight="1">
      <c r="A198" s="9" t="s">
        <v>135</v>
      </c>
      <c r="B198" s="9" t="s">
        <v>71</v>
      </c>
      <c r="C198" s="15">
        <v>1</v>
      </c>
      <c r="D198" s="16" t="str">
        <f>IFERROR(INDEX(المواد!$B$2:$B$320,MATCH(B198,المواد!$A$2:$A$320,0)),"")</f>
        <v/>
      </c>
      <c r="E198" s="9" t="s">
        <v>124</v>
      </c>
      <c r="F198" t="str">
        <f>IF(AND($A198&lt;&gt;"",COUNTIF($A$2:A198,$A198)=1),$A198,"")</f>
        <v/>
      </c>
      <c r="G198" t="str">
        <f>IF($F198&lt;&gt;"",SUMPRODUCT(($F$2:F198&lt;&gt;"")*1),"")</f>
        <v/>
      </c>
    </row>
    <row r="199" spans="1:7" ht="21.95" customHeight="1">
      <c r="A199" s="9" t="s">
        <v>136</v>
      </c>
      <c r="B199" s="9" t="s">
        <v>46</v>
      </c>
      <c r="C199" s="15">
        <v>20</v>
      </c>
      <c r="D199" s="16" t="str">
        <f>IFERROR(INDEX(المواد!$B$2:$B$320,MATCH(B199,المواد!$A$2:$A$320,0)),"")</f>
        <v>كغ</v>
      </c>
      <c r="E199" s="9"/>
      <c r="F199" t="str">
        <f>IF(AND($A199&lt;&gt;"",COUNTIF($A$2:A199,$A199)=1),$A199,"")</f>
        <v>لودلين فريز رابع</v>
      </c>
      <c r="G199">
        <f>IF($F199&lt;&gt;"",SUMPRODUCT(($F$2:F199&lt;&gt;"")*1),"")</f>
        <v>24</v>
      </c>
    </row>
    <row r="200" spans="1:7" ht="21.95" customHeight="1">
      <c r="A200" s="9" t="s">
        <v>136</v>
      </c>
      <c r="B200" s="9" t="s">
        <v>35</v>
      </c>
      <c r="C200" s="15">
        <v>40</v>
      </c>
      <c r="D200" s="16" t="str">
        <f>IFERROR(INDEX(المواد!$B$2:$B$320,MATCH(B200,المواد!$A$2:$A$320,0)),"")</f>
        <v>كغ</v>
      </c>
      <c r="E200" s="9"/>
      <c r="F200" t="str">
        <f>IF(AND($A200&lt;&gt;"",COUNTIF($A$2:A200,$A200)=1),$A200,"")</f>
        <v/>
      </c>
      <c r="G200" t="str">
        <f>IF($F200&lt;&gt;"",SUMPRODUCT(($F$2:F200&lt;&gt;"")*1),"")</f>
        <v/>
      </c>
    </row>
    <row r="201" spans="1:7" ht="21.95" customHeight="1">
      <c r="A201" s="9" t="s">
        <v>136</v>
      </c>
      <c r="B201" s="9" t="s">
        <v>90</v>
      </c>
      <c r="C201" s="15">
        <v>2.5</v>
      </c>
      <c r="D201" s="16" t="str">
        <f>IFERROR(INDEX(المواد!$B$2:$B$320,MATCH(B201,المواد!$A$2:$A$320,0)),"")</f>
        <v/>
      </c>
      <c r="E201" s="9"/>
      <c r="F201" t="str">
        <f>IF(AND($A201&lt;&gt;"",COUNTIF($A$2:A201,$A201)=1),$A201,"")</f>
        <v/>
      </c>
      <c r="G201" t="str">
        <f>IF($F201&lt;&gt;"",SUMPRODUCT(($F$2:F201&lt;&gt;"")*1),"")</f>
        <v/>
      </c>
    </row>
    <row r="202" spans="1:7" ht="21.95" customHeight="1">
      <c r="A202" s="9" t="s">
        <v>136</v>
      </c>
      <c r="B202" s="9" t="s">
        <v>102</v>
      </c>
      <c r="C202" s="15">
        <v>3</v>
      </c>
      <c r="D202" s="16" t="str">
        <f>IFERROR(INDEX(المواد!$B$2:$B$320,MATCH(B202,المواد!$A$2:$A$320,0)),"")</f>
        <v/>
      </c>
      <c r="E202" s="9"/>
      <c r="F202" t="str">
        <f>IF(AND($A202&lt;&gt;"",COUNTIF($A$2:A202,$A202)=1),$A202,"")</f>
        <v/>
      </c>
      <c r="G202" t="str">
        <f>IF($F202&lt;&gt;"",SUMPRODUCT(($F$2:F202&lt;&gt;"")*1),"")</f>
        <v/>
      </c>
    </row>
    <row r="203" spans="1:7" ht="21.95" customHeight="1">
      <c r="A203" s="9" t="s">
        <v>136</v>
      </c>
      <c r="B203" s="9" t="s">
        <v>232</v>
      </c>
      <c r="C203" s="15">
        <v>1.5</v>
      </c>
      <c r="D203" s="16" t="str">
        <f>IFERROR(INDEX(المواد!$B$2:$B$320,MATCH(B203,المواد!$A$2:$A$320,0)),"")</f>
        <v>كغ</v>
      </c>
      <c r="E203" s="9"/>
      <c r="F203" t="str">
        <f>IF(AND($A203&lt;&gt;"",COUNTIF($A$2:A203,$A203)=1),$A203,"")</f>
        <v/>
      </c>
      <c r="G203" t="str">
        <f>IF($F203&lt;&gt;"",SUMPRODUCT(($F$2:F203&lt;&gt;"")*1),"")</f>
        <v/>
      </c>
    </row>
    <row r="204" spans="1:7" ht="21.95" customHeight="1">
      <c r="A204" s="9" t="s">
        <v>136</v>
      </c>
      <c r="B204" s="9" t="s">
        <v>34</v>
      </c>
      <c r="C204" s="15">
        <v>15</v>
      </c>
      <c r="D204" s="16" t="str">
        <f>IFERROR(INDEX(المواد!$B$2:$B$320,MATCH(B204,المواد!$A$2:$A$320,0)),"")</f>
        <v>كغ</v>
      </c>
      <c r="E204" s="9"/>
      <c r="F204" t="str">
        <f>IF(AND($A204&lt;&gt;"",COUNTIF($A$2:A204,$A204)=1),$A204,"")</f>
        <v/>
      </c>
      <c r="G204" t="str">
        <f>IF($F204&lt;&gt;"",SUMPRODUCT(($F$2:F204&lt;&gt;"")*1),"")</f>
        <v/>
      </c>
    </row>
    <row r="205" spans="1:7" ht="21.95" customHeight="1">
      <c r="A205" s="9" t="s">
        <v>136</v>
      </c>
      <c r="B205" s="9" t="s">
        <v>40</v>
      </c>
      <c r="C205" s="15"/>
      <c r="D205" s="16" t="str">
        <f>IFERROR(INDEX(المواد!$B$2:$B$320,MATCH(B205,المواد!$A$2:$A$320,0)),"")</f>
        <v>كغ</v>
      </c>
      <c r="E205" s="9"/>
      <c r="F205" t="str">
        <f>IF(AND($A205&lt;&gt;"",COUNTIF($A$2:A205,$A205)=1),$A205,"")</f>
        <v/>
      </c>
      <c r="G205" t="str">
        <f>IF($F205&lt;&gt;"",SUMPRODUCT(($F$2:F205&lt;&gt;"")*1),"")</f>
        <v/>
      </c>
    </row>
    <row r="206" spans="1:7" ht="21.95" customHeight="1">
      <c r="A206" s="9" t="s">
        <v>136</v>
      </c>
      <c r="B206" s="9" t="s">
        <v>99</v>
      </c>
      <c r="C206" s="15">
        <v>890</v>
      </c>
      <c r="D206" s="16" t="str">
        <f>IFERROR(INDEX(المواد!$B$2:$B$320,MATCH(B206,المواد!$A$2:$A$320,0)),"")</f>
        <v>كغ</v>
      </c>
      <c r="E206" s="9"/>
      <c r="F206" t="str">
        <f>IF(AND($A206&lt;&gt;"",COUNTIF($A$2:A206,$A206)=1),$A206,"")</f>
        <v/>
      </c>
      <c r="G206" t="str">
        <f>IF($F206&lt;&gt;"",SUMPRODUCT(($F$2:F206&lt;&gt;"")*1),"")</f>
        <v/>
      </c>
    </row>
    <row r="207" spans="1:7" ht="21.95" customHeight="1">
      <c r="A207" s="9" t="s">
        <v>136</v>
      </c>
      <c r="B207" s="9" t="s">
        <v>104</v>
      </c>
      <c r="C207" s="15">
        <v>100</v>
      </c>
      <c r="D207" s="16" t="str">
        <f>IFERROR(INDEX(المواد!$B$2:$B$320,MATCH(B207,المواد!$A$2:$A$320,0)),"")</f>
        <v>كغ</v>
      </c>
      <c r="E207" s="9" t="s">
        <v>256</v>
      </c>
      <c r="F207" t="str">
        <f>IF(AND($A207&lt;&gt;"",COUNTIF($A$2:A207,$A207)=1),$A207,"")</f>
        <v/>
      </c>
      <c r="G207" t="str">
        <f>IF($F207&lt;&gt;"",SUMPRODUCT(($F$2:F207&lt;&gt;"")*1),"")</f>
        <v/>
      </c>
    </row>
    <row r="208" spans="1:7" ht="21.95" customHeight="1">
      <c r="A208" s="9" t="s">
        <v>136</v>
      </c>
      <c r="B208" s="9" t="s">
        <v>49</v>
      </c>
      <c r="C208" s="15"/>
      <c r="D208" s="16" t="str">
        <f>IFERROR(INDEX(المواد!$B$2:$B$320,MATCH(B208,المواد!$A$2:$A$320,0)),"")</f>
        <v/>
      </c>
      <c r="E208" s="9"/>
      <c r="F208" t="str">
        <f>IF(AND($A208&lt;&gt;"",COUNTIF($A$2:A208,$A208)=1),$A208,"")</f>
        <v/>
      </c>
      <c r="G208" t="str">
        <f>IF($F208&lt;&gt;"",SUMPRODUCT(($F$2:F208&lt;&gt;"")*1),"")</f>
        <v/>
      </c>
    </row>
    <row r="209" spans="1:7" ht="21.95" customHeight="1">
      <c r="A209" s="9" t="s">
        <v>136</v>
      </c>
      <c r="B209" s="9" t="s">
        <v>80</v>
      </c>
      <c r="C209" s="15">
        <v>1</v>
      </c>
      <c r="D209" s="16" t="str">
        <f>IFERROR(INDEX(المواد!$B$2:$B$320,MATCH(B209,المواد!$A$2:$A$320,0)),"")</f>
        <v>كغ</v>
      </c>
      <c r="E209" s="9" t="s">
        <v>80</v>
      </c>
      <c r="F209" t="str">
        <f>IF(AND($A209&lt;&gt;"",COUNTIF($A$2:A209,$A209)=1),$A209,"")</f>
        <v/>
      </c>
      <c r="G209" t="str">
        <f>IF($F209&lt;&gt;"",SUMPRODUCT(($F$2:F209&lt;&gt;"")*1),"")</f>
        <v/>
      </c>
    </row>
    <row r="210" spans="1:7" ht="21.95" customHeight="1">
      <c r="A210" s="9" t="s">
        <v>137</v>
      </c>
      <c r="B210" s="9" t="s">
        <v>46</v>
      </c>
      <c r="C210" s="15">
        <v>150</v>
      </c>
      <c r="D210" s="16" t="str">
        <f>IFERROR(INDEX(المواد!$B$2:$B$320,MATCH(B210,المواد!$A$2:$A$320,0)),"")</f>
        <v>كغ</v>
      </c>
      <c r="E210" s="9"/>
      <c r="F210" t="str">
        <f>IF(AND($A210&lt;&gt;"",COUNTIF($A$2:A210,$A210)=1),$A210,"")</f>
        <v>لودلين ليلك أول</v>
      </c>
      <c r="G210">
        <f>IF($F210&lt;&gt;"",SUMPRODUCT(($F$2:F210&lt;&gt;"")*1),"")</f>
        <v>25</v>
      </c>
    </row>
    <row r="211" spans="1:7" ht="21.95" customHeight="1">
      <c r="A211" s="9" t="s">
        <v>137</v>
      </c>
      <c r="B211" s="9" t="s">
        <v>35</v>
      </c>
      <c r="C211" s="15">
        <v>100</v>
      </c>
      <c r="D211" s="16" t="str">
        <f>IFERROR(INDEX(المواد!$B$2:$B$320,MATCH(B211,المواد!$A$2:$A$320,0)),"")</f>
        <v>كغ</v>
      </c>
      <c r="E211" s="9"/>
      <c r="F211" t="str">
        <f>IF(AND($A211&lt;&gt;"",COUNTIF($A$2:A211,$A211)=1),$A211,"")</f>
        <v/>
      </c>
      <c r="G211" t="str">
        <f>IF($F211&lt;&gt;"",SUMPRODUCT(($F$2:F211&lt;&gt;"")*1),"")</f>
        <v/>
      </c>
    </row>
    <row r="212" spans="1:7" ht="21.95" customHeight="1">
      <c r="A212" s="9" t="s">
        <v>137</v>
      </c>
      <c r="B212" s="9" t="s">
        <v>90</v>
      </c>
      <c r="C212" s="15">
        <v>19</v>
      </c>
      <c r="D212" s="16" t="str">
        <f>IFERROR(INDEX(المواد!$B$2:$B$320,MATCH(B212,المواد!$A$2:$A$320,0)),"")</f>
        <v/>
      </c>
      <c r="E212" s="9"/>
      <c r="F212" t="str">
        <f>IF(AND($A212&lt;&gt;"",COUNTIF($A$2:A212,$A212)=1),$A212,"")</f>
        <v/>
      </c>
      <c r="G212" t="str">
        <f>IF($F212&lt;&gt;"",SUMPRODUCT(($F$2:F212&lt;&gt;"")*1),"")</f>
        <v/>
      </c>
    </row>
    <row r="213" spans="1:7" ht="21.95" customHeight="1">
      <c r="A213" s="9" t="s">
        <v>137</v>
      </c>
      <c r="B213" s="9" t="s">
        <v>88</v>
      </c>
      <c r="C213" s="15">
        <v>5</v>
      </c>
      <c r="D213" s="16" t="str">
        <f>IFERROR(INDEX(المواد!$B$2:$B$320,MATCH(B213,المواد!$A$2:$A$320,0)),"")</f>
        <v>كغ</v>
      </c>
      <c r="E213" s="9"/>
      <c r="F213" t="str">
        <f>IF(AND($A213&lt;&gt;"",COUNTIF($A$2:A213,$A213)=1),$A213,"")</f>
        <v/>
      </c>
      <c r="G213" t="str">
        <f>IF($F213&lt;&gt;"",SUMPRODUCT(($F$2:F213&lt;&gt;"")*1),"")</f>
        <v/>
      </c>
    </row>
    <row r="214" spans="1:7" ht="21.95" customHeight="1">
      <c r="A214" s="9" t="s">
        <v>137</v>
      </c>
      <c r="B214" s="9" t="s">
        <v>232</v>
      </c>
      <c r="C214" s="15">
        <v>1.5</v>
      </c>
      <c r="D214" s="16" t="str">
        <f>IFERROR(INDEX(المواد!$B$2:$B$320,MATCH(B214,المواد!$A$2:$A$320,0)),"")</f>
        <v>كغ</v>
      </c>
      <c r="E214" s="9"/>
      <c r="F214" t="str">
        <f>IF(AND($A214&lt;&gt;"",COUNTIF($A$2:A214,$A214)=1),$A214,"")</f>
        <v/>
      </c>
      <c r="G214" t="str">
        <f>IF($F214&lt;&gt;"",SUMPRODUCT(($F$2:F214&lt;&gt;"")*1),"")</f>
        <v/>
      </c>
    </row>
    <row r="215" spans="1:7" ht="21.95" customHeight="1">
      <c r="A215" s="9" t="s">
        <v>137</v>
      </c>
      <c r="B215" s="9" t="s">
        <v>34</v>
      </c>
      <c r="C215" s="15">
        <v>50</v>
      </c>
      <c r="D215" s="16" t="str">
        <f>IFERROR(INDEX(المواد!$B$2:$B$320,MATCH(B215,المواد!$A$2:$A$320,0)),"")</f>
        <v>كغ</v>
      </c>
      <c r="E215" s="9"/>
      <c r="F215" t="str">
        <f>IF(AND($A215&lt;&gt;"",COUNTIF($A$2:A215,$A215)=1),$A215,"")</f>
        <v/>
      </c>
      <c r="G215" t="str">
        <f>IF($F215&lt;&gt;"",SUMPRODUCT(($F$2:F215&lt;&gt;"")*1),"")</f>
        <v/>
      </c>
    </row>
    <row r="216" spans="1:7" ht="21.95" customHeight="1">
      <c r="A216" s="9" t="s">
        <v>137</v>
      </c>
      <c r="B216" s="9" t="s">
        <v>40</v>
      </c>
      <c r="C216" s="15"/>
      <c r="D216" s="16" t="str">
        <f>IFERROR(INDEX(المواد!$B$2:$B$320,MATCH(B216,المواد!$A$2:$A$320,0)),"")</f>
        <v>كغ</v>
      </c>
      <c r="E216" s="9"/>
      <c r="F216" t="str">
        <f>IF(AND($A216&lt;&gt;"",COUNTIF($A$2:A216,$A216)=1),$A216,"")</f>
        <v/>
      </c>
      <c r="G216" t="str">
        <f>IF($F216&lt;&gt;"",SUMPRODUCT(($F$2:F216&lt;&gt;"")*1),"")</f>
        <v/>
      </c>
    </row>
    <row r="217" spans="1:7" ht="21.95" customHeight="1">
      <c r="A217" s="9" t="s">
        <v>137</v>
      </c>
      <c r="B217" s="9" t="s">
        <v>99</v>
      </c>
      <c r="C217" s="15">
        <v>675</v>
      </c>
      <c r="D217" s="16" t="str">
        <f>IFERROR(INDEX(المواد!$B$2:$B$320,MATCH(B217,المواد!$A$2:$A$320,0)),"")</f>
        <v>كغ</v>
      </c>
      <c r="E217" s="9"/>
      <c r="F217" t="str">
        <f>IF(AND($A217&lt;&gt;"",COUNTIF($A$2:A217,$A217)=1),$A217,"")</f>
        <v/>
      </c>
      <c r="G217" t="str">
        <f>IF($F217&lt;&gt;"",SUMPRODUCT(($F$2:F217&lt;&gt;"")*1),"")</f>
        <v/>
      </c>
    </row>
    <row r="218" spans="1:7" ht="21.95" customHeight="1">
      <c r="A218" s="9" t="s">
        <v>137</v>
      </c>
      <c r="B218" s="9" t="s">
        <v>60</v>
      </c>
      <c r="C218" s="15">
        <v>2</v>
      </c>
      <c r="D218" s="16" t="str">
        <f>IFERROR(INDEX(المواد!$B$2:$B$320,MATCH(B218,المواد!$A$2:$A$320,0)),"")</f>
        <v/>
      </c>
      <c r="E218" s="9" t="s">
        <v>138</v>
      </c>
      <c r="F218" t="str">
        <f>IF(AND($A218&lt;&gt;"",COUNTIF($A$2:A218,$A218)=1),$A218,"")</f>
        <v/>
      </c>
      <c r="G218" t="str">
        <f>IF($F218&lt;&gt;"",SUMPRODUCT(($F$2:F218&lt;&gt;"")*1),"")</f>
        <v/>
      </c>
    </row>
    <row r="219" spans="1:7" ht="21.95" customHeight="1">
      <c r="A219" s="9" t="s">
        <v>137</v>
      </c>
      <c r="B219" s="9" t="s">
        <v>49</v>
      </c>
      <c r="C219" s="15">
        <v>25</v>
      </c>
      <c r="D219" s="16" t="str">
        <f>IFERROR(INDEX(المواد!$B$2:$B$320,MATCH(B219,المواد!$A$2:$A$320,0)),"")</f>
        <v/>
      </c>
      <c r="E219" s="9" t="s">
        <v>139</v>
      </c>
      <c r="F219" t="str">
        <f>IF(AND($A219&lt;&gt;"",COUNTIF($A$2:A219,$A219)=1),$A219,"")</f>
        <v/>
      </c>
      <c r="G219" t="str">
        <f>IF($F219&lt;&gt;"",SUMPRODUCT(($F$2:F219&lt;&gt;"")*1),"")</f>
        <v/>
      </c>
    </row>
    <row r="220" spans="1:7" ht="21.95" customHeight="1">
      <c r="A220" s="9" t="s">
        <v>140</v>
      </c>
      <c r="B220" s="9" t="s">
        <v>46</v>
      </c>
      <c r="C220" s="15">
        <v>35</v>
      </c>
      <c r="D220" s="16" t="str">
        <f>IFERROR(INDEX(المواد!$B$2:$B$320,MATCH(B220,المواد!$A$2:$A$320,0)),"")</f>
        <v>كغ</v>
      </c>
      <c r="E220" s="9"/>
      <c r="F220" t="str">
        <f>IF(AND($A220&lt;&gt;"",COUNTIF($A$2:A220,$A220)=1),$A220,"")</f>
        <v>لودلين ليلك ثالث</v>
      </c>
      <c r="G220">
        <f>IF($F220&lt;&gt;"",SUMPRODUCT(($F$2:F220&lt;&gt;"")*1),"")</f>
        <v>26</v>
      </c>
    </row>
    <row r="221" spans="1:7" ht="21.95" customHeight="1">
      <c r="A221" s="9" t="s">
        <v>140</v>
      </c>
      <c r="B221" s="9" t="s">
        <v>35</v>
      </c>
      <c r="C221" s="15">
        <v>50</v>
      </c>
      <c r="D221" s="16" t="str">
        <f>IFERROR(INDEX(المواد!$B$2:$B$320,MATCH(B221,المواد!$A$2:$A$320,0)),"")</f>
        <v>كغ</v>
      </c>
      <c r="E221" s="9"/>
      <c r="F221" t="str">
        <f>IF(AND($A221&lt;&gt;"",COUNTIF($A$2:A221,$A221)=1),$A221,"")</f>
        <v/>
      </c>
      <c r="G221" t="str">
        <f>IF($F221&lt;&gt;"",SUMPRODUCT(($F$2:F221&lt;&gt;"")*1),"")</f>
        <v/>
      </c>
    </row>
    <row r="222" spans="1:7" ht="21.95" customHeight="1">
      <c r="A222" s="9" t="s">
        <v>140</v>
      </c>
      <c r="B222" s="9" t="s">
        <v>90</v>
      </c>
      <c r="C222" s="15">
        <v>4</v>
      </c>
      <c r="D222" s="16" t="str">
        <f>IFERROR(INDEX(المواد!$B$2:$B$320,MATCH(B222,المواد!$A$2:$A$320,0)),"")</f>
        <v/>
      </c>
      <c r="E222" s="9"/>
      <c r="F222" t="str">
        <f>IF(AND($A222&lt;&gt;"",COUNTIF($A$2:A222,$A222)=1),$A222,"")</f>
        <v/>
      </c>
      <c r="G222" t="str">
        <f>IF($F222&lt;&gt;"",SUMPRODUCT(($F$2:F222&lt;&gt;"")*1),"")</f>
        <v/>
      </c>
    </row>
    <row r="223" spans="1:7" ht="21.95" customHeight="1">
      <c r="A223" s="9" t="s">
        <v>140</v>
      </c>
      <c r="B223" s="9" t="s">
        <v>102</v>
      </c>
      <c r="C223" s="15">
        <v>2.5</v>
      </c>
      <c r="D223" s="16" t="str">
        <f>IFERROR(INDEX(المواد!$B$2:$B$320,MATCH(B223,المواد!$A$2:$A$320,0)),"")</f>
        <v/>
      </c>
      <c r="E223" s="9"/>
      <c r="F223" t="str">
        <f>IF(AND($A223&lt;&gt;"",COUNTIF($A$2:A223,$A223)=1),$A223,"")</f>
        <v/>
      </c>
      <c r="G223" t="str">
        <f>IF($F223&lt;&gt;"",SUMPRODUCT(($F$2:F223&lt;&gt;"")*1),"")</f>
        <v/>
      </c>
    </row>
    <row r="224" spans="1:7" ht="21.95" customHeight="1">
      <c r="A224" s="9" t="s">
        <v>140</v>
      </c>
      <c r="B224" s="9" t="s">
        <v>232</v>
      </c>
      <c r="C224" s="15">
        <v>1.5</v>
      </c>
      <c r="D224" s="16" t="str">
        <f>IFERROR(INDEX(المواد!$B$2:$B$320,MATCH(B224,المواد!$A$2:$A$320,0)),"")</f>
        <v>كغ</v>
      </c>
      <c r="E224" s="9"/>
      <c r="F224" t="str">
        <f>IF(AND($A224&lt;&gt;"",COUNTIF($A$2:A224,$A224)=1),$A224,"")</f>
        <v/>
      </c>
      <c r="G224" t="str">
        <f>IF($F224&lt;&gt;"",SUMPRODUCT(($F$2:F224&lt;&gt;"")*1),"")</f>
        <v/>
      </c>
    </row>
    <row r="225" spans="1:7" ht="21.95" customHeight="1">
      <c r="A225" s="9" t="s">
        <v>140</v>
      </c>
      <c r="B225" s="9" t="s">
        <v>34</v>
      </c>
      <c r="C225" s="15">
        <v>15</v>
      </c>
      <c r="D225" s="16" t="str">
        <f>IFERROR(INDEX(المواد!$B$2:$B$320,MATCH(B225,المواد!$A$2:$A$320,0)),"")</f>
        <v>كغ</v>
      </c>
      <c r="E225" s="9"/>
      <c r="F225" t="str">
        <f>IF(AND($A225&lt;&gt;"",COUNTIF($A$2:A225,$A225)=1),$A225,"")</f>
        <v/>
      </c>
      <c r="G225" t="str">
        <f>IF($F225&lt;&gt;"",SUMPRODUCT(($F$2:F225&lt;&gt;"")*1),"")</f>
        <v/>
      </c>
    </row>
    <row r="226" spans="1:7" ht="21.95" customHeight="1">
      <c r="A226" s="9" t="s">
        <v>140</v>
      </c>
      <c r="B226" s="9" t="s">
        <v>40</v>
      </c>
      <c r="C226" s="15"/>
      <c r="D226" s="16" t="str">
        <f>IFERROR(INDEX(المواد!$B$2:$B$320,MATCH(B226,المواد!$A$2:$A$320,0)),"")</f>
        <v>كغ</v>
      </c>
      <c r="E226" s="9"/>
      <c r="F226" t="str">
        <f>IF(AND($A226&lt;&gt;"",COUNTIF($A$2:A226,$A226)=1),$A226,"")</f>
        <v/>
      </c>
      <c r="G226" t="str">
        <f>IF($F226&lt;&gt;"",SUMPRODUCT(($F$2:F226&lt;&gt;"")*1),"")</f>
        <v/>
      </c>
    </row>
    <row r="227" spans="1:7" ht="21.95" customHeight="1">
      <c r="A227" s="9" t="s">
        <v>140</v>
      </c>
      <c r="B227" s="9" t="s">
        <v>99</v>
      </c>
      <c r="C227" s="15">
        <v>890</v>
      </c>
      <c r="D227" s="16" t="str">
        <f>IFERROR(INDEX(المواد!$B$2:$B$320,MATCH(B227,المواد!$A$2:$A$320,0)),"")</f>
        <v>كغ</v>
      </c>
      <c r="E227" s="9"/>
      <c r="F227" t="str">
        <f>IF(AND($A227&lt;&gt;"",COUNTIF($A$2:A227,$A227)=1),$A227,"")</f>
        <v/>
      </c>
      <c r="G227" t="str">
        <f>IF($F227&lt;&gt;"",SUMPRODUCT(($F$2:F227&lt;&gt;"")*1),"")</f>
        <v/>
      </c>
    </row>
    <row r="228" spans="1:7" ht="21.95" customHeight="1">
      <c r="A228" s="9" t="s">
        <v>140</v>
      </c>
      <c r="B228" s="9" t="s">
        <v>104</v>
      </c>
      <c r="C228" s="15">
        <v>75</v>
      </c>
      <c r="D228" s="16" t="str">
        <f>IFERROR(INDEX(المواد!$B$2:$B$320,MATCH(B228,المواد!$A$2:$A$320,0)),"")</f>
        <v>كغ</v>
      </c>
      <c r="E228" s="9" t="s">
        <v>122</v>
      </c>
      <c r="F228" t="str">
        <f>IF(AND($A228&lt;&gt;"",COUNTIF($A$2:A228,$A228)=1),$A228,"")</f>
        <v/>
      </c>
      <c r="G228" t="str">
        <f>IF($F228&lt;&gt;"",SUMPRODUCT(($F$2:F228&lt;&gt;"")*1),"")</f>
        <v/>
      </c>
    </row>
    <row r="229" spans="1:7" ht="21.95" customHeight="1">
      <c r="A229" s="9" t="s">
        <v>140</v>
      </c>
      <c r="B229" s="9" t="s">
        <v>49</v>
      </c>
      <c r="C229" s="15"/>
      <c r="D229" s="16" t="str">
        <f>IFERROR(INDEX(المواد!$B$2:$B$320,MATCH(B229,المواد!$A$2:$A$320,0)),"")</f>
        <v/>
      </c>
      <c r="E229" s="9"/>
      <c r="F229" t="str">
        <f>IF(AND($A229&lt;&gt;"",COUNTIF($A$2:A229,$A229)=1),$A229,"")</f>
        <v/>
      </c>
      <c r="G229" t="str">
        <f>IF($F229&lt;&gt;"",SUMPRODUCT(($F$2:F229&lt;&gt;"")*1),"")</f>
        <v/>
      </c>
    </row>
    <row r="230" spans="1:7" ht="21.95" customHeight="1">
      <c r="A230" s="9" t="s">
        <v>140</v>
      </c>
      <c r="B230" s="9" t="s">
        <v>80</v>
      </c>
      <c r="C230" s="15">
        <v>1</v>
      </c>
      <c r="D230" s="16" t="str">
        <f>IFERROR(INDEX(المواد!$B$2:$B$320,MATCH(B230,المواد!$A$2:$A$320,0)),"")</f>
        <v>كغ</v>
      </c>
      <c r="E230" s="9" t="s">
        <v>80</v>
      </c>
      <c r="F230" t="str">
        <f>IF(AND($A230&lt;&gt;"",COUNTIF($A$2:A230,$A230)=1),$A230,"")</f>
        <v/>
      </c>
      <c r="G230" t="str">
        <f>IF($F230&lt;&gt;"",SUMPRODUCT(($F$2:F230&lt;&gt;"")*1),"")</f>
        <v/>
      </c>
    </row>
    <row r="231" spans="1:7" ht="21.95" customHeight="1">
      <c r="A231" s="9" t="s">
        <v>141</v>
      </c>
      <c r="B231" s="9" t="s">
        <v>46</v>
      </c>
      <c r="C231" s="15">
        <v>60</v>
      </c>
      <c r="D231" s="16" t="str">
        <f>IFERROR(INDEX(المواد!$B$2:$B$320,MATCH(B231,المواد!$A$2:$A$320,0)),"")</f>
        <v>كغ</v>
      </c>
      <c r="E231" s="9"/>
      <c r="F231" t="str">
        <f>IF(AND($A231&lt;&gt;"",COUNTIF($A$2:A231,$A231)=1),$A231,"")</f>
        <v>لودلين ليلك ثاني</v>
      </c>
      <c r="G231">
        <f>IF($F231&lt;&gt;"",SUMPRODUCT(($F$2:F231&lt;&gt;"")*1),"")</f>
        <v>27</v>
      </c>
    </row>
    <row r="232" spans="1:7" ht="21.95" customHeight="1">
      <c r="A232" s="9" t="s">
        <v>141</v>
      </c>
      <c r="B232" s="9" t="s">
        <v>35</v>
      </c>
      <c r="C232" s="15">
        <v>50</v>
      </c>
      <c r="D232" s="16" t="str">
        <f>IFERROR(INDEX(المواد!$B$2:$B$320,MATCH(B232,المواد!$A$2:$A$320,0)),"")</f>
        <v>كغ</v>
      </c>
      <c r="E232" s="9"/>
      <c r="F232" t="str">
        <f>IF(AND($A232&lt;&gt;"",COUNTIF($A$2:A232,$A232)=1),$A232,"")</f>
        <v/>
      </c>
      <c r="G232" t="str">
        <f>IF($F232&lt;&gt;"",SUMPRODUCT(($F$2:F232&lt;&gt;"")*1),"")</f>
        <v/>
      </c>
    </row>
    <row r="233" spans="1:7" ht="21.95" customHeight="1">
      <c r="A233" s="9" t="s">
        <v>141</v>
      </c>
      <c r="B233" s="9" t="s">
        <v>90</v>
      </c>
      <c r="C233" s="15">
        <v>7.25</v>
      </c>
      <c r="D233" s="16" t="str">
        <f>IFERROR(INDEX(المواد!$B$2:$B$320,MATCH(B233,المواد!$A$2:$A$320,0)),"")</f>
        <v/>
      </c>
      <c r="E233" s="9"/>
      <c r="F233" t="str">
        <f>IF(AND($A233&lt;&gt;"",COUNTIF($A$2:A233,$A233)=1),$A233,"")</f>
        <v/>
      </c>
      <c r="G233" t="str">
        <f>IF($F233&lt;&gt;"",SUMPRODUCT(($F$2:F233&lt;&gt;"")*1),"")</f>
        <v/>
      </c>
    </row>
    <row r="234" spans="1:7" ht="21.95" customHeight="1">
      <c r="A234" s="9" t="s">
        <v>141</v>
      </c>
      <c r="B234" s="9" t="s">
        <v>102</v>
      </c>
      <c r="C234" s="15">
        <v>2.5</v>
      </c>
      <c r="D234" s="16" t="str">
        <f>IFERROR(INDEX(المواد!$B$2:$B$320,MATCH(B234,المواد!$A$2:$A$320,0)),"")</f>
        <v/>
      </c>
      <c r="E234" s="9"/>
      <c r="F234" t="str">
        <f>IF(AND($A234&lt;&gt;"",COUNTIF($A$2:A234,$A234)=1),$A234,"")</f>
        <v/>
      </c>
      <c r="G234" t="str">
        <f>IF($F234&lt;&gt;"",SUMPRODUCT(($F$2:F234&lt;&gt;"")*1),"")</f>
        <v/>
      </c>
    </row>
    <row r="235" spans="1:7" ht="21.95" customHeight="1">
      <c r="A235" s="9" t="s">
        <v>141</v>
      </c>
      <c r="B235" s="9" t="s">
        <v>232</v>
      </c>
      <c r="C235" s="15">
        <v>1.5</v>
      </c>
      <c r="D235" s="16" t="str">
        <f>IFERROR(INDEX(المواد!$B$2:$B$320,MATCH(B235,المواد!$A$2:$A$320,0)),"")</f>
        <v>كغ</v>
      </c>
      <c r="E235" s="9"/>
      <c r="F235" t="str">
        <f>IF(AND($A235&lt;&gt;"",COUNTIF($A$2:A235,$A235)=1),$A235,"")</f>
        <v/>
      </c>
      <c r="G235" t="str">
        <f>IF($F235&lt;&gt;"",SUMPRODUCT(($F$2:F235&lt;&gt;"")*1),"")</f>
        <v/>
      </c>
    </row>
    <row r="236" spans="1:7" ht="21.95" customHeight="1">
      <c r="A236" s="9" t="s">
        <v>141</v>
      </c>
      <c r="B236" s="9" t="s">
        <v>34</v>
      </c>
      <c r="C236" s="15">
        <v>10</v>
      </c>
      <c r="D236" s="16" t="str">
        <f>IFERROR(INDEX(المواد!$B$2:$B$320,MATCH(B236,المواد!$A$2:$A$320,0)),"")</f>
        <v>كغ</v>
      </c>
      <c r="E236" s="9"/>
      <c r="F236" t="str">
        <f>IF(AND($A236&lt;&gt;"",COUNTIF($A$2:A236,$A236)=1),$A236,"")</f>
        <v/>
      </c>
      <c r="G236" t="str">
        <f>IF($F236&lt;&gt;"",SUMPRODUCT(($F$2:F236&lt;&gt;"")*1),"")</f>
        <v/>
      </c>
    </row>
    <row r="237" spans="1:7" ht="21.95" customHeight="1">
      <c r="A237" s="9" t="s">
        <v>141</v>
      </c>
      <c r="B237" s="9" t="s">
        <v>40</v>
      </c>
      <c r="C237" s="15"/>
      <c r="D237" s="16" t="str">
        <f>IFERROR(INDEX(المواد!$B$2:$B$320,MATCH(B237,المواد!$A$2:$A$320,0)),"")</f>
        <v>كغ</v>
      </c>
      <c r="E237" s="9"/>
      <c r="F237" t="str">
        <f>IF(AND($A237&lt;&gt;"",COUNTIF($A$2:A237,$A237)=1),$A237,"")</f>
        <v/>
      </c>
      <c r="G237" t="str">
        <f>IF($F237&lt;&gt;"",SUMPRODUCT(($F$2:F237&lt;&gt;"")*1),"")</f>
        <v/>
      </c>
    </row>
    <row r="238" spans="1:7" ht="21.95" customHeight="1">
      <c r="A238" s="9" t="s">
        <v>141</v>
      </c>
      <c r="B238" s="9" t="s">
        <v>99</v>
      </c>
      <c r="C238" s="15">
        <v>825</v>
      </c>
      <c r="D238" s="16" t="str">
        <f>IFERROR(INDEX(المواد!$B$2:$B$320,MATCH(B238,المواد!$A$2:$A$320,0)),"")</f>
        <v>كغ</v>
      </c>
      <c r="E238" s="9"/>
      <c r="F238" t="str">
        <f>IF(AND($A238&lt;&gt;"",COUNTIF($A$2:A238,$A238)=1),$A238,"")</f>
        <v/>
      </c>
      <c r="G238" t="str">
        <f>IF($F238&lt;&gt;"",SUMPRODUCT(($F$2:F238&lt;&gt;"")*1),"")</f>
        <v/>
      </c>
    </row>
    <row r="239" spans="1:7" ht="21.95" customHeight="1">
      <c r="A239" s="9" t="s">
        <v>141</v>
      </c>
      <c r="B239" s="9" t="s">
        <v>104</v>
      </c>
      <c r="C239" s="15">
        <v>50</v>
      </c>
      <c r="D239" s="16" t="str">
        <f>IFERROR(INDEX(المواد!$B$2:$B$320,MATCH(B239,المواد!$A$2:$A$320,0)),"")</f>
        <v>كغ</v>
      </c>
      <c r="E239" s="9" t="s">
        <v>122</v>
      </c>
      <c r="F239" t="str">
        <f>IF(AND($A239&lt;&gt;"",COUNTIF($A$2:A239,$A239)=1),$A239,"")</f>
        <v/>
      </c>
      <c r="G239" t="str">
        <f>IF($F239&lt;&gt;"",SUMPRODUCT(($F$2:F239&lt;&gt;"")*1),"")</f>
        <v/>
      </c>
    </row>
    <row r="240" spans="1:7" ht="21.95" customHeight="1">
      <c r="A240" s="9" t="s">
        <v>141</v>
      </c>
      <c r="B240" s="9" t="s">
        <v>49</v>
      </c>
      <c r="C240" s="15"/>
      <c r="D240" s="16" t="str">
        <f>IFERROR(INDEX(المواد!$B$2:$B$320,MATCH(B240,المواد!$A$2:$A$320,0)),"")</f>
        <v/>
      </c>
      <c r="E240" s="9"/>
      <c r="F240" t="str">
        <f>IF(AND($A240&lt;&gt;"",COUNTIF($A$2:A240,$A240)=1),$A240,"")</f>
        <v/>
      </c>
      <c r="G240" t="str">
        <f>IF($F240&lt;&gt;"",SUMPRODUCT(($F$2:F240&lt;&gt;"")*1),"")</f>
        <v/>
      </c>
    </row>
    <row r="241" spans="1:7" ht="21.95" customHeight="1">
      <c r="A241" s="9" t="s">
        <v>141</v>
      </c>
      <c r="B241" s="9" t="s">
        <v>60</v>
      </c>
      <c r="C241" s="15">
        <v>1</v>
      </c>
      <c r="D241" s="16" t="str">
        <f>IFERROR(INDEX(المواد!$B$2:$B$320,MATCH(B241,المواد!$A$2:$A$320,0)),"")</f>
        <v/>
      </c>
      <c r="E241" s="9" t="s">
        <v>138</v>
      </c>
      <c r="F241" t="str">
        <f>IF(AND($A241&lt;&gt;"",COUNTIF($A$2:A241,$A241)=1),$A241,"")</f>
        <v/>
      </c>
      <c r="G241" t="str">
        <f>IF($F241&lt;&gt;"",SUMPRODUCT(($F$2:F241&lt;&gt;"")*1),"")</f>
        <v/>
      </c>
    </row>
    <row r="242" spans="1:7" ht="21.95" customHeight="1">
      <c r="A242" s="9" t="s">
        <v>142</v>
      </c>
      <c r="B242" s="9" t="s">
        <v>46</v>
      </c>
      <c r="C242" s="15">
        <v>20</v>
      </c>
      <c r="D242" s="16" t="str">
        <f>IFERROR(INDEX(المواد!$B$2:$B$320,MATCH(B242,المواد!$A$2:$A$320,0)),"")</f>
        <v>كغ</v>
      </c>
      <c r="E242" s="9"/>
      <c r="F242" t="str">
        <f>IF(AND($A242&lt;&gt;"",COUNTIF($A$2:A242,$A242)=1),$A242,"")</f>
        <v>لودلين ليلك رابع</v>
      </c>
      <c r="G242">
        <f>IF($F242&lt;&gt;"",SUMPRODUCT(($F$2:F242&lt;&gt;"")*1),"")</f>
        <v>28</v>
      </c>
    </row>
    <row r="243" spans="1:7" ht="21.95" customHeight="1">
      <c r="A243" s="9" t="s">
        <v>142</v>
      </c>
      <c r="B243" s="9" t="s">
        <v>35</v>
      </c>
      <c r="C243" s="15">
        <v>40</v>
      </c>
      <c r="D243" s="16" t="str">
        <f>IFERROR(INDEX(المواد!$B$2:$B$320,MATCH(B243,المواد!$A$2:$A$320,0)),"")</f>
        <v>كغ</v>
      </c>
      <c r="E243" s="9"/>
      <c r="F243" t="str">
        <f>IF(AND($A243&lt;&gt;"",COUNTIF($A$2:A243,$A243)=1),$A243,"")</f>
        <v/>
      </c>
      <c r="G243" t="str">
        <f>IF($F243&lt;&gt;"",SUMPRODUCT(($F$2:F243&lt;&gt;"")*1),"")</f>
        <v/>
      </c>
    </row>
    <row r="244" spans="1:7" ht="21.95" customHeight="1">
      <c r="A244" s="9" t="s">
        <v>142</v>
      </c>
      <c r="B244" s="9" t="s">
        <v>90</v>
      </c>
      <c r="C244" s="15">
        <v>2.5</v>
      </c>
      <c r="D244" s="16" t="str">
        <f>IFERROR(INDEX(المواد!$B$2:$B$320,MATCH(B244,المواد!$A$2:$A$320,0)),"")</f>
        <v/>
      </c>
      <c r="E244" s="9"/>
      <c r="F244" t="str">
        <f>IF(AND($A244&lt;&gt;"",COUNTIF($A$2:A244,$A244)=1),$A244,"")</f>
        <v/>
      </c>
      <c r="G244" t="str">
        <f>IF($F244&lt;&gt;"",SUMPRODUCT(($F$2:F244&lt;&gt;"")*1),"")</f>
        <v/>
      </c>
    </row>
    <row r="245" spans="1:7" ht="21.95" customHeight="1">
      <c r="A245" s="9" t="s">
        <v>142</v>
      </c>
      <c r="B245" s="9" t="s">
        <v>102</v>
      </c>
      <c r="C245" s="15">
        <v>3</v>
      </c>
      <c r="D245" s="16" t="str">
        <f>IFERROR(INDEX(المواد!$B$2:$B$320,MATCH(B245,المواد!$A$2:$A$320,0)),"")</f>
        <v/>
      </c>
      <c r="E245" s="9"/>
      <c r="F245" t="str">
        <f>IF(AND($A245&lt;&gt;"",COUNTIF($A$2:A245,$A245)=1),$A245,"")</f>
        <v/>
      </c>
      <c r="G245" t="str">
        <f>IF($F245&lt;&gt;"",SUMPRODUCT(($F$2:F245&lt;&gt;"")*1),"")</f>
        <v/>
      </c>
    </row>
    <row r="246" spans="1:7" ht="21.95" customHeight="1">
      <c r="A246" s="9" t="s">
        <v>142</v>
      </c>
      <c r="B246" s="9" t="s">
        <v>232</v>
      </c>
      <c r="C246" s="15">
        <v>1.5</v>
      </c>
      <c r="D246" s="16" t="str">
        <f>IFERROR(INDEX(المواد!$B$2:$B$320,MATCH(B246,المواد!$A$2:$A$320,0)),"")</f>
        <v>كغ</v>
      </c>
      <c r="E246" s="9"/>
      <c r="F246" t="str">
        <f>IF(AND($A246&lt;&gt;"",COUNTIF($A$2:A246,$A246)=1),$A246,"")</f>
        <v/>
      </c>
      <c r="G246" t="str">
        <f>IF($F246&lt;&gt;"",SUMPRODUCT(($F$2:F246&lt;&gt;"")*1),"")</f>
        <v/>
      </c>
    </row>
    <row r="247" spans="1:7" ht="21.95" customHeight="1">
      <c r="A247" s="9" t="s">
        <v>142</v>
      </c>
      <c r="B247" s="9" t="s">
        <v>34</v>
      </c>
      <c r="C247" s="15">
        <v>15</v>
      </c>
      <c r="D247" s="16" t="str">
        <f>IFERROR(INDEX(المواد!$B$2:$B$320,MATCH(B247,المواد!$A$2:$A$320,0)),"")</f>
        <v>كغ</v>
      </c>
      <c r="E247" s="9"/>
      <c r="F247" t="str">
        <f>IF(AND($A247&lt;&gt;"",COUNTIF($A$2:A247,$A247)=1),$A247,"")</f>
        <v/>
      </c>
      <c r="G247" t="str">
        <f>IF($F247&lt;&gt;"",SUMPRODUCT(($F$2:F247&lt;&gt;"")*1),"")</f>
        <v/>
      </c>
    </row>
    <row r="248" spans="1:7" ht="21.95" customHeight="1">
      <c r="A248" s="9" t="s">
        <v>142</v>
      </c>
      <c r="B248" s="9" t="s">
        <v>40</v>
      </c>
      <c r="C248" s="15"/>
      <c r="D248" s="16" t="str">
        <f>IFERROR(INDEX(المواد!$B$2:$B$320,MATCH(B248,المواد!$A$2:$A$320,0)),"")</f>
        <v>كغ</v>
      </c>
      <c r="E248" s="9"/>
      <c r="F248" t="str">
        <f>IF(AND($A248&lt;&gt;"",COUNTIF($A$2:A248,$A248)=1),$A248,"")</f>
        <v/>
      </c>
      <c r="G248" t="str">
        <f>IF($F248&lt;&gt;"",SUMPRODUCT(($F$2:F248&lt;&gt;"")*1),"")</f>
        <v/>
      </c>
    </row>
    <row r="249" spans="1:7" ht="21.95" customHeight="1">
      <c r="A249" s="9" t="s">
        <v>142</v>
      </c>
      <c r="B249" s="9" t="s">
        <v>99</v>
      </c>
      <c r="C249" s="15">
        <v>890</v>
      </c>
      <c r="D249" s="16" t="str">
        <f>IFERROR(INDEX(المواد!$B$2:$B$320,MATCH(B249,المواد!$A$2:$A$320,0)),"")</f>
        <v>كغ</v>
      </c>
      <c r="E249" s="9"/>
      <c r="F249" t="str">
        <f>IF(AND($A249&lt;&gt;"",COUNTIF($A$2:A249,$A249)=1),$A249,"")</f>
        <v/>
      </c>
      <c r="G249" t="str">
        <f>IF($F249&lt;&gt;"",SUMPRODUCT(($F$2:F249&lt;&gt;"")*1),"")</f>
        <v/>
      </c>
    </row>
    <row r="250" spans="1:7" ht="21.95" customHeight="1">
      <c r="A250" s="9" t="s">
        <v>142</v>
      </c>
      <c r="B250" s="9" t="s">
        <v>104</v>
      </c>
      <c r="C250" s="15">
        <v>100</v>
      </c>
      <c r="D250" s="16" t="str">
        <f>IFERROR(INDEX(المواد!$B$2:$B$320,MATCH(B250,المواد!$A$2:$A$320,0)),"")</f>
        <v>كغ</v>
      </c>
      <c r="E250" s="9" t="s">
        <v>122</v>
      </c>
      <c r="F250" t="str">
        <f>IF(AND($A250&lt;&gt;"",COUNTIF($A$2:A250,$A250)=1),$A250,"")</f>
        <v/>
      </c>
      <c r="G250" t="str">
        <f>IF($F250&lt;&gt;"",SUMPRODUCT(($F$2:F250&lt;&gt;"")*1),"")</f>
        <v/>
      </c>
    </row>
    <row r="251" spans="1:7" ht="21.95" customHeight="1">
      <c r="A251" s="9" t="s">
        <v>142</v>
      </c>
      <c r="B251" s="9" t="s">
        <v>49</v>
      </c>
      <c r="C251" s="15"/>
      <c r="D251" s="16" t="str">
        <f>IFERROR(INDEX(المواد!$B$2:$B$320,MATCH(B251,المواد!$A$2:$A$320,0)),"")</f>
        <v/>
      </c>
      <c r="E251" s="9"/>
      <c r="F251" t="str">
        <f>IF(AND($A251&lt;&gt;"",COUNTIF($A$2:A251,$A251)=1),$A251,"")</f>
        <v/>
      </c>
      <c r="G251" t="str">
        <f>IF($F251&lt;&gt;"",SUMPRODUCT(($F$2:F251&lt;&gt;"")*1),"")</f>
        <v/>
      </c>
    </row>
    <row r="252" spans="1:7" ht="21.95" customHeight="1">
      <c r="A252" s="9" t="s">
        <v>142</v>
      </c>
      <c r="B252" s="9" t="s">
        <v>80</v>
      </c>
      <c r="C252" s="15">
        <v>1</v>
      </c>
      <c r="D252" s="16" t="str">
        <f>IFERROR(INDEX(المواد!$B$2:$B$320,MATCH(B252,المواد!$A$2:$A$320,0)),"")</f>
        <v>كغ</v>
      </c>
      <c r="E252" s="9" t="s">
        <v>80</v>
      </c>
      <c r="F252" t="str">
        <f>IF(AND($A252&lt;&gt;"",COUNTIF($A$2:A252,$A252)=1),$A252,"")</f>
        <v/>
      </c>
      <c r="G252" t="str">
        <f>IF($F252&lt;&gt;"",SUMPRODUCT(($F$2:F252&lt;&gt;"")*1),"")</f>
        <v/>
      </c>
    </row>
    <row r="253" spans="1:7" ht="21.95" customHeight="1">
      <c r="A253" s="9" t="s">
        <v>143</v>
      </c>
      <c r="B253" s="9" t="s">
        <v>46</v>
      </c>
      <c r="C253" s="15">
        <v>150</v>
      </c>
      <c r="D253" s="16" t="str">
        <f>IFERROR(INDEX(المواد!$B$2:$B$320,MATCH(B253,المواد!$A$2:$A$320,0)),"")</f>
        <v>كغ</v>
      </c>
      <c r="E253" s="9"/>
      <c r="F253" t="str">
        <f>IF(AND($A253&lt;&gt;"",COUNTIF($A$2:A253,$A253)=1),$A253,"")</f>
        <v>لودلين ليمون أول</v>
      </c>
      <c r="G253">
        <f>IF($F253&lt;&gt;"",SUMPRODUCT(($F$2:F253&lt;&gt;"")*1),"")</f>
        <v>29</v>
      </c>
    </row>
    <row r="254" spans="1:7" ht="21.95" customHeight="1">
      <c r="A254" s="9" t="s">
        <v>143</v>
      </c>
      <c r="B254" s="9" t="s">
        <v>35</v>
      </c>
      <c r="C254" s="15">
        <v>100</v>
      </c>
      <c r="D254" s="16" t="str">
        <f>IFERROR(INDEX(المواد!$B$2:$B$320,MATCH(B254,المواد!$A$2:$A$320,0)),"")</f>
        <v>كغ</v>
      </c>
      <c r="E254" s="9"/>
      <c r="F254" t="str">
        <f>IF(AND($A254&lt;&gt;"",COUNTIF($A$2:A254,$A254)=1),$A254,"")</f>
        <v/>
      </c>
      <c r="G254" t="str">
        <f>IF($F254&lt;&gt;"",SUMPRODUCT(($F$2:F254&lt;&gt;"")*1),"")</f>
        <v/>
      </c>
    </row>
    <row r="255" spans="1:7" ht="21.95" customHeight="1">
      <c r="A255" s="9" t="s">
        <v>143</v>
      </c>
      <c r="B255" s="9" t="s">
        <v>90</v>
      </c>
      <c r="C255" s="15">
        <v>19</v>
      </c>
      <c r="D255" s="16" t="str">
        <f>IFERROR(INDEX(المواد!$B$2:$B$320,MATCH(B255,المواد!$A$2:$A$320,0)),"")</f>
        <v/>
      </c>
      <c r="E255" s="9"/>
      <c r="F255" t="str">
        <f>IF(AND($A255&lt;&gt;"",COUNTIF($A$2:A255,$A255)=1),$A255,"")</f>
        <v/>
      </c>
      <c r="G255" t="str">
        <f>IF($F255&lt;&gt;"",SUMPRODUCT(($F$2:F255&lt;&gt;"")*1),"")</f>
        <v/>
      </c>
    </row>
    <row r="256" spans="1:7" ht="21.95" customHeight="1">
      <c r="A256" s="9" t="s">
        <v>143</v>
      </c>
      <c r="B256" s="9" t="s">
        <v>88</v>
      </c>
      <c r="C256" s="15">
        <v>5</v>
      </c>
      <c r="D256" s="16" t="str">
        <f>IFERROR(INDEX(المواد!$B$2:$B$320,MATCH(B256,المواد!$A$2:$A$320,0)),"")</f>
        <v>كغ</v>
      </c>
      <c r="E256" s="9"/>
      <c r="F256" t="str">
        <f>IF(AND($A256&lt;&gt;"",COUNTIF($A$2:A256,$A256)=1),$A256,"")</f>
        <v/>
      </c>
      <c r="G256" t="str">
        <f>IF($F256&lt;&gt;"",SUMPRODUCT(($F$2:F256&lt;&gt;"")*1),"")</f>
        <v/>
      </c>
    </row>
    <row r="257" spans="1:7" ht="21.95" customHeight="1">
      <c r="A257" s="9" t="s">
        <v>143</v>
      </c>
      <c r="B257" s="9" t="s">
        <v>232</v>
      </c>
      <c r="C257" s="15">
        <v>1.5</v>
      </c>
      <c r="D257" s="16" t="str">
        <f>IFERROR(INDEX(المواد!$B$2:$B$320,MATCH(B257,المواد!$A$2:$A$320,0)),"")</f>
        <v>كغ</v>
      </c>
      <c r="E257" s="9"/>
      <c r="F257" t="str">
        <f>IF(AND($A257&lt;&gt;"",COUNTIF($A$2:A257,$A257)=1),$A257,"")</f>
        <v/>
      </c>
      <c r="G257" t="str">
        <f>IF($F257&lt;&gt;"",SUMPRODUCT(($F$2:F257&lt;&gt;"")*1),"")</f>
        <v/>
      </c>
    </row>
    <row r="258" spans="1:7" ht="21.95" customHeight="1">
      <c r="A258" s="9" t="s">
        <v>143</v>
      </c>
      <c r="B258" s="9" t="s">
        <v>34</v>
      </c>
      <c r="C258" s="15">
        <v>50</v>
      </c>
      <c r="D258" s="16" t="str">
        <f>IFERROR(INDEX(المواد!$B$2:$B$320,MATCH(B258,المواد!$A$2:$A$320,0)),"")</f>
        <v>كغ</v>
      </c>
      <c r="E258" s="9"/>
      <c r="F258" t="str">
        <f>IF(AND($A258&lt;&gt;"",COUNTIF($A$2:A258,$A258)=1),$A258,"")</f>
        <v/>
      </c>
      <c r="G258" t="str">
        <f>IF($F258&lt;&gt;"",SUMPRODUCT(($F$2:F258&lt;&gt;"")*1),"")</f>
        <v/>
      </c>
    </row>
    <row r="259" spans="1:7" ht="21.95" customHeight="1">
      <c r="A259" s="9" t="s">
        <v>143</v>
      </c>
      <c r="B259" s="9" t="s">
        <v>40</v>
      </c>
      <c r="C259" s="15"/>
      <c r="D259" s="16" t="str">
        <f>IFERROR(INDEX(المواد!$B$2:$B$320,MATCH(B259,المواد!$A$2:$A$320,0)),"")</f>
        <v>كغ</v>
      </c>
      <c r="E259" s="9"/>
      <c r="F259" t="str">
        <f>IF(AND($A259&lt;&gt;"",COUNTIF($A$2:A259,$A259)=1),$A259,"")</f>
        <v/>
      </c>
      <c r="G259" t="str">
        <f>IF($F259&lt;&gt;"",SUMPRODUCT(($F$2:F259&lt;&gt;"")*1),"")</f>
        <v/>
      </c>
    </row>
    <row r="260" spans="1:7" ht="21.95" customHeight="1">
      <c r="A260" s="9" t="s">
        <v>143</v>
      </c>
      <c r="B260" s="9" t="s">
        <v>99</v>
      </c>
      <c r="C260" s="15">
        <v>675</v>
      </c>
      <c r="D260" s="16" t="str">
        <f>IFERROR(INDEX(المواد!$B$2:$B$320,MATCH(B260,المواد!$A$2:$A$320,0)),"")</f>
        <v>كغ</v>
      </c>
      <c r="E260" s="9"/>
      <c r="F260" t="str">
        <f>IF(AND($A260&lt;&gt;"",COUNTIF($A$2:A260,$A260)=1),$A260,"")</f>
        <v/>
      </c>
      <c r="G260" t="str">
        <f>IF($F260&lt;&gt;"",SUMPRODUCT(($F$2:F260&lt;&gt;"")*1),"")</f>
        <v/>
      </c>
    </row>
    <row r="261" spans="1:7" ht="21.95" customHeight="1">
      <c r="A261" s="9" t="s">
        <v>143</v>
      </c>
      <c r="B261" s="9" t="s">
        <v>72</v>
      </c>
      <c r="C261" s="15">
        <v>2</v>
      </c>
      <c r="D261" s="16" t="str">
        <f>IFERROR(INDEX(المواد!$B$2:$B$320,MATCH(B261,المواد!$A$2:$A$320,0)),"")</f>
        <v/>
      </c>
      <c r="E261" s="9" t="s">
        <v>124</v>
      </c>
      <c r="F261" t="str">
        <f>IF(AND($A261&lt;&gt;"",COUNTIF($A$2:A261,$A261)=1),$A261,"")</f>
        <v/>
      </c>
      <c r="G261" t="str">
        <f>IF($F261&lt;&gt;"",SUMPRODUCT(($F$2:F261&lt;&gt;"")*1),"")</f>
        <v/>
      </c>
    </row>
    <row r="262" spans="1:7" ht="21.95" customHeight="1">
      <c r="A262" s="9" t="s">
        <v>143</v>
      </c>
      <c r="B262" s="9" t="s">
        <v>49</v>
      </c>
      <c r="C262" s="15">
        <v>25</v>
      </c>
      <c r="D262" s="16" t="str">
        <f>IFERROR(INDEX(المواد!$B$2:$B$320,MATCH(B262,المواد!$A$2:$A$320,0)),"")</f>
        <v/>
      </c>
      <c r="E262" s="9" t="s">
        <v>144</v>
      </c>
      <c r="F262" t="str">
        <f>IF(AND($A262&lt;&gt;"",COUNTIF($A$2:A262,$A262)=1),$A262,"")</f>
        <v/>
      </c>
      <c r="G262" t="str">
        <f>IF($F262&lt;&gt;"",SUMPRODUCT(($F$2:F262&lt;&gt;"")*1),"")</f>
        <v/>
      </c>
    </row>
    <row r="263" spans="1:7" ht="21.95" customHeight="1">
      <c r="A263" s="9" t="s">
        <v>145</v>
      </c>
      <c r="B263" s="9" t="s">
        <v>46</v>
      </c>
      <c r="C263" s="15">
        <v>35</v>
      </c>
      <c r="D263" s="16" t="str">
        <f>IFERROR(INDEX(المواد!$B$2:$B$320,MATCH(B263,المواد!$A$2:$A$320,0)),"")</f>
        <v>كغ</v>
      </c>
      <c r="E263" s="9"/>
      <c r="F263" t="str">
        <f>IF(AND($A263&lt;&gt;"",COUNTIF($A$2:A263,$A263)=1),$A263,"")</f>
        <v>لودلين ليمون ثالث</v>
      </c>
      <c r="G263">
        <f>IF($F263&lt;&gt;"",SUMPRODUCT(($F$2:F263&lt;&gt;"")*1),"")</f>
        <v>30</v>
      </c>
    </row>
    <row r="264" spans="1:7" ht="21.95" customHeight="1">
      <c r="A264" s="9" t="s">
        <v>145</v>
      </c>
      <c r="B264" s="9" t="s">
        <v>35</v>
      </c>
      <c r="C264" s="15">
        <v>50</v>
      </c>
      <c r="D264" s="16" t="str">
        <f>IFERROR(INDEX(المواد!$B$2:$B$320,MATCH(B264,المواد!$A$2:$A$320,0)),"")</f>
        <v>كغ</v>
      </c>
      <c r="E264" s="9"/>
      <c r="F264" t="str">
        <f>IF(AND($A264&lt;&gt;"",COUNTIF($A$2:A264,$A264)=1),$A264,"")</f>
        <v/>
      </c>
      <c r="G264" t="str">
        <f>IF($F264&lt;&gt;"",SUMPRODUCT(($F$2:F264&lt;&gt;"")*1),"")</f>
        <v/>
      </c>
    </row>
    <row r="265" spans="1:7" ht="21.95" customHeight="1">
      <c r="A265" s="9" t="s">
        <v>145</v>
      </c>
      <c r="B265" s="9" t="s">
        <v>90</v>
      </c>
      <c r="C265" s="15">
        <v>4</v>
      </c>
      <c r="D265" s="16" t="str">
        <f>IFERROR(INDEX(المواد!$B$2:$B$320,MATCH(B265,المواد!$A$2:$A$320,0)),"")</f>
        <v/>
      </c>
      <c r="E265" s="9"/>
      <c r="F265" t="str">
        <f>IF(AND($A265&lt;&gt;"",COUNTIF($A$2:A265,$A265)=1),$A265,"")</f>
        <v/>
      </c>
      <c r="G265" t="str">
        <f>IF($F265&lt;&gt;"",SUMPRODUCT(($F$2:F265&lt;&gt;"")*1),"")</f>
        <v/>
      </c>
    </row>
    <row r="266" spans="1:7" ht="21.95" customHeight="1">
      <c r="A266" s="9" t="s">
        <v>145</v>
      </c>
      <c r="B266" s="9" t="s">
        <v>102</v>
      </c>
      <c r="C266" s="15">
        <v>2.5</v>
      </c>
      <c r="D266" s="16" t="str">
        <f>IFERROR(INDEX(المواد!$B$2:$B$320,MATCH(B266,المواد!$A$2:$A$320,0)),"")</f>
        <v/>
      </c>
      <c r="E266" s="9"/>
      <c r="F266" t="str">
        <f>IF(AND($A266&lt;&gt;"",COUNTIF($A$2:A266,$A266)=1),$A266,"")</f>
        <v/>
      </c>
      <c r="G266" t="str">
        <f>IF($F266&lt;&gt;"",SUMPRODUCT(($F$2:F266&lt;&gt;"")*1),"")</f>
        <v/>
      </c>
    </row>
    <row r="267" spans="1:7" ht="21.95" customHeight="1">
      <c r="A267" s="9" t="s">
        <v>145</v>
      </c>
      <c r="B267" s="9" t="s">
        <v>232</v>
      </c>
      <c r="C267" s="15">
        <v>1.5</v>
      </c>
      <c r="D267" s="16" t="str">
        <f>IFERROR(INDEX(المواد!$B$2:$B$320,MATCH(B267,المواد!$A$2:$A$320,0)),"")</f>
        <v>كغ</v>
      </c>
      <c r="E267" s="9"/>
      <c r="F267" t="str">
        <f>IF(AND($A267&lt;&gt;"",COUNTIF($A$2:A267,$A267)=1),$A267,"")</f>
        <v/>
      </c>
      <c r="G267" t="str">
        <f>IF($F267&lt;&gt;"",SUMPRODUCT(($F$2:F267&lt;&gt;"")*1),"")</f>
        <v/>
      </c>
    </row>
    <row r="268" spans="1:7" ht="21.95" customHeight="1">
      <c r="A268" s="9" t="s">
        <v>145</v>
      </c>
      <c r="B268" s="9" t="s">
        <v>34</v>
      </c>
      <c r="C268" s="15">
        <v>15</v>
      </c>
      <c r="D268" s="16" t="str">
        <f>IFERROR(INDEX(المواد!$B$2:$B$320,MATCH(B268,المواد!$A$2:$A$320,0)),"")</f>
        <v>كغ</v>
      </c>
      <c r="E268" s="9"/>
      <c r="F268" t="str">
        <f>IF(AND($A268&lt;&gt;"",COUNTIF($A$2:A268,$A268)=1),$A268,"")</f>
        <v/>
      </c>
      <c r="G268" t="str">
        <f>IF($F268&lt;&gt;"",SUMPRODUCT(($F$2:F268&lt;&gt;"")*1),"")</f>
        <v/>
      </c>
    </row>
    <row r="269" spans="1:7" ht="21.95" customHeight="1">
      <c r="A269" s="9" t="s">
        <v>145</v>
      </c>
      <c r="B269" s="9" t="s">
        <v>40</v>
      </c>
      <c r="C269" s="15"/>
      <c r="D269" s="16" t="str">
        <f>IFERROR(INDEX(المواد!$B$2:$B$320,MATCH(B269,المواد!$A$2:$A$320,0)),"")</f>
        <v>كغ</v>
      </c>
      <c r="E269" s="9"/>
      <c r="F269" t="str">
        <f>IF(AND($A269&lt;&gt;"",COUNTIF($A$2:A269,$A269)=1),$A269,"")</f>
        <v/>
      </c>
      <c r="G269" t="str">
        <f>IF($F269&lt;&gt;"",SUMPRODUCT(($F$2:F269&lt;&gt;"")*1),"")</f>
        <v/>
      </c>
    </row>
    <row r="270" spans="1:7" ht="21.95" customHeight="1">
      <c r="A270" s="9" t="s">
        <v>145</v>
      </c>
      <c r="B270" s="9" t="s">
        <v>99</v>
      </c>
      <c r="C270" s="15">
        <v>890</v>
      </c>
      <c r="D270" s="16" t="str">
        <f>IFERROR(INDEX(المواد!$B$2:$B$320,MATCH(B270,المواد!$A$2:$A$320,0)),"")</f>
        <v>كغ</v>
      </c>
      <c r="E270" s="9"/>
      <c r="F270" t="str">
        <f>IF(AND($A270&lt;&gt;"",COUNTIF($A$2:A270,$A270)=1),$A270,"")</f>
        <v/>
      </c>
      <c r="G270" t="str">
        <f>IF($F270&lt;&gt;"",SUMPRODUCT(($F$2:F270&lt;&gt;"")*1),"")</f>
        <v/>
      </c>
    </row>
    <row r="271" spans="1:7" ht="21.95" customHeight="1">
      <c r="A271" s="9" t="s">
        <v>145</v>
      </c>
      <c r="B271" s="9" t="s">
        <v>104</v>
      </c>
      <c r="C271" s="15">
        <v>75</v>
      </c>
      <c r="D271" s="16" t="str">
        <f>IFERROR(INDEX(المواد!$B$2:$B$320,MATCH(B271,المواد!$A$2:$A$320,0)),"")</f>
        <v>كغ</v>
      </c>
      <c r="E271" s="9" t="s">
        <v>122</v>
      </c>
      <c r="F271" t="str">
        <f>IF(AND($A271&lt;&gt;"",COUNTIF($A$2:A271,$A271)=1),$A271,"")</f>
        <v/>
      </c>
      <c r="G271" t="str">
        <f>IF($F271&lt;&gt;"",SUMPRODUCT(($F$2:F271&lt;&gt;"")*1),"")</f>
        <v/>
      </c>
    </row>
    <row r="272" spans="1:7" ht="21.95" customHeight="1">
      <c r="A272" s="9" t="s">
        <v>145</v>
      </c>
      <c r="B272" s="9" t="s">
        <v>49</v>
      </c>
      <c r="C272" s="15"/>
      <c r="D272" s="16" t="str">
        <f>IFERROR(INDEX(المواد!$B$2:$B$320,MATCH(B272,المواد!$A$2:$A$320,0)),"")</f>
        <v/>
      </c>
      <c r="E272" s="9"/>
      <c r="F272" t="str">
        <f>IF(AND($A272&lt;&gt;"",COUNTIF($A$2:A272,$A272)=1),$A272,"")</f>
        <v/>
      </c>
      <c r="G272" t="str">
        <f>IF($F272&lt;&gt;"",SUMPRODUCT(($F$2:F272&lt;&gt;"")*1),"")</f>
        <v/>
      </c>
    </row>
    <row r="273" spans="1:7" ht="21.95" customHeight="1">
      <c r="A273" s="9" t="s">
        <v>145</v>
      </c>
      <c r="B273" s="9" t="s">
        <v>80</v>
      </c>
      <c r="C273" s="15">
        <v>1</v>
      </c>
      <c r="D273" s="16" t="str">
        <f>IFERROR(INDEX(المواد!$B$2:$B$320,MATCH(B273,المواد!$A$2:$A$320,0)),"")</f>
        <v>كغ</v>
      </c>
      <c r="E273" s="9" t="s">
        <v>80</v>
      </c>
      <c r="F273" t="str">
        <f>IF(AND($A273&lt;&gt;"",COUNTIF($A$2:A273,$A273)=1),$A273,"")</f>
        <v/>
      </c>
      <c r="G273" t="str">
        <f>IF($F273&lt;&gt;"",SUMPRODUCT(($F$2:F273&lt;&gt;"")*1),"")</f>
        <v/>
      </c>
    </row>
    <row r="274" spans="1:7" ht="21.95" customHeight="1">
      <c r="A274" s="9" t="s">
        <v>146</v>
      </c>
      <c r="B274" s="9" t="s">
        <v>46</v>
      </c>
      <c r="C274" s="15">
        <v>60</v>
      </c>
      <c r="D274" s="16" t="str">
        <f>IFERROR(INDEX(المواد!$B$2:$B$320,MATCH(B274,المواد!$A$2:$A$320,0)),"")</f>
        <v>كغ</v>
      </c>
      <c r="E274" s="9"/>
      <c r="F274" t="str">
        <f>IF(AND($A274&lt;&gt;"",COUNTIF($A$2:A274,$A274)=1),$A274,"")</f>
        <v>لودلين ليمون ثاني</v>
      </c>
      <c r="G274">
        <f>IF($F274&lt;&gt;"",SUMPRODUCT(($F$2:F274&lt;&gt;"")*1),"")</f>
        <v>31</v>
      </c>
    </row>
    <row r="275" spans="1:7" ht="21.95" customHeight="1">
      <c r="A275" s="9" t="s">
        <v>146</v>
      </c>
      <c r="B275" s="9" t="s">
        <v>35</v>
      </c>
      <c r="C275" s="15">
        <v>50</v>
      </c>
      <c r="D275" s="16" t="str">
        <f>IFERROR(INDEX(المواد!$B$2:$B$320,MATCH(B275,المواد!$A$2:$A$320,0)),"")</f>
        <v>كغ</v>
      </c>
      <c r="E275" s="9"/>
      <c r="F275" t="str">
        <f>IF(AND($A275&lt;&gt;"",COUNTIF($A$2:A275,$A275)=1),$A275,"")</f>
        <v/>
      </c>
      <c r="G275" t="str">
        <f>IF($F275&lt;&gt;"",SUMPRODUCT(($F$2:F275&lt;&gt;"")*1),"")</f>
        <v/>
      </c>
    </row>
    <row r="276" spans="1:7" ht="21.95" customHeight="1">
      <c r="A276" s="9" t="s">
        <v>146</v>
      </c>
      <c r="B276" s="9" t="s">
        <v>90</v>
      </c>
      <c r="C276" s="15">
        <v>7.25</v>
      </c>
      <c r="D276" s="16" t="str">
        <f>IFERROR(INDEX(المواد!$B$2:$B$320,MATCH(B276,المواد!$A$2:$A$320,0)),"")</f>
        <v/>
      </c>
      <c r="E276" s="9"/>
      <c r="F276" t="str">
        <f>IF(AND($A276&lt;&gt;"",COUNTIF($A$2:A276,$A276)=1),$A276,"")</f>
        <v/>
      </c>
      <c r="G276" t="str">
        <f>IF($F276&lt;&gt;"",SUMPRODUCT(($F$2:F276&lt;&gt;"")*1),"")</f>
        <v/>
      </c>
    </row>
    <row r="277" spans="1:7" ht="21.95" customHeight="1">
      <c r="A277" s="9" t="s">
        <v>146</v>
      </c>
      <c r="B277" s="9" t="s">
        <v>102</v>
      </c>
      <c r="C277" s="15">
        <v>2.5</v>
      </c>
      <c r="D277" s="16" t="str">
        <f>IFERROR(INDEX(المواد!$B$2:$B$320,MATCH(B277,المواد!$A$2:$A$320,0)),"")</f>
        <v/>
      </c>
      <c r="E277" s="9"/>
      <c r="F277" t="str">
        <f>IF(AND($A277&lt;&gt;"",COUNTIF($A$2:A277,$A277)=1),$A277,"")</f>
        <v/>
      </c>
      <c r="G277" t="str">
        <f>IF($F277&lt;&gt;"",SUMPRODUCT(($F$2:F277&lt;&gt;"")*1),"")</f>
        <v/>
      </c>
    </row>
    <row r="278" spans="1:7" ht="21.95" customHeight="1">
      <c r="A278" s="9" t="s">
        <v>146</v>
      </c>
      <c r="B278" s="9" t="s">
        <v>232</v>
      </c>
      <c r="C278" s="15">
        <v>1.5</v>
      </c>
      <c r="D278" s="16" t="str">
        <f>IFERROR(INDEX(المواد!$B$2:$B$320,MATCH(B278,المواد!$A$2:$A$320,0)),"")</f>
        <v>كغ</v>
      </c>
      <c r="E278" s="9"/>
      <c r="F278" t="str">
        <f>IF(AND($A278&lt;&gt;"",COUNTIF($A$2:A278,$A278)=1),$A278,"")</f>
        <v/>
      </c>
      <c r="G278" t="str">
        <f>IF($F278&lt;&gt;"",SUMPRODUCT(($F$2:F278&lt;&gt;"")*1),"")</f>
        <v/>
      </c>
    </row>
    <row r="279" spans="1:7" ht="21.95" customHeight="1">
      <c r="A279" s="9" t="s">
        <v>146</v>
      </c>
      <c r="B279" s="9" t="s">
        <v>34</v>
      </c>
      <c r="C279" s="15">
        <v>10</v>
      </c>
      <c r="D279" s="16" t="str">
        <f>IFERROR(INDEX(المواد!$B$2:$B$320,MATCH(B279,المواد!$A$2:$A$320,0)),"")</f>
        <v>كغ</v>
      </c>
      <c r="E279" s="9"/>
      <c r="F279" t="str">
        <f>IF(AND($A279&lt;&gt;"",COUNTIF($A$2:A279,$A279)=1),$A279,"")</f>
        <v/>
      </c>
      <c r="G279" t="str">
        <f>IF($F279&lt;&gt;"",SUMPRODUCT(($F$2:F279&lt;&gt;"")*1),"")</f>
        <v/>
      </c>
    </row>
    <row r="280" spans="1:7" ht="21.95" customHeight="1">
      <c r="A280" s="9" t="s">
        <v>146</v>
      </c>
      <c r="B280" s="9" t="s">
        <v>40</v>
      </c>
      <c r="C280" s="15"/>
      <c r="D280" s="16" t="str">
        <f>IFERROR(INDEX(المواد!$B$2:$B$320,MATCH(B280,المواد!$A$2:$A$320,0)),"")</f>
        <v>كغ</v>
      </c>
      <c r="E280" s="9"/>
      <c r="F280" t="str">
        <f>IF(AND($A280&lt;&gt;"",COUNTIF($A$2:A280,$A280)=1),$A280,"")</f>
        <v/>
      </c>
      <c r="G280" t="str">
        <f>IF($F280&lt;&gt;"",SUMPRODUCT(($F$2:F280&lt;&gt;"")*1),"")</f>
        <v/>
      </c>
    </row>
    <row r="281" spans="1:7" ht="21.95" customHeight="1">
      <c r="A281" s="9" t="s">
        <v>146</v>
      </c>
      <c r="B281" s="9" t="s">
        <v>99</v>
      </c>
      <c r="C281" s="15">
        <v>825</v>
      </c>
      <c r="D281" s="16" t="str">
        <f>IFERROR(INDEX(المواد!$B$2:$B$320,MATCH(B281,المواد!$A$2:$A$320,0)),"")</f>
        <v>كغ</v>
      </c>
      <c r="E281" s="9"/>
      <c r="F281" t="str">
        <f>IF(AND($A281&lt;&gt;"",COUNTIF($A$2:A281,$A281)=1),$A281,"")</f>
        <v/>
      </c>
      <c r="G281" t="str">
        <f>IF($F281&lt;&gt;"",SUMPRODUCT(($F$2:F281&lt;&gt;"")*1),"")</f>
        <v/>
      </c>
    </row>
    <row r="282" spans="1:7" ht="21.95" customHeight="1">
      <c r="A282" s="9" t="s">
        <v>146</v>
      </c>
      <c r="B282" s="9" t="s">
        <v>104</v>
      </c>
      <c r="C282" s="15">
        <v>50</v>
      </c>
      <c r="D282" s="16" t="str">
        <f>IFERROR(INDEX(المواد!$B$2:$B$320,MATCH(B282,المواد!$A$2:$A$320,0)),"")</f>
        <v>كغ</v>
      </c>
      <c r="E282" s="9" t="s">
        <v>122</v>
      </c>
      <c r="F282" t="str">
        <f>IF(AND($A282&lt;&gt;"",COUNTIF($A$2:A282,$A282)=1),$A282,"")</f>
        <v/>
      </c>
      <c r="G282" t="str">
        <f>IF($F282&lt;&gt;"",SUMPRODUCT(($F$2:F282&lt;&gt;"")*1),"")</f>
        <v/>
      </c>
    </row>
    <row r="283" spans="1:7" ht="21.95" customHeight="1">
      <c r="A283" s="9" t="s">
        <v>146</v>
      </c>
      <c r="B283" s="9" t="s">
        <v>49</v>
      </c>
      <c r="C283" s="15"/>
      <c r="D283" s="16" t="str">
        <f>IFERROR(INDEX(المواد!$B$2:$B$320,MATCH(B283,المواد!$A$2:$A$320,0)),"")</f>
        <v/>
      </c>
      <c r="E283" s="9"/>
      <c r="F283" t="str">
        <f>IF(AND($A283&lt;&gt;"",COUNTIF($A$2:A283,$A283)=1),$A283,"")</f>
        <v/>
      </c>
      <c r="G283" t="str">
        <f>IF($F283&lt;&gt;"",SUMPRODUCT(($F$2:F283&lt;&gt;"")*1),"")</f>
        <v/>
      </c>
    </row>
    <row r="284" spans="1:7" ht="21.95" customHeight="1">
      <c r="A284" s="9" t="s">
        <v>146</v>
      </c>
      <c r="B284" s="9" t="s">
        <v>72</v>
      </c>
      <c r="C284" s="15">
        <v>1</v>
      </c>
      <c r="D284" s="16" t="str">
        <f>IFERROR(INDEX(المواد!$B$2:$B$320,MATCH(B284,المواد!$A$2:$A$320,0)),"")</f>
        <v/>
      </c>
      <c r="E284" s="9" t="s">
        <v>147</v>
      </c>
      <c r="F284" t="str">
        <f>IF(AND($A284&lt;&gt;"",COUNTIF($A$2:A284,$A284)=1),$A284,"")</f>
        <v/>
      </c>
      <c r="G284" t="str">
        <f>IF($F284&lt;&gt;"",SUMPRODUCT(($F$2:F284&lt;&gt;"")*1),"")</f>
        <v/>
      </c>
    </row>
    <row r="285" spans="1:7" ht="21.95" customHeight="1">
      <c r="A285" s="9" t="s">
        <v>148</v>
      </c>
      <c r="B285" s="9" t="s">
        <v>46</v>
      </c>
      <c r="C285" s="15">
        <v>20</v>
      </c>
      <c r="D285" s="16" t="str">
        <f>IFERROR(INDEX(المواد!$B$2:$B$320,MATCH(B285,المواد!$A$2:$A$320,0)),"")</f>
        <v>كغ</v>
      </c>
      <c r="E285" s="9"/>
      <c r="F285" t="str">
        <f>IF(AND($A285&lt;&gt;"",COUNTIF($A$2:A285,$A285)=1),$A285,"")</f>
        <v>لودلين ليمون رابع</v>
      </c>
      <c r="G285">
        <f>IF($F285&lt;&gt;"",SUMPRODUCT(($F$2:F285&lt;&gt;"")*1),"")</f>
        <v>32</v>
      </c>
    </row>
    <row r="286" spans="1:7" ht="21.95" customHeight="1">
      <c r="A286" s="9" t="s">
        <v>148</v>
      </c>
      <c r="B286" s="9" t="s">
        <v>35</v>
      </c>
      <c r="C286" s="15">
        <v>40</v>
      </c>
      <c r="D286" s="16" t="str">
        <f>IFERROR(INDEX(المواد!$B$2:$B$320,MATCH(B286,المواد!$A$2:$A$320,0)),"")</f>
        <v>كغ</v>
      </c>
      <c r="E286" s="9"/>
      <c r="F286" t="str">
        <f>IF(AND($A286&lt;&gt;"",COUNTIF($A$2:A286,$A286)=1),$A286,"")</f>
        <v/>
      </c>
      <c r="G286" t="str">
        <f>IF($F286&lt;&gt;"",SUMPRODUCT(($F$2:F286&lt;&gt;"")*1),"")</f>
        <v/>
      </c>
    </row>
    <row r="287" spans="1:7" ht="21.95" customHeight="1">
      <c r="A287" s="9" t="s">
        <v>148</v>
      </c>
      <c r="B287" s="9" t="s">
        <v>90</v>
      </c>
      <c r="C287" s="15">
        <v>2.5</v>
      </c>
      <c r="D287" s="16" t="str">
        <f>IFERROR(INDEX(المواد!$B$2:$B$320,MATCH(B287,المواد!$A$2:$A$320,0)),"")</f>
        <v/>
      </c>
      <c r="E287" s="9"/>
      <c r="F287" t="str">
        <f>IF(AND($A287&lt;&gt;"",COUNTIF($A$2:A287,$A287)=1),$A287,"")</f>
        <v/>
      </c>
      <c r="G287" t="str">
        <f>IF($F287&lt;&gt;"",SUMPRODUCT(($F$2:F287&lt;&gt;"")*1),"")</f>
        <v/>
      </c>
    </row>
    <row r="288" spans="1:7" ht="21.95" customHeight="1">
      <c r="A288" s="9" t="s">
        <v>148</v>
      </c>
      <c r="B288" s="9" t="s">
        <v>102</v>
      </c>
      <c r="C288" s="15">
        <v>3</v>
      </c>
      <c r="D288" s="16" t="str">
        <f>IFERROR(INDEX(المواد!$B$2:$B$320,MATCH(B288,المواد!$A$2:$A$320,0)),"")</f>
        <v/>
      </c>
      <c r="E288" s="9"/>
      <c r="F288" t="str">
        <f>IF(AND($A288&lt;&gt;"",COUNTIF($A$2:A288,$A288)=1),$A288,"")</f>
        <v/>
      </c>
      <c r="G288" t="str">
        <f>IF($F288&lt;&gt;"",SUMPRODUCT(($F$2:F288&lt;&gt;"")*1),"")</f>
        <v/>
      </c>
    </row>
    <row r="289" spans="1:7" ht="21.95" customHeight="1">
      <c r="A289" s="9" t="s">
        <v>148</v>
      </c>
      <c r="B289" s="9" t="s">
        <v>232</v>
      </c>
      <c r="C289" s="15">
        <v>1.5</v>
      </c>
      <c r="D289" s="16" t="str">
        <f>IFERROR(INDEX(المواد!$B$2:$B$320,MATCH(B289,المواد!$A$2:$A$320,0)),"")</f>
        <v>كغ</v>
      </c>
      <c r="E289" s="9"/>
      <c r="F289" t="str">
        <f>IF(AND($A289&lt;&gt;"",COUNTIF($A$2:A289,$A289)=1),$A289,"")</f>
        <v/>
      </c>
      <c r="G289" t="str">
        <f>IF($F289&lt;&gt;"",SUMPRODUCT(($F$2:F289&lt;&gt;"")*1),"")</f>
        <v/>
      </c>
    </row>
    <row r="290" spans="1:7" ht="21.95" customHeight="1">
      <c r="A290" s="9" t="s">
        <v>148</v>
      </c>
      <c r="B290" s="9" t="s">
        <v>34</v>
      </c>
      <c r="C290" s="15">
        <v>15</v>
      </c>
      <c r="D290" s="16" t="str">
        <f>IFERROR(INDEX(المواد!$B$2:$B$320,MATCH(B290,المواد!$A$2:$A$320,0)),"")</f>
        <v>كغ</v>
      </c>
      <c r="E290" s="9"/>
      <c r="F290" t="str">
        <f>IF(AND($A290&lt;&gt;"",COUNTIF($A$2:A290,$A290)=1),$A290,"")</f>
        <v/>
      </c>
      <c r="G290" t="str">
        <f>IF($F290&lt;&gt;"",SUMPRODUCT(($F$2:F290&lt;&gt;"")*1),"")</f>
        <v/>
      </c>
    </row>
    <row r="291" spans="1:7" ht="21.95" customHeight="1">
      <c r="A291" s="9" t="s">
        <v>148</v>
      </c>
      <c r="B291" s="9" t="s">
        <v>40</v>
      </c>
      <c r="C291" s="15"/>
      <c r="D291" s="16" t="str">
        <f>IFERROR(INDEX(المواد!$B$2:$B$320,MATCH(B291,المواد!$A$2:$A$320,0)),"")</f>
        <v>كغ</v>
      </c>
      <c r="E291" s="9"/>
      <c r="F291" t="str">
        <f>IF(AND($A291&lt;&gt;"",COUNTIF($A$2:A291,$A291)=1),$A291,"")</f>
        <v/>
      </c>
      <c r="G291" t="str">
        <f>IF($F291&lt;&gt;"",SUMPRODUCT(($F$2:F291&lt;&gt;"")*1),"")</f>
        <v/>
      </c>
    </row>
    <row r="292" spans="1:7" ht="21.95" customHeight="1">
      <c r="A292" s="9" t="s">
        <v>148</v>
      </c>
      <c r="B292" s="9" t="s">
        <v>99</v>
      </c>
      <c r="C292" s="15">
        <v>890</v>
      </c>
      <c r="D292" s="16" t="str">
        <f>IFERROR(INDEX(المواد!$B$2:$B$320,MATCH(B292,المواد!$A$2:$A$320,0)),"")</f>
        <v>كغ</v>
      </c>
      <c r="E292" s="9"/>
      <c r="F292" t="str">
        <f>IF(AND($A292&lt;&gt;"",COUNTIF($A$2:A292,$A292)=1),$A292,"")</f>
        <v/>
      </c>
      <c r="G292" t="str">
        <f>IF($F292&lt;&gt;"",SUMPRODUCT(($F$2:F292&lt;&gt;"")*1),"")</f>
        <v/>
      </c>
    </row>
    <row r="293" spans="1:7" ht="21.95" customHeight="1">
      <c r="A293" s="9" t="s">
        <v>148</v>
      </c>
      <c r="B293" s="9" t="s">
        <v>104</v>
      </c>
      <c r="C293" s="15">
        <v>100</v>
      </c>
      <c r="D293" s="16" t="str">
        <f>IFERROR(INDEX(المواد!$B$2:$B$320,MATCH(B293,المواد!$A$2:$A$320,0)),"")</f>
        <v>كغ</v>
      </c>
      <c r="E293" s="9" t="s">
        <v>122</v>
      </c>
      <c r="F293" t="str">
        <f>IF(AND($A293&lt;&gt;"",COUNTIF($A$2:A293,$A293)=1),$A293,"")</f>
        <v/>
      </c>
      <c r="G293" t="str">
        <f>IF($F293&lt;&gt;"",SUMPRODUCT(($F$2:F293&lt;&gt;"")*1),"")</f>
        <v/>
      </c>
    </row>
    <row r="294" spans="1:7" ht="21.95" customHeight="1">
      <c r="A294" s="9" t="s">
        <v>148</v>
      </c>
      <c r="B294" s="9" t="s">
        <v>49</v>
      </c>
      <c r="C294" s="15"/>
      <c r="D294" s="16" t="str">
        <f>IFERROR(INDEX(المواد!$B$2:$B$320,MATCH(B294,المواد!$A$2:$A$320,0)),"")</f>
        <v/>
      </c>
      <c r="E294" s="9"/>
      <c r="F294" t="str">
        <f>IF(AND($A294&lt;&gt;"",COUNTIF($A$2:A294,$A294)=1),$A294,"")</f>
        <v/>
      </c>
      <c r="G294" t="str">
        <f>IF($F294&lt;&gt;"",SUMPRODUCT(($F$2:F294&lt;&gt;"")*1),"")</f>
        <v/>
      </c>
    </row>
    <row r="295" spans="1:7" ht="21.95" customHeight="1">
      <c r="A295" s="9" t="s">
        <v>148</v>
      </c>
      <c r="B295" s="9" t="s">
        <v>80</v>
      </c>
      <c r="C295" s="15">
        <v>1</v>
      </c>
      <c r="D295" s="16" t="str">
        <f>IFERROR(INDEX(المواد!$B$2:$B$320,MATCH(B295,المواد!$A$2:$A$320,0)),"")</f>
        <v>كغ</v>
      </c>
      <c r="E295" s="9" t="s">
        <v>149</v>
      </c>
      <c r="F295" t="str">
        <f>IF(AND($A295&lt;&gt;"",COUNTIF($A$2:A295,$A295)=1),$A295,"")</f>
        <v/>
      </c>
      <c r="G295" t="str">
        <f>IF($F295&lt;&gt;"",SUMPRODUCT(($F$2:F295&lt;&gt;"")*1),"")</f>
        <v/>
      </c>
    </row>
    <row r="296" spans="1:7" ht="21.95" customHeight="1">
      <c r="A296" s="9" t="s">
        <v>150</v>
      </c>
      <c r="B296" s="9" t="s">
        <v>37</v>
      </c>
      <c r="C296" s="15">
        <v>5</v>
      </c>
      <c r="D296" s="16" t="str">
        <f>IFERROR(INDEX(المواد!$B$2:$B$320,MATCH(B296,المواد!$A$2:$A$320,0)),"")</f>
        <v>كغ</v>
      </c>
      <c r="E296" s="9"/>
      <c r="F296" t="str">
        <f>IF(AND($A296&lt;&gt;"",COUNTIF($A$2:A296,$A296)=1),$A296,"")</f>
        <v>معطر ارضيات أبيض - ازهار النرجس</v>
      </c>
      <c r="G296">
        <f>IF($F296&lt;&gt;"",SUMPRODUCT(($F$2:F296&lt;&gt;"")*1),"")</f>
        <v>33</v>
      </c>
    </row>
    <row r="297" spans="1:7" ht="21.95" customHeight="1">
      <c r="A297" s="9" t="s">
        <v>150</v>
      </c>
      <c r="B297" s="9" t="s">
        <v>232</v>
      </c>
      <c r="C297" s="15">
        <v>0.3</v>
      </c>
      <c r="D297" s="16" t="str">
        <f>IFERROR(INDEX(المواد!$B$2:$B$320,MATCH(B297,المواد!$A$2:$A$320,0)),"")</f>
        <v>كغ</v>
      </c>
      <c r="E297" s="9"/>
      <c r="F297" t="str">
        <f>IF(AND($A297&lt;&gt;"",COUNTIF($A$2:A297,$A297)=1),$A297,"")</f>
        <v/>
      </c>
      <c r="G297" t="str">
        <f>IF($F297&lt;&gt;"",SUMPRODUCT(($F$2:F297&lt;&gt;"")*1),"")</f>
        <v/>
      </c>
    </row>
    <row r="298" spans="1:7" ht="21.95" customHeight="1">
      <c r="A298" s="9" t="s">
        <v>150</v>
      </c>
      <c r="B298" s="9" t="s">
        <v>49</v>
      </c>
      <c r="C298" s="15"/>
      <c r="D298" s="16" t="str">
        <f>IFERROR(INDEX(المواد!$B$2:$B$320,MATCH(B298,المواد!$A$2:$A$320,0)),"")</f>
        <v/>
      </c>
      <c r="E298" s="9"/>
      <c r="F298" t="str">
        <f>IF(AND($A298&lt;&gt;"",COUNTIF($A$2:A298,$A298)=1),$A298,"")</f>
        <v/>
      </c>
      <c r="G298" t="str">
        <f>IF($F298&lt;&gt;"",SUMPRODUCT(($F$2:F298&lt;&gt;"")*1),"")</f>
        <v/>
      </c>
    </row>
    <row r="299" spans="1:7" ht="21.95" customHeight="1">
      <c r="A299" s="9" t="s">
        <v>150</v>
      </c>
      <c r="B299" s="9" t="s">
        <v>99</v>
      </c>
      <c r="C299" s="15">
        <v>975</v>
      </c>
      <c r="D299" s="16" t="str">
        <f>IFERROR(INDEX(المواد!$B$2:$B$320,MATCH(B299,المواد!$A$2:$A$320,0)),"")</f>
        <v>كغ</v>
      </c>
      <c r="E299" s="9"/>
      <c r="F299" t="str">
        <f>IF(AND($A299&lt;&gt;"",COUNTIF($A$2:A299,$A299)=1),$A299,"")</f>
        <v/>
      </c>
      <c r="G299" t="str">
        <f>IF($F299&lt;&gt;"",SUMPRODUCT(($F$2:F299&lt;&gt;"")*1),"")</f>
        <v/>
      </c>
    </row>
    <row r="300" spans="1:7" ht="21.95" customHeight="1">
      <c r="A300" s="9" t="s">
        <v>150</v>
      </c>
      <c r="B300" s="9" t="s">
        <v>80</v>
      </c>
      <c r="C300" s="15">
        <v>10</v>
      </c>
      <c r="D300" s="16" t="str">
        <f>IFERROR(INDEX(المواد!$B$2:$B$320,MATCH(B300,المواد!$A$2:$A$320,0)),"")</f>
        <v>كغ</v>
      </c>
      <c r="E300" s="9" t="s">
        <v>151</v>
      </c>
      <c r="F300" t="str">
        <f>IF(AND($A300&lt;&gt;"",COUNTIF($A$2:A300,$A300)=1),$A300,"")</f>
        <v/>
      </c>
      <c r="G300" t="str">
        <f>IF($F300&lt;&gt;"",SUMPRODUCT(($F$2:F300&lt;&gt;"")*1),"")</f>
        <v/>
      </c>
    </row>
    <row r="301" spans="1:7" ht="21.95" customHeight="1">
      <c r="A301" s="9" t="s">
        <v>150</v>
      </c>
      <c r="B301" s="9" t="s">
        <v>60</v>
      </c>
      <c r="C301" s="15">
        <v>10</v>
      </c>
      <c r="D301" s="16" t="str">
        <f>IFERROR(INDEX(المواد!$B$2:$B$320,MATCH(B301,المواد!$A$2:$A$320,0)),"")</f>
        <v/>
      </c>
      <c r="E301" s="9" t="s">
        <v>151</v>
      </c>
      <c r="F301" t="str">
        <f>IF(AND($A301&lt;&gt;"",COUNTIF($A$2:A301,$A301)=1),$A301,"")</f>
        <v/>
      </c>
      <c r="G301" t="str">
        <f>IF($F301&lt;&gt;"",SUMPRODUCT(($F$2:F301&lt;&gt;"")*1),"")</f>
        <v/>
      </c>
    </row>
    <row r="302" spans="1:7" ht="21.95" customHeight="1">
      <c r="A302" s="9" t="s">
        <v>152</v>
      </c>
      <c r="B302" s="9" t="s">
        <v>37</v>
      </c>
      <c r="C302" s="15">
        <v>5</v>
      </c>
      <c r="D302" s="16" t="str">
        <f>IFERROR(INDEX(المواد!$B$2:$B$320,MATCH(B302,المواد!$A$2:$A$320,0)),"")</f>
        <v>كغ</v>
      </c>
      <c r="E302" s="9"/>
      <c r="F302" t="str">
        <f>IF(AND($A302&lt;&gt;"",COUNTIF($A$2:A302,$A302)=1),$A302,"")</f>
        <v>معطر ارضيات ازرق - نسيم المحيط</v>
      </c>
      <c r="G302">
        <f>IF($F302&lt;&gt;"",SUMPRODUCT(($F$2:F302&lt;&gt;"")*1),"")</f>
        <v>34</v>
      </c>
    </row>
    <row r="303" spans="1:7" ht="21.95" customHeight="1">
      <c r="A303" s="9" t="s">
        <v>152</v>
      </c>
      <c r="B303" s="9" t="s">
        <v>232</v>
      </c>
      <c r="C303" s="15">
        <v>0.3</v>
      </c>
      <c r="D303" s="16" t="str">
        <f>IFERROR(INDEX(المواد!$B$2:$B$320,MATCH(B303,المواد!$A$2:$A$320,0)),"")</f>
        <v>كغ</v>
      </c>
      <c r="E303" s="9"/>
      <c r="F303" t="str">
        <f>IF(AND($A303&lt;&gt;"",COUNTIF($A$2:A303,$A303)=1),$A303,"")</f>
        <v/>
      </c>
      <c r="G303" t="str">
        <f>IF($F303&lt;&gt;"",SUMPRODUCT(($F$2:F303&lt;&gt;"")*1),"")</f>
        <v/>
      </c>
    </row>
    <row r="304" spans="1:7" ht="21.95" customHeight="1">
      <c r="A304" s="9" t="s">
        <v>152</v>
      </c>
      <c r="B304" s="9" t="s">
        <v>49</v>
      </c>
      <c r="C304" s="15"/>
      <c r="D304" s="16" t="str">
        <f>IFERROR(INDEX(المواد!$B$2:$B$320,MATCH(B304,المواد!$A$2:$A$320,0)),"")</f>
        <v/>
      </c>
      <c r="E304" s="9"/>
      <c r="F304" t="str">
        <f>IF(AND($A304&lt;&gt;"",COUNTIF($A$2:A304,$A304)=1),$A304,"")</f>
        <v/>
      </c>
      <c r="G304" t="str">
        <f>IF($F304&lt;&gt;"",SUMPRODUCT(($F$2:F304&lt;&gt;"")*1),"")</f>
        <v/>
      </c>
    </row>
    <row r="305" spans="1:7" ht="21.95" customHeight="1">
      <c r="A305" s="9" t="s">
        <v>152</v>
      </c>
      <c r="B305" s="9" t="s">
        <v>99</v>
      </c>
      <c r="C305" s="15">
        <v>975</v>
      </c>
      <c r="D305" s="16" t="s">
        <v>28</v>
      </c>
      <c r="E305" s="9"/>
      <c r="F305" t="str">
        <f>IF(AND($A305&lt;&gt;"",COUNTIF($A$2:A305,$A305)=1),$A305,"")</f>
        <v/>
      </c>
      <c r="G305" t="str">
        <f>IF($F305&lt;&gt;"",SUMPRODUCT(($F$2:F305&lt;&gt;"")*1),"")</f>
        <v/>
      </c>
    </row>
    <row r="306" spans="1:7" ht="21.95" customHeight="1">
      <c r="A306" s="9" t="s">
        <v>152</v>
      </c>
      <c r="B306" s="9" t="s">
        <v>80</v>
      </c>
      <c r="C306" s="15">
        <v>10</v>
      </c>
      <c r="D306" s="16" t="s">
        <v>28</v>
      </c>
      <c r="E306" s="9" t="s">
        <v>153</v>
      </c>
      <c r="F306" t="str">
        <f>IF(AND($A306&lt;&gt;"",COUNTIF($A$2:A306,$A306)=1),$A306,"")</f>
        <v/>
      </c>
      <c r="G306" t="str">
        <f>IF($F306&lt;&gt;"",SUMPRODUCT(($F$2:F306&lt;&gt;"")*1),"")</f>
        <v/>
      </c>
    </row>
    <row r="307" spans="1:7" ht="21.95" customHeight="1">
      <c r="A307" s="9" t="s">
        <v>152</v>
      </c>
      <c r="B307" s="9" t="s">
        <v>77</v>
      </c>
      <c r="C307" s="15">
        <v>10</v>
      </c>
      <c r="D307" s="16" t="s">
        <v>28</v>
      </c>
      <c r="E307" s="9" t="s">
        <v>153</v>
      </c>
      <c r="F307" t="str">
        <f>IF(AND($A307&lt;&gt;"",COUNTIF($A$2:A307,$A307)=1),$A307,"")</f>
        <v/>
      </c>
      <c r="G307" t="str">
        <f>IF($F307&lt;&gt;"",SUMPRODUCT(($F$2:F307&lt;&gt;"")*1),"")</f>
        <v/>
      </c>
    </row>
    <row r="308" spans="1:7" ht="21.95" customHeight="1">
      <c r="A308" s="9" t="s">
        <v>154</v>
      </c>
      <c r="B308" s="9" t="s">
        <v>37</v>
      </c>
      <c r="C308" s="15">
        <v>5</v>
      </c>
      <c r="D308" s="16" t="str">
        <f>IFERROR(INDEX(المواد!$B$2:$B$320,MATCH(B308,المواد!$A$2:$A$320,0)),"")</f>
        <v>كغ</v>
      </c>
      <c r="E308" s="9"/>
      <c r="F308" t="str">
        <f>IF(AND($A308&lt;&gt;"",COUNTIF($A$2:A308,$A308)=1),$A308,"")</f>
        <v>معطر ارضيات الليمون المنعش</v>
      </c>
      <c r="G308">
        <f>IF($F308&lt;&gt;"",SUMPRODUCT(($F$2:F308&lt;&gt;"")*1),"")</f>
        <v>35</v>
      </c>
    </row>
    <row r="309" spans="1:7" ht="21.95" customHeight="1">
      <c r="A309" s="9" t="s">
        <v>154</v>
      </c>
      <c r="B309" s="9" t="s">
        <v>232</v>
      </c>
      <c r="C309" s="15">
        <v>0.3</v>
      </c>
      <c r="D309" s="16" t="s">
        <v>28</v>
      </c>
      <c r="E309" s="9"/>
      <c r="F309" t="str">
        <f>IF(AND($A309&lt;&gt;"",COUNTIF($A$2:A309,$A309)=1),$A309,"")</f>
        <v/>
      </c>
      <c r="G309" t="str">
        <f>IF($F309&lt;&gt;"",SUMPRODUCT(($F$2:F309&lt;&gt;"")*1),"")</f>
        <v/>
      </c>
    </row>
    <row r="310" spans="1:7" ht="21.95" customHeight="1">
      <c r="A310" s="9" t="s">
        <v>154</v>
      </c>
      <c r="B310" s="9" t="s">
        <v>49</v>
      </c>
      <c r="C310" s="15"/>
      <c r="D310" s="16" t="s">
        <v>28</v>
      </c>
      <c r="E310" s="9"/>
      <c r="F310" t="str">
        <f>IF(AND($A310&lt;&gt;"",COUNTIF($A$2:A310,$A310)=1),$A310,"")</f>
        <v/>
      </c>
      <c r="G310" t="str">
        <f>IF($F310&lt;&gt;"",SUMPRODUCT(($F$2:F310&lt;&gt;"")*1),"")</f>
        <v/>
      </c>
    </row>
    <row r="311" spans="1:7" ht="21.95" customHeight="1">
      <c r="A311" s="9" t="s">
        <v>154</v>
      </c>
      <c r="B311" s="9" t="s">
        <v>99</v>
      </c>
      <c r="C311" s="15">
        <v>975</v>
      </c>
      <c r="D311" s="16" t="s">
        <v>28</v>
      </c>
      <c r="E311" s="9"/>
      <c r="F311" t="str">
        <f>IF(AND($A311&lt;&gt;"",COUNTIF($A$2:A311,$A311)=1),$A311,"")</f>
        <v/>
      </c>
      <c r="G311" t="str">
        <f>IF($F311&lt;&gt;"",SUMPRODUCT(($F$2:F311&lt;&gt;"")*1),"")</f>
        <v/>
      </c>
    </row>
    <row r="312" spans="1:7" ht="21.95" customHeight="1">
      <c r="A312" s="9" t="s">
        <v>154</v>
      </c>
      <c r="B312" s="9" t="s">
        <v>80</v>
      </c>
      <c r="C312" s="15">
        <v>10</v>
      </c>
      <c r="D312" s="16" t="s">
        <v>28</v>
      </c>
      <c r="E312" s="9" t="s">
        <v>80</v>
      </c>
      <c r="F312" t="str">
        <f>IF(AND($A312&lt;&gt;"",COUNTIF($A$2:A312,$A312)=1),$A312,"")</f>
        <v/>
      </c>
      <c r="G312" t="str">
        <f>IF($F312&lt;&gt;"",SUMPRODUCT(($F$2:F312&lt;&gt;"")*1),"")</f>
        <v/>
      </c>
    </row>
    <row r="313" spans="1:7" ht="21.95" customHeight="1">
      <c r="A313" s="9" t="s">
        <v>154</v>
      </c>
      <c r="B313" s="9" t="s">
        <v>72</v>
      </c>
      <c r="C313" s="15">
        <v>10</v>
      </c>
      <c r="D313" s="16" t="s">
        <v>28</v>
      </c>
      <c r="E313" s="9" t="s">
        <v>147</v>
      </c>
      <c r="F313" t="str">
        <f>IF(AND($A313&lt;&gt;"",COUNTIF($A$2:A313,$A313)=1),$A313,"")</f>
        <v/>
      </c>
      <c r="G313" t="str">
        <f>IF($F313&lt;&gt;"",SUMPRODUCT(($F$2:F313&lt;&gt;"")*1),"")</f>
        <v/>
      </c>
    </row>
    <row r="314" spans="1:7" ht="21.95" customHeight="1">
      <c r="A314" s="9" t="s">
        <v>155</v>
      </c>
      <c r="B314" s="9" t="s">
        <v>37</v>
      </c>
      <c r="C314" s="15">
        <v>5</v>
      </c>
      <c r="D314" s="16" t="str">
        <f>IFERROR(INDEX(المواد!$B$2:$B$320,MATCH(B314,المواد!$A$2:$A$320,0)),"")</f>
        <v>كغ</v>
      </c>
      <c r="E314" s="9"/>
      <c r="F314" t="str">
        <f>IF(AND($A314&lt;&gt;"",COUNTIF($A$2:A314,$A314)=1),$A314,"")</f>
        <v>معطر ارضيات ببوري</v>
      </c>
      <c r="G314">
        <f>IF($F314&lt;&gt;"",SUMPRODUCT(($F$2:F314&lt;&gt;"")*1),"")</f>
        <v>36</v>
      </c>
    </row>
    <row r="315" spans="1:7" ht="21.95" customHeight="1">
      <c r="A315" s="9" t="s">
        <v>155</v>
      </c>
      <c r="B315" s="9" t="s">
        <v>232</v>
      </c>
      <c r="C315" s="15">
        <v>0.3</v>
      </c>
      <c r="D315" s="16" t="s">
        <v>28</v>
      </c>
      <c r="E315" s="9"/>
      <c r="F315" t="str">
        <f>IF(AND($A315&lt;&gt;"",COUNTIF($A$2:A315,$A315)=1),$A315,"")</f>
        <v/>
      </c>
      <c r="G315" t="str">
        <f>IF($F315&lt;&gt;"",SUMPRODUCT(($F$2:F315&lt;&gt;"")*1),"")</f>
        <v/>
      </c>
    </row>
    <row r="316" spans="1:7" ht="21.95" customHeight="1">
      <c r="A316" s="9" t="s">
        <v>155</v>
      </c>
      <c r="B316" s="9" t="s">
        <v>49</v>
      </c>
      <c r="C316" s="15"/>
      <c r="D316" s="16" t="s">
        <v>28</v>
      </c>
      <c r="E316" s="9"/>
      <c r="F316" t="str">
        <f>IF(AND($A316&lt;&gt;"",COUNTIF($A$2:A316,$A316)=1),$A316,"")</f>
        <v/>
      </c>
      <c r="G316" t="str">
        <f>IF($F316&lt;&gt;"",SUMPRODUCT(($F$2:F316&lt;&gt;"")*1),"")</f>
        <v/>
      </c>
    </row>
    <row r="317" spans="1:7" ht="21.95" customHeight="1">
      <c r="A317" s="9" t="s">
        <v>155</v>
      </c>
      <c r="B317" s="9" t="s">
        <v>99</v>
      </c>
      <c r="C317" s="15">
        <v>975</v>
      </c>
      <c r="D317" s="16" t="s">
        <v>28</v>
      </c>
      <c r="E317" s="9"/>
      <c r="F317" t="str">
        <f>IF(AND($A317&lt;&gt;"",COUNTIF($A$2:A317,$A317)=1),$A317,"")</f>
        <v/>
      </c>
      <c r="G317" t="str">
        <f>IF($F317&lt;&gt;"",SUMPRODUCT(($F$2:F317&lt;&gt;"")*1),"")</f>
        <v/>
      </c>
    </row>
    <row r="318" spans="1:7" ht="21.95" customHeight="1">
      <c r="A318" s="9" t="s">
        <v>155</v>
      </c>
      <c r="B318" s="9" t="s">
        <v>80</v>
      </c>
      <c r="C318" s="15">
        <v>20</v>
      </c>
      <c r="D318" s="16" t="s">
        <v>28</v>
      </c>
      <c r="E318" s="9" t="s">
        <v>156</v>
      </c>
      <c r="F318" t="str">
        <f>IF(AND($A318&lt;&gt;"",COUNTIF($A$2:A318,$A318)=1),$A318,"")</f>
        <v/>
      </c>
      <c r="G318" t="str">
        <f>IF($F318&lt;&gt;"",SUMPRODUCT(($F$2:F318&lt;&gt;"")*1),"")</f>
        <v/>
      </c>
    </row>
    <row r="319" spans="1:7" ht="21.95" customHeight="1">
      <c r="A319" s="9" t="s">
        <v>157</v>
      </c>
      <c r="B319" s="9" t="s">
        <v>37</v>
      </c>
      <c r="C319" s="15">
        <v>5</v>
      </c>
      <c r="D319" s="16" t="s">
        <v>28</v>
      </c>
      <c r="E319" s="9"/>
      <c r="F319" t="str">
        <f>IF(AND($A319&lt;&gt;"",COUNTIF($A$2:A319,$A319)=1),$A319,"")</f>
        <v>معطر ارضيات رائحة الجوري</v>
      </c>
      <c r="G319">
        <f>IF($F319&lt;&gt;"",SUMPRODUCT(($F$2:F319&lt;&gt;"")*1),"")</f>
        <v>37</v>
      </c>
    </row>
    <row r="320" spans="1:7" ht="21.95" customHeight="1">
      <c r="A320" s="9" t="s">
        <v>157</v>
      </c>
      <c r="B320" s="9" t="s">
        <v>232</v>
      </c>
      <c r="C320" s="15">
        <v>0.3</v>
      </c>
      <c r="D320" s="16" t="s">
        <v>28</v>
      </c>
      <c r="E320" s="9"/>
      <c r="F320" t="str">
        <f>IF(AND($A320&lt;&gt;"",COUNTIF($A$2:A320,$A320)=1),$A320,"")</f>
        <v/>
      </c>
      <c r="G320" t="str">
        <f>IF($F320&lt;&gt;"",SUMPRODUCT(($F$2:F320&lt;&gt;"")*1),"")</f>
        <v/>
      </c>
    </row>
    <row r="321" spans="1:7" ht="21.95" customHeight="1">
      <c r="A321" s="9" t="s">
        <v>157</v>
      </c>
      <c r="B321" s="9" t="s">
        <v>49</v>
      </c>
      <c r="C321" s="15"/>
      <c r="D321" s="16" t="s">
        <v>28</v>
      </c>
      <c r="E321" s="9"/>
      <c r="F321" t="str">
        <f>IF(AND($A321&lt;&gt;"",COUNTIF($A$2:A321,$A321)=1),$A321,"")</f>
        <v/>
      </c>
      <c r="G321" t="str">
        <f>IF($F321&lt;&gt;"",SUMPRODUCT(($F$2:F321&lt;&gt;"")*1),"")</f>
        <v/>
      </c>
    </row>
    <row r="322" spans="1:7" ht="21.95" customHeight="1">
      <c r="A322" s="9" t="s">
        <v>157</v>
      </c>
      <c r="B322" s="9" t="s">
        <v>99</v>
      </c>
      <c r="C322" s="15">
        <v>975</v>
      </c>
      <c r="D322" s="16" t="s">
        <v>28</v>
      </c>
      <c r="E322" s="9"/>
      <c r="F322" t="str">
        <f>IF(AND($A322&lt;&gt;"",COUNTIF($A$2:A322,$A322)=1),$A322,"")</f>
        <v/>
      </c>
      <c r="G322" t="str">
        <f>IF($F322&lt;&gt;"",SUMPRODUCT(($F$2:F322&lt;&gt;"")*1),"")</f>
        <v/>
      </c>
    </row>
    <row r="323" spans="1:7" ht="21.95" customHeight="1">
      <c r="A323" s="9" t="s">
        <v>157</v>
      </c>
      <c r="B323" s="9" t="s">
        <v>80</v>
      </c>
      <c r="C323" s="15">
        <v>10</v>
      </c>
      <c r="D323" s="16" t="s">
        <v>28</v>
      </c>
      <c r="E323" s="9" t="s">
        <v>80</v>
      </c>
      <c r="F323" t="str">
        <f>IF(AND($A323&lt;&gt;"",COUNTIF($A$2:A323,$A323)=1),$A323,"")</f>
        <v/>
      </c>
      <c r="G323" t="str">
        <f>IF($F323&lt;&gt;"",SUMPRODUCT(($F$2:F323&lt;&gt;"")*1),"")</f>
        <v/>
      </c>
    </row>
    <row r="324" spans="1:7" ht="21.95" customHeight="1">
      <c r="A324" s="9" t="s">
        <v>157</v>
      </c>
      <c r="B324" s="9" t="s">
        <v>67</v>
      </c>
      <c r="C324" s="15">
        <v>10</v>
      </c>
      <c r="D324" s="16" t="s">
        <v>28</v>
      </c>
      <c r="E324" s="9" t="s">
        <v>158</v>
      </c>
      <c r="F324" t="str">
        <f>IF(AND($A324&lt;&gt;"",COUNTIF($A$2:A324,$A324)=1),$A324,"")</f>
        <v/>
      </c>
      <c r="G324" t="str">
        <f>IF($F324&lt;&gt;"",SUMPRODUCT(($F$2:F324&lt;&gt;"")*1),"")</f>
        <v/>
      </c>
    </row>
    <row r="325" spans="1:7" ht="21.95" customHeight="1">
      <c r="A325" s="9" t="s">
        <v>159</v>
      </c>
      <c r="B325" s="9" t="s">
        <v>37</v>
      </c>
      <c r="C325" s="15">
        <v>5</v>
      </c>
      <c r="D325" s="16" t="str">
        <f>IFERROR(INDEX(المواد!$B$2:$B$320,MATCH(B325,المواد!$A$2:$A$320,0)),"")</f>
        <v>كغ</v>
      </c>
      <c r="E325" s="9"/>
      <c r="F325" t="str">
        <f>IF(AND($A325&lt;&gt;"",COUNTIF($A$2:A325,$A325)=1),$A325,"")</f>
        <v>معطر ارضيات زهرة التوليب</v>
      </c>
      <c r="G325">
        <f>IF($F325&lt;&gt;"",SUMPRODUCT(($F$2:F325&lt;&gt;"")*1),"")</f>
        <v>38</v>
      </c>
    </row>
    <row r="326" spans="1:7" ht="21.95" customHeight="1">
      <c r="A326" s="9" t="s">
        <v>159</v>
      </c>
      <c r="B326" s="9" t="s">
        <v>232</v>
      </c>
      <c r="C326" s="15">
        <v>0.3</v>
      </c>
      <c r="D326" s="16" t="s">
        <v>28</v>
      </c>
      <c r="E326" s="9"/>
      <c r="F326" t="str">
        <f>IF(AND($A326&lt;&gt;"",COUNTIF($A$2:A326,$A326)=1),$A326,"")</f>
        <v/>
      </c>
      <c r="G326" t="str">
        <f>IF($F326&lt;&gt;"",SUMPRODUCT(($F$2:F326&lt;&gt;"")*1),"")</f>
        <v/>
      </c>
    </row>
    <row r="327" spans="1:7" ht="21.95" customHeight="1">
      <c r="A327" s="9" t="s">
        <v>159</v>
      </c>
      <c r="B327" s="9" t="s">
        <v>49</v>
      </c>
      <c r="C327" s="15"/>
      <c r="D327" s="16" t="s">
        <v>28</v>
      </c>
      <c r="E327" s="9"/>
      <c r="F327" t="str">
        <f>IF(AND($A327&lt;&gt;"",COUNTIF($A$2:A327,$A327)=1),$A327,"")</f>
        <v/>
      </c>
      <c r="G327" t="str">
        <f>IF($F327&lt;&gt;"",SUMPRODUCT(($F$2:F327&lt;&gt;"")*1),"")</f>
        <v/>
      </c>
    </row>
    <row r="328" spans="1:7" ht="21.95" customHeight="1">
      <c r="A328" s="9" t="s">
        <v>159</v>
      </c>
      <c r="B328" s="9" t="s">
        <v>99</v>
      </c>
      <c r="C328" s="15">
        <v>975</v>
      </c>
      <c r="D328" s="16" t="s">
        <v>28</v>
      </c>
      <c r="E328" s="9"/>
      <c r="F328" t="str">
        <f>IF(AND($A328&lt;&gt;"",COUNTIF($A$2:A328,$A328)=1),$A328,"")</f>
        <v/>
      </c>
      <c r="G328" t="str">
        <f>IF($F328&lt;&gt;"",SUMPRODUCT(($F$2:F328&lt;&gt;"")*1),"")</f>
        <v/>
      </c>
    </row>
    <row r="329" spans="1:7" ht="21.95" customHeight="1">
      <c r="A329" s="9" t="s">
        <v>159</v>
      </c>
      <c r="B329" s="9" t="s">
        <v>80</v>
      </c>
      <c r="C329" s="15">
        <v>10</v>
      </c>
      <c r="D329" s="16" t="s">
        <v>28</v>
      </c>
      <c r="E329" s="9" t="s">
        <v>80</v>
      </c>
      <c r="F329" t="str">
        <f>IF(AND($A329&lt;&gt;"",COUNTIF($A$2:A329,$A329)=1),$A329,"")</f>
        <v/>
      </c>
      <c r="G329" t="str">
        <f>IF($F329&lt;&gt;"",SUMPRODUCT(($F$2:F329&lt;&gt;"")*1),"")</f>
        <v/>
      </c>
    </row>
    <row r="330" spans="1:7" ht="21.95" customHeight="1">
      <c r="A330" s="9" t="s">
        <v>159</v>
      </c>
      <c r="B330" s="9" t="s">
        <v>65</v>
      </c>
      <c r="C330" s="15">
        <v>10</v>
      </c>
      <c r="D330" s="16" t="s">
        <v>28</v>
      </c>
      <c r="E330" s="9" t="s">
        <v>160</v>
      </c>
      <c r="F330" t="str">
        <f>IF(AND($A330&lt;&gt;"",COUNTIF($A$2:A330,$A330)=1),$A330,"")</f>
        <v/>
      </c>
      <c r="G330" t="str">
        <f>IF($F330&lt;&gt;"",SUMPRODUCT(($F$2:F330&lt;&gt;"")*1),"")</f>
        <v/>
      </c>
    </row>
    <row r="331" spans="1:7" ht="21.95" customHeight="1">
      <c r="A331" s="9" t="s">
        <v>161</v>
      </c>
      <c r="B331" s="9" t="s">
        <v>37</v>
      </c>
      <c r="C331" s="15">
        <v>5</v>
      </c>
      <c r="D331" s="16" t="s">
        <v>28</v>
      </c>
      <c r="E331" s="9"/>
      <c r="F331" t="str">
        <f>IF(AND($A331&lt;&gt;"",COUNTIF($A$2:A331,$A331)=1),$A331,"")</f>
        <v>معطر ارضيات موف او ليلك</v>
      </c>
      <c r="G331">
        <f>IF($F331&lt;&gt;"",SUMPRODUCT(($F$2:F331&lt;&gt;"")*1),"")</f>
        <v>39</v>
      </c>
    </row>
    <row r="332" spans="1:7" ht="21.95" customHeight="1">
      <c r="A332" s="9" t="s">
        <v>161</v>
      </c>
      <c r="B332" s="9" t="s">
        <v>232</v>
      </c>
      <c r="C332" s="15">
        <v>0.3</v>
      </c>
      <c r="D332" s="16" t="s">
        <v>28</v>
      </c>
      <c r="E332" s="9"/>
      <c r="F332" t="str">
        <f>IF(AND($A332&lt;&gt;"",COUNTIF($A$2:A332,$A332)=1),$A332,"")</f>
        <v/>
      </c>
      <c r="G332" t="str">
        <f>IF($F332&lt;&gt;"",SUMPRODUCT(($F$2:F332&lt;&gt;"")*1),"")</f>
        <v/>
      </c>
    </row>
    <row r="333" spans="1:7" ht="21.95" customHeight="1">
      <c r="A333" s="9" t="s">
        <v>161</v>
      </c>
      <c r="B333" s="9" t="s">
        <v>49</v>
      </c>
      <c r="C333" s="15"/>
      <c r="D333" s="16" t="s">
        <v>28</v>
      </c>
      <c r="E333" s="9"/>
      <c r="F333" t="str">
        <f>IF(AND($A333&lt;&gt;"",COUNTIF($A$2:A333,$A333)=1),$A333,"")</f>
        <v/>
      </c>
      <c r="G333" t="str">
        <f>IF($F333&lt;&gt;"",SUMPRODUCT(($F$2:F333&lt;&gt;"")*1),"")</f>
        <v/>
      </c>
    </row>
    <row r="334" spans="1:7" ht="21.95" customHeight="1">
      <c r="A334" s="9" t="s">
        <v>161</v>
      </c>
      <c r="B334" s="9" t="s">
        <v>99</v>
      </c>
      <c r="C334" s="15">
        <v>975</v>
      </c>
      <c r="D334" s="16" t="s">
        <v>28</v>
      </c>
      <c r="E334" s="9"/>
      <c r="F334" t="str">
        <f>IF(AND($A334&lt;&gt;"",COUNTIF($A$2:A334,$A334)=1),$A334,"")</f>
        <v/>
      </c>
      <c r="G334" t="str">
        <f>IF($F334&lt;&gt;"",SUMPRODUCT(($F$2:F334&lt;&gt;"")*1),"")</f>
        <v/>
      </c>
    </row>
    <row r="335" spans="1:7" ht="21.95" customHeight="1">
      <c r="A335" s="9" t="s">
        <v>161</v>
      </c>
      <c r="B335" s="9" t="s">
        <v>80</v>
      </c>
      <c r="C335" s="15">
        <v>10</v>
      </c>
      <c r="D335" s="16" t="s">
        <v>28</v>
      </c>
      <c r="E335" s="9" t="s">
        <v>80</v>
      </c>
      <c r="F335" t="str">
        <f>IF(AND($A335&lt;&gt;"",COUNTIF($A$2:A335,$A335)=1),$A335,"")</f>
        <v/>
      </c>
      <c r="G335" t="str">
        <f>IF($F335&lt;&gt;"",SUMPRODUCT(($F$2:F335&lt;&gt;"")*1),"")</f>
        <v/>
      </c>
    </row>
    <row r="336" spans="1:7" ht="21.95" customHeight="1">
      <c r="A336" s="9" t="s">
        <v>161</v>
      </c>
      <c r="B336" s="9" t="s">
        <v>59</v>
      </c>
      <c r="C336" s="15">
        <v>10</v>
      </c>
      <c r="D336" s="16" t="s">
        <v>28</v>
      </c>
      <c r="E336" s="9" t="s">
        <v>162</v>
      </c>
      <c r="F336" t="str">
        <f>IF(AND($A336&lt;&gt;"",COUNTIF($A$2:A336,$A336)=1),$A336,"")</f>
        <v/>
      </c>
      <c r="G336" t="str">
        <f>IF($F336&lt;&gt;"",SUMPRODUCT(($F$2:F336&lt;&gt;"")*1),"")</f>
        <v/>
      </c>
    </row>
    <row r="337" spans="1:7" ht="21.95" customHeight="1">
      <c r="A337" s="9" t="s">
        <v>163</v>
      </c>
      <c r="B337" s="9" t="s">
        <v>88</v>
      </c>
      <c r="C337" s="15">
        <v>300</v>
      </c>
      <c r="D337" s="16" t="str">
        <f>IFERROR(INDEX(المواد!$B$2:$B$320,MATCH(B337,المواد!$A$2:$A$320,0)),"")</f>
        <v>كغ</v>
      </c>
      <c r="E337" s="9"/>
      <c r="F337" t="str">
        <f>IF(AND($A337&lt;&gt;"",COUNTIF($A$2:A337,$A337)=1),$A337,"")</f>
        <v>ملمع دواليب</v>
      </c>
      <c r="G337">
        <f>IF($F337&lt;&gt;"",SUMPRODUCT(($F$2:F337&lt;&gt;"")*1),"")</f>
        <v>40</v>
      </c>
    </row>
    <row r="338" spans="1:7" ht="21.95" customHeight="1">
      <c r="A338" s="9" t="s">
        <v>163</v>
      </c>
      <c r="B338" s="9" t="s">
        <v>51</v>
      </c>
      <c r="C338" s="15">
        <v>0.2</v>
      </c>
      <c r="D338" s="16" t="s">
        <v>28</v>
      </c>
      <c r="E338" s="9" t="s">
        <v>164</v>
      </c>
      <c r="F338" t="str">
        <f>IF(AND($A338&lt;&gt;"",COUNTIF($A$2:A338,$A338)=1),$A338,"")</f>
        <v/>
      </c>
      <c r="G338" t="str">
        <f>IF($F338&lt;&gt;"",SUMPRODUCT(($F$2:F338&lt;&gt;"")*1),"")</f>
        <v/>
      </c>
    </row>
    <row r="339" spans="1:7" ht="21.95" customHeight="1">
      <c r="A339" s="9" t="s">
        <v>163</v>
      </c>
      <c r="B339" s="9" t="s">
        <v>232</v>
      </c>
      <c r="C339" s="15">
        <v>1</v>
      </c>
      <c r="D339" s="16" t="s">
        <v>28</v>
      </c>
      <c r="E339" s="9"/>
      <c r="F339" t="str">
        <f>IF(AND($A339&lt;&gt;"",COUNTIF($A$2:A339,$A339)=1),$A339,"")</f>
        <v/>
      </c>
      <c r="G339" t="str">
        <f>IF($F339&lt;&gt;"",SUMPRODUCT(($F$2:F339&lt;&gt;"")*1),"")</f>
        <v/>
      </c>
    </row>
    <row r="340" spans="1:7" ht="21.95" customHeight="1">
      <c r="A340" s="9" t="s">
        <v>163</v>
      </c>
      <c r="B340" s="9" t="s">
        <v>99</v>
      </c>
      <c r="C340" s="15">
        <v>700</v>
      </c>
      <c r="D340" s="16" t="s">
        <v>28</v>
      </c>
      <c r="E340" s="9"/>
      <c r="F340" t="str">
        <f>IF(AND($A340&lt;&gt;"",COUNTIF($A$2:A340,$A340)=1),$A340,"")</f>
        <v/>
      </c>
      <c r="G340" t="str">
        <f>IF($F340&lt;&gt;"",SUMPRODUCT(($F$2:F340&lt;&gt;"")*1),"")</f>
        <v/>
      </c>
    </row>
    <row r="341" spans="1:7" ht="21.95" customHeight="1">
      <c r="A341" s="9" t="s">
        <v>165</v>
      </c>
      <c r="B341" s="9" t="s">
        <v>99</v>
      </c>
      <c r="C341" s="15">
        <v>878</v>
      </c>
      <c r="D341" s="16" t="s">
        <v>28</v>
      </c>
      <c r="E341" s="9"/>
      <c r="F341" t="str">
        <f>IF(AND($A341&lt;&gt;"",COUNTIF($A$2:A341,$A341)=1),$A341,"")</f>
        <v>ملمع زجاج 1000 كغ</v>
      </c>
      <c r="G341">
        <f>IF($F341&lt;&gt;"",SUMPRODUCT(($F$2:F341&lt;&gt;"")*1),"")</f>
        <v>41</v>
      </c>
    </row>
    <row r="342" spans="1:7" ht="21.95" customHeight="1">
      <c r="A342" s="9" t="s">
        <v>165</v>
      </c>
      <c r="B342" s="9" t="s">
        <v>91</v>
      </c>
      <c r="C342" s="15">
        <v>100</v>
      </c>
      <c r="D342" s="16" t="s">
        <v>28</v>
      </c>
      <c r="E342" s="9"/>
      <c r="F342" t="str">
        <f>IF(AND($A342&lt;&gt;"",COUNTIF($A$2:A342,$A342)=1),$A342,"")</f>
        <v/>
      </c>
      <c r="G342" t="str">
        <f>IF($F342&lt;&gt;"",SUMPRODUCT(($F$2:F342&lt;&gt;"")*1),"")</f>
        <v/>
      </c>
    </row>
    <row r="343" spans="1:7" ht="21.95" customHeight="1">
      <c r="A343" s="9" t="s">
        <v>165</v>
      </c>
      <c r="B343" s="9" t="s">
        <v>35</v>
      </c>
      <c r="C343" s="15">
        <v>10</v>
      </c>
      <c r="D343" s="16" t="str">
        <f>IFERROR(INDEX(المواد!$B$2:$B$320,MATCH(B343,المواد!$A$2:$A$320,0)),"")</f>
        <v>كغ</v>
      </c>
      <c r="E343" s="9"/>
      <c r="F343" t="str">
        <f>IF(AND($A343&lt;&gt;"",COUNTIF($A$2:A343,$A343)=1),$A343,"")</f>
        <v/>
      </c>
      <c r="G343" t="str">
        <f>IF($F343&lt;&gt;"",SUMPRODUCT(($F$2:F343&lt;&gt;"")*1),"")</f>
        <v/>
      </c>
    </row>
    <row r="344" spans="1:7" ht="21.95" customHeight="1">
      <c r="A344" s="9" t="s">
        <v>165</v>
      </c>
      <c r="B344" s="9" t="s">
        <v>40</v>
      </c>
      <c r="C344" s="15">
        <v>2</v>
      </c>
      <c r="D344" s="16" t="str">
        <f>IFERROR(INDEX(المواد!$B$2:$B$320,MATCH(B344,المواد!$A$2:$A$320,0)),"")</f>
        <v>كغ</v>
      </c>
      <c r="E344" s="9"/>
      <c r="F344" t="str">
        <f>IF(AND($A344&lt;&gt;"",COUNTIF($A$2:A344,$A344)=1),$A344,"")</f>
        <v/>
      </c>
      <c r="G344" t="str">
        <f>IF($F344&lt;&gt;"",SUMPRODUCT(($F$2:F344&lt;&gt;"")*1),"")</f>
        <v/>
      </c>
    </row>
    <row r="345" spans="1:7" ht="21.95" customHeight="1">
      <c r="A345" s="9" t="s">
        <v>165</v>
      </c>
      <c r="B345" s="9" t="s">
        <v>45</v>
      </c>
      <c r="C345" s="15">
        <v>2</v>
      </c>
      <c r="D345" s="16" t="s">
        <v>28</v>
      </c>
      <c r="E345" s="9"/>
      <c r="F345" t="str">
        <f>IF(AND($A345&lt;&gt;"",COUNTIF($A$2:A345,$A345)=1),$A345,"")</f>
        <v/>
      </c>
      <c r="G345" t="str">
        <f>IF($F345&lt;&gt;"",SUMPRODUCT(($F$2:F345&lt;&gt;"")*1),"")</f>
        <v/>
      </c>
    </row>
    <row r="346" spans="1:7" ht="21.95" customHeight="1">
      <c r="A346" s="9" t="s">
        <v>165</v>
      </c>
      <c r="B346" s="9" t="s">
        <v>27</v>
      </c>
      <c r="C346" s="15">
        <v>2</v>
      </c>
      <c r="D346" s="16" t="s">
        <v>28</v>
      </c>
      <c r="E346" s="9"/>
      <c r="F346" t="str">
        <f>IF(AND($A346&lt;&gt;"",COUNTIF($A$2:A346,$A346)=1),$A346,"")</f>
        <v/>
      </c>
      <c r="G346" t="str">
        <f>IF($F346&lt;&gt;"",SUMPRODUCT(($F$2:F346&lt;&gt;"")*1),"")</f>
        <v/>
      </c>
    </row>
    <row r="347" spans="1:7" ht="21.95" customHeight="1">
      <c r="A347" s="9" t="s">
        <v>165</v>
      </c>
      <c r="B347" s="9" t="s">
        <v>29</v>
      </c>
      <c r="C347" s="15">
        <v>4</v>
      </c>
      <c r="D347" s="16" t="str">
        <f>IFERROR(INDEX(المواد!$B$2:$B$320,MATCH(B347,المواد!$A$2:$A$320,0)),"")</f>
        <v>كغ</v>
      </c>
      <c r="E347" s="9"/>
      <c r="F347" t="str">
        <f>IF(AND($A347&lt;&gt;"",COUNTIF($A$2:A347,$A347)=1),$A347,"")</f>
        <v/>
      </c>
      <c r="G347" t="str">
        <f>IF($F347&lt;&gt;"",SUMPRODUCT(($F$2:F347&lt;&gt;"")*1),"")</f>
        <v/>
      </c>
    </row>
    <row r="348" spans="1:7" ht="21.95" customHeight="1">
      <c r="A348" s="9" t="s">
        <v>165</v>
      </c>
      <c r="B348" s="9" t="s">
        <v>232</v>
      </c>
      <c r="C348" s="15">
        <v>2</v>
      </c>
      <c r="D348" s="16" t="s">
        <v>28</v>
      </c>
      <c r="E348" s="9"/>
      <c r="F348" t="str">
        <f>IF(AND($A348&lt;&gt;"",COUNTIF($A$2:A348,$A348)=1),$A348,"")</f>
        <v/>
      </c>
      <c r="G348" t="str">
        <f>IF($F348&lt;&gt;"",SUMPRODUCT(($F$2:F348&lt;&gt;"")*1),"")</f>
        <v/>
      </c>
    </row>
    <row r="349" spans="1:7" ht="21.95" customHeight="1">
      <c r="A349" s="9" t="s">
        <v>166</v>
      </c>
      <c r="B349" s="9" t="s">
        <v>99</v>
      </c>
      <c r="C349" s="15">
        <v>136</v>
      </c>
      <c r="D349" s="16" t="s">
        <v>28</v>
      </c>
      <c r="E349" s="9"/>
      <c r="F349" t="str">
        <f>IF(AND($A349&lt;&gt;"",COUNTIF($A$2:A349,$A349)=1),$A349,"")</f>
        <v>ملمع زجاج 150كغ</v>
      </c>
      <c r="G349">
        <f>IF($F349&lt;&gt;"",SUMPRODUCT(($F$2:F349&lt;&gt;"")*1),"")</f>
        <v>42</v>
      </c>
    </row>
    <row r="350" spans="1:7" ht="21.95" customHeight="1">
      <c r="A350" s="9" t="s">
        <v>166</v>
      </c>
      <c r="B350" s="9" t="s">
        <v>91</v>
      </c>
      <c r="C350" s="15">
        <v>15</v>
      </c>
      <c r="D350" s="16" t="s">
        <v>28</v>
      </c>
      <c r="E350" s="9"/>
      <c r="F350" t="str">
        <f>IF(AND($A350&lt;&gt;"",COUNTIF($A$2:A350,$A350)=1),$A350,"")</f>
        <v/>
      </c>
      <c r="G350" t="str">
        <f>IF($F350&lt;&gt;"",SUMPRODUCT(($F$2:F350&lt;&gt;"")*1),"")</f>
        <v/>
      </c>
    </row>
    <row r="351" spans="1:7" ht="21.95" customHeight="1">
      <c r="A351" s="9" t="s">
        <v>166</v>
      </c>
      <c r="B351" s="9" t="s">
        <v>35</v>
      </c>
      <c r="C351" s="15">
        <v>1.5</v>
      </c>
      <c r="D351" s="16" t="str">
        <f>IFERROR(INDEX(المواد!$B$2:$B$320,MATCH(B351,المواد!$A$2:$A$320,0)),"")</f>
        <v>كغ</v>
      </c>
      <c r="E351" s="9"/>
      <c r="F351" t="str">
        <f>IF(AND($A351&lt;&gt;"",COUNTIF($A$2:A351,$A351)=1),$A351,"")</f>
        <v/>
      </c>
      <c r="G351" t="str">
        <f>IF($F351&lt;&gt;"",SUMPRODUCT(($F$2:F351&lt;&gt;"")*1),"")</f>
        <v/>
      </c>
    </row>
    <row r="352" spans="1:7" ht="21.95" customHeight="1">
      <c r="A352" s="9" t="s">
        <v>166</v>
      </c>
      <c r="B352" s="9" t="s">
        <v>40</v>
      </c>
      <c r="C352" s="15">
        <v>0.3</v>
      </c>
      <c r="D352" s="16" t="str">
        <f>IFERROR(INDEX(المواد!$B$2:$B$320,MATCH(B352,المواد!$A$2:$A$320,0)),"")</f>
        <v>كغ</v>
      </c>
      <c r="E352" s="9"/>
      <c r="F352" t="str">
        <f>IF(AND($A352&lt;&gt;"",COUNTIF($A$2:A352,$A352)=1),$A352,"")</f>
        <v/>
      </c>
      <c r="G352" t="str">
        <f>IF($F352&lt;&gt;"",SUMPRODUCT(($F$2:F352&lt;&gt;"")*1),"")</f>
        <v/>
      </c>
    </row>
    <row r="353" spans="1:7" ht="21.95" customHeight="1">
      <c r="A353" s="9" t="s">
        <v>166</v>
      </c>
      <c r="B353" s="9" t="s">
        <v>45</v>
      </c>
      <c r="C353" s="15">
        <v>0.3</v>
      </c>
      <c r="D353" s="16" t="s">
        <v>28</v>
      </c>
      <c r="E353" s="9"/>
      <c r="F353" t="str">
        <f>IF(AND($A353&lt;&gt;"",COUNTIF($A$2:A353,$A353)=1),$A353,"")</f>
        <v/>
      </c>
      <c r="G353" t="str">
        <f>IF($F353&lt;&gt;"",SUMPRODUCT(($F$2:F353&lt;&gt;"")*1),"")</f>
        <v/>
      </c>
    </row>
    <row r="354" spans="1:7" ht="21.95" customHeight="1">
      <c r="A354" s="9" t="s">
        <v>166</v>
      </c>
      <c r="B354" s="9" t="s">
        <v>27</v>
      </c>
      <c r="C354" s="15">
        <v>0.3</v>
      </c>
      <c r="D354" s="16" t="str">
        <f>IFERROR(INDEX(المواد!$B$2:$B$320,MATCH(B354,المواد!$A$2:$A$320,0)),"")</f>
        <v>كغ</v>
      </c>
      <c r="E354" s="9"/>
      <c r="F354" t="str">
        <f>IF(AND($A354&lt;&gt;"",COUNTIF($A$2:A354,$A354)=1),$A354,"")</f>
        <v/>
      </c>
      <c r="G354" t="str">
        <f>IF($F354&lt;&gt;"",SUMPRODUCT(($F$2:F354&lt;&gt;"")*1),"")</f>
        <v/>
      </c>
    </row>
    <row r="355" spans="1:7" ht="21.95" customHeight="1">
      <c r="A355" s="9" t="s">
        <v>166</v>
      </c>
      <c r="B355" s="9" t="s">
        <v>29</v>
      </c>
      <c r="C355" s="15">
        <v>0.6</v>
      </c>
      <c r="D355" s="16" t="str">
        <f>IFERROR(INDEX(المواد!$B$2:$B$320,MATCH(B355,المواد!$A$2:$A$320,0)),"")</f>
        <v>كغ</v>
      </c>
      <c r="E355" s="9"/>
      <c r="F355" t="str">
        <f>IF(AND($A355&lt;&gt;"",COUNTIF($A$2:A355,$A355)=1),$A355,"")</f>
        <v/>
      </c>
      <c r="G355" t="str">
        <f>IF($F355&lt;&gt;"",SUMPRODUCT(($F$2:F355&lt;&gt;"")*1),"")</f>
        <v/>
      </c>
    </row>
    <row r="356" spans="1:7" ht="21.95" customHeight="1">
      <c r="A356" s="9" t="s">
        <v>166</v>
      </c>
      <c r="B356" s="9" t="s">
        <v>232</v>
      </c>
      <c r="C356" s="15">
        <v>0.3</v>
      </c>
      <c r="D356" s="16" t="s">
        <v>28</v>
      </c>
      <c r="E356" s="9"/>
      <c r="F356" t="str">
        <f>IF(AND($A356&lt;&gt;"",COUNTIF($A$2:A356,$A356)=1),$A356,"")</f>
        <v/>
      </c>
      <c r="G356" t="str">
        <f>IF($F356&lt;&gt;"",SUMPRODUCT(($F$2:F356&lt;&gt;"")*1),"")</f>
        <v/>
      </c>
    </row>
    <row r="357" spans="1:7" ht="21.95" customHeight="1">
      <c r="A357" s="9" t="s">
        <v>167</v>
      </c>
      <c r="B357" s="9" t="s">
        <v>99</v>
      </c>
      <c r="C357" s="15">
        <v>680</v>
      </c>
      <c r="D357" s="16" t="s">
        <v>28</v>
      </c>
      <c r="E357" s="9"/>
      <c r="F357" t="str">
        <f>IF(AND($A357&lt;&gt;"",COUNTIF($A$2:A357,$A357)=1),$A357,"")</f>
        <v>ملمع زجاج 750 كغ</v>
      </c>
      <c r="G357">
        <f>IF($F357&lt;&gt;"",SUMPRODUCT(($F$2:F357&lt;&gt;"")*1),"")</f>
        <v>43</v>
      </c>
    </row>
    <row r="358" spans="1:7" ht="21.95" customHeight="1">
      <c r="A358" s="9" t="s">
        <v>167</v>
      </c>
      <c r="B358" s="9" t="s">
        <v>91</v>
      </c>
      <c r="C358" s="15">
        <v>75</v>
      </c>
      <c r="D358" s="16" t="s">
        <v>28</v>
      </c>
      <c r="E358" s="9"/>
      <c r="F358" t="str">
        <f>IF(AND($A358&lt;&gt;"",COUNTIF($A$2:A358,$A358)=1),$A358,"")</f>
        <v/>
      </c>
      <c r="G358" t="str">
        <f>IF($F358&lt;&gt;"",SUMPRODUCT(($F$2:F358&lt;&gt;"")*1),"")</f>
        <v/>
      </c>
    </row>
    <row r="359" spans="1:7" ht="21.95" customHeight="1">
      <c r="A359" s="9" t="s">
        <v>167</v>
      </c>
      <c r="B359" s="9" t="s">
        <v>35</v>
      </c>
      <c r="C359" s="15">
        <v>7.5</v>
      </c>
      <c r="D359" s="16" t="str">
        <f>IFERROR(INDEX(المواد!$B$2:$B$320,MATCH(B359,المواد!$A$2:$A$320,0)),"")</f>
        <v>كغ</v>
      </c>
      <c r="E359" s="9"/>
      <c r="F359" t="str">
        <f>IF(AND($A359&lt;&gt;"",COUNTIF($A$2:A359,$A359)=1),$A359,"")</f>
        <v/>
      </c>
      <c r="G359" t="str">
        <f>IF($F359&lt;&gt;"",SUMPRODUCT(($F$2:F359&lt;&gt;"")*1),"")</f>
        <v/>
      </c>
    </row>
    <row r="360" spans="1:7" ht="21.95" customHeight="1">
      <c r="A360" s="9" t="s">
        <v>167</v>
      </c>
      <c r="B360" s="9" t="s">
        <v>40</v>
      </c>
      <c r="C360" s="15">
        <v>1.5</v>
      </c>
      <c r="D360" s="16" t="str">
        <f>IFERROR(INDEX(المواد!$B$2:$B$320,MATCH(B360,المواد!$A$2:$A$320,0)),"")</f>
        <v>كغ</v>
      </c>
      <c r="E360" s="9"/>
      <c r="F360" t="str">
        <f>IF(AND($A360&lt;&gt;"",COUNTIF($A$2:A360,$A360)=1),$A360,"")</f>
        <v/>
      </c>
      <c r="G360" t="str">
        <f>IF($F360&lt;&gt;"",SUMPRODUCT(($F$2:F360&lt;&gt;"")*1),"")</f>
        <v/>
      </c>
    </row>
    <row r="361" spans="1:7" ht="21.95" customHeight="1">
      <c r="A361" s="9" t="s">
        <v>167</v>
      </c>
      <c r="B361" s="9" t="s">
        <v>45</v>
      </c>
      <c r="C361" s="15">
        <v>1.5</v>
      </c>
      <c r="D361" s="16" t="str">
        <f>IFERROR(INDEX(المواد!$B$2:$B$320,MATCH(B361,المواد!$A$2:$A$320,0)),"")</f>
        <v/>
      </c>
      <c r="E361" s="9"/>
      <c r="F361" t="str">
        <f>IF(AND($A361&lt;&gt;"",COUNTIF($A$2:A361,$A361)=1),$A361,"")</f>
        <v/>
      </c>
      <c r="G361" t="str">
        <f>IF($F361&lt;&gt;"",SUMPRODUCT(($F$2:F361&lt;&gt;"")*1),"")</f>
        <v/>
      </c>
    </row>
    <row r="362" spans="1:7" ht="21.95" customHeight="1">
      <c r="A362" s="9" t="s">
        <v>167</v>
      </c>
      <c r="B362" s="9" t="s">
        <v>27</v>
      </c>
      <c r="C362" s="15">
        <v>1.5</v>
      </c>
      <c r="D362" s="16" t="str">
        <f>IFERROR(INDEX(المواد!$B$2:$B$320,MATCH(B362,المواد!$A$2:$A$320,0)),"")</f>
        <v>كغ</v>
      </c>
      <c r="E362" s="9"/>
      <c r="F362" t="str">
        <f>IF(AND($A362&lt;&gt;"",COUNTIF($A$2:A362,$A362)=1),$A362,"")</f>
        <v/>
      </c>
      <c r="G362" t="str">
        <f>IF($F362&lt;&gt;"",SUMPRODUCT(($F$2:F362&lt;&gt;"")*1),"")</f>
        <v/>
      </c>
    </row>
    <row r="363" spans="1:7" ht="21.95" customHeight="1">
      <c r="A363" s="9" t="s">
        <v>167</v>
      </c>
      <c r="B363" s="9" t="s">
        <v>29</v>
      </c>
      <c r="C363" s="15">
        <v>3</v>
      </c>
      <c r="D363" s="16" t="str">
        <f>IFERROR(INDEX(المواد!$B$2:$B$320,MATCH(B363,المواد!$A$2:$A$320,0)),"")</f>
        <v>كغ</v>
      </c>
      <c r="E363" s="9"/>
      <c r="F363" t="str">
        <f>IF(AND($A363&lt;&gt;"",COUNTIF($A$2:A363,$A363)=1),$A363,"")</f>
        <v/>
      </c>
      <c r="G363" t="str">
        <f>IF($F363&lt;&gt;"",SUMPRODUCT(($F$2:F363&lt;&gt;"")*1),"")</f>
        <v/>
      </c>
    </row>
    <row r="364" spans="1:7" ht="21.95" customHeight="1">
      <c r="A364" s="9" t="s">
        <v>167</v>
      </c>
      <c r="B364" s="9" t="s">
        <v>232</v>
      </c>
      <c r="C364" s="15">
        <v>1.5</v>
      </c>
      <c r="D364" s="16" t="str">
        <f>IFERROR(INDEX(المواد!$B$2:$B$320,MATCH(B364,المواد!$A$2:$A$320,0)),"")</f>
        <v>كغ</v>
      </c>
      <c r="E364" s="9"/>
      <c r="F364" t="str">
        <f>IF(AND($A364&lt;&gt;"",COUNTIF($A$2:A364,$A364)=1),$A364,"")</f>
        <v/>
      </c>
      <c r="G364" t="str">
        <f>IF($F364&lt;&gt;"",SUMPRODUCT(($F$2:F364&lt;&gt;"")*1),"")</f>
        <v/>
      </c>
    </row>
    <row r="365" spans="1:7" ht="21.95" customHeight="1">
      <c r="A365" s="11" t="s">
        <v>229</v>
      </c>
      <c r="B365" s="11" t="s">
        <v>46</v>
      </c>
      <c r="C365" s="12">
        <v>35</v>
      </c>
      <c r="D365" s="17" t="str">
        <f>IFERROR(INDEX(المواد!$B$2:$B$320,MATCH(B365,المواد!$A$2:$A$320,0)),"")</f>
        <v>كغ</v>
      </c>
      <c r="E365" s="11"/>
      <c r="F365" t="str">
        <f>IF(AND($A365&lt;&gt;"",COUNTIF($A$2:A365,$A365)=1),$A365,"")</f>
        <v>طبخة الاندومي</v>
      </c>
      <c r="G365">
        <f>IF($F365&lt;&gt;"",SUMPRODUCT(($F$2:F365&lt;&gt;"")*1),"")</f>
        <v>44</v>
      </c>
    </row>
    <row r="366" spans="1:7" ht="21.95" customHeight="1">
      <c r="A366" s="11" t="s">
        <v>229</v>
      </c>
      <c r="B366" s="11" t="s">
        <v>35</v>
      </c>
      <c r="C366" s="12">
        <v>25</v>
      </c>
      <c r="D366" s="17" t="str">
        <f>IFERROR(INDEX(المواد!$B$2:$B$320,MATCH(B366,المواد!$A$2:$A$320,0)),"")</f>
        <v>كغ</v>
      </c>
      <c r="E366" s="11"/>
      <c r="F366" t="str">
        <f>IF(AND($A366&lt;&gt;"",COUNTIF($A$2:A366,$A366)=1),$A366,"")</f>
        <v/>
      </c>
      <c r="G366" t="str">
        <f>IF($F366&lt;&gt;"",SUMPRODUCT(($F$2:F366&lt;&gt;"")*1),"")</f>
        <v/>
      </c>
    </row>
    <row r="367" spans="1:7" ht="21.95" customHeight="1">
      <c r="A367" s="11" t="s">
        <v>229</v>
      </c>
      <c r="B367" s="11" t="s">
        <v>254</v>
      </c>
      <c r="C367" s="12">
        <v>4.5</v>
      </c>
      <c r="D367" s="17" t="str">
        <f>IFERROR(INDEX(المواد!$B$2:$B$320,MATCH(B367,المواد!$A$2:$A$320,0)),"")</f>
        <v/>
      </c>
      <c r="E367" s="11"/>
      <c r="F367" t="str">
        <f>IF(AND($A367&lt;&gt;"",COUNTIF($A$2:A367,$A367)=1),$A367,"")</f>
        <v/>
      </c>
      <c r="G367" t="str">
        <f>IF($F367&lt;&gt;"",SUMPRODUCT(($F$2:F367&lt;&gt;"")*1),"")</f>
        <v/>
      </c>
    </row>
    <row r="368" spans="1:7" ht="21.95" customHeight="1">
      <c r="A368" s="11" t="s">
        <v>229</v>
      </c>
      <c r="B368" s="11" t="s">
        <v>34</v>
      </c>
      <c r="C368" s="12">
        <v>15</v>
      </c>
      <c r="D368" s="17" t="str">
        <f>IFERROR(INDEX(المواد!$B$2:$B$320,MATCH(B368,المواد!$A$2:$A$320,0)),"")</f>
        <v>كغ</v>
      </c>
      <c r="E368" s="11"/>
      <c r="F368" t="str">
        <f>IF(AND($A368&lt;&gt;"",COUNTIF($A$2:A368,$A368)=1),$A368,"")</f>
        <v/>
      </c>
      <c r="G368" t="str">
        <f>IF($F368&lt;&gt;"",SUMPRODUCT(($F$2:F368&lt;&gt;"")*1),"")</f>
        <v/>
      </c>
    </row>
    <row r="369" spans="1:7" ht="21.95" customHeight="1">
      <c r="A369" s="11"/>
      <c r="B369" s="11"/>
      <c r="C369" s="12"/>
      <c r="D369" s="17" t="str">
        <f>IFERROR(INDEX(المواد!$B$2:$B$320,MATCH(B369,المواد!$A$2:$A$320,0)),"")</f>
        <v/>
      </c>
      <c r="E369" s="11"/>
      <c r="F369" t="str">
        <f>IF(AND($A369&lt;&gt;"",COUNTIF($A$2:A369,$A369)=1),$A369,"")</f>
        <v/>
      </c>
      <c r="G369" t="str">
        <f>IF($F369&lt;&gt;"",SUMPRODUCT(($F$2:F369&lt;&gt;"")*1),"")</f>
        <v/>
      </c>
    </row>
    <row r="370" spans="1:7" ht="21.95" customHeight="1">
      <c r="A370" s="11"/>
      <c r="B370" s="11"/>
      <c r="C370" s="12"/>
      <c r="D370" s="17" t="str">
        <f>IFERROR(INDEX(المواد!$B$2:$B$320,MATCH(B370,المواد!$A$2:$A$320,0)),"")</f>
        <v/>
      </c>
      <c r="E370" s="11"/>
      <c r="F370" t="str">
        <f>IF(AND($A370&lt;&gt;"",COUNTIF($A$2:A370,$A370)=1),$A370,"")</f>
        <v/>
      </c>
      <c r="G370" t="str">
        <f>IF($F370&lt;&gt;"",SUMPRODUCT(($F$2:F370&lt;&gt;"")*1),"")</f>
        <v/>
      </c>
    </row>
    <row r="371" spans="1:7" ht="21.95" customHeight="1">
      <c r="A371" s="11"/>
      <c r="B371" s="11"/>
      <c r="C371" s="12"/>
      <c r="D371" s="17" t="str">
        <f>IFERROR(INDEX(المواد!$B$2:$B$320,MATCH(B371,المواد!$A$2:$A$320,0)),"")</f>
        <v/>
      </c>
      <c r="E371" s="11"/>
      <c r="F371" t="str">
        <f>IF(AND($A371&lt;&gt;"",COUNTIF($A$2:A371,$A371)=1),$A371,"")</f>
        <v/>
      </c>
      <c r="G371" t="str">
        <f>IF($F371&lt;&gt;"",SUMPRODUCT(($F$2:F371&lt;&gt;"")*1),"")</f>
        <v/>
      </c>
    </row>
    <row r="372" spans="1:7" ht="21.95" customHeight="1">
      <c r="A372" s="11"/>
      <c r="B372" s="11"/>
      <c r="C372" s="12"/>
      <c r="D372" s="17" t="str">
        <f>IFERROR(INDEX(المواد!$B$2:$B$320,MATCH(B372,المواد!$A$2:$A$320,0)),"")</f>
        <v/>
      </c>
      <c r="E372" s="11"/>
      <c r="F372" t="str">
        <f>IF(AND($A372&lt;&gt;"",COUNTIF($A$2:A372,$A372)=1),$A372,"")</f>
        <v/>
      </c>
      <c r="G372" t="str">
        <f>IF($F372&lt;&gt;"",SUMPRODUCT(($F$2:F372&lt;&gt;"")*1),"")</f>
        <v/>
      </c>
    </row>
    <row r="373" spans="1:7" ht="21.95" customHeight="1">
      <c r="A373" s="11"/>
      <c r="B373" s="11"/>
      <c r="C373" s="12"/>
      <c r="D373" s="17" t="str">
        <f>IFERROR(INDEX(المواد!$B$2:$B$320,MATCH(B373,المواد!$A$2:$A$320,0)),"")</f>
        <v/>
      </c>
      <c r="E373" s="11"/>
      <c r="F373" t="str">
        <f>IF(AND($A373&lt;&gt;"",COUNTIF($A$2:A373,$A373)=1),$A373,"")</f>
        <v/>
      </c>
      <c r="G373" t="str">
        <f>IF($F373&lt;&gt;"",SUMPRODUCT(($F$2:F373&lt;&gt;"")*1),"")</f>
        <v/>
      </c>
    </row>
    <row r="374" spans="1:7" ht="21.95" customHeight="1">
      <c r="A374" s="11"/>
      <c r="B374" s="11"/>
      <c r="C374" s="12"/>
      <c r="D374" s="17" t="str">
        <f>IFERROR(INDEX(المواد!$B$2:$B$320,MATCH(B374,المواد!$A$2:$A$320,0)),"")</f>
        <v/>
      </c>
      <c r="E374" s="11"/>
      <c r="F374" t="str">
        <f>IF(AND($A374&lt;&gt;"",COUNTIF($A$2:A374,$A374)=1),$A374,"")</f>
        <v/>
      </c>
      <c r="G374" t="str">
        <f>IF($F374&lt;&gt;"",SUMPRODUCT(($F$2:F374&lt;&gt;"")*1),"")</f>
        <v/>
      </c>
    </row>
    <row r="375" spans="1:7" ht="21.95" customHeight="1">
      <c r="A375" s="11"/>
      <c r="B375" s="11"/>
      <c r="C375" s="12"/>
      <c r="D375" s="17" t="str">
        <f>IFERROR(INDEX(المواد!$B$2:$B$320,MATCH(B375,المواد!$A$2:$A$320,0)),"")</f>
        <v/>
      </c>
      <c r="E375" s="11"/>
      <c r="F375" t="str">
        <f>IF(AND($A375&lt;&gt;"",COUNTIF($A$2:A375,$A375)=1),$A375,"")</f>
        <v/>
      </c>
      <c r="G375" t="str">
        <f>IF($F375&lt;&gt;"",SUMPRODUCT(($F$2:F375&lt;&gt;"")*1),"")</f>
        <v/>
      </c>
    </row>
    <row r="376" spans="1:7" ht="21.95" customHeight="1">
      <c r="A376" s="11"/>
      <c r="B376" s="11"/>
      <c r="C376" s="12"/>
      <c r="D376" s="17" t="str">
        <f>IFERROR(INDEX(المواد!$B$2:$B$320,MATCH(B376,المواد!$A$2:$A$320,0)),"")</f>
        <v/>
      </c>
      <c r="E376" s="11"/>
      <c r="F376" t="str">
        <f>IF(AND($A376&lt;&gt;"",COUNTIF($A$2:A376,$A376)=1),$A376,"")</f>
        <v/>
      </c>
      <c r="G376" t="str">
        <f>IF($F376&lt;&gt;"",SUMPRODUCT(($F$2:F376&lt;&gt;"")*1),"")</f>
        <v/>
      </c>
    </row>
    <row r="377" spans="1:7" ht="21.95" customHeight="1">
      <c r="A377" s="11"/>
      <c r="B377" s="11"/>
      <c r="C377" s="12"/>
      <c r="D377" s="17" t="str">
        <f>IFERROR(INDEX(المواد!$B$2:$B$320,MATCH(B377,المواد!$A$2:$A$320,0)),"")</f>
        <v/>
      </c>
      <c r="E377" s="11"/>
      <c r="F377" t="str">
        <f>IF(AND($A377&lt;&gt;"",COUNTIF($A$2:A377,$A377)=1),$A377,"")</f>
        <v/>
      </c>
      <c r="G377" t="str">
        <f>IF($F377&lt;&gt;"",SUMPRODUCT(($F$2:F377&lt;&gt;"")*1),"")</f>
        <v/>
      </c>
    </row>
    <row r="378" spans="1:7" ht="21.95" customHeight="1">
      <c r="A378" s="11"/>
      <c r="B378" s="11"/>
      <c r="C378" s="12"/>
      <c r="D378" s="17" t="str">
        <f>IFERROR(INDEX(المواد!$B$2:$B$320,MATCH(B378,المواد!$A$2:$A$320,0)),"")</f>
        <v/>
      </c>
      <c r="E378" s="11"/>
      <c r="F378" t="str">
        <f>IF(AND($A378&lt;&gt;"",COUNTIF($A$2:A378,$A378)=1),$A378,"")</f>
        <v/>
      </c>
      <c r="G378" t="str">
        <f>IF($F378&lt;&gt;"",SUMPRODUCT(($F$2:F378&lt;&gt;"")*1),"")</f>
        <v/>
      </c>
    </row>
    <row r="379" spans="1:7" ht="21.95" customHeight="1">
      <c r="A379" s="11"/>
      <c r="B379" s="11"/>
      <c r="C379" s="12"/>
      <c r="D379" s="17" t="str">
        <f>IFERROR(INDEX(المواد!$B$2:$B$320,MATCH(B379,المواد!$A$2:$A$320,0)),"")</f>
        <v/>
      </c>
      <c r="E379" s="11"/>
      <c r="F379" t="str">
        <f>IF(AND($A379&lt;&gt;"",COUNTIF($A$2:A379,$A379)=1),$A379,"")</f>
        <v/>
      </c>
      <c r="G379" t="str">
        <f>IF($F379&lt;&gt;"",SUMPRODUCT(($F$2:F379&lt;&gt;"")*1),"")</f>
        <v/>
      </c>
    </row>
    <row r="380" spans="1:7" ht="21.95" customHeight="1">
      <c r="A380" s="11"/>
      <c r="B380" s="11"/>
      <c r="C380" s="12"/>
      <c r="D380" s="17" t="str">
        <f>IFERROR(INDEX(المواد!$B$2:$B$320,MATCH(B380,المواد!$A$2:$A$320,0)),"")</f>
        <v/>
      </c>
      <c r="E380" s="11"/>
      <c r="F380" t="str">
        <f>IF(AND($A380&lt;&gt;"",COUNTIF($A$2:A380,$A380)=1),$A380,"")</f>
        <v/>
      </c>
      <c r="G380" t="str">
        <f>IF($F380&lt;&gt;"",SUMPRODUCT(($F$2:F380&lt;&gt;"")*1),"")</f>
        <v/>
      </c>
    </row>
    <row r="381" spans="1:7" ht="21.95" customHeight="1">
      <c r="A381" s="11"/>
      <c r="B381" s="11"/>
      <c r="C381" s="12"/>
      <c r="D381" s="17" t="str">
        <f>IFERROR(INDEX(المواد!$B$2:$B$320,MATCH(B381,المواد!$A$2:$A$320,0)),"")</f>
        <v/>
      </c>
      <c r="E381" s="11"/>
      <c r="F381" t="str">
        <f>IF(AND($A381&lt;&gt;"",COUNTIF($A$2:A381,$A381)=1),$A381,"")</f>
        <v/>
      </c>
      <c r="G381" t="str">
        <f>IF($F381&lt;&gt;"",SUMPRODUCT(($F$2:F381&lt;&gt;"")*1),"")</f>
        <v/>
      </c>
    </row>
    <row r="382" spans="1:7" ht="21.95" customHeight="1">
      <c r="A382" s="11"/>
      <c r="B382" s="11"/>
      <c r="C382" s="12"/>
      <c r="D382" s="17" t="str">
        <f>IFERROR(INDEX(المواد!$B$2:$B$320,MATCH(B382,المواد!$A$2:$A$320,0)),"")</f>
        <v/>
      </c>
      <c r="E382" s="11"/>
      <c r="F382" t="str">
        <f>IF(AND($A382&lt;&gt;"",COUNTIF($A$2:A382,$A382)=1),$A382,"")</f>
        <v/>
      </c>
      <c r="G382" t="str">
        <f>IF($F382&lt;&gt;"",SUMPRODUCT(($F$2:F382&lt;&gt;"")*1),"")</f>
        <v/>
      </c>
    </row>
    <row r="383" spans="1:7" ht="21.95" customHeight="1">
      <c r="A383" s="11"/>
      <c r="B383" s="11"/>
      <c r="C383" s="12"/>
      <c r="D383" s="17" t="str">
        <f>IFERROR(INDEX(المواد!$B$2:$B$320,MATCH(B383,المواد!$A$2:$A$320,0)),"")</f>
        <v/>
      </c>
      <c r="E383" s="11"/>
      <c r="F383" t="str">
        <f>IF(AND($A383&lt;&gt;"",COUNTIF($A$2:A383,$A383)=1),$A383,"")</f>
        <v/>
      </c>
      <c r="G383" t="str">
        <f>IF($F383&lt;&gt;"",SUMPRODUCT(($F$2:F383&lt;&gt;"")*1),"")</f>
        <v/>
      </c>
    </row>
    <row r="384" spans="1:7" ht="21.95" customHeight="1">
      <c r="A384" s="11"/>
      <c r="B384" s="11"/>
      <c r="C384" s="12"/>
      <c r="D384" s="17" t="str">
        <f>IFERROR(INDEX(المواد!$B$2:$B$320,MATCH(B384,المواد!$A$2:$A$320,0)),"")</f>
        <v/>
      </c>
      <c r="E384" s="11"/>
      <c r="F384" t="str">
        <f>IF(AND($A384&lt;&gt;"",COUNTIF($A$2:A384,$A384)=1),$A384,"")</f>
        <v/>
      </c>
      <c r="G384" t="str">
        <f>IF($F384&lt;&gt;"",SUMPRODUCT(($F$2:F384&lt;&gt;"")*1),"")</f>
        <v/>
      </c>
    </row>
    <row r="385" spans="1:7" ht="21.95" customHeight="1">
      <c r="A385" s="11"/>
      <c r="B385" s="11"/>
      <c r="C385" s="12"/>
      <c r="D385" s="17" t="str">
        <f>IFERROR(INDEX(المواد!$B$2:$B$320,MATCH(B385,المواد!$A$2:$A$320,0)),"")</f>
        <v/>
      </c>
      <c r="E385" s="11"/>
      <c r="F385" t="str">
        <f>IF(AND($A385&lt;&gt;"",COUNTIF($A$2:A385,$A385)=1),$A385,"")</f>
        <v/>
      </c>
      <c r="G385" t="str">
        <f>IF($F385&lt;&gt;"",SUMPRODUCT(($F$2:F385&lt;&gt;"")*1),"")</f>
        <v/>
      </c>
    </row>
    <row r="386" spans="1:7" ht="21.95" customHeight="1">
      <c r="A386" s="11"/>
      <c r="B386" s="11"/>
      <c r="C386" s="12"/>
      <c r="D386" s="17" t="str">
        <f>IFERROR(INDEX(المواد!$B$2:$B$320,MATCH(B386,المواد!$A$2:$A$320,0)),"")</f>
        <v/>
      </c>
      <c r="E386" s="11"/>
      <c r="F386" t="str">
        <f>IF(AND($A386&lt;&gt;"",COUNTIF($A$2:A386,$A386)=1),$A386,"")</f>
        <v/>
      </c>
      <c r="G386" t="str">
        <f>IF($F386&lt;&gt;"",SUMPRODUCT(($F$2:F386&lt;&gt;"")*1),"")</f>
        <v/>
      </c>
    </row>
    <row r="387" spans="1:7" ht="21.95" customHeight="1">
      <c r="A387" s="11"/>
      <c r="B387" s="11"/>
      <c r="C387" s="12"/>
      <c r="D387" s="17" t="str">
        <f>IFERROR(INDEX(المواد!$B$2:$B$320,MATCH(B387,المواد!$A$2:$A$320,0)),"")</f>
        <v/>
      </c>
      <c r="E387" s="11"/>
      <c r="F387" t="str">
        <f>IF(AND($A387&lt;&gt;"",COUNTIF($A$2:A387,$A387)=1),$A387,"")</f>
        <v/>
      </c>
      <c r="G387" t="str">
        <f>IF($F387&lt;&gt;"",SUMPRODUCT(($F$2:F387&lt;&gt;"")*1),"")</f>
        <v/>
      </c>
    </row>
    <row r="388" spans="1:7" ht="21.95" customHeight="1">
      <c r="A388" s="11"/>
      <c r="B388" s="11"/>
      <c r="C388" s="12"/>
      <c r="D388" s="17" t="str">
        <f>IFERROR(INDEX(المواد!$B$2:$B$320,MATCH(B388,المواد!$A$2:$A$320,0)),"")</f>
        <v/>
      </c>
      <c r="E388" s="11"/>
      <c r="F388" t="str">
        <f>IF(AND($A388&lt;&gt;"",COUNTIF($A$2:A388,$A388)=1),$A388,"")</f>
        <v/>
      </c>
      <c r="G388" t="str">
        <f>IF($F388&lt;&gt;"",SUMPRODUCT(($F$2:F388&lt;&gt;"")*1),"")</f>
        <v/>
      </c>
    </row>
    <row r="389" spans="1:7" ht="21.95" customHeight="1">
      <c r="A389" s="11"/>
      <c r="B389" s="11"/>
      <c r="C389" s="12"/>
      <c r="D389" s="17" t="str">
        <f>IFERROR(INDEX(المواد!$B$2:$B$320,MATCH(B389,المواد!$A$2:$A$320,0)),"")</f>
        <v/>
      </c>
      <c r="E389" s="11"/>
      <c r="F389" t="str">
        <f>IF(AND($A389&lt;&gt;"",COUNTIF($A$2:A389,$A389)=1),$A389,"")</f>
        <v/>
      </c>
      <c r="G389" t="str">
        <f>IF($F389&lt;&gt;"",SUMPRODUCT(($F$2:F389&lt;&gt;"")*1),"")</f>
        <v/>
      </c>
    </row>
    <row r="390" spans="1:7" ht="21.95" customHeight="1">
      <c r="A390" s="11"/>
      <c r="B390" s="11"/>
      <c r="C390" s="12"/>
      <c r="D390" s="17" t="str">
        <f>IFERROR(INDEX(المواد!$B$2:$B$320,MATCH(B390,المواد!$A$2:$A$320,0)),"")</f>
        <v/>
      </c>
      <c r="E390" s="11"/>
      <c r="F390" t="str">
        <f>IF(AND($A390&lt;&gt;"",COUNTIF($A$2:A390,$A390)=1),$A390,"")</f>
        <v/>
      </c>
      <c r="G390" t="str">
        <f>IF($F390&lt;&gt;"",SUMPRODUCT(($F$2:F390&lt;&gt;"")*1),"")</f>
        <v/>
      </c>
    </row>
    <row r="391" spans="1:7" ht="21.95" customHeight="1">
      <c r="A391" s="11"/>
      <c r="B391" s="11"/>
      <c r="C391" s="12"/>
      <c r="D391" s="17" t="str">
        <f>IFERROR(INDEX(المواد!$B$2:$B$320,MATCH(B391,المواد!$A$2:$A$320,0)),"")</f>
        <v/>
      </c>
      <c r="E391" s="11"/>
      <c r="F391" t="str">
        <f>IF(AND($A391&lt;&gt;"",COUNTIF($A$2:A391,$A391)=1),$A391,"")</f>
        <v/>
      </c>
      <c r="G391" t="str">
        <f>IF($F391&lt;&gt;"",SUMPRODUCT(($F$2:F391&lt;&gt;"")*1),"")</f>
        <v/>
      </c>
    </row>
    <row r="392" spans="1:7" ht="21.95" customHeight="1">
      <c r="A392" s="11"/>
      <c r="B392" s="11"/>
      <c r="C392" s="12"/>
      <c r="D392" s="17" t="str">
        <f>IFERROR(INDEX(المواد!$B$2:$B$320,MATCH(B392,المواد!$A$2:$A$320,0)),"")</f>
        <v/>
      </c>
      <c r="E392" s="11"/>
      <c r="F392" t="str">
        <f>IF(AND($A392&lt;&gt;"",COUNTIF($A$2:A392,$A392)=1),$A392,"")</f>
        <v/>
      </c>
      <c r="G392" t="str">
        <f>IF($F392&lt;&gt;"",SUMPRODUCT(($F$2:F392&lt;&gt;"")*1),"")</f>
        <v/>
      </c>
    </row>
    <row r="393" spans="1:7" ht="21.95" customHeight="1">
      <c r="A393" s="11"/>
      <c r="B393" s="11"/>
      <c r="C393" s="12"/>
      <c r="D393" s="17" t="str">
        <f>IFERROR(INDEX(المواد!$B$2:$B$320,MATCH(B393,المواد!$A$2:$A$320,0)),"")</f>
        <v/>
      </c>
      <c r="E393" s="11"/>
      <c r="F393" t="str">
        <f>IF(AND($A393&lt;&gt;"",COUNTIF($A$2:A393,$A393)=1),$A393,"")</f>
        <v/>
      </c>
      <c r="G393" t="str">
        <f>IF($F393&lt;&gt;"",SUMPRODUCT(($F$2:F393&lt;&gt;"")*1),"")</f>
        <v/>
      </c>
    </row>
    <row r="394" spans="1:7" ht="21.95" customHeight="1">
      <c r="A394" s="11"/>
      <c r="B394" s="11"/>
      <c r="C394" s="12"/>
      <c r="D394" s="17" t="str">
        <f>IFERROR(INDEX(المواد!$B$2:$B$320,MATCH(B394,المواد!$A$2:$A$320,0)),"")</f>
        <v/>
      </c>
      <c r="E394" s="11"/>
      <c r="F394" t="str">
        <f>IF(AND($A394&lt;&gt;"",COUNTIF($A$2:A394,$A394)=1),$A394,"")</f>
        <v/>
      </c>
      <c r="G394" t="str">
        <f>IF($F394&lt;&gt;"",SUMPRODUCT(($F$2:F394&lt;&gt;"")*1),"")</f>
        <v/>
      </c>
    </row>
    <row r="395" spans="1:7" ht="21.95" customHeight="1">
      <c r="A395" s="11"/>
      <c r="B395" s="11"/>
      <c r="C395" s="12"/>
      <c r="D395" s="17" t="str">
        <f>IFERROR(INDEX(المواد!$B$2:$B$320,MATCH(B395,المواد!$A$2:$A$320,0)),"")</f>
        <v/>
      </c>
      <c r="E395" s="11"/>
      <c r="F395" t="str">
        <f>IF(AND($A395&lt;&gt;"",COUNTIF($A$2:A395,$A395)=1),$A395,"")</f>
        <v/>
      </c>
      <c r="G395" t="str">
        <f>IF($F395&lt;&gt;"",SUMPRODUCT(($F$2:F395&lt;&gt;"")*1),"")</f>
        <v/>
      </c>
    </row>
    <row r="396" spans="1:7" ht="21.95" customHeight="1">
      <c r="A396" s="11"/>
      <c r="B396" s="11"/>
      <c r="C396" s="12"/>
      <c r="D396" s="17" t="str">
        <f>IFERROR(INDEX(المواد!$B$2:$B$320,MATCH(B396,المواد!$A$2:$A$320,0)),"")</f>
        <v/>
      </c>
      <c r="E396" s="11"/>
      <c r="F396" t="str">
        <f>IF(AND($A396&lt;&gt;"",COUNTIF($A$2:A396,$A396)=1),$A396,"")</f>
        <v/>
      </c>
      <c r="G396" t="str">
        <f>IF($F396&lt;&gt;"",SUMPRODUCT(($F$2:F396&lt;&gt;"")*1),"")</f>
        <v/>
      </c>
    </row>
    <row r="397" spans="1:7" ht="21.95" customHeight="1">
      <c r="A397" s="11"/>
      <c r="B397" s="11"/>
      <c r="C397" s="12"/>
      <c r="D397" s="17" t="str">
        <f>IFERROR(INDEX(المواد!$B$2:$B$320,MATCH(B397,المواد!$A$2:$A$320,0)),"")</f>
        <v/>
      </c>
      <c r="E397" s="11"/>
      <c r="F397" t="str">
        <f>IF(AND($A397&lt;&gt;"",COUNTIF($A$2:A397,$A397)=1),$A397,"")</f>
        <v/>
      </c>
      <c r="G397" t="str">
        <f>IF($F397&lt;&gt;"",SUMPRODUCT(($F$2:F397&lt;&gt;"")*1),"")</f>
        <v/>
      </c>
    </row>
    <row r="398" spans="1:7" ht="21.95" customHeight="1">
      <c r="A398" s="11"/>
      <c r="B398" s="11"/>
      <c r="C398" s="12"/>
      <c r="D398" s="17" t="str">
        <f>IFERROR(INDEX(المواد!$B$2:$B$320,MATCH(B398,المواد!$A$2:$A$320,0)),"")</f>
        <v/>
      </c>
      <c r="E398" s="11"/>
      <c r="F398" t="str">
        <f>IF(AND($A398&lt;&gt;"",COUNTIF($A$2:A398,$A398)=1),$A398,"")</f>
        <v/>
      </c>
      <c r="G398" t="str">
        <f>IF($F398&lt;&gt;"",SUMPRODUCT(($F$2:F398&lt;&gt;"")*1),"")</f>
        <v/>
      </c>
    </row>
    <row r="399" spans="1:7" ht="21.95" customHeight="1">
      <c r="A399" s="11"/>
      <c r="B399" s="11"/>
      <c r="C399" s="12"/>
      <c r="D399" s="17" t="str">
        <f>IFERROR(INDEX(المواد!$B$2:$B$320,MATCH(B399,المواد!$A$2:$A$320,0)),"")</f>
        <v/>
      </c>
      <c r="E399" s="11"/>
      <c r="F399" t="str">
        <f>IF(AND($A399&lt;&gt;"",COUNTIF($A$2:A399,$A399)=1),$A399,"")</f>
        <v/>
      </c>
      <c r="G399" t="str">
        <f>IF($F399&lt;&gt;"",SUMPRODUCT(($F$2:F399&lt;&gt;"")*1),"")</f>
        <v/>
      </c>
    </row>
    <row r="400" spans="1:7" ht="21.95" customHeight="1">
      <c r="A400" s="11"/>
      <c r="B400" s="11"/>
      <c r="C400" s="12"/>
      <c r="D400" s="17" t="str">
        <f>IFERROR(INDEX(المواد!$B$2:$B$320,MATCH(B400,المواد!$A$2:$A$320,0)),"")</f>
        <v/>
      </c>
      <c r="E400" s="11"/>
      <c r="F400" t="str">
        <f>IF(AND($A400&lt;&gt;"",COUNTIF($A$2:A400,$A400)=1),$A400,"")</f>
        <v/>
      </c>
      <c r="G400" t="str">
        <f>IF($F400&lt;&gt;"",SUMPRODUCT(($F$2:F400&lt;&gt;"")*1),"")</f>
        <v/>
      </c>
    </row>
    <row r="401" spans="1:7" ht="21.95" customHeight="1">
      <c r="A401" s="11"/>
      <c r="B401" s="11"/>
      <c r="C401" s="12"/>
      <c r="D401" s="17" t="str">
        <f>IFERROR(INDEX(المواد!$B$2:$B$320,MATCH(B401,المواد!$A$2:$A$320,0)),"")</f>
        <v/>
      </c>
      <c r="E401" s="11"/>
      <c r="F401" t="str">
        <f>IF(AND($A401&lt;&gt;"",COUNTIF($A$2:A401,$A401)=1),$A401,"")</f>
        <v/>
      </c>
      <c r="G401" t="str">
        <f>IF($F401&lt;&gt;"",SUMPRODUCT(($F$2:F401&lt;&gt;"")*1),"")</f>
        <v/>
      </c>
    </row>
    <row r="402" spans="1:7" ht="21.95" customHeight="1">
      <c r="A402" s="11"/>
      <c r="B402" s="11"/>
      <c r="C402" s="12"/>
      <c r="D402" s="17" t="str">
        <f>IFERROR(INDEX(المواد!$B$2:$B$320,MATCH(B402,المواد!$A$2:$A$320,0)),"")</f>
        <v/>
      </c>
      <c r="E402" s="11"/>
      <c r="F402" t="str">
        <f>IF(AND($A402&lt;&gt;"",COUNTIF($A$2:A402,$A402)=1),$A402,"")</f>
        <v/>
      </c>
      <c r="G402" t="str">
        <f>IF($F402&lt;&gt;"",SUMPRODUCT(($F$2:F402&lt;&gt;"")*1),"")</f>
        <v/>
      </c>
    </row>
    <row r="403" spans="1:7" ht="21.95" customHeight="1">
      <c r="A403" s="11"/>
      <c r="B403" s="11"/>
      <c r="C403" s="12"/>
      <c r="D403" s="17" t="str">
        <f>IFERROR(INDEX(المواد!$B$2:$B$320,MATCH(B403,المواد!$A$2:$A$320,0)),"")</f>
        <v/>
      </c>
      <c r="E403" s="11"/>
      <c r="F403" t="str">
        <f>IF(AND($A403&lt;&gt;"",COUNTIF($A$2:A403,$A403)=1),$A403,"")</f>
        <v/>
      </c>
      <c r="G403" t="str">
        <f>IF($F403&lt;&gt;"",SUMPRODUCT(($F$2:F403&lt;&gt;"")*1),"")</f>
        <v/>
      </c>
    </row>
    <row r="404" spans="1:7" ht="21.95" customHeight="1">
      <c r="A404" s="11"/>
      <c r="B404" s="11"/>
      <c r="C404" s="12"/>
      <c r="D404" s="17" t="str">
        <f>IFERROR(INDEX(المواد!$B$2:$B$320,MATCH(B404,المواد!$A$2:$A$320,0)),"")</f>
        <v/>
      </c>
      <c r="E404" s="11"/>
      <c r="F404" t="str">
        <f>IF(AND($A404&lt;&gt;"",COUNTIF($A$2:A404,$A404)=1),$A404,"")</f>
        <v/>
      </c>
      <c r="G404" t="str">
        <f>IF($F404&lt;&gt;"",SUMPRODUCT(($F$2:F404&lt;&gt;"")*1),"")</f>
        <v/>
      </c>
    </row>
    <row r="405" spans="1:7" ht="21.95" customHeight="1">
      <c r="A405" s="11"/>
      <c r="B405" s="11"/>
      <c r="C405" s="12"/>
      <c r="D405" s="17" t="str">
        <f>IFERROR(INDEX(المواد!$B$2:$B$320,MATCH(B405,المواد!$A$2:$A$320,0)),"")</f>
        <v/>
      </c>
      <c r="E405" s="11"/>
      <c r="F405" t="str">
        <f>IF(AND($A405&lt;&gt;"",COUNTIF($A$2:A405,$A405)=1),$A405,"")</f>
        <v/>
      </c>
      <c r="G405" t="str">
        <f>IF($F405&lt;&gt;"",SUMPRODUCT(($F$2:F405&lt;&gt;"")*1),"")</f>
        <v/>
      </c>
    </row>
    <row r="406" spans="1:7" ht="21.95" customHeight="1">
      <c r="A406" s="11"/>
      <c r="B406" s="11"/>
      <c r="C406" s="12"/>
      <c r="D406" s="17" t="str">
        <f>IFERROR(INDEX(المواد!$B$2:$B$320,MATCH(B406,المواد!$A$2:$A$320,0)),"")</f>
        <v/>
      </c>
      <c r="E406" s="11"/>
      <c r="F406" t="str">
        <f>IF(AND($A406&lt;&gt;"",COUNTIF($A$2:A406,$A406)=1),$A406,"")</f>
        <v/>
      </c>
      <c r="G406" t="str">
        <f>IF($F406&lt;&gt;"",SUMPRODUCT(($F$2:F406&lt;&gt;"")*1),"")</f>
        <v/>
      </c>
    </row>
    <row r="407" spans="1:7" ht="21.95" customHeight="1">
      <c r="A407" s="11"/>
      <c r="B407" s="11"/>
      <c r="C407" s="12"/>
      <c r="D407" s="17" t="str">
        <f>IFERROR(INDEX(المواد!$B$2:$B$320,MATCH(B407,المواد!$A$2:$A$320,0)),"")</f>
        <v/>
      </c>
      <c r="E407" s="11"/>
      <c r="F407" t="str">
        <f>IF(AND($A407&lt;&gt;"",COUNTIF($A$2:A407,$A407)=1),$A407,"")</f>
        <v/>
      </c>
      <c r="G407" t="str">
        <f>IF($F407&lt;&gt;"",SUMPRODUCT(($F$2:F407&lt;&gt;"")*1),"")</f>
        <v/>
      </c>
    </row>
    <row r="408" spans="1:7" ht="21.95" customHeight="1">
      <c r="A408" s="11"/>
      <c r="B408" s="11"/>
      <c r="C408" s="12"/>
      <c r="D408" s="17" t="str">
        <f>IFERROR(INDEX(المواد!$B$2:$B$320,MATCH(B408,المواد!$A$2:$A$320,0)),"")</f>
        <v/>
      </c>
      <c r="E408" s="11"/>
      <c r="F408" t="str">
        <f>IF(AND($A408&lt;&gt;"",COUNTIF($A$2:A408,$A408)=1),$A408,"")</f>
        <v/>
      </c>
      <c r="G408" t="str">
        <f>IF($F408&lt;&gt;"",SUMPRODUCT(($F$2:F408&lt;&gt;"")*1),"")</f>
        <v/>
      </c>
    </row>
    <row r="409" spans="1:7" ht="21.95" customHeight="1">
      <c r="A409" s="11"/>
      <c r="B409" s="11"/>
      <c r="C409" s="12"/>
      <c r="D409" s="17" t="str">
        <f>IFERROR(INDEX(المواد!$B$2:$B$320,MATCH(B409,المواد!$A$2:$A$320,0)),"")</f>
        <v/>
      </c>
      <c r="E409" s="11"/>
      <c r="F409" t="str">
        <f>IF(AND($A409&lt;&gt;"",COUNTIF($A$2:A409,$A409)=1),$A409,"")</f>
        <v/>
      </c>
      <c r="G409" t="str">
        <f>IF($F409&lt;&gt;"",SUMPRODUCT(($F$2:F409&lt;&gt;"")*1),"")</f>
        <v/>
      </c>
    </row>
    <row r="410" spans="1:7" ht="21.95" customHeight="1">
      <c r="A410" s="11"/>
      <c r="B410" s="11"/>
      <c r="C410" s="12"/>
      <c r="D410" s="17" t="str">
        <f>IFERROR(INDEX(المواد!$B$2:$B$320,MATCH(B410,المواد!$A$2:$A$320,0)),"")</f>
        <v/>
      </c>
      <c r="E410" s="11"/>
      <c r="F410" t="str">
        <f>IF(AND($A410&lt;&gt;"",COUNTIF($A$2:A410,$A410)=1),$A410,"")</f>
        <v/>
      </c>
      <c r="G410" t="str">
        <f>IF($F410&lt;&gt;"",SUMPRODUCT(($F$2:F410&lt;&gt;"")*1),"")</f>
        <v/>
      </c>
    </row>
    <row r="411" spans="1:7" ht="21.95" customHeight="1">
      <c r="A411" s="11"/>
      <c r="B411" s="11"/>
      <c r="C411" s="12"/>
      <c r="D411" s="17" t="str">
        <f>IFERROR(INDEX(المواد!$B$2:$B$320,MATCH(B411,المواد!$A$2:$A$320,0)),"")</f>
        <v/>
      </c>
      <c r="E411" s="11"/>
      <c r="F411" t="str">
        <f>IF(AND($A411&lt;&gt;"",COUNTIF($A$2:A411,$A411)=1),$A411,"")</f>
        <v/>
      </c>
      <c r="G411" t="str">
        <f>IF($F411&lt;&gt;"",SUMPRODUCT(($F$2:F411&lt;&gt;"")*1),"")</f>
        <v/>
      </c>
    </row>
    <row r="412" spans="1:7" ht="21.95" customHeight="1">
      <c r="A412" s="11"/>
      <c r="B412" s="11"/>
      <c r="C412" s="12"/>
      <c r="D412" s="17" t="str">
        <f>IFERROR(INDEX(المواد!$B$2:$B$320,MATCH(B412,المواد!$A$2:$A$320,0)),"")</f>
        <v/>
      </c>
      <c r="E412" s="11"/>
      <c r="F412" t="str">
        <f>IF(AND($A412&lt;&gt;"",COUNTIF($A$2:A412,$A412)=1),$A412,"")</f>
        <v/>
      </c>
      <c r="G412" t="str">
        <f>IF($F412&lt;&gt;"",SUMPRODUCT(($F$2:F412&lt;&gt;"")*1),"")</f>
        <v/>
      </c>
    </row>
    <row r="413" spans="1:7" ht="21.95" customHeight="1">
      <c r="A413" s="11"/>
      <c r="B413" s="11"/>
      <c r="C413" s="12"/>
      <c r="D413" s="17" t="str">
        <f>IFERROR(INDEX(المواد!$B$2:$B$320,MATCH(B413,المواد!$A$2:$A$320,0)),"")</f>
        <v/>
      </c>
      <c r="E413" s="11"/>
      <c r="F413" t="str">
        <f>IF(AND($A413&lt;&gt;"",COUNTIF($A$2:A413,$A413)=1),$A413,"")</f>
        <v/>
      </c>
      <c r="G413" t="str">
        <f>IF($F413&lt;&gt;"",SUMPRODUCT(($F$2:F413&lt;&gt;"")*1),"")</f>
        <v/>
      </c>
    </row>
    <row r="414" spans="1:7" ht="21.95" customHeight="1">
      <c r="A414" s="11"/>
      <c r="B414" s="11"/>
      <c r="C414" s="12"/>
      <c r="D414" s="17" t="str">
        <f>IFERROR(INDEX(المواد!$B$2:$B$320,MATCH(B414,المواد!$A$2:$A$320,0)),"")</f>
        <v/>
      </c>
      <c r="E414" s="11"/>
      <c r="F414" t="str">
        <f>IF(AND($A414&lt;&gt;"",COUNTIF($A$2:A414,$A414)=1),$A414,"")</f>
        <v/>
      </c>
      <c r="G414" t="str">
        <f>IF($F414&lt;&gt;"",SUMPRODUCT(($F$2:F414&lt;&gt;"")*1),"")</f>
        <v/>
      </c>
    </row>
    <row r="415" spans="1:7" ht="21.95" customHeight="1">
      <c r="A415" s="11"/>
      <c r="B415" s="11"/>
      <c r="C415" s="12"/>
      <c r="D415" s="17" t="str">
        <f>IFERROR(INDEX(المواد!$B$2:$B$320,MATCH(B415,المواد!$A$2:$A$320,0)),"")</f>
        <v/>
      </c>
      <c r="E415" s="11"/>
      <c r="F415" t="str">
        <f>IF(AND($A415&lt;&gt;"",COUNTIF($A$2:A415,$A415)=1),$A415,"")</f>
        <v/>
      </c>
      <c r="G415" t="str">
        <f>IF($F415&lt;&gt;"",SUMPRODUCT(($F$2:F415&lt;&gt;"")*1),"")</f>
        <v/>
      </c>
    </row>
    <row r="416" spans="1:7" ht="21.95" customHeight="1">
      <c r="A416" s="11"/>
      <c r="B416" s="11"/>
      <c r="C416" s="12"/>
      <c r="D416" s="17" t="str">
        <f>IFERROR(INDEX(المواد!$B$2:$B$320,MATCH(B416,المواد!$A$2:$A$320,0)),"")</f>
        <v/>
      </c>
      <c r="E416" s="11"/>
      <c r="F416" t="str">
        <f>IF(AND($A416&lt;&gt;"",COUNTIF($A$2:A416,$A416)=1),$A416,"")</f>
        <v/>
      </c>
      <c r="G416" t="str">
        <f>IF($F416&lt;&gt;"",SUMPRODUCT(($F$2:F416&lt;&gt;"")*1),"")</f>
        <v/>
      </c>
    </row>
    <row r="417" spans="1:7" ht="21.95" customHeight="1">
      <c r="A417" s="11"/>
      <c r="B417" s="11"/>
      <c r="C417" s="12"/>
      <c r="D417" s="17" t="str">
        <f>IFERROR(INDEX(المواد!$B$2:$B$320,MATCH(B417,المواد!$A$2:$A$320,0)),"")</f>
        <v/>
      </c>
      <c r="E417" s="11"/>
      <c r="F417" t="str">
        <f>IF(AND($A417&lt;&gt;"",COUNTIF($A$2:A417,$A417)=1),$A417,"")</f>
        <v/>
      </c>
      <c r="G417" t="str">
        <f>IF($F417&lt;&gt;"",SUMPRODUCT(($F$2:F417&lt;&gt;"")*1),"")</f>
        <v/>
      </c>
    </row>
    <row r="418" spans="1:7" ht="21.95" customHeight="1">
      <c r="A418" s="11"/>
      <c r="B418" s="11"/>
      <c r="C418" s="12"/>
      <c r="D418" s="17" t="str">
        <f>IFERROR(INDEX(المواد!$B$2:$B$320,MATCH(B418,المواد!$A$2:$A$320,0)),"")</f>
        <v/>
      </c>
      <c r="E418" s="11"/>
      <c r="F418" t="str">
        <f>IF(AND($A418&lt;&gt;"",COUNTIF($A$2:A418,$A418)=1),$A418,"")</f>
        <v/>
      </c>
      <c r="G418" t="str">
        <f>IF($F418&lt;&gt;"",SUMPRODUCT(($F$2:F418&lt;&gt;"")*1),"")</f>
        <v/>
      </c>
    </row>
    <row r="419" spans="1:7" ht="21.95" customHeight="1">
      <c r="A419" s="11"/>
      <c r="B419" s="11"/>
      <c r="C419" s="12"/>
      <c r="D419" s="17" t="str">
        <f>IFERROR(INDEX(المواد!$B$2:$B$320,MATCH(B419,المواد!$A$2:$A$320,0)),"")</f>
        <v/>
      </c>
      <c r="E419" s="11"/>
      <c r="F419" t="str">
        <f>IF(AND($A419&lt;&gt;"",COUNTIF($A$2:A419,$A419)=1),$A419,"")</f>
        <v/>
      </c>
      <c r="G419" t="str">
        <f>IF($F419&lt;&gt;"",SUMPRODUCT(($F$2:F419&lt;&gt;"")*1),"")</f>
        <v/>
      </c>
    </row>
    <row r="420" spans="1:7" ht="21.95" customHeight="1">
      <c r="A420" s="11"/>
      <c r="B420" s="11"/>
      <c r="C420" s="12"/>
      <c r="D420" s="17" t="str">
        <f>IFERROR(INDEX(المواد!$B$2:$B$320,MATCH(B420,المواد!$A$2:$A$320,0)),"")</f>
        <v/>
      </c>
      <c r="E420" s="11"/>
      <c r="F420" t="str">
        <f>IF(AND($A420&lt;&gt;"",COUNTIF($A$2:A420,$A420)=1),$A420,"")</f>
        <v/>
      </c>
      <c r="G420" t="str">
        <f>IF($F420&lt;&gt;"",SUMPRODUCT(($F$2:F420&lt;&gt;"")*1),"")</f>
        <v/>
      </c>
    </row>
    <row r="421" spans="1:7" ht="21.95" customHeight="1">
      <c r="A421" s="11"/>
      <c r="B421" s="11"/>
      <c r="C421" s="12"/>
      <c r="D421" s="17" t="str">
        <f>IFERROR(INDEX(المواد!$B$2:$B$320,MATCH(B421,المواد!$A$2:$A$320,0)),"")</f>
        <v/>
      </c>
      <c r="E421" s="11"/>
      <c r="F421" t="str">
        <f>IF(AND($A421&lt;&gt;"",COUNTIF($A$2:A421,$A421)=1),$A421,"")</f>
        <v/>
      </c>
      <c r="G421" t="str">
        <f>IF($F421&lt;&gt;"",SUMPRODUCT(($F$2:F421&lt;&gt;"")*1),"")</f>
        <v/>
      </c>
    </row>
    <row r="422" spans="1:7" ht="21.95" customHeight="1">
      <c r="A422" s="11"/>
      <c r="B422" s="11"/>
      <c r="C422" s="12"/>
      <c r="D422" s="17" t="str">
        <f>IFERROR(INDEX(المواد!$B$2:$B$320,MATCH(B422,المواد!$A$2:$A$320,0)),"")</f>
        <v/>
      </c>
      <c r="E422" s="11"/>
      <c r="F422" t="str">
        <f>IF(AND($A422&lt;&gt;"",COUNTIF($A$2:A422,$A422)=1),$A422,"")</f>
        <v/>
      </c>
      <c r="G422" t="str">
        <f>IF($F422&lt;&gt;"",SUMPRODUCT(($F$2:F422&lt;&gt;"")*1),"")</f>
        <v/>
      </c>
    </row>
    <row r="423" spans="1:7" ht="21.95" customHeight="1">
      <c r="A423" s="11"/>
      <c r="B423" s="11"/>
      <c r="C423" s="12"/>
      <c r="D423" s="17" t="str">
        <f>IFERROR(INDEX(المواد!$B$2:$B$320,MATCH(B423,المواد!$A$2:$A$320,0)),"")</f>
        <v/>
      </c>
      <c r="E423" s="11"/>
      <c r="F423" t="str">
        <f>IF(AND($A423&lt;&gt;"",COUNTIF($A$2:A423,$A423)=1),$A423,"")</f>
        <v/>
      </c>
      <c r="G423" t="str">
        <f>IF($F423&lt;&gt;"",SUMPRODUCT(($F$2:F423&lt;&gt;"")*1),"")</f>
        <v/>
      </c>
    </row>
    <row r="424" spans="1:7" ht="21.95" customHeight="1">
      <c r="A424" s="11"/>
      <c r="B424" s="11"/>
      <c r="C424" s="12"/>
      <c r="D424" s="17" t="str">
        <f>IFERROR(INDEX(المواد!$B$2:$B$320,MATCH(B424,المواد!$A$2:$A$320,0)),"")</f>
        <v/>
      </c>
      <c r="E424" s="11"/>
      <c r="F424" t="str">
        <f>IF(AND($A424&lt;&gt;"",COUNTIF($A$2:A424,$A424)=1),$A424,"")</f>
        <v/>
      </c>
      <c r="G424" t="str">
        <f>IF($F424&lt;&gt;"",SUMPRODUCT(($F$2:F424&lt;&gt;"")*1),"")</f>
        <v/>
      </c>
    </row>
    <row r="425" spans="1:7" ht="21.95" customHeight="1">
      <c r="A425" s="11"/>
      <c r="B425" s="11"/>
      <c r="C425" s="12"/>
      <c r="D425" s="17" t="str">
        <f>IFERROR(INDEX(المواد!$B$2:$B$320,MATCH(B425,المواد!$A$2:$A$320,0)),"")</f>
        <v/>
      </c>
      <c r="E425" s="11"/>
      <c r="F425" t="str">
        <f>IF(AND($A425&lt;&gt;"",COUNTIF($A$2:A425,$A425)=1),$A425,"")</f>
        <v/>
      </c>
      <c r="G425" t="str">
        <f>IF($F425&lt;&gt;"",SUMPRODUCT(($F$2:F425&lt;&gt;"")*1),"")</f>
        <v/>
      </c>
    </row>
    <row r="426" spans="1:7" ht="21.95" customHeight="1">
      <c r="A426" s="11"/>
      <c r="B426" s="11"/>
      <c r="C426" s="12"/>
      <c r="D426" s="17" t="str">
        <f>IFERROR(INDEX(المواد!$B$2:$B$320,MATCH(B426,المواد!$A$2:$A$320,0)),"")</f>
        <v/>
      </c>
      <c r="E426" s="11"/>
      <c r="F426" t="str">
        <f>IF(AND($A426&lt;&gt;"",COUNTIF($A$2:A426,$A426)=1),$A426,"")</f>
        <v/>
      </c>
      <c r="G426" t="str">
        <f>IF($F426&lt;&gt;"",SUMPRODUCT(($F$2:F426&lt;&gt;"")*1),"")</f>
        <v/>
      </c>
    </row>
    <row r="427" spans="1:7" ht="21.95" customHeight="1">
      <c r="A427" s="11"/>
      <c r="B427" s="11"/>
      <c r="C427" s="12"/>
      <c r="D427" s="17" t="str">
        <f>IFERROR(INDEX(المواد!$B$2:$B$320,MATCH(B427,المواد!$A$2:$A$320,0)),"")</f>
        <v/>
      </c>
      <c r="E427" s="11"/>
      <c r="F427" t="str">
        <f>IF(AND($A427&lt;&gt;"",COUNTIF($A$2:A427,$A427)=1),$A427,"")</f>
        <v/>
      </c>
      <c r="G427" t="str">
        <f>IF($F427&lt;&gt;"",SUMPRODUCT(($F$2:F427&lt;&gt;"")*1),"")</f>
        <v/>
      </c>
    </row>
    <row r="428" spans="1:7" ht="21.95" customHeight="1">
      <c r="A428" s="11"/>
      <c r="B428" s="11"/>
      <c r="C428" s="12"/>
      <c r="D428" s="17" t="str">
        <f>IFERROR(INDEX(المواد!$B$2:$B$320,MATCH(B428,المواد!$A$2:$A$320,0)),"")</f>
        <v/>
      </c>
      <c r="E428" s="11"/>
      <c r="F428" t="str">
        <f>IF(AND($A428&lt;&gt;"",COUNTIF($A$2:A428,$A428)=1),$A428,"")</f>
        <v/>
      </c>
      <c r="G428" t="str">
        <f>IF($F428&lt;&gt;"",SUMPRODUCT(($F$2:F428&lt;&gt;"")*1),"")</f>
        <v/>
      </c>
    </row>
    <row r="429" spans="1:7" ht="21.95" customHeight="1">
      <c r="A429" s="11"/>
      <c r="B429" s="11"/>
      <c r="C429" s="12"/>
      <c r="D429" s="17" t="str">
        <f>IFERROR(INDEX(المواد!$B$2:$B$320,MATCH(B429,المواد!$A$2:$A$320,0)),"")</f>
        <v/>
      </c>
      <c r="E429" s="11"/>
      <c r="F429" t="str">
        <f>IF(AND($A429&lt;&gt;"",COUNTIF($A$2:A429,$A429)=1),$A429,"")</f>
        <v/>
      </c>
      <c r="G429" t="str">
        <f>IF($F429&lt;&gt;"",SUMPRODUCT(($F$2:F429&lt;&gt;"")*1),"")</f>
        <v/>
      </c>
    </row>
    <row r="430" spans="1:7" ht="21.95" customHeight="1">
      <c r="A430" s="11"/>
      <c r="B430" s="11"/>
      <c r="C430" s="12"/>
      <c r="D430" s="17" t="str">
        <f>IFERROR(INDEX(المواد!$B$2:$B$320,MATCH(B430,المواد!$A$2:$A$320,0)),"")</f>
        <v/>
      </c>
      <c r="E430" s="11"/>
      <c r="F430" t="str">
        <f>IF(AND($A430&lt;&gt;"",COUNTIF($A$2:A430,$A430)=1),$A430,"")</f>
        <v/>
      </c>
      <c r="G430" t="str">
        <f>IF($F430&lt;&gt;"",SUMPRODUCT(($F$2:F430&lt;&gt;"")*1),"")</f>
        <v/>
      </c>
    </row>
    <row r="431" spans="1:7" ht="21.95" customHeight="1">
      <c r="A431" s="11"/>
      <c r="B431" s="11"/>
      <c r="C431" s="12"/>
      <c r="D431" s="17" t="str">
        <f>IFERROR(INDEX(المواد!$B$2:$B$320,MATCH(B431,المواد!$A$2:$A$320,0)),"")</f>
        <v/>
      </c>
      <c r="E431" s="11"/>
      <c r="F431" t="str">
        <f>IF(AND($A431&lt;&gt;"",COUNTIF($A$2:A431,$A431)=1),$A431,"")</f>
        <v/>
      </c>
      <c r="G431" t="str">
        <f>IF($F431&lt;&gt;"",SUMPRODUCT(($F$2:F431&lt;&gt;"")*1),"")</f>
        <v/>
      </c>
    </row>
    <row r="432" spans="1:7" ht="21.95" customHeight="1">
      <c r="A432" s="11"/>
      <c r="B432" s="11"/>
      <c r="C432" s="12"/>
      <c r="D432" s="17" t="str">
        <f>IFERROR(INDEX(المواد!$B$2:$B$320,MATCH(B432,المواد!$A$2:$A$320,0)),"")</f>
        <v/>
      </c>
      <c r="E432" s="11"/>
      <c r="F432" t="str">
        <f>IF(AND($A432&lt;&gt;"",COUNTIF($A$2:A432,$A432)=1),$A432,"")</f>
        <v/>
      </c>
      <c r="G432" t="str">
        <f>IF($F432&lt;&gt;"",SUMPRODUCT(($F$2:F432&lt;&gt;"")*1),"")</f>
        <v/>
      </c>
    </row>
    <row r="433" spans="1:7" ht="21.95" customHeight="1">
      <c r="A433" s="11"/>
      <c r="B433" s="11"/>
      <c r="C433" s="12"/>
      <c r="D433" s="17" t="str">
        <f>IFERROR(INDEX(المواد!$B$2:$B$320,MATCH(B433,المواد!$A$2:$A$320,0)),"")</f>
        <v/>
      </c>
      <c r="E433" s="11"/>
      <c r="F433" t="str">
        <f>IF(AND($A433&lt;&gt;"",COUNTIF($A$2:A433,$A433)=1),$A433,"")</f>
        <v/>
      </c>
      <c r="G433" t="str">
        <f>IF($F433&lt;&gt;"",SUMPRODUCT(($F$2:F433&lt;&gt;"")*1),"")</f>
        <v/>
      </c>
    </row>
    <row r="434" spans="1:7" ht="21.95" customHeight="1">
      <c r="A434" s="11"/>
      <c r="B434" s="11"/>
      <c r="C434" s="12"/>
      <c r="D434" s="17" t="str">
        <f>IFERROR(INDEX(المواد!$B$2:$B$320,MATCH(B434,المواد!$A$2:$A$320,0)),"")</f>
        <v/>
      </c>
      <c r="E434" s="11"/>
      <c r="F434" t="str">
        <f>IF(AND($A434&lt;&gt;"",COUNTIF($A$2:A434,$A434)=1),$A434,"")</f>
        <v/>
      </c>
      <c r="G434" t="str">
        <f>IF($F434&lt;&gt;"",SUMPRODUCT(($F$2:F434&lt;&gt;"")*1),"")</f>
        <v/>
      </c>
    </row>
    <row r="435" spans="1:7" ht="21.95" customHeight="1">
      <c r="A435" s="11"/>
      <c r="B435" s="11"/>
      <c r="C435" s="12"/>
      <c r="D435" s="17" t="str">
        <f>IFERROR(INDEX(المواد!$B$2:$B$320,MATCH(B435,المواد!$A$2:$A$320,0)),"")</f>
        <v/>
      </c>
      <c r="E435" s="11"/>
      <c r="F435" t="str">
        <f>IF(AND($A435&lt;&gt;"",COUNTIF($A$2:A435,$A435)=1),$A435,"")</f>
        <v/>
      </c>
      <c r="G435" t="str">
        <f>IF($F435&lt;&gt;"",SUMPRODUCT(($F$2:F435&lt;&gt;"")*1),"")</f>
        <v/>
      </c>
    </row>
    <row r="436" spans="1:7" ht="21.95" customHeight="1">
      <c r="A436" s="11"/>
      <c r="B436" s="11"/>
      <c r="C436" s="12"/>
      <c r="D436" s="17" t="str">
        <f>IFERROR(INDEX(المواد!$B$2:$B$320,MATCH(B436,المواد!$A$2:$A$320,0)),"")</f>
        <v/>
      </c>
      <c r="E436" s="11"/>
      <c r="F436" t="str">
        <f>IF(AND($A436&lt;&gt;"",COUNTIF($A$2:A436,$A436)=1),$A436,"")</f>
        <v/>
      </c>
      <c r="G436" t="str">
        <f>IF($F436&lt;&gt;"",SUMPRODUCT(($F$2:F436&lt;&gt;"")*1),"")</f>
        <v/>
      </c>
    </row>
    <row r="437" spans="1:7" ht="21.95" customHeight="1">
      <c r="A437" s="11"/>
      <c r="B437" s="11"/>
      <c r="C437" s="12"/>
      <c r="D437" s="17" t="str">
        <f>IFERROR(INDEX(المواد!$B$2:$B$320,MATCH(B437,المواد!$A$2:$A$320,0)),"")</f>
        <v/>
      </c>
      <c r="E437" s="11"/>
      <c r="F437" t="str">
        <f>IF(AND($A437&lt;&gt;"",COUNTIF($A$2:A437,$A437)=1),$A437,"")</f>
        <v/>
      </c>
      <c r="G437" t="str">
        <f>IF($F437&lt;&gt;"",SUMPRODUCT(($F$2:F437&lt;&gt;"")*1),"")</f>
        <v/>
      </c>
    </row>
    <row r="438" spans="1:7" ht="21.95" customHeight="1">
      <c r="A438" s="11"/>
      <c r="B438" s="11"/>
      <c r="C438" s="12"/>
      <c r="D438" s="17" t="str">
        <f>IFERROR(INDEX(المواد!$B$2:$B$320,MATCH(B438,المواد!$A$2:$A$320,0)),"")</f>
        <v/>
      </c>
      <c r="E438" s="11"/>
      <c r="F438" t="str">
        <f>IF(AND($A438&lt;&gt;"",COUNTIF($A$2:A438,$A438)=1),$A438,"")</f>
        <v/>
      </c>
      <c r="G438" t="str">
        <f>IF($F438&lt;&gt;"",SUMPRODUCT(($F$2:F438&lt;&gt;"")*1),"")</f>
        <v/>
      </c>
    </row>
    <row r="439" spans="1:7" ht="21.95" customHeight="1">
      <c r="A439" s="11"/>
      <c r="B439" s="11"/>
      <c r="C439" s="12"/>
      <c r="D439" s="17" t="str">
        <f>IFERROR(INDEX(المواد!$B$2:$B$320,MATCH(B439,المواد!$A$2:$A$320,0)),"")</f>
        <v/>
      </c>
      <c r="E439" s="11"/>
      <c r="F439" t="str">
        <f>IF(AND($A439&lt;&gt;"",COUNTIF($A$2:A439,$A439)=1),$A439,"")</f>
        <v/>
      </c>
      <c r="G439" t="str">
        <f>IF($F439&lt;&gt;"",SUMPRODUCT(($F$2:F439&lt;&gt;"")*1),"")</f>
        <v/>
      </c>
    </row>
    <row r="440" spans="1:7" ht="21.95" customHeight="1">
      <c r="A440" s="11"/>
      <c r="B440" s="11"/>
      <c r="C440" s="12"/>
      <c r="D440" s="17" t="str">
        <f>IFERROR(INDEX(المواد!$B$2:$B$320,MATCH(B440,المواد!$A$2:$A$320,0)),"")</f>
        <v/>
      </c>
      <c r="E440" s="11"/>
      <c r="F440" t="str">
        <f>IF(AND($A440&lt;&gt;"",COUNTIF($A$2:A440,$A440)=1),$A440,"")</f>
        <v/>
      </c>
      <c r="G440" t="str">
        <f>IF($F440&lt;&gt;"",SUMPRODUCT(($F$2:F440&lt;&gt;"")*1),"")</f>
        <v/>
      </c>
    </row>
    <row r="441" spans="1:7" ht="21.95" customHeight="1">
      <c r="A441" s="11"/>
      <c r="B441" s="11"/>
      <c r="C441" s="12"/>
      <c r="D441" s="17" t="str">
        <f>IFERROR(INDEX(المواد!$B$2:$B$320,MATCH(B441,المواد!$A$2:$A$320,0)),"")</f>
        <v/>
      </c>
      <c r="E441" s="11"/>
      <c r="F441" t="str">
        <f>IF(AND($A441&lt;&gt;"",COUNTIF($A$2:A441,$A441)=1),$A441,"")</f>
        <v/>
      </c>
      <c r="G441" t="str">
        <f>IF($F441&lt;&gt;"",SUMPRODUCT(($F$2:F441&lt;&gt;"")*1),"")</f>
        <v/>
      </c>
    </row>
    <row r="442" spans="1:7" ht="21.95" customHeight="1">
      <c r="A442" s="11"/>
      <c r="B442" s="11"/>
      <c r="C442" s="12"/>
      <c r="D442" s="17" t="str">
        <f>IFERROR(INDEX(المواد!$B$2:$B$320,MATCH(B442,المواد!$A$2:$A$320,0)),"")</f>
        <v/>
      </c>
      <c r="E442" s="11"/>
      <c r="F442" t="str">
        <f>IF(AND($A442&lt;&gt;"",COUNTIF($A$2:A442,$A442)=1),$A442,"")</f>
        <v/>
      </c>
      <c r="G442" t="str">
        <f>IF($F442&lt;&gt;"",SUMPRODUCT(($F$2:F442&lt;&gt;"")*1),"")</f>
        <v/>
      </c>
    </row>
    <row r="443" spans="1:7" ht="21.95" customHeight="1">
      <c r="A443" s="11"/>
      <c r="B443" s="11"/>
      <c r="C443" s="12"/>
      <c r="D443" s="17" t="str">
        <f>IFERROR(INDEX(المواد!$B$2:$B$320,MATCH(B443,المواد!$A$2:$A$320,0)),"")</f>
        <v/>
      </c>
      <c r="E443" s="11"/>
      <c r="F443" t="str">
        <f>IF(AND($A443&lt;&gt;"",COUNTIF($A$2:A443,$A443)=1),$A443,"")</f>
        <v/>
      </c>
      <c r="G443" t="str">
        <f>IF($F443&lt;&gt;"",SUMPRODUCT(($F$2:F443&lt;&gt;"")*1),"")</f>
        <v/>
      </c>
    </row>
    <row r="444" spans="1:7" ht="21.95" customHeight="1">
      <c r="A444" s="11"/>
      <c r="B444" s="11"/>
      <c r="C444" s="12"/>
      <c r="D444" s="17" t="str">
        <f>IFERROR(INDEX(المواد!$B$2:$B$320,MATCH(B444,المواد!$A$2:$A$320,0)),"")</f>
        <v/>
      </c>
      <c r="E444" s="11"/>
      <c r="F444" t="str">
        <f>IF(AND($A444&lt;&gt;"",COUNTIF($A$2:A444,$A444)=1),$A444,"")</f>
        <v/>
      </c>
      <c r="G444" t="str">
        <f>IF($F444&lt;&gt;"",SUMPRODUCT(($F$2:F444&lt;&gt;"")*1),"")</f>
        <v/>
      </c>
    </row>
    <row r="445" spans="1:7" ht="21.95" customHeight="1">
      <c r="A445" s="11"/>
      <c r="B445" s="11"/>
      <c r="C445" s="12"/>
      <c r="D445" s="17" t="str">
        <f>IFERROR(INDEX(المواد!$B$2:$B$320,MATCH(B445,المواد!$A$2:$A$320,0)),"")</f>
        <v/>
      </c>
      <c r="E445" s="11"/>
      <c r="F445" t="str">
        <f>IF(AND($A445&lt;&gt;"",COUNTIF($A$2:A445,$A445)=1),$A445,"")</f>
        <v/>
      </c>
      <c r="G445" t="str">
        <f>IF($F445&lt;&gt;"",SUMPRODUCT(($F$2:F445&lt;&gt;"")*1),"")</f>
        <v/>
      </c>
    </row>
    <row r="446" spans="1:7" ht="21.95" customHeight="1">
      <c r="A446" s="11"/>
      <c r="B446" s="11"/>
      <c r="C446" s="12"/>
      <c r="D446" s="17" t="str">
        <f>IFERROR(INDEX(المواد!$B$2:$B$320,MATCH(B446,المواد!$A$2:$A$320,0)),"")</f>
        <v/>
      </c>
      <c r="E446" s="11"/>
      <c r="F446" t="str">
        <f>IF(AND($A446&lt;&gt;"",COUNTIF($A$2:A446,$A446)=1),$A446,"")</f>
        <v/>
      </c>
      <c r="G446" t="str">
        <f>IF($F446&lt;&gt;"",SUMPRODUCT(($F$2:F446&lt;&gt;"")*1),"")</f>
        <v/>
      </c>
    </row>
    <row r="447" spans="1:7" ht="21.95" customHeight="1">
      <c r="A447" s="11"/>
      <c r="B447" s="11"/>
      <c r="C447" s="12"/>
      <c r="D447" s="17" t="str">
        <f>IFERROR(INDEX(المواد!$B$2:$B$320,MATCH(B447,المواد!$A$2:$A$320,0)),"")</f>
        <v/>
      </c>
      <c r="E447" s="11"/>
      <c r="F447" t="str">
        <f>IF(AND($A447&lt;&gt;"",COUNTIF($A$2:A447,$A447)=1),$A447,"")</f>
        <v/>
      </c>
      <c r="G447" t="str">
        <f>IF($F447&lt;&gt;"",SUMPRODUCT(($F$2:F447&lt;&gt;"")*1),"")</f>
        <v/>
      </c>
    </row>
    <row r="448" spans="1:7" ht="21.95" customHeight="1">
      <c r="A448" s="11"/>
      <c r="B448" s="11"/>
      <c r="C448" s="12"/>
      <c r="D448" s="17" t="str">
        <f>IFERROR(INDEX(المواد!$B$2:$B$320,MATCH(B448,المواد!$A$2:$A$320,0)),"")</f>
        <v/>
      </c>
      <c r="E448" s="11"/>
      <c r="F448" t="str">
        <f>IF(AND($A448&lt;&gt;"",COUNTIF($A$2:A448,$A448)=1),$A448,"")</f>
        <v/>
      </c>
      <c r="G448" t="str">
        <f>IF($F448&lt;&gt;"",SUMPRODUCT(($F$2:F448&lt;&gt;"")*1),"")</f>
        <v/>
      </c>
    </row>
    <row r="449" spans="1:7" ht="21.95" customHeight="1">
      <c r="A449" s="11"/>
      <c r="B449" s="11"/>
      <c r="C449" s="12"/>
      <c r="D449" s="17" t="str">
        <f>IFERROR(INDEX(المواد!$B$2:$B$320,MATCH(B449,المواد!$A$2:$A$320,0)),"")</f>
        <v/>
      </c>
      <c r="E449" s="11"/>
      <c r="F449" t="str">
        <f>IF(AND($A449&lt;&gt;"",COUNTIF($A$2:A449,$A449)=1),$A449,"")</f>
        <v/>
      </c>
      <c r="G449" t="str">
        <f>IF($F449&lt;&gt;"",SUMPRODUCT(($F$2:F449&lt;&gt;"")*1),"")</f>
        <v/>
      </c>
    </row>
    <row r="450" spans="1:7" ht="21.95" customHeight="1">
      <c r="A450" s="11"/>
      <c r="B450" s="11"/>
      <c r="C450" s="12"/>
      <c r="D450" s="17" t="str">
        <f>IFERROR(INDEX(المواد!$B$2:$B$320,MATCH(B450,المواد!$A$2:$A$320,0)),"")</f>
        <v/>
      </c>
      <c r="E450" s="11"/>
      <c r="F450" t="str">
        <f>IF(AND($A450&lt;&gt;"",COUNTIF($A$2:A450,$A450)=1),$A450,"")</f>
        <v/>
      </c>
      <c r="G450" t="str">
        <f>IF($F450&lt;&gt;"",SUMPRODUCT(($F$2:F450&lt;&gt;"")*1),"")</f>
        <v/>
      </c>
    </row>
    <row r="451" spans="1:7" ht="21.95" customHeight="1">
      <c r="A451" s="11"/>
      <c r="B451" s="11"/>
      <c r="C451" s="12"/>
      <c r="D451" s="17" t="str">
        <f>IFERROR(INDEX(المواد!$B$2:$B$320,MATCH(B451,المواد!$A$2:$A$320,0)),"")</f>
        <v/>
      </c>
      <c r="E451" s="11"/>
      <c r="F451" t="str">
        <f>IF(AND($A451&lt;&gt;"",COUNTIF($A$2:A451,$A451)=1),$A451,"")</f>
        <v/>
      </c>
      <c r="G451" t="str">
        <f>IF($F451&lt;&gt;"",SUMPRODUCT(($F$2:F451&lt;&gt;"")*1),"")</f>
        <v/>
      </c>
    </row>
    <row r="452" spans="1:7" ht="21.95" customHeight="1">
      <c r="A452" s="11"/>
      <c r="B452" s="11"/>
      <c r="C452" s="12"/>
      <c r="D452" s="17" t="str">
        <f>IFERROR(INDEX(المواد!$B$2:$B$320,MATCH(B452,المواد!$A$2:$A$320,0)),"")</f>
        <v/>
      </c>
      <c r="E452" s="11"/>
      <c r="F452" t="str">
        <f>IF(AND($A452&lt;&gt;"",COUNTIF($A$2:A452,$A452)=1),$A452,"")</f>
        <v/>
      </c>
      <c r="G452" t="str">
        <f>IF($F452&lt;&gt;"",SUMPRODUCT(($F$2:F452&lt;&gt;"")*1),"")</f>
        <v/>
      </c>
    </row>
    <row r="453" spans="1:7" ht="21.95" customHeight="1">
      <c r="A453" s="11"/>
      <c r="B453" s="11"/>
      <c r="C453" s="12"/>
      <c r="D453" s="17" t="str">
        <f>IFERROR(INDEX(المواد!$B$2:$B$320,MATCH(B453,المواد!$A$2:$A$320,0)),"")</f>
        <v/>
      </c>
      <c r="E453" s="11"/>
      <c r="F453" t="str">
        <f>IF(AND($A453&lt;&gt;"",COUNTIF($A$2:A453,$A453)=1),$A453,"")</f>
        <v/>
      </c>
      <c r="G453" t="str">
        <f>IF($F453&lt;&gt;"",SUMPRODUCT(($F$2:F453&lt;&gt;"")*1),"")</f>
        <v/>
      </c>
    </row>
    <row r="454" spans="1:7" ht="21.95" customHeight="1">
      <c r="A454" s="11"/>
      <c r="B454" s="11"/>
      <c r="C454" s="12"/>
      <c r="D454" s="17" t="str">
        <f>IFERROR(INDEX(المواد!$B$2:$B$320,MATCH(B454,المواد!$A$2:$A$320,0)),"")</f>
        <v/>
      </c>
      <c r="E454" s="11"/>
      <c r="F454" t="str">
        <f>IF(AND($A454&lt;&gt;"",COUNTIF($A$2:A454,$A454)=1),$A454,"")</f>
        <v/>
      </c>
      <c r="G454" t="str">
        <f>IF($F454&lt;&gt;"",SUMPRODUCT(($F$2:F454&lt;&gt;"")*1),"")</f>
        <v/>
      </c>
    </row>
    <row r="455" spans="1:7" ht="21.95" customHeight="1">
      <c r="A455" s="11"/>
      <c r="B455" s="11"/>
      <c r="C455" s="12"/>
      <c r="D455" s="17" t="str">
        <f>IFERROR(INDEX(المواد!$B$2:$B$320,MATCH(B455,المواد!$A$2:$A$320,0)),"")</f>
        <v/>
      </c>
      <c r="E455" s="11"/>
      <c r="F455" t="str">
        <f>IF(AND($A455&lt;&gt;"",COUNTIF($A$2:A455,$A455)=1),$A455,"")</f>
        <v/>
      </c>
      <c r="G455" t="str">
        <f>IF($F455&lt;&gt;"",SUMPRODUCT(($F$2:F455&lt;&gt;"")*1),"")</f>
        <v/>
      </c>
    </row>
    <row r="456" spans="1:7" ht="21.95" customHeight="1">
      <c r="A456" s="11"/>
      <c r="B456" s="11"/>
      <c r="C456" s="12"/>
      <c r="D456" s="17" t="str">
        <f>IFERROR(INDEX(المواد!$B$2:$B$320,MATCH(B456,المواد!$A$2:$A$320,0)),"")</f>
        <v/>
      </c>
      <c r="E456" s="11"/>
      <c r="F456" t="str">
        <f>IF(AND($A456&lt;&gt;"",COUNTIF($A$2:A456,$A456)=1),$A456,"")</f>
        <v/>
      </c>
      <c r="G456" t="str">
        <f>IF($F456&lt;&gt;"",SUMPRODUCT(($F$2:F456&lt;&gt;"")*1),"")</f>
        <v/>
      </c>
    </row>
    <row r="457" spans="1:7" ht="21.95" customHeight="1">
      <c r="A457" s="11"/>
      <c r="B457" s="11"/>
      <c r="C457" s="12"/>
      <c r="D457" s="17" t="str">
        <f>IFERROR(INDEX(المواد!$B$2:$B$320,MATCH(B457,المواد!$A$2:$A$320,0)),"")</f>
        <v/>
      </c>
      <c r="E457" s="11"/>
      <c r="F457" t="str">
        <f>IF(AND($A457&lt;&gt;"",COUNTIF($A$2:A457,$A457)=1),$A457,"")</f>
        <v/>
      </c>
      <c r="G457" t="str">
        <f>IF($F457&lt;&gt;"",SUMPRODUCT(($F$2:F457&lt;&gt;"")*1),"")</f>
        <v/>
      </c>
    </row>
    <row r="458" spans="1:7" ht="21.95" customHeight="1">
      <c r="A458" s="11"/>
      <c r="B458" s="11"/>
      <c r="C458" s="12"/>
      <c r="D458" s="17" t="str">
        <f>IFERROR(INDEX(المواد!$B$2:$B$320,MATCH(B458,المواد!$A$2:$A$320,0)),"")</f>
        <v/>
      </c>
      <c r="E458" s="11"/>
      <c r="F458" t="str">
        <f>IF(AND($A458&lt;&gt;"",COUNTIF($A$2:A458,$A458)=1),$A458,"")</f>
        <v/>
      </c>
      <c r="G458" t="str">
        <f>IF($F458&lt;&gt;"",SUMPRODUCT(($F$2:F458&lt;&gt;"")*1),"")</f>
        <v/>
      </c>
    </row>
    <row r="459" spans="1:7" ht="21.95" customHeight="1">
      <c r="A459" s="11"/>
      <c r="B459" s="11"/>
      <c r="C459" s="12"/>
      <c r="D459" s="17" t="str">
        <f>IFERROR(INDEX(المواد!$B$2:$B$320,MATCH(B459,المواد!$A$2:$A$320,0)),"")</f>
        <v/>
      </c>
      <c r="E459" s="11"/>
      <c r="F459" t="str">
        <f>IF(AND($A459&lt;&gt;"",COUNTIF($A$2:A459,$A459)=1),$A459,"")</f>
        <v/>
      </c>
      <c r="G459" t="str">
        <f>IF($F459&lt;&gt;"",SUMPRODUCT(($F$2:F459&lt;&gt;"")*1),"")</f>
        <v/>
      </c>
    </row>
    <row r="460" spans="1:7" ht="21.95" customHeight="1">
      <c r="A460" s="11"/>
      <c r="B460" s="11"/>
      <c r="C460" s="12"/>
      <c r="D460" s="17" t="str">
        <f>IFERROR(INDEX(المواد!$B$2:$B$320,MATCH(B460,المواد!$A$2:$A$320,0)),"")</f>
        <v/>
      </c>
      <c r="E460" s="11"/>
      <c r="F460" t="str">
        <f>IF(AND($A460&lt;&gt;"",COUNTIF($A$2:A460,$A460)=1),$A460,"")</f>
        <v/>
      </c>
      <c r="G460" t="str">
        <f>IF($F460&lt;&gt;"",SUMPRODUCT(($F$2:F460&lt;&gt;"")*1),"")</f>
        <v/>
      </c>
    </row>
    <row r="461" spans="1:7" ht="21.95" customHeight="1">
      <c r="A461" s="11"/>
      <c r="B461" s="11"/>
      <c r="C461" s="12"/>
      <c r="D461" s="17" t="str">
        <f>IFERROR(INDEX(المواد!$B$2:$B$320,MATCH(B461,المواد!$A$2:$A$320,0)),"")</f>
        <v/>
      </c>
      <c r="E461" s="11"/>
      <c r="F461" t="str">
        <f>IF(AND($A461&lt;&gt;"",COUNTIF($A$2:A461,$A461)=1),$A461,"")</f>
        <v/>
      </c>
      <c r="G461" t="str">
        <f>IF($F461&lt;&gt;"",SUMPRODUCT(($F$2:F461&lt;&gt;"")*1),"")</f>
        <v/>
      </c>
    </row>
    <row r="462" spans="1:7" ht="21.95" customHeight="1">
      <c r="A462" s="11"/>
      <c r="B462" s="11"/>
      <c r="C462" s="12"/>
      <c r="D462" s="17" t="str">
        <f>IFERROR(INDEX(المواد!$B$2:$B$320,MATCH(B462,المواد!$A$2:$A$320,0)),"")</f>
        <v/>
      </c>
      <c r="E462" s="11"/>
      <c r="F462" t="str">
        <f>IF(AND($A462&lt;&gt;"",COUNTIF($A$2:A462,$A462)=1),$A462,"")</f>
        <v/>
      </c>
      <c r="G462" t="str">
        <f>IF($F462&lt;&gt;"",SUMPRODUCT(($F$2:F462&lt;&gt;"")*1),"")</f>
        <v/>
      </c>
    </row>
    <row r="463" spans="1:7" ht="21.95" customHeight="1">
      <c r="A463" s="11"/>
      <c r="B463" s="11"/>
      <c r="C463" s="12"/>
      <c r="D463" s="17" t="str">
        <f>IFERROR(INDEX(المواد!$B$2:$B$320,MATCH(B463,المواد!$A$2:$A$320,0)),"")</f>
        <v/>
      </c>
      <c r="E463" s="11"/>
      <c r="F463" t="str">
        <f>IF(AND($A463&lt;&gt;"",COUNTIF($A$2:A463,$A463)=1),$A463,"")</f>
        <v/>
      </c>
      <c r="G463" t="str">
        <f>IF($F463&lt;&gt;"",SUMPRODUCT(($F$2:F463&lt;&gt;"")*1),"")</f>
        <v/>
      </c>
    </row>
    <row r="464" spans="1:7" ht="21.95" customHeight="1">
      <c r="A464" s="11"/>
      <c r="B464" s="11"/>
      <c r="C464" s="12"/>
      <c r="D464" s="17" t="str">
        <f>IFERROR(INDEX(المواد!$B$2:$B$320,MATCH(B464,المواد!$A$2:$A$320,0)),"")</f>
        <v/>
      </c>
      <c r="E464" s="11"/>
      <c r="F464" t="str">
        <f>IF(AND($A464&lt;&gt;"",COUNTIF($A$2:A464,$A464)=1),$A464,"")</f>
        <v/>
      </c>
      <c r="G464" t="str">
        <f>IF($F464&lt;&gt;"",SUMPRODUCT(($F$2:F464&lt;&gt;"")*1),"")</f>
        <v/>
      </c>
    </row>
    <row r="465" spans="1:7" ht="21.95" customHeight="1">
      <c r="A465" s="11"/>
      <c r="B465" s="11"/>
      <c r="C465" s="12"/>
      <c r="D465" s="17" t="str">
        <f>IFERROR(INDEX(المواد!$B$2:$B$320,MATCH(B465,المواد!$A$2:$A$320,0)),"")</f>
        <v/>
      </c>
      <c r="E465" s="11"/>
      <c r="F465" t="str">
        <f>IF(AND($A465&lt;&gt;"",COUNTIF($A$2:A465,$A465)=1),$A465,"")</f>
        <v/>
      </c>
      <c r="G465" t="str">
        <f>IF($F465&lt;&gt;"",SUMPRODUCT(($F$2:F465&lt;&gt;"")*1),"")</f>
        <v/>
      </c>
    </row>
    <row r="466" spans="1:7" ht="21.95" customHeight="1">
      <c r="A466" s="11"/>
      <c r="B466" s="11"/>
      <c r="C466" s="12"/>
      <c r="D466" s="17" t="str">
        <f>IFERROR(INDEX(المواد!$B$2:$B$320,MATCH(B466,المواد!$A$2:$A$320,0)),"")</f>
        <v/>
      </c>
      <c r="E466" s="11"/>
      <c r="F466" t="str">
        <f>IF(AND($A466&lt;&gt;"",COUNTIF($A$2:A466,$A466)=1),$A466,"")</f>
        <v/>
      </c>
      <c r="G466" t="str">
        <f>IF($F466&lt;&gt;"",SUMPRODUCT(($F$2:F466&lt;&gt;"")*1),"")</f>
        <v/>
      </c>
    </row>
    <row r="467" spans="1:7" ht="21.95" customHeight="1">
      <c r="A467" s="11"/>
      <c r="B467" s="11"/>
      <c r="C467" s="12"/>
      <c r="D467" s="17" t="str">
        <f>IFERROR(INDEX(المواد!$B$2:$B$320,MATCH(B467,المواد!$A$2:$A$320,0)),"")</f>
        <v/>
      </c>
      <c r="E467" s="11"/>
      <c r="F467" t="str">
        <f>IF(AND($A467&lt;&gt;"",COUNTIF($A$2:A467,$A467)=1),$A467,"")</f>
        <v/>
      </c>
      <c r="G467" t="str">
        <f>IF($F467&lt;&gt;"",SUMPRODUCT(($F$2:F467&lt;&gt;"")*1),"")</f>
        <v/>
      </c>
    </row>
    <row r="468" spans="1:7" ht="21.95" customHeight="1">
      <c r="A468" s="11"/>
      <c r="B468" s="11"/>
      <c r="C468" s="12"/>
      <c r="D468" s="17" t="str">
        <f>IFERROR(INDEX(المواد!$B$2:$B$320,MATCH(B468,المواد!$A$2:$A$320,0)),"")</f>
        <v/>
      </c>
      <c r="E468" s="11"/>
      <c r="F468" t="str">
        <f>IF(AND($A468&lt;&gt;"",COUNTIF($A$2:A468,$A468)=1),$A468,"")</f>
        <v/>
      </c>
      <c r="G468" t="str">
        <f>IF($F468&lt;&gt;"",SUMPRODUCT(($F$2:F468&lt;&gt;"")*1),"")</f>
        <v/>
      </c>
    </row>
    <row r="469" spans="1:7" ht="21.95" customHeight="1">
      <c r="A469" s="11"/>
      <c r="B469" s="11"/>
      <c r="C469" s="12"/>
      <c r="D469" s="17" t="str">
        <f>IFERROR(INDEX(المواد!$B$2:$B$320,MATCH(B469,المواد!$A$2:$A$320,0)),"")</f>
        <v/>
      </c>
      <c r="E469" s="11"/>
      <c r="F469" t="str">
        <f>IF(AND($A469&lt;&gt;"",COUNTIF($A$2:A469,$A469)=1),$A469,"")</f>
        <v/>
      </c>
      <c r="G469" t="str">
        <f>IF($F469&lt;&gt;"",SUMPRODUCT(($F$2:F469&lt;&gt;"")*1),"")</f>
        <v/>
      </c>
    </row>
    <row r="470" spans="1:7" ht="21.95" customHeight="1">
      <c r="A470" s="11"/>
      <c r="B470" s="11"/>
      <c r="C470" s="12"/>
      <c r="D470" s="17" t="str">
        <f>IFERROR(INDEX(المواد!$B$2:$B$320,MATCH(B470,المواد!$A$2:$A$320,0)),"")</f>
        <v/>
      </c>
      <c r="E470" s="11"/>
      <c r="F470" t="str">
        <f>IF(AND($A470&lt;&gt;"",COUNTIF($A$2:A470,$A470)=1),$A470,"")</f>
        <v/>
      </c>
      <c r="G470" t="str">
        <f>IF($F470&lt;&gt;"",SUMPRODUCT(($F$2:F470&lt;&gt;"")*1),"")</f>
        <v/>
      </c>
    </row>
    <row r="471" spans="1:7" ht="21.95" customHeight="1">
      <c r="A471" s="11"/>
      <c r="B471" s="11"/>
      <c r="C471" s="12"/>
      <c r="D471" s="17" t="str">
        <f>IFERROR(INDEX(المواد!$B$2:$B$320,MATCH(B471,المواد!$A$2:$A$320,0)),"")</f>
        <v/>
      </c>
      <c r="E471" s="11"/>
      <c r="F471" t="str">
        <f>IF(AND($A471&lt;&gt;"",COUNTIF($A$2:A471,$A471)=1),$A471,"")</f>
        <v/>
      </c>
      <c r="G471" t="str">
        <f>IF($F471&lt;&gt;"",SUMPRODUCT(($F$2:F471&lt;&gt;"")*1),"")</f>
        <v/>
      </c>
    </row>
    <row r="472" spans="1:7" ht="21.95" customHeight="1">
      <c r="A472" s="11"/>
      <c r="B472" s="11"/>
      <c r="C472" s="12"/>
      <c r="D472" s="17" t="str">
        <f>IFERROR(INDEX(المواد!$B$2:$B$320,MATCH(B472,المواد!$A$2:$A$320,0)),"")</f>
        <v/>
      </c>
      <c r="E472" s="11"/>
      <c r="F472" t="str">
        <f>IF(AND($A472&lt;&gt;"",COUNTIF($A$2:A472,$A472)=1),$A472,"")</f>
        <v/>
      </c>
      <c r="G472" t="str">
        <f>IF($F472&lt;&gt;"",SUMPRODUCT(($F$2:F472&lt;&gt;"")*1),"")</f>
        <v/>
      </c>
    </row>
    <row r="473" spans="1:7" ht="21.95" customHeight="1">
      <c r="A473" s="11"/>
      <c r="B473" s="11"/>
      <c r="C473" s="12"/>
      <c r="D473" s="17" t="str">
        <f>IFERROR(INDEX(المواد!$B$2:$B$320,MATCH(B473,المواد!$A$2:$A$320,0)),"")</f>
        <v/>
      </c>
      <c r="E473" s="11"/>
      <c r="F473" t="str">
        <f>IF(AND($A473&lt;&gt;"",COUNTIF($A$2:A473,$A473)=1),$A473,"")</f>
        <v/>
      </c>
      <c r="G473" t="str">
        <f>IF($F473&lt;&gt;"",SUMPRODUCT(($F$2:F473&lt;&gt;"")*1),"")</f>
        <v/>
      </c>
    </row>
    <row r="474" spans="1:7" ht="21.95" customHeight="1">
      <c r="A474" s="11"/>
      <c r="B474" s="11"/>
      <c r="C474" s="12"/>
      <c r="D474" s="17" t="str">
        <f>IFERROR(INDEX(المواد!$B$2:$B$320,MATCH(B474,المواد!$A$2:$A$320,0)),"")</f>
        <v/>
      </c>
      <c r="E474" s="11"/>
      <c r="F474" t="str">
        <f>IF(AND($A474&lt;&gt;"",COUNTIF($A$2:A474,$A474)=1),$A474,"")</f>
        <v/>
      </c>
      <c r="G474" t="str">
        <f>IF($F474&lt;&gt;"",SUMPRODUCT(($F$2:F474&lt;&gt;"")*1),"")</f>
        <v/>
      </c>
    </row>
    <row r="475" spans="1:7" ht="21.95" customHeight="1">
      <c r="A475" s="11"/>
      <c r="B475" s="11"/>
      <c r="C475" s="12"/>
      <c r="D475" s="17" t="str">
        <f>IFERROR(INDEX(المواد!$B$2:$B$320,MATCH(B475,المواد!$A$2:$A$320,0)),"")</f>
        <v/>
      </c>
      <c r="E475" s="11"/>
      <c r="F475" t="str">
        <f>IF(AND($A475&lt;&gt;"",COUNTIF($A$2:A475,$A475)=1),$A475,"")</f>
        <v/>
      </c>
      <c r="G475" t="str">
        <f>IF($F475&lt;&gt;"",SUMPRODUCT(($F$2:F475&lt;&gt;"")*1),"")</f>
        <v/>
      </c>
    </row>
    <row r="476" spans="1:7" ht="21.95" customHeight="1">
      <c r="A476" s="11"/>
      <c r="B476" s="11"/>
      <c r="C476" s="12"/>
      <c r="D476" s="17" t="str">
        <f>IFERROR(INDEX(المواد!$B$2:$B$320,MATCH(B476,المواد!$A$2:$A$320,0)),"")</f>
        <v/>
      </c>
      <c r="E476" s="11"/>
      <c r="F476" t="str">
        <f>IF(AND($A476&lt;&gt;"",COUNTIF($A$2:A476,$A476)=1),$A476,"")</f>
        <v/>
      </c>
      <c r="G476" t="str">
        <f>IF($F476&lt;&gt;"",SUMPRODUCT(($F$2:F476&lt;&gt;"")*1),"")</f>
        <v/>
      </c>
    </row>
    <row r="477" spans="1:7" ht="21.95" customHeight="1">
      <c r="A477" s="11"/>
      <c r="B477" s="11"/>
      <c r="C477" s="12"/>
      <c r="D477" s="17" t="str">
        <f>IFERROR(INDEX(المواد!$B$2:$B$320,MATCH(B477,المواد!$A$2:$A$320,0)),"")</f>
        <v/>
      </c>
      <c r="E477" s="11"/>
      <c r="F477" t="str">
        <f>IF(AND($A477&lt;&gt;"",COUNTIF($A$2:A477,$A477)=1),$A477,"")</f>
        <v/>
      </c>
      <c r="G477" t="str">
        <f>IF($F477&lt;&gt;"",SUMPRODUCT(($F$2:F477&lt;&gt;"")*1),"")</f>
        <v/>
      </c>
    </row>
    <row r="478" spans="1:7" ht="21.95" customHeight="1">
      <c r="A478" s="11"/>
      <c r="B478" s="11"/>
      <c r="C478" s="12"/>
      <c r="D478" s="17" t="str">
        <f>IFERROR(INDEX(المواد!$B$2:$B$320,MATCH(B478,المواد!$A$2:$A$320,0)),"")</f>
        <v/>
      </c>
      <c r="E478" s="11"/>
      <c r="F478" t="str">
        <f>IF(AND($A478&lt;&gt;"",COUNTIF($A$2:A478,$A478)=1),$A478,"")</f>
        <v/>
      </c>
      <c r="G478" t="str">
        <f>IF($F478&lt;&gt;"",SUMPRODUCT(($F$2:F478&lt;&gt;"")*1),"")</f>
        <v/>
      </c>
    </row>
    <row r="479" spans="1:7" ht="21.95" customHeight="1">
      <c r="A479" s="11"/>
      <c r="B479" s="11"/>
      <c r="C479" s="12"/>
      <c r="D479" s="17" t="str">
        <f>IFERROR(INDEX(المواد!$B$2:$B$320,MATCH(B479,المواد!$A$2:$A$320,0)),"")</f>
        <v/>
      </c>
      <c r="E479" s="11"/>
      <c r="F479" t="str">
        <f>IF(AND($A479&lt;&gt;"",COUNTIF($A$2:A479,$A479)=1),$A479,"")</f>
        <v/>
      </c>
      <c r="G479" t="str">
        <f>IF($F479&lt;&gt;"",SUMPRODUCT(($F$2:F479&lt;&gt;"")*1),"")</f>
        <v/>
      </c>
    </row>
    <row r="480" spans="1:7" ht="21.95" customHeight="1">
      <c r="A480" s="11"/>
      <c r="B480" s="11"/>
      <c r="C480" s="12"/>
      <c r="D480" s="17" t="str">
        <f>IFERROR(INDEX(المواد!$B$2:$B$320,MATCH(B480,المواد!$A$2:$A$320,0)),"")</f>
        <v/>
      </c>
      <c r="E480" s="11"/>
      <c r="F480" t="str">
        <f>IF(AND($A480&lt;&gt;"",COUNTIF($A$2:A480,$A480)=1),$A480,"")</f>
        <v/>
      </c>
      <c r="G480" t="str">
        <f>IF($F480&lt;&gt;"",SUMPRODUCT(($F$2:F480&lt;&gt;"")*1),"")</f>
        <v/>
      </c>
    </row>
    <row r="481" spans="1:7" ht="21.95" customHeight="1">
      <c r="A481" s="11"/>
      <c r="B481" s="11"/>
      <c r="C481" s="12"/>
      <c r="D481" s="17" t="str">
        <f>IFERROR(INDEX(المواد!$B$2:$B$320,MATCH(B481,المواد!$A$2:$A$320,0)),"")</f>
        <v/>
      </c>
      <c r="E481" s="11"/>
      <c r="F481" t="str">
        <f>IF(AND($A481&lt;&gt;"",COUNTIF($A$2:A481,$A481)=1),$A481,"")</f>
        <v/>
      </c>
      <c r="G481" t="str">
        <f>IF($F481&lt;&gt;"",SUMPRODUCT(($F$2:F481&lt;&gt;"")*1),"")</f>
        <v/>
      </c>
    </row>
    <row r="482" spans="1:7" ht="21.95" customHeight="1">
      <c r="A482" s="11"/>
      <c r="B482" s="11"/>
      <c r="C482" s="12"/>
      <c r="D482" s="17" t="str">
        <f>IFERROR(INDEX(المواد!$B$2:$B$320,MATCH(B482,المواد!$A$2:$A$320,0)),"")</f>
        <v/>
      </c>
      <c r="E482" s="11"/>
      <c r="F482" t="str">
        <f>IF(AND($A482&lt;&gt;"",COUNTIF($A$2:A482,$A482)=1),$A482,"")</f>
        <v/>
      </c>
      <c r="G482" t="str">
        <f>IF($F482&lt;&gt;"",SUMPRODUCT(($F$2:F482&lt;&gt;"")*1),"")</f>
        <v/>
      </c>
    </row>
    <row r="483" spans="1:7" ht="21.95" customHeight="1">
      <c r="A483" s="11"/>
      <c r="B483" s="11"/>
      <c r="C483" s="12"/>
      <c r="D483" s="17" t="str">
        <f>IFERROR(INDEX(المواد!$B$2:$B$320,MATCH(B483,المواد!$A$2:$A$320,0)),"")</f>
        <v/>
      </c>
      <c r="E483" s="11"/>
      <c r="F483" t="str">
        <f>IF(AND($A483&lt;&gt;"",COUNTIF($A$2:A483,$A483)=1),$A483,"")</f>
        <v/>
      </c>
      <c r="G483" t="str">
        <f>IF($F483&lt;&gt;"",SUMPRODUCT(($F$2:F483&lt;&gt;"")*1),"")</f>
        <v/>
      </c>
    </row>
    <row r="484" spans="1:7" ht="21.95" customHeight="1">
      <c r="A484" s="11"/>
      <c r="B484" s="11"/>
      <c r="C484" s="12"/>
      <c r="D484" s="17" t="str">
        <f>IFERROR(INDEX(المواد!$B$2:$B$320,MATCH(B484,المواد!$A$2:$A$320,0)),"")</f>
        <v/>
      </c>
      <c r="E484" s="11"/>
      <c r="F484" t="str">
        <f>IF(AND($A484&lt;&gt;"",COUNTIF($A$2:A484,$A484)=1),$A484,"")</f>
        <v/>
      </c>
      <c r="G484" t="str">
        <f>IF($F484&lt;&gt;"",SUMPRODUCT(($F$2:F484&lt;&gt;"")*1),"")</f>
        <v/>
      </c>
    </row>
    <row r="485" spans="1:7" ht="21.95" customHeight="1">
      <c r="A485" s="11"/>
      <c r="B485" s="11"/>
      <c r="C485" s="12"/>
      <c r="D485" s="17" t="str">
        <f>IFERROR(INDEX(المواد!$B$2:$B$320,MATCH(B485,المواد!$A$2:$A$320,0)),"")</f>
        <v/>
      </c>
      <c r="E485" s="11"/>
      <c r="F485" t="str">
        <f>IF(AND($A485&lt;&gt;"",COUNTIF($A$2:A485,$A485)=1),$A485,"")</f>
        <v/>
      </c>
      <c r="G485" t="str">
        <f>IF($F485&lt;&gt;"",SUMPRODUCT(($F$2:F485&lt;&gt;"")*1),"")</f>
        <v/>
      </c>
    </row>
    <row r="486" spans="1:7" ht="21.95" customHeight="1">
      <c r="A486" s="11"/>
      <c r="B486" s="11"/>
      <c r="C486" s="12"/>
      <c r="D486" s="17" t="str">
        <f>IFERROR(INDEX(المواد!$B$2:$B$320,MATCH(B486,المواد!$A$2:$A$320,0)),"")</f>
        <v/>
      </c>
      <c r="E486" s="11"/>
      <c r="F486" t="str">
        <f>IF(AND($A486&lt;&gt;"",COUNTIF($A$2:A486,$A486)=1),$A486,"")</f>
        <v/>
      </c>
      <c r="G486" t="str">
        <f>IF($F486&lt;&gt;"",SUMPRODUCT(($F$2:F486&lt;&gt;"")*1),"")</f>
        <v/>
      </c>
    </row>
    <row r="487" spans="1:7" ht="21.95" customHeight="1">
      <c r="A487" s="11"/>
      <c r="B487" s="11"/>
      <c r="C487" s="12"/>
      <c r="D487" s="17" t="str">
        <f>IFERROR(INDEX(المواد!$B$2:$B$320,MATCH(B487,المواد!$A$2:$A$320,0)),"")</f>
        <v/>
      </c>
      <c r="E487" s="11"/>
      <c r="F487" t="str">
        <f>IF(AND($A487&lt;&gt;"",COUNTIF($A$2:A487,$A487)=1),$A487,"")</f>
        <v/>
      </c>
      <c r="G487" t="str">
        <f>IF($F487&lt;&gt;"",SUMPRODUCT(($F$2:F487&lt;&gt;"")*1),"")</f>
        <v/>
      </c>
    </row>
    <row r="488" spans="1:7" ht="21.95" customHeight="1">
      <c r="A488" s="11"/>
      <c r="B488" s="11"/>
      <c r="C488" s="12"/>
      <c r="D488" s="17" t="str">
        <f>IFERROR(INDEX(المواد!$B$2:$B$320,MATCH(B488,المواد!$A$2:$A$320,0)),"")</f>
        <v/>
      </c>
      <c r="E488" s="11"/>
      <c r="F488" t="str">
        <f>IF(AND($A488&lt;&gt;"",COUNTIF($A$2:A488,$A488)=1),$A488,"")</f>
        <v/>
      </c>
      <c r="G488" t="str">
        <f>IF($F488&lt;&gt;"",SUMPRODUCT(($F$2:F488&lt;&gt;"")*1),"")</f>
        <v/>
      </c>
    </row>
    <row r="489" spans="1:7" ht="21.95" customHeight="1">
      <c r="A489" s="11"/>
      <c r="B489" s="11"/>
      <c r="C489" s="12"/>
      <c r="D489" s="17" t="str">
        <f>IFERROR(INDEX(المواد!$B$2:$B$320,MATCH(B489,المواد!$A$2:$A$320,0)),"")</f>
        <v/>
      </c>
      <c r="E489" s="11"/>
      <c r="F489" t="str">
        <f>IF(AND($A489&lt;&gt;"",COUNTIF($A$2:A489,$A489)=1),$A489,"")</f>
        <v/>
      </c>
      <c r="G489" t="str">
        <f>IF($F489&lt;&gt;"",SUMPRODUCT(($F$2:F489&lt;&gt;"")*1),"")</f>
        <v/>
      </c>
    </row>
    <row r="490" spans="1:7" ht="21.95" customHeight="1">
      <c r="A490" s="11"/>
      <c r="B490" s="11"/>
      <c r="C490" s="12"/>
      <c r="D490" s="17" t="str">
        <f>IFERROR(INDEX(المواد!$B$2:$B$320,MATCH(B490,المواد!$A$2:$A$320,0)),"")</f>
        <v/>
      </c>
      <c r="E490" s="11"/>
      <c r="F490" t="str">
        <f>IF(AND($A490&lt;&gt;"",COUNTIF($A$2:A490,$A490)=1),$A490,"")</f>
        <v/>
      </c>
      <c r="G490" t="str">
        <f>IF($F490&lt;&gt;"",SUMPRODUCT(($F$2:F490&lt;&gt;"")*1),"")</f>
        <v/>
      </c>
    </row>
    <row r="491" spans="1:7" ht="21.95" customHeight="1">
      <c r="A491" s="11"/>
      <c r="B491" s="11"/>
      <c r="C491" s="12"/>
      <c r="D491" s="17" t="str">
        <f>IFERROR(INDEX(المواد!$B$2:$B$320,MATCH(B491,المواد!$A$2:$A$320,0)),"")</f>
        <v/>
      </c>
      <c r="E491" s="11"/>
      <c r="F491" t="str">
        <f>IF(AND($A491&lt;&gt;"",COUNTIF($A$2:A491,$A491)=1),$A491,"")</f>
        <v/>
      </c>
      <c r="G491" t="str">
        <f>IF($F491&lt;&gt;"",SUMPRODUCT(($F$2:F491&lt;&gt;"")*1),"")</f>
        <v/>
      </c>
    </row>
    <row r="492" spans="1:7" ht="21.95" customHeight="1">
      <c r="A492" s="11"/>
      <c r="B492" s="11"/>
      <c r="C492" s="12"/>
      <c r="D492" s="17" t="str">
        <f>IFERROR(INDEX(المواد!$B$2:$B$320,MATCH(B492,المواد!$A$2:$A$320,0)),"")</f>
        <v/>
      </c>
      <c r="E492" s="11"/>
      <c r="F492" t="str">
        <f>IF(AND($A492&lt;&gt;"",COUNTIF($A$2:A492,$A492)=1),$A492,"")</f>
        <v/>
      </c>
      <c r="G492" t="str">
        <f>IF($F492&lt;&gt;"",SUMPRODUCT(($F$2:F492&lt;&gt;"")*1),"")</f>
        <v/>
      </c>
    </row>
    <row r="493" spans="1:7" ht="21.95" customHeight="1">
      <c r="A493" s="11"/>
      <c r="B493" s="11"/>
      <c r="C493" s="12"/>
      <c r="D493" s="17" t="str">
        <f>IFERROR(INDEX(المواد!$B$2:$B$320,MATCH(B493,المواد!$A$2:$A$320,0)),"")</f>
        <v/>
      </c>
      <c r="E493" s="11"/>
      <c r="F493" t="str">
        <f>IF(AND($A493&lt;&gt;"",COUNTIF($A$2:A493,$A493)=1),$A493,"")</f>
        <v/>
      </c>
      <c r="G493" t="str">
        <f>IF($F493&lt;&gt;"",SUMPRODUCT(($F$2:F493&lt;&gt;"")*1),"")</f>
        <v/>
      </c>
    </row>
    <row r="494" spans="1:7" ht="21.95" customHeight="1">
      <c r="A494" s="11"/>
      <c r="B494" s="11"/>
      <c r="C494" s="12"/>
      <c r="D494" s="17" t="str">
        <f>IFERROR(INDEX(المواد!$B$2:$B$320,MATCH(B494,المواد!$A$2:$A$320,0)),"")</f>
        <v/>
      </c>
      <c r="E494" s="11"/>
      <c r="F494" t="str">
        <f>IF(AND($A494&lt;&gt;"",COUNTIF($A$2:A494,$A494)=1),$A494,"")</f>
        <v/>
      </c>
      <c r="G494" t="str">
        <f>IF($F494&lt;&gt;"",SUMPRODUCT(($F$2:F494&lt;&gt;"")*1),"")</f>
        <v/>
      </c>
    </row>
    <row r="495" spans="1:7" ht="21.95" customHeight="1">
      <c r="A495" s="11"/>
      <c r="B495" s="11"/>
      <c r="C495" s="12"/>
      <c r="D495" s="17" t="str">
        <f>IFERROR(INDEX(المواد!$B$2:$B$320,MATCH(B495,المواد!$A$2:$A$320,0)),"")</f>
        <v/>
      </c>
      <c r="E495" s="11"/>
      <c r="F495" t="str">
        <f>IF(AND($A495&lt;&gt;"",COUNTIF($A$2:A495,$A495)=1),$A495,"")</f>
        <v/>
      </c>
      <c r="G495" t="str">
        <f>IF($F495&lt;&gt;"",SUMPRODUCT(($F$2:F495&lt;&gt;"")*1),"")</f>
        <v/>
      </c>
    </row>
    <row r="496" spans="1:7" ht="21.95" customHeight="1">
      <c r="A496" s="11"/>
      <c r="B496" s="11"/>
      <c r="C496" s="12"/>
      <c r="D496" s="17" t="str">
        <f>IFERROR(INDEX(المواد!$B$2:$B$320,MATCH(B496,المواد!$A$2:$A$320,0)),"")</f>
        <v/>
      </c>
      <c r="E496" s="11"/>
      <c r="F496" t="str">
        <f>IF(AND($A496&lt;&gt;"",COUNTIF($A$2:A496,$A496)=1),$A496,"")</f>
        <v/>
      </c>
      <c r="G496" t="str">
        <f>IF($F496&lt;&gt;"",SUMPRODUCT(($F$2:F496&lt;&gt;"")*1),"")</f>
        <v/>
      </c>
    </row>
    <row r="497" spans="1:7" ht="21.95" customHeight="1">
      <c r="A497" s="11"/>
      <c r="B497" s="11"/>
      <c r="C497" s="12"/>
      <c r="D497" s="17" t="str">
        <f>IFERROR(INDEX(المواد!$B$2:$B$320,MATCH(B497,المواد!$A$2:$A$320,0)),"")</f>
        <v/>
      </c>
      <c r="E497" s="11"/>
      <c r="F497" t="str">
        <f>IF(AND($A497&lt;&gt;"",COUNTIF($A$2:A497,$A497)=1),$A497,"")</f>
        <v/>
      </c>
      <c r="G497" t="str">
        <f>IF($F497&lt;&gt;"",SUMPRODUCT(($F$2:F497&lt;&gt;"")*1),"")</f>
        <v/>
      </c>
    </row>
    <row r="498" spans="1:7" ht="21.95" customHeight="1">
      <c r="A498" s="11"/>
      <c r="B498" s="11"/>
      <c r="C498" s="12"/>
      <c r="D498" s="17" t="str">
        <f>IFERROR(INDEX(المواد!$B$2:$B$320,MATCH(B498,المواد!$A$2:$A$320,0)),"")</f>
        <v/>
      </c>
      <c r="E498" s="11"/>
      <c r="F498" t="str">
        <f>IF(AND($A498&lt;&gt;"",COUNTIF($A$2:A498,$A498)=1),$A498,"")</f>
        <v/>
      </c>
      <c r="G498" t="str">
        <f>IF($F498&lt;&gt;"",SUMPRODUCT(($F$2:F498&lt;&gt;"")*1),"")</f>
        <v/>
      </c>
    </row>
    <row r="499" spans="1:7" ht="21.95" customHeight="1">
      <c r="A499" s="11"/>
      <c r="B499" s="11"/>
      <c r="C499" s="12"/>
      <c r="D499" s="17" t="str">
        <f>IFERROR(INDEX(المواد!$B$2:$B$320,MATCH(B499,المواد!$A$2:$A$320,0)),"")</f>
        <v/>
      </c>
      <c r="E499" s="11"/>
      <c r="F499" t="str">
        <f>IF(AND($A499&lt;&gt;"",COUNTIF($A$2:A499,$A499)=1),$A499,"")</f>
        <v/>
      </c>
      <c r="G499" t="str">
        <f>IF($F499&lt;&gt;"",SUMPRODUCT(($F$2:F499&lt;&gt;"")*1),"")</f>
        <v/>
      </c>
    </row>
    <row r="500" spans="1:7" ht="21.95" customHeight="1">
      <c r="A500" s="11"/>
      <c r="B500" s="11"/>
      <c r="C500" s="12"/>
      <c r="D500" s="17" t="str">
        <f>IFERROR(INDEX(المواد!$B$2:$B$320,MATCH(B500,المواد!$A$2:$A$320,0)),"")</f>
        <v/>
      </c>
      <c r="E500" s="11"/>
      <c r="F500" t="str">
        <f>IF(AND($A500&lt;&gt;"",COUNTIF($A$2:A500,$A500)=1),$A500,"")</f>
        <v/>
      </c>
      <c r="G500" t="str">
        <f>IF($F500&lt;&gt;"",SUMPRODUCT(($F$2:F500&lt;&gt;"")*1),"")</f>
        <v/>
      </c>
    </row>
    <row r="501" spans="1:7" ht="21.95" customHeight="1">
      <c r="A501" s="11"/>
      <c r="B501" s="11"/>
      <c r="C501" s="12"/>
      <c r="D501" s="17" t="str">
        <f>IFERROR(INDEX(المواد!$B$2:$B$320,MATCH(B501,المواد!$A$2:$A$320,0)),"")</f>
        <v/>
      </c>
      <c r="E501" s="11"/>
      <c r="F501" t="str">
        <f>IF(AND($A501&lt;&gt;"",COUNTIF($A$2:A501,$A501)=1),$A501,"")</f>
        <v/>
      </c>
      <c r="G501" t="str">
        <f>IF($F501&lt;&gt;"",SUMPRODUCT(($F$2:F501&lt;&gt;"")*1),"")</f>
        <v/>
      </c>
    </row>
    <row r="502" spans="1:7" ht="21.95" customHeight="1">
      <c r="A502" s="11"/>
      <c r="B502" s="11"/>
      <c r="C502" s="12"/>
      <c r="D502" s="17" t="str">
        <f>IFERROR(INDEX(المواد!$B$2:$B$320,MATCH(B502,المواد!$A$2:$A$320,0)),"")</f>
        <v/>
      </c>
      <c r="E502" s="11"/>
      <c r="F502" t="str">
        <f>IF(AND($A502&lt;&gt;"",COUNTIF($A$2:A502,$A502)=1),$A502,"")</f>
        <v/>
      </c>
      <c r="G502" t="str">
        <f>IF($F502&lt;&gt;"",SUMPRODUCT(($F$2:F502&lt;&gt;"")*1),"")</f>
        <v/>
      </c>
    </row>
    <row r="503" spans="1:7" ht="21.95" customHeight="1">
      <c r="A503" s="11"/>
      <c r="B503" s="11"/>
      <c r="C503" s="12"/>
      <c r="D503" s="17" t="str">
        <f>IFERROR(INDEX(المواد!$B$2:$B$320,MATCH(B503,المواد!$A$2:$A$320,0)),"")</f>
        <v/>
      </c>
      <c r="E503" s="11"/>
      <c r="F503" t="str">
        <f>IF(AND($A503&lt;&gt;"",COUNTIF($A$2:A503,$A503)=1),$A503,"")</f>
        <v/>
      </c>
      <c r="G503" t="str">
        <f>IF($F503&lt;&gt;"",SUMPRODUCT(($F$2:F503&lt;&gt;"")*1),"")</f>
        <v/>
      </c>
    </row>
    <row r="504" spans="1:7" ht="21.95" customHeight="1">
      <c r="A504" s="11"/>
      <c r="B504" s="11"/>
      <c r="C504" s="12"/>
      <c r="D504" s="17" t="str">
        <f>IFERROR(INDEX(المواد!$B$2:$B$320,MATCH(B504,المواد!$A$2:$A$320,0)),"")</f>
        <v/>
      </c>
      <c r="E504" s="11"/>
      <c r="F504" t="str">
        <f>IF(AND($A504&lt;&gt;"",COUNTIF($A$2:A504,$A504)=1),$A504,"")</f>
        <v/>
      </c>
      <c r="G504" t="str">
        <f>IF($F504&lt;&gt;"",SUMPRODUCT(($F$2:F504&lt;&gt;"")*1),"")</f>
        <v/>
      </c>
    </row>
    <row r="505" spans="1:7" ht="21.95" customHeight="1">
      <c r="A505" s="11"/>
      <c r="B505" s="11"/>
      <c r="C505" s="12"/>
      <c r="D505" s="17" t="str">
        <f>IFERROR(INDEX(المواد!$B$2:$B$320,MATCH(B505,المواد!$A$2:$A$320,0)),"")</f>
        <v/>
      </c>
      <c r="E505" s="11"/>
      <c r="F505" t="str">
        <f>IF(AND($A505&lt;&gt;"",COUNTIF($A$2:A505,$A505)=1),$A505,"")</f>
        <v/>
      </c>
      <c r="G505" t="str">
        <f>IF($F505&lt;&gt;"",SUMPRODUCT(($F$2:F505&lt;&gt;"")*1),"")</f>
        <v/>
      </c>
    </row>
    <row r="506" spans="1:7" ht="21.95" customHeight="1">
      <c r="A506" s="11"/>
      <c r="B506" s="11"/>
      <c r="C506" s="12"/>
      <c r="D506" s="17" t="str">
        <f>IFERROR(INDEX(المواد!$B$2:$B$320,MATCH(B506,المواد!$A$2:$A$320,0)),"")</f>
        <v/>
      </c>
      <c r="E506" s="11"/>
      <c r="F506" t="str">
        <f>IF(AND($A506&lt;&gt;"",COUNTIF($A$2:A506,$A506)=1),$A506,"")</f>
        <v/>
      </c>
      <c r="G506" t="str">
        <f>IF($F506&lt;&gt;"",SUMPRODUCT(($F$2:F506&lt;&gt;"")*1),"")</f>
        <v/>
      </c>
    </row>
    <row r="507" spans="1:7" ht="21.95" customHeight="1">
      <c r="A507" s="11"/>
      <c r="B507" s="11"/>
      <c r="C507" s="12"/>
      <c r="D507" s="17" t="str">
        <f>IFERROR(INDEX(المواد!$B$2:$B$320,MATCH(B507,المواد!$A$2:$A$320,0)),"")</f>
        <v/>
      </c>
      <c r="E507" s="11"/>
      <c r="F507" t="str">
        <f>IF(AND($A507&lt;&gt;"",COUNTIF($A$2:A507,$A507)=1),$A507,"")</f>
        <v/>
      </c>
      <c r="G507" t="str">
        <f>IF($F507&lt;&gt;"",SUMPRODUCT(($F$2:F507&lt;&gt;"")*1),"")</f>
        <v/>
      </c>
    </row>
    <row r="508" spans="1:7" ht="21.95" customHeight="1">
      <c r="A508" s="11"/>
      <c r="B508" s="11"/>
      <c r="C508" s="12"/>
      <c r="D508" s="17" t="str">
        <f>IFERROR(INDEX(المواد!$B$2:$B$320,MATCH(B508,المواد!$A$2:$A$320,0)),"")</f>
        <v/>
      </c>
      <c r="E508" s="11"/>
      <c r="F508" t="str">
        <f>IF(AND($A508&lt;&gt;"",COUNTIF($A$2:A508,$A508)=1),$A508,"")</f>
        <v/>
      </c>
      <c r="G508" t="str">
        <f>IF($F508&lt;&gt;"",SUMPRODUCT(($F$2:F508&lt;&gt;"")*1),"")</f>
        <v/>
      </c>
    </row>
    <row r="509" spans="1:7" ht="21.95" customHeight="1">
      <c r="A509" s="11"/>
      <c r="B509" s="11"/>
      <c r="C509" s="12"/>
      <c r="D509" s="17" t="str">
        <f>IFERROR(INDEX(المواد!$B$2:$B$320,MATCH(B509,المواد!$A$2:$A$320,0)),"")</f>
        <v/>
      </c>
      <c r="E509" s="11"/>
      <c r="F509" t="str">
        <f>IF(AND($A509&lt;&gt;"",COUNTIF($A$2:A509,$A509)=1),$A509,"")</f>
        <v/>
      </c>
      <c r="G509" t="str">
        <f>IF($F509&lt;&gt;"",SUMPRODUCT(($F$2:F509&lt;&gt;"")*1),"")</f>
        <v/>
      </c>
    </row>
    <row r="510" spans="1:7" ht="21.95" customHeight="1">
      <c r="A510" s="11"/>
      <c r="B510" s="11"/>
      <c r="C510" s="12"/>
      <c r="D510" s="17" t="str">
        <f>IFERROR(INDEX(المواد!$B$2:$B$320,MATCH(B510,المواد!$A$2:$A$320,0)),"")</f>
        <v/>
      </c>
      <c r="E510" s="11"/>
      <c r="F510" t="str">
        <f>IF(AND($A510&lt;&gt;"",COUNTIF($A$2:A510,$A510)=1),$A510,"")</f>
        <v/>
      </c>
      <c r="G510" t="str">
        <f>IF($F510&lt;&gt;"",SUMPRODUCT(($F$2:F510&lt;&gt;"")*1),"")</f>
        <v/>
      </c>
    </row>
    <row r="511" spans="1:7" ht="21.95" customHeight="1">
      <c r="A511" s="11"/>
      <c r="B511" s="11"/>
      <c r="C511" s="12"/>
      <c r="D511" s="17" t="str">
        <f>IFERROR(INDEX(المواد!$B$2:$B$320,MATCH(B511,المواد!$A$2:$A$320,0)),"")</f>
        <v/>
      </c>
      <c r="E511" s="11"/>
      <c r="F511" t="str">
        <f>IF(AND($A511&lt;&gt;"",COUNTIF($A$2:A511,$A511)=1),$A511,"")</f>
        <v/>
      </c>
      <c r="G511" t="str">
        <f>IF($F511&lt;&gt;"",SUMPRODUCT(($F$2:F511&lt;&gt;"")*1),"")</f>
        <v/>
      </c>
    </row>
    <row r="512" spans="1:7" ht="21.95" customHeight="1">
      <c r="A512" s="11"/>
      <c r="B512" s="11"/>
      <c r="C512" s="12"/>
      <c r="D512" s="17" t="str">
        <f>IFERROR(INDEX(المواد!$B$2:$B$320,MATCH(B512,المواد!$A$2:$A$320,0)),"")</f>
        <v/>
      </c>
      <c r="E512" s="11"/>
      <c r="F512" t="str">
        <f>IF(AND($A512&lt;&gt;"",COUNTIF($A$2:A512,$A512)=1),$A512,"")</f>
        <v/>
      </c>
      <c r="G512" t="str">
        <f>IF($F512&lt;&gt;"",SUMPRODUCT(($F$2:F512&lt;&gt;"")*1),"")</f>
        <v/>
      </c>
    </row>
    <row r="513" spans="1:7" ht="21.95" customHeight="1">
      <c r="A513" s="11"/>
      <c r="B513" s="11"/>
      <c r="C513" s="12"/>
      <c r="D513" s="17" t="str">
        <f>IFERROR(INDEX(المواد!$B$2:$B$320,MATCH(B513,المواد!$A$2:$A$320,0)),"")</f>
        <v/>
      </c>
      <c r="E513" s="11"/>
      <c r="F513" t="str">
        <f>IF(AND($A513&lt;&gt;"",COUNTIF($A$2:A513,$A513)=1),$A513,"")</f>
        <v/>
      </c>
      <c r="G513" t="str">
        <f>IF($F513&lt;&gt;"",SUMPRODUCT(($F$2:F513&lt;&gt;"")*1),"")</f>
        <v/>
      </c>
    </row>
    <row r="514" spans="1:7" ht="21.95" customHeight="1">
      <c r="A514" s="11"/>
      <c r="B514" s="11"/>
      <c r="C514" s="12"/>
      <c r="D514" s="17" t="str">
        <f>IFERROR(INDEX(المواد!$B$2:$B$320,MATCH(B514,المواد!$A$2:$A$320,0)),"")</f>
        <v/>
      </c>
      <c r="E514" s="11"/>
      <c r="F514" t="str">
        <f>IF(AND($A514&lt;&gt;"",COUNTIF($A$2:A514,$A514)=1),$A514,"")</f>
        <v/>
      </c>
      <c r="G514" t="str">
        <f>IF($F514&lt;&gt;"",SUMPRODUCT(($F$2:F514&lt;&gt;"")*1),"")</f>
        <v/>
      </c>
    </row>
    <row r="515" spans="1:7" ht="21.95" customHeight="1">
      <c r="A515" s="11"/>
      <c r="B515" s="11"/>
      <c r="C515" s="12"/>
      <c r="D515" s="17" t="str">
        <f>IFERROR(INDEX(المواد!$B$2:$B$320,MATCH(B515,المواد!$A$2:$A$320,0)),"")</f>
        <v/>
      </c>
      <c r="E515" s="11"/>
      <c r="F515" t="str">
        <f>IF(AND($A515&lt;&gt;"",COUNTIF($A$2:A515,$A515)=1),$A515,"")</f>
        <v/>
      </c>
      <c r="G515" t="str">
        <f>IF($F515&lt;&gt;"",SUMPRODUCT(($F$2:F515&lt;&gt;"")*1),"")</f>
        <v/>
      </c>
    </row>
    <row r="516" spans="1:7" ht="21.95" customHeight="1">
      <c r="A516" s="11"/>
      <c r="B516" s="11"/>
      <c r="C516" s="12"/>
      <c r="D516" s="17" t="str">
        <f>IFERROR(INDEX(المواد!$B$2:$B$320,MATCH(B516,المواد!$A$2:$A$320,0)),"")</f>
        <v/>
      </c>
      <c r="E516" s="11"/>
      <c r="F516" t="str">
        <f>IF(AND($A516&lt;&gt;"",COUNTIF($A$2:A516,$A516)=1),$A516,"")</f>
        <v/>
      </c>
      <c r="G516" t="str">
        <f>IF($F516&lt;&gt;"",SUMPRODUCT(($F$2:F516&lt;&gt;"")*1),"")</f>
        <v/>
      </c>
    </row>
    <row r="517" spans="1:7" ht="21.95" customHeight="1">
      <c r="A517" s="11"/>
      <c r="B517" s="11"/>
      <c r="C517" s="12"/>
      <c r="D517" s="17" t="str">
        <f>IFERROR(INDEX(المواد!$B$2:$B$320,MATCH(B517,المواد!$A$2:$A$320,0)),"")</f>
        <v/>
      </c>
      <c r="E517" s="11"/>
      <c r="F517" t="str">
        <f>IF(AND($A517&lt;&gt;"",COUNTIF($A$2:A517,$A517)=1),$A517,"")</f>
        <v/>
      </c>
      <c r="G517" t="str">
        <f>IF($F517&lt;&gt;"",SUMPRODUCT(($F$2:F517&lt;&gt;"")*1),"")</f>
        <v/>
      </c>
    </row>
    <row r="518" spans="1:7" ht="21.95" customHeight="1">
      <c r="A518" s="11"/>
      <c r="B518" s="11"/>
      <c r="C518" s="12"/>
      <c r="D518" s="17" t="str">
        <f>IFERROR(INDEX(المواد!$B$2:$B$320,MATCH(B518,المواد!$A$2:$A$320,0)),"")</f>
        <v/>
      </c>
      <c r="E518" s="11"/>
      <c r="F518" t="str">
        <f>IF(AND($A518&lt;&gt;"",COUNTIF($A$2:A518,$A518)=1),$A518,"")</f>
        <v/>
      </c>
      <c r="G518" t="str">
        <f>IF($F518&lt;&gt;"",SUMPRODUCT(($F$2:F518&lt;&gt;"")*1),"")</f>
        <v/>
      </c>
    </row>
    <row r="519" spans="1:7" ht="21.95" customHeight="1">
      <c r="A519" s="11"/>
      <c r="B519" s="11"/>
      <c r="C519" s="12"/>
      <c r="D519" s="17" t="str">
        <f>IFERROR(INDEX(المواد!$B$2:$B$320,MATCH(B519,المواد!$A$2:$A$320,0)),"")</f>
        <v/>
      </c>
      <c r="E519" s="11"/>
      <c r="F519" t="str">
        <f>IF(AND($A519&lt;&gt;"",COUNTIF($A$2:A519,$A519)=1),$A519,"")</f>
        <v/>
      </c>
      <c r="G519" t="str">
        <f>IF($F519&lt;&gt;"",SUMPRODUCT(($F$2:F519&lt;&gt;"")*1),"")</f>
        <v/>
      </c>
    </row>
    <row r="520" spans="1:7" ht="21.95" customHeight="1">
      <c r="A520" s="11"/>
      <c r="B520" s="11"/>
      <c r="C520" s="12"/>
      <c r="D520" s="17" t="str">
        <f>IFERROR(INDEX(المواد!$B$2:$B$320,MATCH(B520,المواد!$A$2:$A$320,0)),"")</f>
        <v/>
      </c>
      <c r="E520" s="11"/>
      <c r="F520" t="str">
        <f>IF(AND($A520&lt;&gt;"",COUNTIF($A$2:A520,$A520)=1),$A520,"")</f>
        <v/>
      </c>
      <c r="G520" t="str">
        <f>IF($F520&lt;&gt;"",SUMPRODUCT(($F$2:F520&lt;&gt;"")*1),"")</f>
        <v/>
      </c>
    </row>
    <row r="521" spans="1:7" ht="21.95" customHeight="1">
      <c r="A521" s="11"/>
      <c r="B521" s="11"/>
      <c r="C521" s="12"/>
      <c r="D521" s="17" t="str">
        <f>IFERROR(INDEX(المواد!$B$2:$B$320,MATCH(B521,المواد!$A$2:$A$320,0)),"")</f>
        <v/>
      </c>
      <c r="E521" s="11"/>
      <c r="F521" t="str">
        <f>IF(AND($A521&lt;&gt;"",COUNTIF($A$2:A521,$A521)=1),$A521,"")</f>
        <v/>
      </c>
      <c r="G521" t="str">
        <f>IF($F521&lt;&gt;"",SUMPRODUCT(($F$2:F521&lt;&gt;"")*1),"")</f>
        <v/>
      </c>
    </row>
    <row r="522" spans="1:7" ht="21.95" customHeight="1">
      <c r="A522" s="11"/>
      <c r="B522" s="11"/>
      <c r="C522" s="12"/>
      <c r="D522" s="17" t="str">
        <f>IFERROR(INDEX(المواد!$B$2:$B$320,MATCH(B522,المواد!$A$2:$A$320,0)),"")</f>
        <v/>
      </c>
      <c r="E522" s="11"/>
      <c r="F522" t="str">
        <f>IF(AND($A522&lt;&gt;"",COUNTIF($A$2:A522,$A522)=1),$A522,"")</f>
        <v/>
      </c>
      <c r="G522" t="str">
        <f>IF($F522&lt;&gt;"",SUMPRODUCT(($F$2:F522&lt;&gt;"")*1),"")</f>
        <v/>
      </c>
    </row>
    <row r="523" spans="1:7" ht="21.95" customHeight="1">
      <c r="A523" s="11"/>
      <c r="B523" s="11"/>
      <c r="C523" s="12"/>
      <c r="D523" s="17" t="str">
        <f>IFERROR(INDEX(المواد!$B$2:$B$320,MATCH(B523,المواد!$A$2:$A$320,0)),"")</f>
        <v/>
      </c>
      <c r="E523" s="11"/>
      <c r="F523" t="str">
        <f>IF(AND($A523&lt;&gt;"",COUNTIF($A$2:A523,$A523)=1),$A523,"")</f>
        <v/>
      </c>
      <c r="G523" t="str">
        <f>IF($F523&lt;&gt;"",SUMPRODUCT(($F$2:F523&lt;&gt;"")*1),"")</f>
        <v/>
      </c>
    </row>
    <row r="524" spans="1:7" ht="21.95" customHeight="1">
      <c r="A524" s="11"/>
      <c r="B524" s="11"/>
      <c r="C524" s="12"/>
      <c r="D524" s="17" t="str">
        <f>IFERROR(INDEX(المواد!$B$2:$B$320,MATCH(B524,المواد!$A$2:$A$320,0)),"")</f>
        <v/>
      </c>
      <c r="E524" s="11"/>
      <c r="F524" t="str">
        <f>IF(AND($A524&lt;&gt;"",COUNTIF($A$2:A524,$A524)=1),$A524,"")</f>
        <v/>
      </c>
      <c r="G524" t="str">
        <f>IF($F524&lt;&gt;"",SUMPRODUCT(($F$2:F524&lt;&gt;"")*1),"")</f>
        <v/>
      </c>
    </row>
    <row r="525" spans="1:7" ht="21.95" customHeight="1">
      <c r="A525" s="11"/>
      <c r="B525" s="11"/>
      <c r="C525" s="12"/>
      <c r="D525" s="17" t="str">
        <f>IFERROR(INDEX(المواد!$B$2:$B$320,MATCH(B525,المواد!$A$2:$A$320,0)),"")</f>
        <v/>
      </c>
      <c r="E525" s="11"/>
      <c r="F525" t="str">
        <f>IF(AND($A525&lt;&gt;"",COUNTIF($A$2:A525,$A525)=1),$A525,"")</f>
        <v/>
      </c>
      <c r="G525" t="str">
        <f>IF($F525&lt;&gt;"",SUMPRODUCT(($F$2:F525&lt;&gt;"")*1),"")</f>
        <v/>
      </c>
    </row>
    <row r="526" spans="1:7" ht="21.95" customHeight="1">
      <c r="A526" s="11"/>
      <c r="B526" s="11"/>
      <c r="C526" s="12"/>
      <c r="D526" s="17" t="str">
        <f>IFERROR(INDEX(المواد!$B$2:$B$320,MATCH(B526,المواد!$A$2:$A$320,0)),"")</f>
        <v/>
      </c>
      <c r="E526" s="11"/>
      <c r="F526" t="str">
        <f>IF(AND($A526&lt;&gt;"",COUNTIF($A$2:A526,$A526)=1),$A526,"")</f>
        <v/>
      </c>
      <c r="G526" t="str">
        <f>IF($F526&lt;&gt;"",SUMPRODUCT(($F$2:F526&lt;&gt;"")*1),"")</f>
        <v/>
      </c>
    </row>
    <row r="527" spans="1:7" ht="21.95" customHeight="1">
      <c r="A527" s="11"/>
      <c r="B527" s="11"/>
      <c r="C527" s="12"/>
      <c r="D527" s="17" t="str">
        <f>IFERROR(INDEX(المواد!$B$2:$B$320,MATCH(B527,المواد!$A$2:$A$320,0)),"")</f>
        <v/>
      </c>
      <c r="E527" s="11"/>
      <c r="F527" t="str">
        <f>IF(AND($A527&lt;&gt;"",COUNTIF($A$2:A527,$A527)=1),$A527,"")</f>
        <v/>
      </c>
      <c r="G527" t="str">
        <f>IF($F527&lt;&gt;"",SUMPRODUCT(($F$2:F527&lt;&gt;"")*1),"")</f>
        <v/>
      </c>
    </row>
    <row r="528" spans="1:7" ht="21.95" customHeight="1">
      <c r="A528" s="11"/>
      <c r="B528" s="11"/>
      <c r="C528" s="12"/>
      <c r="D528" s="17" t="str">
        <f>IFERROR(INDEX(المواد!$B$2:$B$320,MATCH(B528,المواد!$A$2:$A$320,0)),"")</f>
        <v/>
      </c>
      <c r="E528" s="11"/>
      <c r="F528" t="str">
        <f>IF(AND($A528&lt;&gt;"",COUNTIF($A$2:A528,$A528)=1),$A528,"")</f>
        <v/>
      </c>
      <c r="G528" t="str">
        <f>IF($F528&lt;&gt;"",SUMPRODUCT(($F$2:F528&lt;&gt;"")*1),"")</f>
        <v/>
      </c>
    </row>
    <row r="529" spans="1:7" ht="21.95" customHeight="1">
      <c r="A529" s="11"/>
      <c r="B529" s="11"/>
      <c r="C529" s="12"/>
      <c r="D529" s="17" t="str">
        <f>IFERROR(INDEX(المواد!$B$2:$B$320,MATCH(B529,المواد!$A$2:$A$320,0)),"")</f>
        <v/>
      </c>
      <c r="E529" s="11"/>
      <c r="F529" t="str">
        <f>IF(AND($A529&lt;&gt;"",COUNTIF($A$2:A529,$A529)=1),$A529,"")</f>
        <v/>
      </c>
      <c r="G529" t="str">
        <f>IF($F529&lt;&gt;"",SUMPRODUCT(($F$2:F529&lt;&gt;"")*1),"")</f>
        <v/>
      </c>
    </row>
    <row r="530" spans="1:7" ht="21.95" customHeight="1">
      <c r="A530" s="11"/>
      <c r="B530" s="11"/>
      <c r="C530" s="12"/>
      <c r="D530" s="17" t="str">
        <f>IFERROR(INDEX(المواد!$B$2:$B$320,MATCH(B530,المواد!$A$2:$A$320,0)),"")</f>
        <v/>
      </c>
      <c r="E530" s="11"/>
      <c r="F530" t="str">
        <f>IF(AND($A530&lt;&gt;"",COUNTIF($A$2:A530,$A530)=1),$A530,"")</f>
        <v/>
      </c>
      <c r="G530" t="str">
        <f>IF($F530&lt;&gt;"",SUMPRODUCT(($F$2:F530&lt;&gt;"")*1),"")</f>
        <v/>
      </c>
    </row>
    <row r="531" spans="1:7" ht="21.95" customHeight="1">
      <c r="A531" s="11"/>
      <c r="B531" s="11"/>
      <c r="C531" s="12"/>
      <c r="D531" s="17" t="str">
        <f>IFERROR(INDEX(المواد!$B$2:$B$320,MATCH(B531,المواد!$A$2:$A$320,0)),"")</f>
        <v/>
      </c>
      <c r="E531" s="11"/>
      <c r="F531" t="str">
        <f>IF(AND($A531&lt;&gt;"",COUNTIF($A$2:A531,$A531)=1),$A531,"")</f>
        <v/>
      </c>
      <c r="G531" t="str">
        <f>IF($F531&lt;&gt;"",SUMPRODUCT(($F$2:F531&lt;&gt;"")*1),"")</f>
        <v/>
      </c>
    </row>
    <row r="532" spans="1:7" ht="21.95" customHeight="1">
      <c r="A532" s="11"/>
      <c r="B532" s="11"/>
      <c r="C532" s="12"/>
      <c r="D532" s="17" t="str">
        <f>IFERROR(INDEX(المواد!$B$2:$B$320,MATCH(B532,المواد!$A$2:$A$320,0)),"")</f>
        <v/>
      </c>
      <c r="E532" s="11"/>
      <c r="F532" t="str">
        <f>IF(AND($A532&lt;&gt;"",COUNTIF($A$2:A532,$A532)=1),$A532,"")</f>
        <v/>
      </c>
      <c r="G532" t="str">
        <f>IF($F532&lt;&gt;"",SUMPRODUCT(($F$2:F532&lt;&gt;"")*1),"")</f>
        <v/>
      </c>
    </row>
    <row r="533" spans="1:7" ht="21.95" customHeight="1">
      <c r="A533" s="11"/>
      <c r="B533" s="11"/>
      <c r="C533" s="12"/>
      <c r="D533" s="17" t="str">
        <f>IFERROR(INDEX(المواد!$B$2:$B$320,MATCH(B533,المواد!$A$2:$A$320,0)),"")</f>
        <v/>
      </c>
      <c r="E533" s="11"/>
      <c r="F533" t="str">
        <f>IF(AND($A533&lt;&gt;"",COUNTIF($A$2:A533,$A533)=1),$A533,"")</f>
        <v/>
      </c>
      <c r="G533" t="str">
        <f>IF($F533&lt;&gt;"",SUMPRODUCT(($F$2:F533&lt;&gt;"")*1),"")</f>
        <v/>
      </c>
    </row>
    <row r="534" spans="1:7" ht="21.95" customHeight="1">
      <c r="A534" s="11"/>
      <c r="B534" s="11"/>
      <c r="C534" s="12"/>
      <c r="D534" s="17" t="str">
        <f>IFERROR(INDEX(المواد!$B$2:$B$320,MATCH(B534,المواد!$A$2:$A$320,0)),"")</f>
        <v/>
      </c>
      <c r="E534" s="11"/>
      <c r="F534" t="str">
        <f>IF(AND($A534&lt;&gt;"",COUNTIF($A$2:A534,$A534)=1),$A534,"")</f>
        <v/>
      </c>
      <c r="G534" t="str">
        <f>IF($F534&lt;&gt;"",SUMPRODUCT(($F$2:F534&lt;&gt;"")*1),"")</f>
        <v/>
      </c>
    </row>
    <row r="535" spans="1:7" ht="21.95" customHeight="1">
      <c r="A535" s="11"/>
      <c r="B535" s="11"/>
      <c r="C535" s="12"/>
      <c r="D535" s="17" t="str">
        <f>IFERROR(INDEX(المواد!$B$2:$B$320,MATCH(B535,المواد!$A$2:$A$320,0)),"")</f>
        <v/>
      </c>
      <c r="E535" s="11"/>
      <c r="F535" t="str">
        <f>IF(AND($A535&lt;&gt;"",COUNTIF($A$2:A535,$A535)=1),$A535,"")</f>
        <v/>
      </c>
      <c r="G535" t="str">
        <f>IF($F535&lt;&gt;"",SUMPRODUCT(($F$2:F535&lt;&gt;"")*1),"")</f>
        <v/>
      </c>
    </row>
    <row r="536" spans="1:7" ht="21.95" customHeight="1">
      <c r="A536" s="11"/>
      <c r="B536" s="11"/>
      <c r="C536" s="12"/>
      <c r="D536" s="17" t="str">
        <f>IFERROR(INDEX(المواد!$B$2:$B$320,MATCH(B536,المواد!$A$2:$A$320,0)),"")</f>
        <v/>
      </c>
      <c r="E536" s="11"/>
      <c r="F536" t="str">
        <f>IF(AND($A536&lt;&gt;"",COUNTIF($A$2:A536,$A536)=1),$A536,"")</f>
        <v/>
      </c>
      <c r="G536" t="str">
        <f>IF($F536&lt;&gt;"",SUMPRODUCT(($F$2:F536&lt;&gt;"")*1),"")</f>
        <v/>
      </c>
    </row>
    <row r="537" spans="1:7" ht="21.95" customHeight="1">
      <c r="A537" s="11"/>
      <c r="B537" s="11"/>
      <c r="C537" s="12"/>
      <c r="D537" s="17" t="str">
        <f>IFERROR(INDEX(المواد!$B$2:$B$320,MATCH(B537,المواد!$A$2:$A$320,0)),"")</f>
        <v/>
      </c>
      <c r="E537" s="11"/>
      <c r="F537" t="str">
        <f>IF(AND($A537&lt;&gt;"",COUNTIF($A$2:A537,$A537)=1),$A537,"")</f>
        <v/>
      </c>
      <c r="G537" t="str">
        <f>IF($F537&lt;&gt;"",SUMPRODUCT(($F$2:F537&lt;&gt;"")*1),"")</f>
        <v/>
      </c>
    </row>
    <row r="538" spans="1:7" ht="21.95" customHeight="1">
      <c r="A538" s="11"/>
      <c r="B538" s="11"/>
      <c r="C538" s="12"/>
      <c r="D538" s="17" t="str">
        <f>IFERROR(INDEX(المواد!$B$2:$B$320,MATCH(B538,المواد!$A$2:$A$320,0)),"")</f>
        <v/>
      </c>
      <c r="E538" s="11"/>
      <c r="F538" t="str">
        <f>IF(AND($A538&lt;&gt;"",COUNTIF($A$2:A538,$A538)=1),$A538,"")</f>
        <v/>
      </c>
      <c r="G538" t="str">
        <f>IF($F538&lt;&gt;"",SUMPRODUCT(($F$2:F538&lt;&gt;"")*1),"")</f>
        <v/>
      </c>
    </row>
    <row r="539" spans="1:7" ht="21.95" customHeight="1">
      <c r="A539" s="11"/>
      <c r="B539" s="11"/>
      <c r="C539" s="12"/>
      <c r="D539" s="17" t="str">
        <f>IFERROR(INDEX(المواد!$B$2:$B$320,MATCH(B539,المواد!$A$2:$A$320,0)),"")</f>
        <v/>
      </c>
      <c r="E539" s="11"/>
      <c r="F539" t="str">
        <f>IF(AND($A539&lt;&gt;"",COUNTIF($A$2:A539,$A539)=1),$A539,"")</f>
        <v/>
      </c>
      <c r="G539" t="str">
        <f>IF($F539&lt;&gt;"",SUMPRODUCT(($F$2:F539&lt;&gt;"")*1),"")</f>
        <v/>
      </c>
    </row>
    <row r="540" spans="1:7" ht="21.95" customHeight="1">
      <c r="A540" s="11"/>
      <c r="B540" s="11"/>
      <c r="C540" s="12"/>
      <c r="D540" s="17" t="str">
        <f>IFERROR(INDEX(المواد!$B$2:$B$320,MATCH(B540,المواد!$A$2:$A$320,0)),"")</f>
        <v/>
      </c>
      <c r="E540" s="11"/>
      <c r="F540" t="str">
        <f>IF(AND($A540&lt;&gt;"",COUNTIF($A$2:A540,$A540)=1),$A540,"")</f>
        <v/>
      </c>
      <c r="G540" t="str">
        <f>IF($F540&lt;&gt;"",SUMPRODUCT(($F$2:F540&lt;&gt;"")*1),"")</f>
        <v/>
      </c>
    </row>
    <row r="541" spans="1:7" ht="21.95" customHeight="1">
      <c r="A541" s="11"/>
      <c r="B541" s="11"/>
      <c r="C541" s="12"/>
      <c r="D541" s="17" t="str">
        <f>IFERROR(INDEX(المواد!$B$2:$B$320,MATCH(B541,المواد!$A$2:$A$320,0)),"")</f>
        <v/>
      </c>
      <c r="E541" s="11"/>
      <c r="F541" t="str">
        <f>IF(AND($A541&lt;&gt;"",COUNTIF($A$2:A541,$A541)=1),$A541,"")</f>
        <v/>
      </c>
      <c r="G541" t="str">
        <f>IF($F541&lt;&gt;"",SUMPRODUCT(($F$2:F541&lt;&gt;"")*1),"")</f>
        <v/>
      </c>
    </row>
    <row r="542" spans="1:7" ht="21.95" customHeight="1">
      <c r="A542" s="11"/>
      <c r="B542" s="11"/>
      <c r="C542" s="12"/>
      <c r="D542" s="17" t="str">
        <f>IFERROR(INDEX(المواد!$B$2:$B$320,MATCH(B542,المواد!$A$2:$A$320,0)),"")</f>
        <v/>
      </c>
      <c r="E542" s="11"/>
      <c r="F542" t="str">
        <f>IF(AND($A542&lt;&gt;"",COUNTIF($A$2:A542,$A542)=1),$A542,"")</f>
        <v/>
      </c>
      <c r="G542" t="str">
        <f>IF($F542&lt;&gt;"",SUMPRODUCT(($F$2:F542&lt;&gt;"")*1),"")</f>
        <v/>
      </c>
    </row>
    <row r="543" spans="1:7" ht="21.95" customHeight="1">
      <c r="A543" s="11"/>
      <c r="B543" s="11"/>
      <c r="C543" s="12"/>
      <c r="D543" s="17" t="str">
        <f>IFERROR(INDEX(المواد!$B$2:$B$320,MATCH(B543,المواد!$A$2:$A$320,0)),"")</f>
        <v/>
      </c>
      <c r="E543" s="11"/>
      <c r="F543" t="str">
        <f>IF(AND($A543&lt;&gt;"",COUNTIF($A$2:A543,$A543)=1),$A543,"")</f>
        <v/>
      </c>
      <c r="G543" t="str">
        <f>IF($F543&lt;&gt;"",SUMPRODUCT(($F$2:F543&lt;&gt;"")*1),"")</f>
        <v/>
      </c>
    </row>
    <row r="544" spans="1:7" ht="21.95" customHeight="1">
      <c r="A544" s="11"/>
      <c r="B544" s="11"/>
      <c r="C544" s="12"/>
      <c r="D544" s="17" t="str">
        <f>IFERROR(INDEX(المواد!$B$2:$B$320,MATCH(B544,المواد!$A$2:$A$320,0)),"")</f>
        <v/>
      </c>
      <c r="E544" s="11"/>
      <c r="F544" t="str">
        <f>IF(AND($A544&lt;&gt;"",COUNTIF($A$2:A544,$A544)=1),$A544,"")</f>
        <v/>
      </c>
      <c r="G544" t="str">
        <f>IF($F544&lt;&gt;"",SUMPRODUCT(($F$2:F544&lt;&gt;"")*1),"")</f>
        <v/>
      </c>
    </row>
    <row r="545" spans="1:7" ht="21.95" customHeight="1">
      <c r="A545" s="11"/>
      <c r="B545" s="11"/>
      <c r="C545" s="12"/>
      <c r="D545" s="17" t="str">
        <f>IFERROR(INDEX(المواد!$B$2:$B$320,MATCH(B545,المواد!$A$2:$A$320,0)),"")</f>
        <v/>
      </c>
      <c r="E545" s="11"/>
      <c r="F545" t="str">
        <f>IF(AND($A545&lt;&gt;"",COUNTIF($A$2:A545,$A545)=1),$A545,"")</f>
        <v/>
      </c>
      <c r="G545" t="str">
        <f>IF($F545&lt;&gt;"",SUMPRODUCT(($F$2:F545&lt;&gt;"")*1),"")</f>
        <v/>
      </c>
    </row>
    <row r="546" spans="1:7" ht="21.95" customHeight="1">
      <c r="A546" s="11"/>
      <c r="B546" s="11"/>
      <c r="C546" s="12"/>
      <c r="D546" s="17" t="str">
        <f>IFERROR(INDEX(المواد!$B$2:$B$320,MATCH(B546,المواد!$A$2:$A$320,0)),"")</f>
        <v/>
      </c>
      <c r="E546" s="11"/>
      <c r="F546" t="str">
        <f>IF(AND($A546&lt;&gt;"",COUNTIF($A$2:A546,$A546)=1),$A546,"")</f>
        <v/>
      </c>
      <c r="G546" t="str">
        <f>IF($F546&lt;&gt;"",SUMPRODUCT(($F$2:F546&lt;&gt;"")*1),"")</f>
        <v/>
      </c>
    </row>
    <row r="547" spans="1:7" ht="21.95" customHeight="1">
      <c r="A547" s="11"/>
      <c r="B547" s="11"/>
      <c r="C547" s="12"/>
      <c r="D547" s="17" t="str">
        <f>IFERROR(INDEX(المواد!$B$2:$B$320,MATCH(B547,المواد!$A$2:$A$320,0)),"")</f>
        <v/>
      </c>
      <c r="E547" s="11"/>
      <c r="F547" t="str">
        <f>IF(AND($A547&lt;&gt;"",COUNTIF($A$2:A547,$A547)=1),$A547,"")</f>
        <v/>
      </c>
      <c r="G547" t="str">
        <f>IF($F547&lt;&gt;"",SUMPRODUCT(($F$2:F547&lt;&gt;"")*1),"")</f>
        <v/>
      </c>
    </row>
    <row r="548" spans="1:7" ht="21.95" customHeight="1">
      <c r="A548" s="11"/>
      <c r="B548" s="11"/>
      <c r="C548" s="12"/>
      <c r="D548" s="17" t="str">
        <f>IFERROR(INDEX(المواد!$B$2:$B$320,MATCH(B548,المواد!$A$2:$A$320,0)),"")</f>
        <v/>
      </c>
      <c r="E548" s="11"/>
      <c r="F548" t="str">
        <f>IF(AND($A548&lt;&gt;"",COUNTIF($A$2:A548,$A548)=1),$A548,"")</f>
        <v/>
      </c>
      <c r="G548" t="str">
        <f>IF($F548&lt;&gt;"",SUMPRODUCT(($F$2:F548&lt;&gt;"")*1),"")</f>
        <v/>
      </c>
    </row>
    <row r="549" spans="1:7" ht="21.95" customHeight="1">
      <c r="A549" s="11"/>
      <c r="B549" s="11"/>
      <c r="C549" s="12"/>
      <c r="D549" s="17" t="str">
        <f>IFERROR(INDEX(المواد!$B$2:$B$320,MATCH(B549,المواد!$A$2:$A$320,0)),"")</f>
        <v/>
      </c>
      <c r="E549" s="11"/>
      <c r="F549" t="str">
        <f>IF(AND($A549&lt;&gt;"",COUNTIF($A$2:A549,$A549)=1),$A549,"")</f>
        <v/>
      </c>
      <c r="G549" t="str">
        <f>IF($F549&lt;&gt;"",SUMPRODUCT(($F$2:F549&lt;&gt;"")*1),"")</f>
        <v/>
      </c>
    </row>
    <row r="550" spans="1:7" ht="21.95" customHeight="1">
      <c r="A550" s="11"/>
      <c r="B550" s="11"/>
      <c r="C550" s="12"/>
      <c r="D550" s="17" t="str">
        <f>IFERROR(INDEX(المواد!$B$2:$B$320,MATCH(B550,المواد!$A$2:$A$320,0)),"")</f>
        <v/>
      </c>
      <c r="E550" s="11"/>
      <c r="F550" t="str">
        <f>IF(AND($A550&lt;&gt;"",COUNTIF($A$2:A550,$A550)=1),$A550,"")</f>
        <v/>
      </c>
      <c r="G550" t="str">
        <f>IF($F550&lt;&gt;"",SUMPRODUCT(($F$2:F550&lt;&gt;"")*1),"")</f>
        <v/>
      </c>
    </row>
    <row r="551" spans="1:7" ht="21.95" customHeight="1">
      <c r="A551" s="11"/>
      <c r="B551" s="11"/>
      <c r="C551" s="12"/>
      <c r="D551" s="17" t="str">
        <f>IFERROR(INDEX(المواد!$B$2:$B$320,MATCH(B551,المواد!$A$2:$A$320,0)),"")</f>
        <v/>
      </c>
      <c r="E551" s="11"/>
      <c r="F551" t="str">
        <f>IF(AND($A551&lt;&gt;"",COUNTIF($A$2:A551,$A551)=1),$A551,"")</f>
        <v/>
      </c>
      <c r="G551" t="str">
        <f>IF($F551&lt;&gt;"",SUMPRODUCT(($F$2:F551&lt;&gt;"")*1),"")</f>
        <v/>
      </c>
    </row>
    <row r="552" spans="1:7" ht="21.95" customHeight="1">
      <c r="A552" s="11"/>
      <c r="B552" s="11"/>
      <c r="C552" s="12"/>
      <c r="D552" s="17" t="str">
        <f>IFERROR(INDEX(المواد!$B$2:$B$320,MATCH(B552,المواد!$A$2:$A$320,0)),"")</f>
        <v/>
      </c>
      <c r="E552" s="11"/>
      <c r="F552" t="str">
        <f>IF(AND($A552&lt;&gt;"",COUNTIF($A$2:A552,$A552)=1),$A552,"")</f>
        <v/>
      </c>
      <c r="G552" t="str">
        <f>IF($F552&lt;&gt;"",SUMPRODUCT(($F$2:F552&lt;&gt;"")*1),"")</f>
        <v/>
      </c>
    </row>
    <row r="553" spans="1:7" ht="21.95" customHeight="1">
      <c r="A553" s="11"/>
      <c r="B553" s="11"/>
      <c r="C553" s="12"/>
      <c r="D553" s="17" t="str">
        <f>IFERROR(INDEX(المواد!$B$2:$B$320,MATCH(B553,المواد!$A$2:$A$320,0)),"")</f>
        <v/>
      </c>
      <c r="E553" s="11"/>
      <c r="F553" t="str">
        <f>IF(AND($A553&lt;&gt;"",COUNTIF($A$2:A553,$A553)=1),$A553,"")</f>
        <v/>
      </c>
      <c r="G553" t="str">
        <f>IF($F553&lt;&gt;"",SUMPRODUCT(($F$2:F553&lt;&gt;"")*1),"")</f>
        <v/>
      </c>
    </row>
    <row r="554" spans="1:7" ht="21.95" customHeight="1">
      <c r="A554" s="11"/>
      <c r="B554" s="11"/>
      <c r="C554" s="12"/>
      <c r="D554" s="17" t="str">
        <f>IFERROR(INDEX(المواد!$B$2:$B$320,MATCH(B554,المواد!$A$2:$A$320,0)),"")</f>
        <v/>
      </c>
      <c r="E554" s="11"/>
      <c r="F554" t="str">
        <f>IF(AND($A554&lt;&gt;"",COUNTIF($A$2:A554,$A554)=1),$A554,"")</f>
        <v/>
      </c>
      <c r="G554" t="str">
        <f>IF($F554&lt;&gt;"",SUMPRODUCT(($F$2:F554&lt;&gt;"")*1),"")</f>
        <v/>
      </c>
    </row>
    <row r="555" spans="1:7" ht="21.95" customHeight="1">
      <c r="A555" s="11"/>
      <c r="B555" s="11"/>
      <c r="C555" s="12"/>
      <c r="D555" s="17" t="str">
        <f>IFERROR(INDEX(المواد!$B$2:$B$320,MATCH(B555,المواد!$A$2:$A$320,0)),"")</f>
        <v/>
      </c>
      <c r="E555" s="11"/>
      <c r="F555" t="str">
        <f>IF(AND($A555&lt;&gt;"",COUNTIF($A$2:A555,$A555)=1),$A555,"")</f>
        <v/>
      </c>
      <c r="G555" t="str">
        <f>IF($F555&lt;&gt;"",SUMPRODUCT(($F$2:F555&lt;&gt;"")*1),"")</f>
        <v/>
      </c>
    </row>
    <row r="556" spans="1:7" ht="21.95" customHeight="1">
      <c r="A556" s="11"/>
      <c r="B556" s="11"/>
      <c r="C556" s="12"/>
      <c r="D556" s="17" t="str">
        <f>IFERROR(INDEX(المواد!$B$2:$B$320,MATCH(B556,المواد!$A$2:$A$320,0)),"")</f>
        <v/>
      </c>
      <c r="E556" s="11"/>
      <c r="F556" t="str">
        <f>IF(AND($A556&lt;&gt;"",COUNTIF($A$2:A556,$A556)=1),$A556,"")</f>
        <v/>
      </c>
      <c r="G556" t="str">
        <f>IF($F556&lt;&gt;"",SUMPRODUCT(($F$2:F556&lt;&gt;"")*1),"")</f>
        <v/>
      </c>
    </row>
    <row r="557" spans="1:7" ht="21.95" customHeight="1">
      <c r="A557" s="11"/>
      <c r="B557" s="11"/>
      <c r="C557" s="12"/>
      <c r="D557" s="17" t="str">
        <f>IFERROR(INDEX(المواد!$B$2:$B$320,MATCH(B557,المواد!$A$2:$A$320,0)),"")</f>
        <v/>
      </c>
      <c r="E557" s="11"/>
      <c r="F557" t="str">
        <f>IF(AND($A557&lt;&gt;"",COUNTIF($A$2:A557,$A557)=1),$A557,"")</f>
        <v/>
      </c>
      <c r="G557" t="str">
        <f>IF($F557&lt;&gt;"",SUMPRODUCT(($F$2:F557&lt;&gt;"")*1),"")</f>
        <v/>
      </c>
    </row>
    <row r="558" spans="1:7" ht="21.95" customHeight="1">
      <c r="A558" s="11"/>
      <c r="B558" s="11"/>
      <c r="C558" s="12"/>
      <c r="D558" s="17" t="str">
        <f>IFERROR(INDEX(المواد!$B$2:$B$320,MATCH(B558,المواد!$A$2:$A$320,0)),"")</f>
        <v/>
      </c>
      <c r="E558" s="11"/>
      <c r="F558" t="str">
        <f>IF(AND($A558&lt;&gt;"",COUNTIF($A$2:A558,$A558)=1),$A558,"")</f>
        <v/>
      </c>
      <c r="G558" t="str">
        <f>IF($F558&lt;&gt;"",SUMPRODUCT(($F$2:F558&lt;&gt;"")*1),"")</f>
        <v/>
      </c>
    </row>
    <row r="559" spans="1:7" ht="21.95" customHeight="1">
      <c r="A559" s="11"/>
      <c r="B559" s="11"/>
      <c r="C559" s="12"/>
      <c r="D559" s="17" t="str">
        <f>IFERROR(INDEX(المواد!$B$2:$B$320,MATCH(B559,المواد!$A$2:$A$320,0)),"")</f>
        <v/>
      </c>
      <c r="E559" s="11"/>
      <c r="F559" t="str">
        <f>IF(AND($A559&lt;&gt;"",COUNTIF($A$2:A559,$A559)=1),$A559,"")</f>
        <v/>
      </c>
      <c r="G559" t="str">
        <f>IF($F559&lt;&gt;"",SUMPRODUCT(($F$2:F559&lt;&gt;"")*1),"")</f>
        <v/>
      </c>
    </row>
    <row r="560" spans="1:7" ht="21.95" customHeight="1">
      <c r="A560" s="11"/>
      <c r="B560" s="11"/>
      <c r="C560" s="12"/>
      <c r="D560" s="17" t="str">
        <f>IFERROR(INDEX(المواد!$B$2:$B$320,MATCH(B560,المواد!$A$2:$A$320,0)),"")</f>
        <v/>
      </c>
      <c r="E560" s="11"/>
      <c r="F560" t="str">
        <f>IF(AND($A560&lt;&gt;"",COUNTIF($A$2:A560,$A560)=1),$A560,"")</f>
        <v/>
      </c>
      <c r="G560" t="str">
        <f>IF($F560&lt;&gt;"",SUMPRODUCT(($F$2:F560&lt;&gt;"")*1),"")</f>
        <v/>
      </c>
    </row>
    <row r="561" spans="1:7" ht="21.95" customHeight="1">
      <c r="A561" s="11"/>
      <c r="B561" s="11"/>
      <c r="C561" s="12"/>
      <c r="D561" s="17" t="str">
        <f>IFERROR(INDEX(المواد!$B$2:$B$320,MATCH(B561,المواد!$A$2:$A$320,0)),"")</f>
        <v/>
      </c>
      <c r="E561" s="11"/>
      <c r="F561" t="str">
        <f>IF(AND($A561&lt;&gt;"",COUNTIF($A$2:A561,$A561)=1),$A561,"")</f>
        <v/>
      </c>
      <c r="G561" t="str">
        <f>IF($F561&lt;&gt;"",SUMPRODUCT(($F$2:F561&lt;&gt;"")*1),"")</f>
        <v/>
      </c>
    </row>
    <row r="562" spans="1:7" ht="21.95" customHeight="1">
      <c r="A562" s="11"/>
      <c r="B562" s="11"/>
      <c r="C562" s="12"/>
      <c r="D562" s="17" t="str">
        <f>IFERROR(INDEX(المواد!$B$2:$B$320,MATCH(B562,المواد!$A$2:$A$320,0)),"")</f>
        <v/>
      </c>
      <c r="E562" s="11"/>
      <c r="F562" t="str">
        <f>IF(AND($A562&lt;&gt;"",COUNTIF($A$2:A562,$A562)=1),$A562,"")</f>
        <v/>
      </c>
      <c r="G562" t="str">
        <f>IF($F562&lt;&gt;"",SUMPRODUCT(($F$2:F562&lt;&gt;"")*1),"")</f>
        <v/>
      </c>
    </row>
    <row r="563" spans="1:7" ht="21.95" customHeight="1">
      <c r="A563" s="11"/>
      <c r="B563" s="11"/>
      <c r="C563" s="12"/>
      <c r="D563" s="17" t="str">
        <f>IFERROR(INDEX(المواد!$B$2:$B$320,MATCH(B563,المواد!$A$2:$A$320,0)),"")</f>
        <v/>
      </c>
      <c r="E563" s="11"/>
      <c r="F563" t="str">
        <f>IF(AND($A563&lt;&gt;"",COUNTIF($A$2:A563,$A563)=1),$A563,"")</f>
        <v/>
      </c>
      <c r="G563" t="str">
        <f>IF($F563&lt;&gt;"",SUMPRODUCT(($F$2:F563&lt;&gt;"")*1),"")</f>
        <v/>
      </c>
    </row>
    <row r="564" spans="1:7" ht="21.95" customHeight="1">
      <c r="A564" s="11"/>
      <c r="B564" s="11"/>
      <c r="C564" s="12"/>
      <c r="D564" s="17" t="str">
        <f>IFERROR(INDEX(المواد!$B$2:$B$320,MATCH(B564,المواد!$A$2:$A$320,0)),"")</f>
        <v/>
      </c>
      <c r="E564" s="11"/>
      <c r="F564" t="str">
        <f>IF(AND($A564&lt;&gt;"",COUNTIF($A$2:A564,$A564)=1),$A564,"")</f>
        <v/>
      </c>
      <c r="G564" t="str">
        <f>IF($F564&lt;&gt;"",SUMPRODUCT(($F$2:F564&lt;&gt;"")*1),"")</f>
        <v/>
      </c>
    </row>
    <row r="565" spans="1:7" ht="21.95" customHeight="1">
      <c r="A565" s="11"/>
      <c r="B565" s="11"/>
      <c r="C565" s="12"/>
      <c r="D565" s="17" t="str">
        <f>IFERROR(INDEX(المواد!$B$2:$B$320,MATCH(B565,المواد!$A$2:$A$320,0)),"")</f>
        <v/>
      </c>
      <c r="E565" s="11"/>
      <c r="F565" t="str">
        <f>IF(AND($A565&lt;&gt;"",COUNTIF($A$2:A565,$A565)=1),$A565,"")</f>
        <v/>
      </c>
      <c r="G565" t="str">
        <f>IF($F565&lt;&gt;"",SUMPRODUCT(($F$2:F565&lt;&gt;"")*1),"")</f>
        <v/>
      </c>
    </row>
    <row r="566" spans="1:7" ht="21.95" customHeight="1">
      <c r="A566" s="11"/>
      <c r="B566" s="11"/>
      <c r="C566" s="12"/>
      <c r="D566" s="17" t="str">
        <f>IFERROR(INDEX(المواد!$B$2:$B$320,MATCH(B566,المواد!$A$2:$A$320,0)),"")</f>
        <v/>
      </c>
      <c r="E566" s="11"/>
      <c r="F566" t="str">
        <f>IF(AND($A566&lt;&gt;"",COUNTIF($A$2:A566,$A566)=1),$A566,"")</f>
        <v/>
      </c>
      <c r="G566" t="str">
        <f>IF($F566&lt;&gt;"",SUMPRODUCT(($F$2:F566&lt;&gt;"")*1),"")</f>
        <v/>
      </c>
    </row>
    <row r="567" spans="1:7" ht="21.95" customHeight="1">
      <c r="A567" s="11"/>
      <c r="B567" s="11"/>
      <c r="C567" s="12"/>
      <c r="D567" s="17" t="str">
        <f>IFERROR(INDEX(المواد!$B$2:$B$320,MATCH(B567,المواد!$A$2:$A$320,0)),"")</f>
        <v/>
      </c>
      <c r="E567" s="11"/>
      <c r="F567" t="str">
        <f>IF(AND($A567&lt;&gt;"",COUNTIF($A$2:A567,$A567)=1),$A567,"")</f>
        <v/>
      </c>
      <c r="G567" t="str">
        <f>IF($F567&lt;&gt;"",SUMPRODUCT(($F$2:F567&lt;&gt;"")*1),"")</f>
        <v/>
      </c>
    </row>
    <row r="568" spans="1:7" ht="21.95" customHeight="1">
      <c r="A568" s="11"/>
      <c r="B568" s="11"/>
      <c r="C568" s="12"/>
      <c r="D568" s="17" t="str">
        <f>IFERROR(INDEX(المواد!$B$2:$B$320,MATCH(B568,المواد!$A$2:$A$320,0)),"")</f>
        <v/>
      </c>
      <c r="E568" s="11"/>
      <c r="F568" t="str">
        <f>IF(AND($A568&lt;&gt;"",COUNTIF($A$2:A568,$A568)=1),$A568,"")</f>
        <v/>
      </c>
      <c r="G568" t="str">
        <f>IF($F568&lt;&gt;"",SUMPRODUCT(($F$2:F568&lt;&gt;"")*1),"")</f>
        <v/>
      </c>
    </row>
    <row r="569" spans="1:7" ht="21.95" customHeight="1">
      <c r="A569" s="11"/>
      <c r="B569" s="11"/>
      <c r="C569" s="12"/>
      <c r="D569" s="17" t="str">
        <f>IFERROR(INDEX(المواد!$B$2:$B$320,MATCH(B569,المواد!$A$2:$A$320,0)),"")</f>
        <v/>
      </c>
      <c r="E569" s="11"/>
      <c r="F569" t="str">
        <f>IF(AND($A569&lt;&gt;"",COUNTIF($A$2:A569,$A569)=1),$A569,"")</f>
        <v/>
      </c>
      <c r="G569" t="str">
        <f>IF($F569&lt;&gt;"",SUMPRODUCT(($F$2:F569&lt;&gt;"")*1),"")</f>
        <v/>
      </c>
    </row>
    <row r="570" spans="1:7" ht="21.95" customHeight="1">
      <c r="A570" s="11"/>
      <c r="B570" s="11"/>
      <c r="C570" s="12"/>
      <c r="D570" s="17" t="str">
        <f>IFERROR(INDEX(المواد!$B$2:$B$320,MATCH(B570,المواد!$A$2:$A$320,0)),"")</f>
        <v/>
      </c>
      <c r="E570" s="11"/>
      <c r="F570" t="str">
        <f>IF(AND($A570&lt;&gt;"",COUNTIF($A$2:A570,$A570)=1),$A570,"")</f>
        <v/>
      </c>
      <c r="G570" t="str">
        <f>IF($F570&lt;&gt;"",SUMPRODUCT(($F$2:F570&lt;&gt;"")*1),"")</f>
        <v/>
      </c>
    </row>
    <row r="571" spans="1:7" ht="21.95" customHeight="1">
      <c r="A571" s="11"/>
      <c r="B571" s="11"/>
      <c r="C571" s="12"/>
      <c r="D571" s="17" t="str">
        <f>IFERROR(INDEX(المواد!$B$2:$B$320,MATCH(B571,المواد!$A$2:$A$320,0)),"")</f>
        <v/>
      </c>
      <c r="E571" s="11"/>
      <c r="F571" t="str">
        <f>IF(AND($A571&lt;&gt;"",COUNTIF($A$2:A571,$A571)=1),$A571,"")</f>
        <v/>
      </c>
      <c r="G571" t="str">
        <f>IF($F571&lt;&gt;"",SUMPRODUCT(($F$2:F571&lt;&gt;"")*1),"")</f>
        <v/>
      </c>
    </row>
    <row r="572" spans="1:7" ht="21.95" customHeight="1">
      <c r="A572" s="11"/>
      <c r="B572" s="11"/>
      <c r="C572" s="12"/>
      <c r="D572" s="17" t="str">
        <f>IFERROR(INDEX(المواد!$B$2:$B$320,MATCH(B572,المواد!$A$2:$A$320,0)),"")</f>
        <v/>
      </c>
      <c r="E572" s="11"/>
      <c r="F572" t="str">
        <f>IF(AND($A572&lt;&gt;"",COUNTIF($A$2:A572,$A572)=1),$A572,"")</f>
        <v/>
      </c>
      <c r="G572" t="str">
        <f>IF($F572&lt;&gt;"",SUMPRODUCT(($F$2:F572&lt;&gt;"")*1),"")</f>
        <v/>
      </c>
    </row>
    <row r="573" spans="1:7" ht="21.95" customHeight="1">
      <c r="A573" s="11"/>
      <c r="B573" s="11"/>
      <c r="C573" s="12"/>
      <c r="D573" s="17" t="str">
        <f>IFERROR(INDEX(المواد!$B$2:$B$320,MATCH(B573,المواد!$A$2:$A$320,0)),"")</f>
        <v/>
      </c>
      <c r="E573" s="11"/>
      <c r="F573" t="str">
        <f>IF(AND($A573&lt;&gt;"",COUNTIF($A$2:A573,$A573)=1),$A573,"")</f>
        <v/>
      </c>
      <c r="G573" t="str">
        <f>IF($F573&lt;&gt;"",SUMPRODUCT(($F$2:F573&lt;&gt;"")*1),"")</f>
        <v/>
      </c>
    </row>
    <row r="574" spans="1:7" ht="21.95" customHeight="1">
      <c r="A574" s="11"/>
      <c r="B574" s="11"/>
      <c r="C574" s="12"/>
      <c r="D574" s="17" t="str">
        <f>IFERROR(INDEX(المواد!$B$2:$B$320,MATCH(B574,المواد!$A$2:$A$320,0)),"")</f>
        <v/>
      </c>
      <c r="E574" s="11"/>
      <c r="F574" t="str">
        <f>IF(AND($A574&lt;&gt;"",COUNTIF($A$2:A574,$A574)=1),$A574,"")</f>
        <v/>
      </c>
      <c r="G574" t="str">
        <f>IF($F574&lt;&gt;"",SUMPRODUCT(($F$2:F574&lt;&gt;"")*1),"")</f>
        <v/>
      </c>
    </row>
    <row r="575" spans="1:7" ht="21.95" customHeight="1">
      <c r="A575" s="11"/>
      <c r="B575" s="11"/>
      <c r="C575" s="12"/>
      <c r="D575" s="17" t="str">
        <f>IFERROR(INDEX(المواد!$B$2:$B$320,MATCH(B575,المواد!$A$2:$A$320,0)),"")</f>
        <v/>
      </c>
      <c r="E575" s="11"/>
      <c r="F575" t="str">
        <f>IF(AND($A575&lt;&gt;"",COUNTIF($A$2:A575,$A575)=1),$A575,"")</f>
        <v/>
      </c>
      <c r="G575" t="str">
        <f>IF($F575&lt;&gt;"",SUMPRODUCT(($F$2:F575&lt;&gt;"")*1),"")</f>
        <v/>
      </c>
    </row>
    <row r="576" spans="1:7" ht="21.95" customHeight="1">
      <c r="A576" s="11"/>
      <c r="B576" s="11"/>
      <c r="C576" s="12"/>
      <c r="D576" s="17" t="str">
        <f>IFERROR(INDEX(المواد!$B$2:$B$320,MATCH(B576,المواد!$A$2:$A$320,0)),"")</f>
        <v/>
      </c>
      <c r="E576" s="11"/>
      <c r="F576" t="str">
        <f>IF(AND($A576&lt;&gt;"",COUNTIF($A$2:A576,$A576)=1),$A576,"")</f>
        <v/>
      </c>
      <c r="G576" t="str">
        <f>IF($F576&lt;&gt;"",SUMPRODUCT(($F$2:F576&lt;&gt;"")*1),"")</f>
        <v/>
      </c>
    </row>
    <row r="577" spans="1:7" ht="21.95" customHeight="1">
      <c r="A577" s="11"/>
      <c r="B577" s="11"/>
      <c r="C577" s="12"/>
      <c r="D577" s="17" t="str">
        <f>IFERROR(INDEX(المواد!$B$2:$B$320,MATCH(B577,المواد!$A$2:$A$320,0)),"")</f>
        <v/>
      </c>
      <c r="E577" s="11"/>
      <c r="F577" t="str">
        <f>IF(AND($A577&lt;&gt;"",COUNTIF($A$2:A577,$A577)=1),$A577,"")</f>
        <v/>
      </c>
      <c r="G577" t="str">
        <f>IF($F577&lt;&gt;"",SUMPRODUCT(($F$2:F577&lt;&gt;"")*1),"")</f>
        <v/>
      </c>
    </row>
    <row r="578" spans="1:7" ht="21.95" customHeight="1">
      <c r="A578" s="11"/>
      <c r="B578" s="11"/>
      <c r="C578" s="12"/>
      <c r="D578" s="17" t="str">
        <f>IFERROR(INDEX(المواد!$B$2:$B$320,MATCH(B578,المواد!$A$2:$A$320,0)),"")</f>
        <v/>
      </c>
      <c r="E578" s="11"/>
      <c r="F578" t="str">
        <f>IF(AND($A578&lt;&gt;"",COUNTIF($A$2:A578,$A578)=1),$A578,"")</f>
        <v/>
      </c>
      <c r="G578" t="str">
        <f>IF($F578&lt;&gt;"",SUMPRODUCT(($F$2:F578&lt;&gt;"")*1),"")</f>
        <v/>
      </c>
    </row>
    <row r="579" spans="1:7" ht="21.95" customHeight="1">
      <c r="A579" s="11"/>
      <c r="B579" s="11"/>
      <c r="C579" s="12"/>
      <c r="D579" s="17" t="str">
        <f>IFERROR(INDEX(المواد!$B$2:$B$320,MATCH(B579,المواد!$A$2:$A$320,0)),"")</f>
        <v/>
      </c>
      <c r="E579" s="11"/>
      <c r="F579" t="str">
        <f>IF(AND($A579&lt;&gt;"",COUNTIF($A$2:A579,$A579)=1),$A579,"")</f>
        <v/>
      </c>
      <c r="G579" t="str">
        <f>IF($F579&lt;&gt;"",SUMPRODUCT(($F$2:F579&lt;&gt;"")*1),"")</f>
        <v/>
      </c>
    </row>
    <row r="580" spans="1:7" ht="21.95" customHeight="1">
      <c r="A580" s="11"/>
      <c r="B580" s="11"/>
      <c r="C580" s="12"/>
      <c r="D580" s="17" t="str">
        <f>IFERROR(INDEX(المواد!$B$2:$B$320,MATCH(B580,المواد!$A$2:$A$320,0)),"")</f>
        <v/>
      </c>
      <c r="E580" s="11"/>
      <c r="F580" t="str">
        <f>IF(AND($A580&lt;&gt;"",COUNTIF($A$2:A580,$A580)=1),$A580,"")</f>
        <v/>
      </c>
      <c r="G580" t="str">
        <f>IF($F580&lt;&gt;"",SUMPRODUCT(($F$2:F580&lt;&gt;"")*1),"")</f>
        <v/>
      </c>
    </row>
    <row r="581" spans="1:7" ht="21.95" customHeight="1">
      <c r="A581" s="11"/>
      <c r="B581" s="11"/>
      <c r="C581" s="12"/>
      <c r="D581" s="17" t="str">
        <f>IFERROR(INDEX(المواد!$B$2:$B$320,MATCH(B581,المواد!$A$2:$A$320,0)),"")</f>
        <v/>
      </c>
      <c r="E581" s="11"/>
      <c r="F581" t="str">
        <f>IF(AND($A581&lt;&gt;"",COUNTIF($A$2:A581,$A581)=1),$A581,"")</f>
        <v/>
      </c>
      <c r="G581" t="str">
        <f>IF($F581&lt;&gt;"",SUMPRODUCT(($F$2:F581&lt;&gt;"")*1),"")</f>
        <v/>
      </c>
    </row>
    <row r="582" spans="1:7" ht="21.95" customHeight="1">
      <c r="A582" s="11"/>
      <c r="B582" s="11"/>
      <c r="C582" s="12"/>
      <c r="D582" s="17" t="str">
        <f>IFERROR(INDEX(المواد!$B$2:$B$320,MATCH(B582,المواد!$A$2:$A$320,0)),"")</f>
        <v/>
      </c>
      <c r="E582" s="11"/>
      <c r="F582" t="str">
        <f>IF(AND($A582&lt;&gt;"",COUNTIF($A$2:A582,$A582)=1),$A582,"")</f>
        <v/>
      </c>
      <c r="G582" t="str">
        <f>IF($F582&lt;&gt;"",SUMPRODUCT(($F$2:F582&lt;&gt;"")*1),"")</f>
        <v/>
      </c>
    </row>
    <row r="583" spans="1:7" ht="21.95" customHeight="1">
      <c r="A583" s="11"/>
      <c r="B583" s="11"/>
      <c r="C583" s="12"/>
      <c r="D583" s="17" t="str">
        <f>IFERROR(INDEX(المواد!$B$2:$B$320,MATCH(B583,المواد!$A$2:$A$320,0)),"")</f>
        <v/>
      </c>
      <c r="E583" s="11"/>
      <c r="F583" t="str">
        <f>IF(AND($A583&lt;&gt;"",COUNTIF($A$2:A583,$A583)=1),$A583,"")</f>
        <v/>
      </c>
      <c r="G583" t="str">
        <f>IF($F583&lt;&gt;"",SUMPRODUCT(($F$2:F583&lt;&gt;"")*1),"")</f>
        <v/>
      </c>
    </row>
    <row r="584" spans="1:7" ht="21.95" customHeight="1">
      <c r="A584" s="11"/>
      <c r="B584" s="11"/>
      <c r="C584" s="12"/>
      <c r="D584" s="17" t="str">
        <f>IFERROR(INDEX(المواد!$B$2:$B$320,MATCH(B584,المواد!$A$2:$A$320,0)),"")</f>
        <v/>
      </c>
      <c r="E584" s="11"/>
      <c r="F584" t="str">
        <f>IF(AND($A584&lt;&gt;"",COUNTIF($A$2:A584,$A584)=1),$A584,"")</f>
        <v/>
      </c>
      <c r="G584" t="str">
        <f>IF($F584&lt;&gt;"",SUMPRODUCT(($F$2:F584&lt;&gt;"")*1),"")</f>
        <v/>
      </c>
    </row>
    <row r="585" spans="1:7" ht="21.95" customHeight="1">
      <c r="A585" s="11"/>
      <c r="B585" s="11"/>
      <c r="C585" s="12"/>
      <c r="D585" s="17" t="str">
        <f>IFERROR(INDEX(المواد!$B$2:$B$320,MATCH(B585,المواد!$A$2:$A$320,0)),"")</f>
        <v/>
      </c>
      <c r="E585" s="11"/>
      <c r="F585" t="str">
        <f>IF(AND($A585&lt;&gt;"",COUNTIF($A$2:A585,$A585)=1),$A585,"")</f>
        <v/>
      </c>
      <c r="G585" t="str">
        <f>IF($F585&lt;&gt;"",SUMPRODUCT(($F$2:F585&lt;&gt;"")*1),"")</f>
        <v/>
      </c>
    </row>
    <row r="586" spans="1:7" ht="21.95" customHeight="1">
      <c r="A586" s="11"/>
      <c r="B586" s="11"/>
      <c r="C586" s="12"/>
      <c r="D586" s="17" t="str">
        <f>IFERROR(INDEX(المواد!$B$2:$B$320,MATCH(B586,المواد!$A$2:$A$320,0)),"")</f>
        <v/>
      </c>
      <c r="E586" s="11"/>
      <c r="F586" t="str">
        <f>IF(AND($A586&lt;&gt;"",COUNTIF($A$2:A586,$A586)=1),$A586,"")</f>
        <v/>
      </c>
      <c r="G586" t="str">
        <f>IF($F586&lt;&gt;"",SUMPRODUCT(($F$2:F586&lt;&gt;"")*1),"")</f>
        <v/>
      </c>
    </row>
    <row r="587" spans="1:7" ht="21.95" customHeight="1">
      <c r="A587" s="11"/>
      <c r="B587" s="11"/>
      <c r="C587" s="12"/>
      <c r="D587" s="17" t="str">
        <f>IFERROR(INDEX(المواد!$B$2:$B$320,MATCH(B587,المواد!$A$2:$A$320,0)),"")</f>
        <v/>
      </c>
      <c r="E587" s="11"/>
      <c r="F587" t="str">
        <f>IF(AND($A587&lt;&gt;"",COUNTIF($A$2:A587,$A587)=1),$A587,"")</f>
        <v/>
      </c>
      <c r="G587" t="str">
        <f>IF($F587&lt;&gt;"",SUMPRODUCT(($F$2:F587&lt;&gt;"")*1),"")</f>
        <v/>
      </c>
    </row>
    <row r="588" spans="1:7" ht="21.95" customHeight="1">
      <c r="A588" s="11"/>
      <c r="B588" s="11"/>
      <c r="C588" s="12"/>
      <c r="D588" s="17" t="str">
        <f>IFERROR(INDEX(المواد!$B$2:$B$320,MATCH(B588,المواد!$A$2:$A$320,0)),"")</f>
        <v/>
      </c>
      <c r="E588" s="11"/>
      <c r="F588" t="str">
        <f>IF(AND($A588&lt;&gt;"",COUNTIF($A$2:A588,$A588)=1),$A588,"")</f>
        <v/>
      </c>
      <c r="G588" t="str">
        <f>IF($F588&lt;&gt;"",SUMPRODUCT(($F$2:F588&lt;&gt;"")*1),"")</f>
        <v/>
      </c>
    </row>
    <row r="589" spans="1:7" ht="21.95" customHeight="1">
      <c r="A589" s="11"/>
      <c r="B589" s="11"/>
      <c r="C589" s="12"/>
      <c r="D589" s="17" t="str">
        <f>IFERROR(INDEX(المواد!$B$2:$B$320,MATCH(B589,المواد!$A$2:$A$320,0)),"")</f>
        <v/>
      </c>
      <c r="E589" s="11"/>
      <c r="F589" t="str">
        <f>IF(AND($A589&lt;&gt;"",COUNTIF($A$2:A589,$A589)=1),$A589,"")</f>
        <v/>
      </c>
      <c r="G589" t="str">
        <f>IF($F589&lt;&gt;"",SUMPRODUCT(($F$2:F589&lt;&gt;"")*1),"")</f>
        <v/>
      </c>
    </row>
    <row r="590" spans="1:7" ht="21.95" customHeight="1">
      <c r="A590" s="11"/>
      <c r="B590" s="11"/>
      <c r="C590" s="12"/>
      <c r="D590" s="17" t="str">
        <f>IFERROR(INDEX(المواد!$B$2:$B$320,MATCH(B590,المواد!$A$2:$A$320,0)),"")</f>
        <v/>
      </c>
      <c r="E590" s="11"/>
      <c r="F590" t="str">
        <f>IF(AND($A590&lt;&gt;"",COUNTIF($A$2:A590,$A590)=1),$A590,"")</f>
        <v/>
      </c>
      <c r="G590" t="str">
        <f>IF($F590&lt;&gt;"",SUMPRODUCT(($F$2:F590&lt;&gt;"")*1),"")</f>
        <v/>
      </c>
    </row>
    <row r="591" spans="1:7" ht="21.95" customHeight="1">
      <c r="A591" s="11"/>
      <c r="B591" s="11"/>
      <c r="C591" s="12"/>
      <c r="D591" s="17" t="str">
        <f>IFERROR(INDEX(المواد!$B$2:$B$320,MATCH(B591,المواد!$A$2:$A$320,0)),"")</f>
        <v/>
      </c>
      <c r="E591" s="11"/>
      <c r="F591" t="str">
        <f>IF(AND($A591&lt;&gt;"",COUNTIF($A$2:A591,$A591)=1),$A591,"")</f>
        <v/>
      </c>
      <c r="G591" t="str">
        <f>IF($F591&lt;&gt;"",SUMPRODUCT(($F$2:F591&lt;&gt;"")*1),"")</f>
        <v/>
      </c>
    </row>
    <row r="592" spans="1:7" ht="21.95" customHeight="1">
      <c r="A592" s="11"/>
      <c r="B592" s="11"/>
      <c r="C592" s="12"/>
      <c r="D592" s="17" t="str">
        <f>IFERROR(INDEX(المواد!$B$2:$B$320,MATCH(B592,المواد!$A$2:$A$320,0)),"")</f>
        <v/>
      </c>
      <c r="E592" s="11"/>
      <c r="F592" t="str">
        <f>IF(AND($A592&lt;&gt;"",COUNTIF($A$2:A592,$A592)=1),$A592,"")</f>
        <v/>
      </c>
      <c r="G592" t="str">
        <f>IF($F592&lt;&gt;"",SUMPRODUCT(($F$2:F592&lt;&gt;"")*1),"")</f>
        <v/>
      </c>
    </row>
    <row r="593" spans="1:7" ht="21.95" customHeight="1">
      <c r="A593" s="11"/>
      <c r="B593" s="11"/>
      <c r="C593" s="12"/>
      <c r="D593" s="17" t="str">
        <f>IFERROR(INDEX(المواد!$B$2:$B$320,MATCH(B593,المواد!$A$2:$A$320,0)),"")</f>
        <v/>
      </c>
      <c r="E593" s="11"/>
      <c r="F593" t="str">
        <f>IF(AND($A593&lt;&gt;"",COUNTIF($A$2:A593,$A593)=1),$A593,"")</f>
        <v/>
      </c>
      <c r="G593" t="str">
        <f>IF($F593&lt;&gt;"",SUMPRODUCT(($F$2:F593&lt;&gt;"")*1),"")</f>
        <v/>
      </c>
    </row>
    <row r="594" spans="1:7" ht="21.95" customHeight="1">
      <c r="A594" s="11"/>
      <c r="B594" s="11"/>
      <c r="C594" s="12"/>
      <c r="D594" s="17" t="str">
        <f>IFERROR(INDEX(المواد!$B$2:$B$320,MATCH(B594,المواد!$A$2:$A$320,0)),"")</f>
        <v/>
      </c>
      <c r="E594" s="11"/>
      <c r="F594" t="str">
        <f>IF(AND($A594&lt;&gt;"",COUNTIF($A$2:A594,$A594)=1),$A594,"")</f>
        <v/>
      </c>
      <c r="G594" t="str">
        <f>IF($F594&lt;&gt;"",SUMPRODUCT(($F$2:F594&lt;&gt;"")*1),"")</f>
        <v/>
      </c>
    </row>
    <row r="595" spans="1:7" ht="21.95" customHeight="1">
      <c r="A595" s="11"/>
      <c r="B595" s="11"/>
      <c r="C595" s="12"/>
      <c r="D595" s="17" t="str">
        <f>IFERROR(INDEX(المواد!$B$2:$B$320,MATCH(B595,المواد!$A$2:$A$320,0)),"")</f>
        <v/>
      </c>
      <c r="E595" s="11"/>
      <c r="F595" t="str">
        <f>IF(AND($A595&lt;&gt;"",COUNTIF($A$2:A595,$A595)=1),$A595,"")</f>
        <v/>
      </c>
      <c r="G595" t="str">
        <f>IF($F595&lt;&gt;"",SUMPRODUCT(($F$2:F595&lt;&gt;"")*1),"")</f>
        <v/>
      </c>
    </row>
    <row r="596" spans="1:7" ht="21.95" customHeight="1">
      <c r="A596" s="11"/>
      <c r="B596" s="11"/>
      <c r="C596" s="12"/>
      <c r="D596" s="17" t="str">
        <f>IFERROR(INDEX(المواد!$B$2:$B$320,MATCH(B596,المواد!$A$2:$A$320,0)),"")</f>
        <v/>
      </c>
      <c r="E596" s="11"/>
      <c r="F596" t="str">
        <f>IF(AND($A596&lt;&gt;"",COUNTIF($A$2:A596,$A596)=1),$A596,"")</f>
        <v/>
      </c>
      <c r="G596" t="str">
        <f>IF($F596&lt;&gt;"",SUMPRODUCT(($F$2:F596&lt;&gt;"")*1),"")</f>
        <v/>
      </c>
    </row>
    <row r="597" spans="1:7" ht="21.95" customHeight="1">
      <c r="A597" s="11"/>
      <c r="B597" s="11"/>
      <c r="C597" s="12"/>
      <c r="D597" s="17" t="str">
        <f>IFERROR(INDEX(المواد!$B$2:$B$320,MATCH(B597,المواد!$A$2:$A$320,0)),"")</f>
        <v/>
      </c>
      <c r="E597" s="11"/>
      <c r="F597" t="str">
        <f>IF(AND($A597&lt;&gt;"",COUNTIF($A$2:A597,$A597)=1),$A597,"")</f>
        <v/>
      </c>
      <c r="G597" t="str">
        <f>IF($F597&lt;&gt;"",SUMPRODUCT(($F$2:F597&lt;&gt;"")*1),"")</f>
        <v/>
      </c>
    </row>
    <row r="598" spans="1:7" ht="21.95" customHeight="1">
      <c r="A598" s="11"/>
      <c r="B598" s="11"/>
      <c r="C598" s="12"/>
      <c r="D598" s="17" t="str">
        <f>IFERROR(INDEX(المواد!$B$2:$B$320,MATCH(B598,المواد!$A$2:$A$320,0)),"")</f>
        <v/>
      </c>
      <c r="E598" s="11"/>
      <c r="F598" t="str">
        <f>IF(AND($A598&lt;&gt;"",COUNTIF($A$2:A598,$A598)=1),$A598,"")</f>
        <v/>
      </c>
      <c r="G598" t="str">
        <f>IF($F598&lt;&gt;"",SUMPRODUCT(($F$2:F598&lt;&gt;"")*1),"")</f>
        <v/>
      </c>
    </row>
    <row r="599" spans="1:7" ht="21.95" customHeight="1">
      <c r="A599" s="11"/>
      <c r="B599" s="11"/>
      <c r="C599" s="12"/>
      <c r="D599" s="17" t="str">
        <f>IFERROR(INDEX(المواد!$B$2:$B$320,MATCH(B599,المواد!$A$2:$A$320,0)),"")</f>
        <v/>
      </c>
      <c r="E599" s="11"/>
      <c r="F599" t="str">
        <f>IF(AND($A599&lt;&gt;"",COUNTIF($A$2:A599,$A599)=1),$A599,"")</f>
        <v/>
      </c>
      <c r="G599" t="str">
        <f>IF($F599&lt;&gt;"",SUMPRODUCT(($F$2:F599&lt;&gt;"")*1),"")</f>
        <v/>
      </c>
    </row>
    <row r="600" spans="1:7" ht="21.95" customHeight="1">
      <c r="A600" s="11"/>
      <c r="B600" s="11"/>
      <c r="C600" s="12"/>
      <c r="D600" s="17" t="str">
        <f>IFERROR(INDEX(المواد!$B$2:$B$320,MATCH(B600,المواد!$A$2:$A$320,0)),"")</f>
        <v/>
      </c>
      <c r="E600" s="11"/>
      <c r="F600" t="str">
        <f>IF(AND($A600&lt;&gt;"",COUNTIF($A$2:A600,$A600)=1),$A600,"")</f>
        <v/>
      </c>
      <c r="G600" t="str">
        <f>IF($F600&lt;&gt;"",SUMPRODUCT(($F$2:F600&lt;&gt;"")*1),"")</f>
        <v/>
      </c>
    </row>
    <row r="601" spans="1:7" ht="21.95" customHeight="1">
      <c r="A601" s="11"/>
      <c r="B601" s="11"/>
      <c r="C601" s="12"/>
      <c r="D601" s="17" t="str">
        <f>IFERROR(INDEX(المواد!$B$2:$B$320,MATCH(B601,المواد!$A$2:$A$320,0)),"")</f>
        <v/>
      </c>
      <c r="E601" s="11"/>
      <c r="F601" t="str">
        <f>IF(AND($A601&lt;&gt;"",COUNTIF($A$2:A601,$A601)=1),$A601,"")</f>
        <v/>
      </c>
      <c r="G601" t="str">
        <f>IF($F601&lt;&gt;"",SUMPRODUCT(($F$2:F601&lt;&gt;"")*1),"")</f>
        <v/>
      </c>
    </row>
    <row r="602" spans="1:7" ht="21.95" customHeight="1">
      <c r="A602" s="11"/>
      <c r="B602" s="11"/>
      <c r="C602" s="12"/>
      <c r="D602" s="17" t="str">
        <f>IFERROR(INDEX(المواد!$B$2:$B$320,MATCH(B602,المواد!$A$2:$A$320,0)),"")</f>
        <v/>
      </c>
      <c r="E602" s="11"/>
      <c r="F602" t="str">
        <f>IF(AND($A602&lt;&gt;"",COUNTIF($A$2:A602,$A602)=1),$A602,"")</f>
        <v/>
      </c>
      <c r="G602" t="str">
        <f>IF($F602&lt;&gt;"",SUMPRODUCT(($F$2:F602&lt;&gt;"")*1),"")</f>
        <v/>
      </c>
    </row>
    <row r="603" spans="1:7" ht="21.95" customHeight="1">
      <c r="A603" s="11"/>
      <c r="B603" s="11"/>
      <c r="C603" s="12"/>
      <c r="D603" s="17" t="str">
        <f>IFERROR(INDEX(المواد!$B$2:$B$320,MATCH(B603,المواد!$A$2:$A$320,0)),"")</f>
        <v/>
      </c>
      <c r="E603" s="11"/>
      <c r="F603" t="str">
        <f>IF(AND($A603&lt;&gt;"",COUNTIF($A$2:A603,$A603)=1),$A603,"")</f>
        <v/>
      </c>
      <c r="G603" t="str">
        <f>IF($F603&lt;&gt;"",SUMPRODUCT(($F$2:F603&lt;&gt;"")*1),"")</f>
        <v/>
      </c>
    </row>
    <row r="604" spans="1:7" ht="21.95" customHeight="1">
      <c r="A604" s="11"/>
      <c r="B604" s="11"/>
      <c r="C604" s="12"/>
      <c r="D604" s="17" t="str">
        <f>IFERROR(INDEX(المواد!$B$2:$B$320,MATCH(B604,المواد!$A$2:$A$320,0)),"")</f>
        <v/>
      </c>
      <c r="E604" s="11"/>
      <c r="F604" t="str">
        <f>IF(AND($A604&lt;&gt;"",COUNTIF($A$2:A604,$A604)=1),$A604,"")</f>
        <v/>
      </c>
      <c r="G604" t="str">
        <f>IF($F604&lt;&gt;"",SUMPRODUCT(($F$2:F604&lt;&gt;"")*1),"")</f>
        <v/>
      </c>
    </row>
    <row r="605" spans="1:7" ht="21.95" customHeight="1">
      <c r="A605" s="11"/>
      <c r="B605" s="11"/>
      <c r="C605" s="12"/>
      <c r="D605" s="17" t="str">
        <f>IFERROR(INDEX(المواد!$B$2:$B$320,MATCH(B605,المواد!$A$2:$A$320,0)),"")</f>
        <v/>
      </c>
      <c r="E605" s="11"/>
      <c r="F605" t="str">
        <f>IF(AND($A605&lt;&gt;"",COUNTIF($A$2:A605,$A605)=1),$A605,"")</f>
        <v/>
      </c>
      <c r="G605" t="str">
        <f>IF($F605&lt;&gt;"",SUMPRODUCT(($F$2:F605&lt;&gt;"")*1),"")</f>
        <v/>
      </c>
    </row>
    <row r="606" spans="1:7" ht="21.95" customHeight="1">
      <c r="A606" s="11"/>
      <c r="B606" s="11"/>
      <c r="C606" s="12"/>
      <c r="D606" s="17" t="str">
        <f>IFERROR(INDEX(المواد!$B$2:$B$320,MATCH(B606,المواد!$A$2:$A$320,0)),"")</f>
        <v/>
      </c>
      <c r="E606" s="11"/>
      <c r="F606" t="str">
        <f>IF(AND($A606&lt;&gt;"",COUNTIF($A$2:A606,$A606)=1),$A606,"")</f>
        <v/>
      </c>
      <c r="G606" t="str">
        <f>IF($F606&lt;&gt;"",SUMPRODUCT(($F$2:F606&lt;&gt;"")*1),"")</f>
        <v/>
      </c>
    </row>
    <row r="607" spans="1:7" ht="21.95" customHeight="1">
      <c r="A607" s="11"/>
      <c r="B607" s="11"/>
      <c r="C607" s="12"/>
      <c r="D607" s="17" t="str">
        <f>IFERROR(INDEX(المواد!$B$2:$B$320,MATCH(B607,المواد!$A$2:$A$320,0)),"")</f>
        <v/>
      </c>
      <c r="E607" s="11"/>
      <c r="F607" t="str">
        <f>IF(AND($A607&lt;&gt;"",COUNTIF($A$2:A607,$A607)=1),$A607,"")</f>
        <v/>
      </c>
      <c r="G607" t="str">
        <f>IF($F607&lt;&gt;"",SUMPRODUCT(($F$2:F607&lt;&gt;"")*1),"")</f>
        <v/>
      </c>
    </row>
    <row r="608" spans="1:7" ht="21.95" customHeight="1">
      <c r="A608" s="11"/>
      <c r="B608" s="11"/>
      <c r="C608" s="12"/>
      <c r="D608" s="17" t="str">
        <f>IFERROR(INDEX(المواد!$B$2:$B$320,MATCH(B608,المواد!$A$2:$A$320,0)),"")</f>
        <v/>
      </c>
      <c r="E608" s="11"/>
      <c r="F608" t="str">
        <f>IF(AND($A608&lt;&gt;"",COUNTIF($A$2:A608,$A608)=1),$A608,"")</f>
        <v/>
      </c>
      <c r="G608" t="str">
        <f>IF($F608&lt;&gt;"",SUMPRODUCT(($F$2:F608&lt;&gt;"")*1),"")</f>
        <v/>
      </c>
    </row>
    <row r="609" spans="1:7" ht="21.95" customHeight="1">
      <c r="A609" s="11"/>
      <c r="B609" s="11"/>
      <c r="C609" s="12"/>
      <c r="D609" s="17" t="str">
        <f>IFERROR(INDEX(المواد!$B$2:$B$320,MATCH(B609,المواد!$A$2:$A$320,0)),"")</f>
        <v/>
      </c>
      <c r="E609" s="11"/>
      <c r="F609" t="str">
        <f>IF(AND($A609&lt;&gt;"",COUNTIF($A$2:A609,$A609)=1),$A609,"")</f>
        <v/>
      </c>
      <c r="G609" t="str">
        <f>IF($F609&lt;&gt;"",SUMPRODUCT(($F$2:F609&lt;&gt;"")*1),"")</f>
        <v/>
      </c>
    </row>
    <row r="610" spans="1:7" ht="21.95" customHeight="1">
      <c r="A610" s="11"/>
      <c r="B610" s="11"/>
      <c r="C610" s="12"/>
      <c r="D610" s="17" t="str">
        <f>IFERROR(INDEX(المواد!$B$2:$B$320,MATCH(B610,المواد!$A$2:$A$320,0)),"")</f>
        <v/>
      </c>
      <c r="E610" s="11"/>
      <c r="F610" t="str">
        <f>IF(AND($A610&lt;&gt;"",COUNTIF($A$2:A610,$A610)=1),$A610,"")</f>
        <v/>
      </c>
      <c r="G610" t="str">
        <f>IF($F610&lt;&gt;"",SUMPRODUCT(($F$2:F610&lt;&gt;"")*1),"")</f>
        <v/>
      </c>
    </row>
    <row r="611" spans="1:7" ht="21.95" customHeight="1">
      <c r="A611" s="11"/>
      <c r="B611" s="11"/>
      <c r="C611" s="12"/>
      <c r="D611" s="17" t="str">
        <f>IFERROR(INDEX(المواد!$B$2:$B$320,MATCH(B611,المواد!$A$2:$A$320,0)),"")</f>
        <v/>
      </c>
      <c r="E611" s="11"/>
      <c r="F611" t="str">
        <f>IF(AND($A611&lt;&gt;"",COUNTIF($A$2:A611,$A611)=1),$A611,"")</f>
        <v/>
      </c>
      <c r="G611" t="str">
        <f>IF($F611&lt;&gt;"",SUMPRODUCT(($F$2:F611&lt;&gt;"")*1),"")</f>
        <v/>
      </c>
    </row>
    <row r="612" spans="1:7" ht="21.95" customHeight="1">
      <c r="A612" s="11"/>
      <c r="B612" s="11"/>
      <c r="C612" s="12"/>
      <c r="D612" s="17" t="str">
        <f>IFERROR(INDEX(المواد!$B$2:$B$320,MATCH(B612,المواد!$A$2:$A$320,0)),"")</f>
        <v/>
      </c>
      <c r="E612" s="11"/>
      <c r="F612" t="str">
        <f>IF(AND($A612&lt;&gt;"",COUNTIF($A$2:A612,$A612)=1),$A612,"")</f>
        <v/>
      </c>
      <c r="G612" t="str">
        <f>IF($F612&lt;&gt;"",SUMPRODUCT(($F$2:F612&lt;&gt;"")*1),"")</f>
        <v/>
      </c>
    </row>
    <row r="613" spans="1:7" ht="21.95" customHeight="1">
      <c r="A613" s="11"/>
      <c r="B613" s="11"/>
      <c r="C613" s="12"/>
      <c r="D613" s="17" t="str">
        <f>IFERROR(INDEX(المواد!$B$2:$B$320,MATCH(B613,المواد!$A$2:$A$320,0)),"")</f>
        <v/>
      </c>
      <c r="E613" s="11"/>
      <c r="F613" t="str">
        <f>IF(AND($A613&lt;&gt;"",COUNTIF($A$2:A613,$A613)=1),$A613,"")</f>
        <v/>
      </c>
      <c r="G613" t="str">
        <f>IF($F613&lt;&gt;"",SUMPRODUCT(($F$2:F613&lt;&gt;"")*1),"")</f>
        <v/>
      </c>
    </row>
    <row r="614" spans="1:7" ht="21.95" customHeight="1">
      <c r="A614" s="11"/>
      <c r="B614" s="11"/>
      <c r="C614" s="12"/>
      <c r="D614" s="17" t="str">
        <f>IFERROR(INDEX(المواد!$B$2:$B$320,MATCH(B614,المواد!$A$2:$A$320,0)),"")</f>
        <v/>
      </c>
      <c r="E614" s="11"/>
      <c r="F614" t="str">
        <f>IF(AND($A614&lt;&gt;"",COUNTIF($A$2:A614,$A614)=1),$A614,"")</f>
        <v/>
      </c>
      <c r="G614" t="str">
        <f>IF($F614&lt;&gt;"",SUMPRODUCT(($F$2:F614&lt;&gt;"")*1),"")</f>
        <v/>
      </c>
    </row>
    <row r="615" spans="1:7" ht="21.95" customHeight="1">
      <c r="A615" s="11"/>
      <c r="B615" s="11"/>
      <c r="C615" s="12"/>
      <c r="D615" s="17" t="str">
        <f>IFERROR(INDEX(المواد!$B$2:$B$320,MATCH(B615,المواد!$A$2:$A$320,0)),"")</f>
        <v/>
      </c>
      <c r="E615" s="11"/>
      <c r="F615" t="str">
        <f>IF(AND($A615&lt;&gt;"",COUNTIF($A$2:A615,$A615)=1),$A615,"")</f>
        <v/>
      </c>
      <c r="G615" t="str">
        <f>IF($F615&lt;&gt;"",SUMPRODUCT(($F$2:F615&lt;&gt;"")*1),"")</f>
        <v/>
      </c>
    </row>
    <row r="616" spans="1:7" ht="21.95" customHeight="1">
      <c r="A616" s="11"/>
      <c r="B616" s="11"/>
      <c r="C616" s="12"/>
      <c r="D616" s="17" t="str">
        <f>IFERROR(INDEX(المواد!$B$2:$B$320,MATCH(B616,المواد!$A$2:$A$320,0)),"")</f>
        <v/>
      </c>
      <c r="E616" s="11"/>
      <c r="F616" t="str">
        <f>IF(AND($A616&lt;&gt;"",COUNTIF($A$2:A616,$A616)=1),$A616,"")</f>
        <v/>
      </c>
      <c r="G616" t="str">
        <f>IF($F616&lt;&gt;"",SUMPRODUCT(($F$2:F616&lt;&gt;"")*1),"")</f>
        <v/>
      </c>
    </row>
    <row r="617" spans="1:7" ht="21.95" customHeight="1">
      <c r="A617" s="11"/>
      <c r="B617" s="11"/>
      <c r="C617" s="12"/>
      <c r="D617" s="17" t="str">
        <f>IFERROR(INDEX(المواد!$B$2:$B$320,MATCH(B617,المواد!$A$2:$A$320,0)),"")</f>
        <v/>
      </c>
      <c r="E617" s="11"/>
      <c r="F617" t="str">
        <f>IF(AND($A617&lt;&gt;"",COUNTIF($A$2:A617,$A617)=1),$A617,"")</f>
        <v/>
      </c>
      <c r="G617" t="str">
        <f>IF($F617&lt;&gt;"",SUMPRODUCT(($F$2:F617&lt;&gt;"")*1),"")</f>
        <v/>
      </c>
    </row>
    <row r="618" spans="1:7" ht="21.95" customHeight="1">
      <c r="A618" s="11"/>
      <c r="B618" s="11"/>
      <c r="C618" s="12"/>
      <c r="D618" s="17" t="str">
        <f>IFERROR(INDEX(المواد!$B$2:$B$320,MATCH(B618,المواد!$A$2:$A$320,0)),"")</f>
        <v/>
      </c>
      <c r="E618" s="11"/>
      <c r="F618" t="str">
        <f>IF(AND($A618&lt;&gt;"",COUNTIF($A$2:A618,$A618)=1),$A618,"")</f>
        <v/>
      </c>
      <c r="G618" t="str">
        <f>IF($F618&lt;&gt;"",SUMPRODUCT(($F$2:F618&lt;&gt;"")*1),"")</f>
        <v/>
      </c>
    </row>
    <row r="619" spans="1:7" ht="21.95" customHeight="1">
      <c r="A619" s="11"/>
      <c r="B619" s="11"/>
      <c r="C619" s="12"/>
      <c r="D619" s="17" t="str">
        <f>IFERROR(INDEX(المواد!$B$2:$B$320,MATCH(B619,المواد!$A$2:$A$320,0)),"")</f>
        <v/>
      </c>
      <c r="E619" s="11"/>
      <c r="F619" t="str">
        <f>IF(AND($A619&lt;&gt;"",COUNTIF($A$2:A619,$A619)=1),$A619,"")</f>
        <v/>
      </c>
      <c r="G619" t="str">
        <f>IF($F619&lt;&gt;"",SUMPRODUCT(($F$2:F619&lt;&gt;"")*1),"")</f>
        <v/>
      </c>
    </row>
    <row r="620" spans="1:7" ht="21.95" customHeight="1">
      <c r="A620" s="11"/>
      <c r="B620" s="11"/>
      <c r="C620" s="12"/>
      <c r="D620" s="17" t="str">
        <f>IFERROR(INDEX(المواد!$B$2:$B$320,MATCH(B620,المواد!$A$2:$A$320,0)),"")</f>
        <v/>
      </c>
      <c r="E620" s="11"/>
      <c r="F620" t="str">
        <f>IF(AND($A620&lt;&gt;"",COUNTIF($A$2:A620,$A620)=1),$A620,"")</f>
        <v/>
      </c>
      <c r="G620" t="str">
        <f>IF($F620&lt;&gt;"",SUMPRODUCT(($F$2:F620&lt;&gt;"")*1),"")</f>
        <v/>
      </c>
    </row>
    <row r="621" spans="1:7" ht="21.95" customHeight="1">
      <c r="A621" s="11"/>
      <c r="B621" s="11"/>
      <c r="C621" s="12"/>
      <c r="D621" s="17" t="str">
        <f>IFERROR(INDEX(المواد!$B$2:$B$320,MATCH(B621,المواد!$A$2:$A$320,0)),"")</f>
        <v/>
      </c>
      <c r="E621" s="11"/>
      <c r="F621" t="str">
        <f>IF(AND($A621&lt;&gt;"",COUNTIF($A$2:A621,$A621)=1),$A621,"")</f>
        <v/>
      </c>
      <c r="G621" t="str">
        <f>IF($F621&lt;&gt;"",SUMPRODUCT(($F$2:F621&lt;&gt;"")*1),"")</f>
        <v/>
      </c>
    </row>
    <row r="622" spans="1:7" ht="21.95" customHeight="1">
      <c r="A622" s="11"/>
      <c r="B622" s="11"/>
      <c r="C622" s="12"/>
      <c r="D622" s="17" t="str">
        <f>IFERROR(INDEX(المواد!$B$2:$B$320,MATCH(B622,المواد!$A$2:$A$320,0)),"")</f>
        <v/>
      </c>
      <c r="E622" s="11"/>
      <c r="F622" t="str">
        <f>IF(AND($A622&lt;&gt;"",COUNTIF($A$2:A622,$A622)=1),$A622,"")</f>
        <v/>
      </c>
      <c r="G622" t="str">
        <f>IF($F622&lt;&gt;"",SUMPRODUCT(($F$2:F622&lt;&gt;"")*1),"")</f>
        <v/>
      </c>
    </row>
    <row r="623" spans="1:7" ht="21.95" customHeight="1">
      <c r="A623" s="11"/>
      <c r="B623" s="11"/>
      <c r="C623" s="12"/>
      <c r="D623" s="17" t="str">
        <f>IFERROR(INDEX(المواد!$B$2:$B$320,MATCH(B623,المواد!$A$2:$A$320,0)),"")</f>
        <v/>
      </c>
      <c r="E623" s="11"/>
      <c r="F623" t="str">
        <f>IF(AND($A623&lt;&gt;"",COUNTIF($A$2:A623,$A623)=1),$A623,"")</f>
        <v/>
      </c>
      <c r="G623" t="str">
        <f>IF($F623&lt;&gt;"",SUMPRODUCT(($F$2:F623&lt;&gt;"")*1),"")</f>
        <v/>
      </c>
    </row>
    <row r="624" spans="1:7" ht="21.95" customHeight="1">
      <c r="A624" s="11"/>
      <c r="B624" s="11"/>
      <c r="C624" s="12"/>
      <c r="D624" s="17" t="str">
        <f>IFERROR(INDEX(المواد!$B$2:$B$320,MATCH(B624,المواد!$A$2:$A$320,0)),"")</f>
        <v/>
      </c>
      <c r="E624" s="11"/>
      <c r="F624" t="str">
        <f>IF(AND($A624&lt;&gt;"",COUNTIF($A$2:A624,$A624)=1),$A624,"")</f>
        <v/>
      </c>
      <c r="G624" t="str">
        <f>IF($F624&lt;&gt;"",SUMPRODUCT(($F$2:F624&lt;&gt;"")*1),"")</f>
        <v/>
      </c>
    </row>
    <row r="625" spans="1:7" ht="21.95" customHeight="1">
      <c r="A625" s="11"/>
      <c r="B625" s="11"/>
      <c r="C625" s="12"/>
      <c r="D625" s="17" t="str">
        <f>IFERROR(INDEX(المواد!$B$2:$B$320,MATCH(B625,المواد!$A$2:$A$320,0)),"")</f>
        <v/>
      </c>
      <c r="E625" s="11"/>
      <c r="F625" t="str">
        <f>IF(AND($A625&lt;&gt;"",COUNTIF($A$2:A625,$A625)=1),$A625,"")</f>
        <v/>
      </c>
      <c r="G625" t="str">
        <f>IF($F625&lt;&gt;"",SUMPRODUCT(($F$2:F625&lt;&gt;"")*1),"")</f>
        <v/>
      </c>
    </row>
    <row r="626" spans="1:7" ht="21.95" customHeight="1">
      <c r="A626" s="11"/>
      <c r="B626" s="11"/>
      <c r="C626" s="12"/>
      <c r="D626" s="17" t="str">
        <f>IFERROR(INDEX(المواد!$B$2:$B$320,MATCH(B626,المواد!$A$2:$A$320,0)),"")</f>
        <v/>
      </c>
      <c r="E626" s="11"/>
      <c r="F626" t="str">
        <f>IF(AND($A626&lt;&gt;"",COUNTIF($A$2:A626,$A626)=1),$A626,"")</f>
        <v/>
      </c>
      <c r="G626" t="str">
        <f>IF($F626&lt;&gt;"",SUMPRODUCT(($F$2:F626&lt;&gt;"")*1),"")</f>
        <v/>
      </c>
    </row>
    <row r="627" spans="1:7" ht="21.95" customHeight="1">
      <c r="A627" s="11"/>
      <c r="B627" s="11"/>
      <c r="C627" s="12"/>
      <c r="D627" s="17" t="str">
        <f>IFERROR(INDEX(المواد!$B$2:$B$320,MATCH(B627,المواد!$A$2:$A$320,0)),"")</f>
        <v/>
      </c>
      <c r="E627" s="11"/>
      <c r="F627" t="str">
        <f>IF(AND($A627&lt;&gt;"",COUNTIF($A$2:A627,$A627)=1),$A627,"")</f>
        <v/>
      </c>
      <c r="G627" t="str">
        <f>IF($F627&lt;&gt;"",SUMPRODUCT(($F$2:F627&lt;&gt;"")*1),"")</f>
        <v/>
      </c>
    </row>
    <row r="628" spans="1:7" ht="21.95" customHeight="1">
      <c r="A628" s="11"/>
      <c r="B628" s="11"/>
      <c r="C628" s="12"/>
      <c r="D628" s="17" t="str">
        <f>IFERROR(INDEX(المواد!$B$2:$B$320,MATCH(B628,المواد!$A$2:$A$320,0)),"")</f>
        <v/>
      </c>
      <c r="E628" s="11"/>
      <c r="F628" t="str">
        <f>IF(AND($A628&lt;&gt;"",COUNTIF($A$2:A628,$A628)=1),$A628,"")</f>
        <v/>
      </c>
      <c r="G628" t="str">
        <f>IF($F628&lt;&gt;"",SUMPRODUCT(($F$2:F628&lt;&gt;"")*1),"")</f>
        <v/>
      </c>
    </row>
    <row r="629" spans="1:7" ht="21.95" customHeight="1">
      <c r="A629" s="11"/>
      <c r="B629" s="11"/>
      <c r="C629" s="12"/>
      <c r="D629" s="17" t="str">
        <f>IFERROR(INDEX(المواد!$B$2:$B$320,MATCH(B629,المواد!$A$2:$A$320,0)),"")</f>
        <v/>
      </c>
      <c r="E629" s="11"/>
      <c r="F629" t="str">
        <f>IF(AND($A629&lt;&gt;"",COUNTIF($A$2:A629,$A629)=1),$A629,"")</f>
        <v/>
      </c>
      <c r="G629" t="str">
        <f>IF($F629&lt;&gt;"",SUMPRODUCT(($F$2:F629&lt;&gt;"")*1),"")</f>
        <v/>
      </c>
    </row>
    <row r="630" spans="1:7" ht="21.95" customHeight="1">
      <c r="A630" s="11"/>
      <c r="B630" s="11"/>
      <c r="C630" s="12"/>
      <c r="D630" s="17" t="str">
        <f>IFERROR(INDEX(المواد!$B$2:$B$320,MATCH(B630,المواد!$A$2:$A$320,0)),"")</f>
        <v/>
      </c>
      <c r="E630" s="11"/>
      <c r="F630" t="str">
        <f>IF(AND($A630&lt;&gt;"",COUNTIF($A$2:A630,$A630)=1),$A630,"")</f>
        <v/>
      </c>
      <c r="G630" t="str">
        <f>IF($F630&lt;&gt;"",SUMPRODUCT(($F$2:F630&lt;&gt;"")*1),"")</f>
        <v/>
      </c>
    </row>
    <row r="631" spans="1:7" ht="21.95" customHeight="1">
      <c r="A631" s="11"/>
      <c r="B631" s="11"/>
      <c r="C631" s="12"/>
      <c r="D631" s="17" t="str">
        <f>IFERROR(INDEX(المواد!$B$2:$B$320,MATCH(B631,المواد!$A$2:$A$320,0)),"")</f>
        <v/>
      </c>
      <c r="E631" s="11"/>
      <c r="F631" t="str">
        <f>IF(AND($A631&lt;&gt;"",COUNTIF($A$2:A631,$A631)=1),$A631,"")</f>
        <v/>
      </c>
      <c r="G631" t="str">
        <f>IF($F631&lt;&gt;"",SUMPRODUCT(($F$2:F631&lt;&gt;"")*1),"")</f>
        <v/>
      </c>
    </row>
    <row r="632" spans="1:7" ht="21.95" customHeight="1">
      <c r="A632" s="11"/>
      <c r="B632" s="11"/>
      <c r="C632" s="12"/>
      <c r="D632" s="17" t="str">
        <f>IFERROR(INDEX(المواد!$B$2:$B$320,MATCH(B632,المواد!$A$2:$A$320,0)),"")</f>
        <v/>
      </c>
      <c r="E632" s="11"/>
      <c r="F632" t="str">
        <f>IF(AND($A632&lt;&gt;"",COUNTIF($A$2:A632,$A632)=1),$A632,"")</f>
        <v/>
      </c>
      <c r="G632" t="str">
        <f>IF($F632&lt;&gt;"",SUMPRODUCT(($F$2:F632&lt;&gt;"")*1),"")</f>
        <v/>
      </c>
    </row>
    <row r="633" spans="1:7" ht="21.95" customHeight="1">
      <c r="A633" s="11"/>
      <c r="B633" s="11"/>
      <c r="C633" s="12"/>
      <c r="D633" s="17" t="str">
        <f>IFERROR(INDEX(المواد!$B$2:$B$320,MATCH(B633,المواد!$A$2:$A$320,0)),"")</f>
        <v/>
      </c>
      <c r="E633" s="11"/>
      <c r="F633" t="str">
        <f>IF(AND($A633&lt;&gt;"",COUNTIF($A$2:A633,$A633)=1),$A633,"")</f>
        <v/>
      </c>
      <c r="G633" t="str">
        <f>IF($F633&lt;&gt;"",SUMPRODUCT(($F$2:F633&lt;&gt;"")*1),"")</f>
        <v/>
      </c>
    </row>
    <row r="634" spans="1:7" ht="21.95" customHeight="1">
      <c r="A634" s="11"/>
      <c r="B634" s="11"/>
      <c r="C634" s="12"/>
      <c r="D634" s="17" t="str">
        <f>IFERROR(INDEX(المواد!$B$2:$B$320,MATCH(B634,المواد!$A$2:$A$320,0)),"")</f>
        <v/>
      </c>
      <c r="E634" s="11"/>
      <c r="F634" t="str">
        <f>IF(AND($A634&lt;&gt;"",COUNTIF($A$2:A634,$A634)=1),$A634,"")</f>
        <v/>
      </c>
      <c r="G634" t="str">
        <f>IF($F634&lt;&gt;"",SUMPRODUCT(($F$2:F634&lt;&gt;"")*1),"")</f>
        <v/>
      </c>
    </row>
    <row r="635" spans="1:7" ht="21.95" customHeight="1">
      <c r="A635" s="11"/>
      <c r="B635" s="11"/>
      <c r="C635" s="12"/>
      <c r="D635" s="17" t="str">
        <f>IFERROR(INDEX(المواد!$B$2:$B$320,MATCH(B635,المواد!$A$2:$A$320,0)),"")</f>
        <v/>
      </c>
      <c r="E635" s="11"/>
      <c r="F635" t="str">
        <f>IF(AND($A635&lt;&gt;"",COUNTIF($A$2:A635,$A635)=1),$A635,"")</f>
        <v/>
      </c>
      <c r="G635" t="str">
        <f>IF($F635&lt;&gt;"",SUMPRODUCT(($F$2:F635&lt;&gt;"")*1),"")</f>
        <v/>
      </c>
    </row>
    <row r="636" spans="1:7" ht="21.95" customHeight="1">
      <c r="A636" s="11"/>
      <c r="B636" s="11"/>
      <c r="C636" s="12"/>
      <c r="D636" s="17" t="str">
        <f>IFERROR(INDEX(المواد!$B$2:$B$320,MATCH(B636,المواد!$A$2:$A$320,0)),"")</f>
        <v/>
      </c>
      <c r="E636" s="11"/>
      <c r="F636" t="str">
        <f>IF(AND($A636&lt;&gt;"",COUNTIF($A$2:A636,$A636)=1),$A636,"")</f>
        <v/>
      </c>
      <c r="G636" t="str">
        <f>IF($F636&lt;&gt;"",SUMPRODUCT(($F$2:F636&lt;&gt;"")*1),"")</f>
        <v/>
      </c>
    </row>
    <row r="637" spans="1:7" ht="21.95" customHeight="1">
      <c r="A637" s="11"/>
      <c r="B637" s="11"/>
      <c r="C637" s="12"/>
      <c r="D637" s="17" t="str">
        <f>IFERROR(INDEX(المواد!$B$2:$B$320,MATCH(B637,المواد!$A$2:$A$320,0)),"")</f>
        <v/>
      </c>
      <c r="E637" s="11"/>
      <c r="F637" t="str">
        <f>IF(AND($A637&lt;&gt;"",COUNTIF($A$2:A637,$A637)=1),$A637,"")</f>
        <v/>
      </c>
      <c r="G637" t="str">
        <f>IF($F637&lt;&gt;"",SUMPRODUCT(($F$2:F637&lt;&gt;"")*1),"")</f>
        <v/>
      </c>
    </row>
    <row r="638" spans="1:7" ht="21.95" customHeight="1">
      <c r="A638" s="11"/>
      <c r="B638" s="11"/>
      <c r="C638" s="12"/>
      <c r="D638" s="17" t="str">
        <f>IFERROR(INDEX(المواد!$B$2:$B$320,MATCH(B638,المواد!$A$2:$A$320,0)),"")</f>
        <v/>
      </c>
      <c r="E638" s="11"/>
      <c r="F638" t="str">
        <f>IF(AND($A638&lt;&gt;"",COUNTIF($A$2:A638,$A638)=1),$A638,"")</f>
        <v/>
      </c>
      <c r="G638" t="str">
        <f>IF($F638&lt;&gt;"",SUMPRODUCT(($F$2:F638&lt;&gt;"")*1),"")</f>
        <v/>
      </c>
    </row>
    <row r="639" spans="1:7" ht="21.95" customHeight="1">
      <c r="A639" s="11"/>
      <c r="B639" s="11"/>
      <c r="C639" s="12"/>
      <c r="D639" s="17" t="str">
        <f>IFERROR(INDEX(المواد!$B$2:$B$320,MATCH(B639,المواد!$A$2:$A$320,0)),"")</f>
        <v/>
      </c>
      <c r="E639" s="11"/>
      <c r="F639" t="str">
        <f>IF(AND($A639&lt;&gt;"",COUNTIF($A$2:A639,$A639)=1),$A639,"")</f>
        <v/>
      </c>
      <c r="G639" t="str">
        <f>IF($F639&lt;&gt;"",SUMPRODUCT(($F$2:F639&lt;&gt;"")*1),"")</f>
        <v/>
      </c>
    </row>
    <row r="640" spans="1:7" ht="21.95" customHeight="1">
      <c r="A640" s="11"/>
      <c r="B640" s="11"/>
      <c r="C640" s="12"/>
      <c r="D640" s="17" t="str">
        <f>IFERROR(INDEX(المواد!$B$2:$B$320,MATCH(B640,المواد!$A$2:$A$320,0)),"")</f>
        <v/>
      </c>
      <c r="E640" s="11"/>
      <c r="F640" t="str">
        <f>IF(AND($A640&lt;&gt;"",COUNTIF($A$2:A640,$A640)=1),$A640,"")</f>
        <v/>
      </c>
      <c r="G640" t="str">
        <f>IF($F640&lt;&gt;"",SUMPRODUCT(($F$2:F640&lt;&gt;"")*1),"")</f>
        <v/>
      </c>
    </row>
    <row r="641" spans="1:7" ht="21.95" customHeight="1">
      <c r="A641" s="11"/>
      <c r="B641" s="11"/>
      <c r="C641" s="12"/>
      <c r="D641" s="17" t="str">
        <f>IFERROR(INDEX(المواد!$B$2:$B$320,MATCH(B641,المواد!$A$2:$A$320,0)),"")</f>
        <v/>
      </c>
      <c r="E641" s="11"/>
      <c r="F641" t="str">
        <f>IF(AND($A641&lt;&gt;"",COUNTIF($A$2:A641,$A641)=1),$A641,"")</f>
        <v/>
      </c>
      <c r="G641" t="str">
        <f>IF($F641&lt;&gt;"",SUMPRODUCT(($F$2:F641&lt;&gt;"")*1),"")</f>
        <v/>
      </c>
    </row>
    <row r="642" spans="1:7" ht="21.95" customHeight="1">
      <c r="A642" s="11"/>
      <c r="B642" s="11"/>
      <c r="C642" s="12"/>
      <c r="D642" s="17" t="str">
        <f>IFERROR(INDEX(المواد!$B$2:$B$320,MATCH(B642,المواد!$A$2:$A$320,0)),"")</f>
        <v/>
      </c>
      <c r="E642" s="11"/>
      <c r="F642" t="str">
        <f>IF(AND($A642&lt;&gt;"",COUNTIF($A$2:A642,$A642)=1),$A642,"")</f>
        <v/>
      </c>
      <c r="G642" t="str">
        <f>IF($F642&lt;&gt;"",SUMPRODUCT(($F$2:F642&lt;&gt;"")*1),"")</f>
        <v/>
      </c>
    </row>
    <row r="643" spans="1:7" ht="21.95" customHeight="1">
      <c r="A643" s="11"/>
      <c r="B643" s="11"/>
      <c r="C643" s="12"/>
      <c r="D643" s="17" t="str">
        <f>IFERROR(INDEX(المواد!$B$2:$B$320,MATCH(B643,المواد!$A$2:$A$320,0)),"")</f>
        <v/>
      </c>
      <c r="E643" s="11"/>
      <c r="F643" t="str">
        <f>IF(AND($A643&lt;&gt;"",COUNTIF($A$2:A643,$A643)=1),$A643,"")</f>
        <v/>
      </c>
      <c r="G643" t="str">
        <f>IF($F643&lt;&gt;"",SUMPRODUCT(($F$2:F643&lt;&gt;"")*1),"")</f>
        <v/>
      </c>
    </row>
    <row r="644" spans="1:7" ht="21.95" customHeight="1">
      <c r="A644" s="11"/>
      <c r="B644" s="11"/>
      <c r="C644" s="12"/>
      <c r="D644" s="17" t="str">
        <f>IFERROR(INDEX(المواد!$B$2:$B$320,MATCH(B644,المواد!$A$2:$A$320,0)),"")</f>
        <v/>
      </c>
      <c r="E644" s="11"/>
      <c r="F644" t="str">
        <f>IF(AND($A644&lt;&gt;"",COUNTIF($A$2:A644,$A644)=1),$A644,"")</f>
        <v/>
      </c>
      <c r="G644" t="str">
        <f>IF($F644&lt;&gt;"",SUMPRODUCT(($F$2:F644&lt;&gt;"")*1),"")</f>
        <v/>
      </c>
    </row>
    <row r="645" spans="1:7" ht="21.95" customHeight="1">
      <c r="A645" s="11"/>
      <c r="B645" s="11"/>
      <c r="C645" s="12"/>
      <c r="D645" s="17" t="str">
        <f>IFERROR(INDEX(المواد!$B$2:$B$320,MATCH(B645,المواد!$A$2:$A$320,0)),"")</f>
        <v/>
      </c>
      <c r="E645" s="11"/>
      <c r="F645" t="str">
        <f>IF(AND($A645&lt;&gt;"",COUNTIF($A$2:A645,$A645)=1),$A645,"")</f>
        <v/>
      </c>
      <c r="G645" t="str">
        <f>IF($F645&lt;&gt;"",SUMPRODUCT(($F$2:F645&lt;&gt;"")*1),"")</f>
        <v/>
      </c>
    </row>
    <row r="646" spans="1:7" ht="21.95" customHeight="1">
      <c r="A646" s="11"/>
      <c r="B646" s="11"/>
      <c r="C646" s="12"/>
      <c r="D646" s="17" t="str">
        <f>IFERROR(INDEX(المواد!$B$2:$B$320,MATCH(B646,المواد!$A$2:$A$320,0)),"")</f>
        <v/>
      </c>
      <c r="E646" s="11"/>
      <c r="F646" t="str">
        <f>IF(AND($A646&lt;&gt;"",COUNTIF($A$2:A646,$A646)=1),$A646,"")</f>
        <v/>
      </c>
      <c r="G646" t="str">
        <f>IF($F646&lt;&gt;"",SUMPRODUCT(($F$2:F646&lt;&gt;"")*1),"")</f>
        <v/>
      </c>
    </row>
    <row r="647" spans="1:7" ht="21.95" customHeight="1">
      <c r="A647" s="11"/>
      <c r="B647" s="11"/>
      <c r="C647" s="12"/>
      <c r="D647" s="17" t="str">
        <f>IFERROR(INDEX(المواد!$B$2:$B$320,MATCH(B647,المواد!$A$2:$A$320,0)),"")</f>
        <v/>
      </c>
      <c r="E647" s="11"/>
      <c r="F647" t="str">
        <f>IF(AND($A647&lt;&gt;"",COUNTIF($A$2:A647,$A647)=1),$A647,"")</f>
        <v/>
      </c>
      <c r="G647" t="str">
        <f>IF($F647&lt;&gt;"",SUMPRODUCT(($F$2:F647&lt;&gt;"")*1),"")</f>
        <v/>
      </c>
    </row>
    <row r="648" spans="1:7" ht="21.95" customHeight="1">
      <c r="A648" s="11"/>
      <c r="B648" s="11"/>
      <c r="C648" s="12"/>
      <c r="D648" s="17" t="str">
        <f>IFERROR(INDEX(المواد!$B$2:$B$320,MATCH(B648,المواد!$A$2:$A$320,0)),"")</f>
        <v/>
      </c>
      <c r="E648" s="11"/>
      <c r="F648" t="str">
        <f>IF(AND($A648&lt;&gt;"",COUNTIF($A$2:A648,$A648)=1),$A648,"")</f>
        <v/>
      </c>
      <c r="G648" t="str">
        <f>IF($F648&lt;&gt;"",SUMPRODUCT(($F$2:F648&lt;&gt;"")*1),"")</f>
        <v/>
      </c>
    </row>
    <row r="649" spans="1:7" ht="21.95" customHeight="1">
      <c r="A649" s="11"/>
      <c r="B649" s="11"/>
      <c r="C649" s="12"/>
      <c r="D649" s="17" t="str">
        <f>IFERROR(INDEX(المواد!$B$2:$B$320,MATCH(B649,المواد!$A$2:$A$320,0)),"")</f>
        <v/>
      </c>
      <c r="E649" s="11"/>
      <c r="F649" t="str">
        <f>IF(AND($A649&lt;&gt;"",COUNTIF($A$2:A649,$A649)=1),$A649,"")</f>
        <v/>
      </c>
      <c r="G649" t="str">
        <f>IF($F649&lt;&gt;"",SUMPRODUCT(($F$2:F649&lt;&gt;"")*1),"")</f>
        <v/>
      </c>
    </row>
    <row r="650" spans="1:7" ht="21.95" customHeight="1">
      <c r="A650" s="11"/>
      <c r="B650" s="11"/>
      <c r="C650" s="12"/>
      <c r="D650" s="17" t="str">
        <f>IFERROR(INDEX(المواد!$B$2:$B$320,MATCH(B650,المواد!$A$2:$A$320,0)),"")</f>
        <v/>
      </c>
      <c r="E650" s="11"/>
      <c r="F650" t="str">
        <f>IF(AND($A650&lt;&gt;"",COUNTIF($A$2:A650,$A650)=1),$A650,"")</f>
        <v/>
      </c>
      <c r="G650" t="str">
        <f>IF($F650&lt;&gt;"",SUMPRODUCT(($F$2:F650&lt;&gt;"")*1),"")</f>
        <v/>
      </c>
    </row>
    <row r="651" spans="1:7" ht="21.95" customHeight="1">
      <c r="A651" s="11"/>
      <c r="B651" s="11"/>
      <c r="C651" s="12"/>
      <c r="D651" s="17" t="str">
        <f>IFERROR(INDEX(المواد!$B$2:$B$320,MATCH(B651,المواد!$A$2:$A$320,0)),"")</f>
        <v/>
      </c>
      <c r="E651" s="11"/>
      <c r="F651" t="str">
        <f>IF(AND($A651&lt;&gt;"",COUNTIF($A$2:A651,$A651)=1),$A651,"")</f>
        <v/>
      </c>
      <c r="G651" t="str">
        <f>IF($F651&lt;&gt;"",SUMPRODUCT(($F$2:F651&lt;&gt;"")*1),"")</f>
        <v/>
      </c>
    </row>
    <row r="652" spans="1:7" ht="21.95" customHeight="1">
      <c r="A652" s="11"/>
      <c r="B652" s="11"/>
      <c r="C652" s="12"/>
      <c r="D652" s="17" t="str">
        <f>IFERROR(INDEX(المواد!$B$2:$B$320,MATCH(B652,المواد!$A$2:$A$320,0)),"")</f>
        <v/>
      </c>
      <c r="E652" s="11"/>
      <c r="F652" t="str">
        <f>IF(AND($A652&lt;&gt;"",COUNTIF($A$2:A652,$A652)=1),$A652,"")</f>
        <v/>
      </c>
      <c r="G652" t="str">
        <f>IF($F652&lt;&gt;"",SUMPRODUCT(($F$2:F652&lt;&gt;"")*1),"")</f>
        <v/>
      </c>
    </row>
    <row r="653" spans="1:7" ht="21.95" customHeight="1">
      <c r="A653" s="11"/>
      <c r="B653" s="11"/>
      <c r="C653" s="12"/>
      <c r="D653" s="17" t="str">
        <f>IFERROR(INDEX(المواد!$B$2:$B$320,MATCH(B653,المواد!$A$2:$A$320,0)),"")</f>
        <v/>
      </c>
      <c r="E653" s="11"/>
      <c r="F653" t="str">
        <f>IF(AND($A653&lt;&gt;"",COUNTIF($A$2:A653,$A653)=1),$A653,"")</f>
        <v/>
      </c>
      <c r="G653" t="str">
        <f>IF($F653&lt;&gt;"",SUMPRODUCT(($F$2:F653&lt;&gt;"")*1),"")</f>
        <v/>
      </c>
    </row>
    <row r="654" spans="1:7" ht="21.95" customHeight="1">
      <c r="A654" s="11"/>
      <c r="B654" s="11"/>
      <c r="C654" s="12"/>
      <c r="D654" s="17" t="str">
        <f>IFERROR(INDEX(المواد!$B$2:$B$320,MATCH(B654,المواد!$A$2:$A$320,0)),"")</f>
        <v/>
      </c>
      <c r="E654" s="11"/>
      <c r="F654" t="str">
        <f>IF(AND($A654&lt;&gt;"",COUNTIF($A$2:A654,$A654)=1),$A654,"")</f>
        <v/>
      </c>
      <c r="G654" t="str">
        <f>IF($F654&lt;&gt;"",SUMPRODUCT(($F$2:F654&lt;&gt;"")*1),"")</f>
        <v/>
      </c>
    </row>
    <row r="655" spans="1:7" ht="21.95" customHeight="1">
      <c r="A655" s="11"/>
      <c r="B655" s="11"/>
      <c r="C655" s="12"/>
      <c r="D655" s="17" t="str">
        <f>IFERROR(INDEX(المواد!$B$2:$B$320,MATCH(B655,المواد!$A$2:$A$320,0)),"")</f>
        <v/>
      </c>
      <c r="E655" s="11"/>
      <c r="F655" t="str">
        <f>IF(AND($A655&lt;&gt;"",COUNTIF($A$2:A655,$A655)=1),$A655,"")</f>
        <v/>
      </c>
      <c r="G655" t="str">
        <f>IF($F655&lt;&gt;"",SUMPRODUCT(($F$2:F655&lt;&gt;"")*1),"")</f>
        <v/>
      </c>
    </row>
    <row r="656" spans="1:7" ht="21.95" customHeight="1">
      <c r="A656" s="11"/>
      <c r="B656" s="11"/>
      <c r="C656" s="12"/>
      <c r="D656" s="17" t="str">
        <f>IFERROR(INDEX(المواد!$B$2:$B$320,MATCH(B656,المواد!$A$2:$A$320,0)),"")</f>
        <v/>
      </c>
      <c r="E656" s="11"/>
      <c r="F656" t="str">
        <f>IF(AND($A656&lt;&gt;"",COUNTIF($A$2:A656,$A656)=1),$A656,"")</f>
        <v/>
      </c>
      <c r="G656" t="str">
        <f>IF($F656&lt;&gt;"",SUMPRODUCT(($F$2:F656&lt;&gt;"")*1),"")</f>
        <v/>
      </c>
    </row>
    <row r="657" spans="1:7" ht="21.95" customHeight="1">
      <c r="A657" s="11"/>
      <c r="B657" s="11"/>
      <c r="C657" s="12"/>
      <c r="D657" s="17" t="str">
        <f>IFERROR(INDEX(المواد!$B$2:$B$320,MATCH(B657,المواد!$A$2:$A$320,0)),"")</f>
        <v/>
      </c>
      <c r="E657" s="11"/>
      <c r="F657" t="str">
        <f>IF(AND($A657&lt;&gt;"",COUNTIF($A$2:A657,$A657)=1),$A657,"")</f>
        <v/>
      </c>
      <c r="G657" t="str">
        <f>IF($F657&lt;&gt;"",SUMPRODUCT(($F$2:F657&lt;&gt;"")*1),"")</f>
        <v/>
      </c>
    </row>
    <row r="658" spans="1:7" ht="21.95" customHeight="1">
      <c r="A658" s="11"/>
      <c r="B658" s="11"/>
      <c r="C658" s="12"/>
      <c r="D658" s="17" t="str">
        <f>IFERROR(INDEX(المواد!$B$2:$B$320,MATCH(B658,المواد!$A$2:$A$320,0)),"")</f>
        <v/>
      </c>
      <c r="E658" s="11"/>
      <c r="F658" t="str">
        <f>IF(AND($A658&lt;&gt;"",COUNTIF($A$2:A658,$A658)=1),$A658,"")</f>
        <v/>
      </c>
      <c r="G658" t="str">
        <f>IF($F658&lt;&gt;"",SUMPRODUCT(($F$2:F658&lt;&gt;"")*1),"")</f>
        <v/>
      </c>
    </row>
    <row r="659" spans="1:7" ht="21.95" customHeight="1">
      <c r="A659" s="11"/>
      <c r="B659" s="11"/>
      <c r="C659" s="12"/>
      <c r="D659" s="17" t="str">
        <f>IFERROR(INDEX(المواد!$B$2:$B$320,MATCH(B659,المواد!$A$2:$A$320,0)),"")</f>
        <v/>
      </c>
      <c r="E659" s="11"/>
      <c r="F659" t="str">
        <f>IF(AND($A659&lt;&gt;"",COUNTIF($A$2:A659,$A659)=1),$A659,"")</f>
        <v/>
      </c>
      <c r="G659" t="str">
        <f>IF($F659&lt;&gt;"",SUMPRODUCT(($F$2:F659&lt;&gt;"")*1),"")</f>
        <v/>
      </c>
    </row>
    <row r="660" spans="1:7" ht="21.95" customHeight="1">
      <c r="A660" s="11"/>
      <c r="B660" s="11"/>
      <c r="C660" s="12"/>
      <c r="D660" s="17" t="str">
        <f>IFERROR(INDEX(المواد!$B$2:$B$320,MATCH(B660,المواد!$A$2:$A$320,0)),"")</f>
        <v/>
      </c>
      <c r="E660" s="11"/>
      <c r="F660" t="str">
        <f>IF(AND($A660&lt;&gt;"",COUNTIF($A$2:A660,$A660)=1),$A660,"")</f>
        <v/>
      </c>
      <c r="G660" t="str">
        <f>IF($F660&lt;&gt;"",SUMPRODUCT(($F$2:F660&lt;&gt;"")*1),"")</f>
        <v/>
      </c>
    </row>
    <row r="661" spans="1:7" ht="21.95" customHeight="1">
      <c r="A661" s="11"/>
      <c r="B661" s="11"/>
      <c r="C661" s="12"/>
      <c r="D661" s="17" t="str">
        <f>IFERROR(INDEX(المواد!$B$2:$B$320,MATCH(B661,المواد!$A$2:$A$320,0)),"")</f>
        <v/>
      </c>
      <c r="E661" s="11"/>
      <c r="F661" t="str">
        <f>IF(AND($A661&lt;&gt;"",COUNTIF($A$2:A661,$A661)=1),$A661,"")</f>
        <v/>
      </c>
      <c r="G661" t="str">
        <f>IF($F661&lt;&gt;"",SUMPRODUCT(($F$2:F661&lt;&gt;"")*1),"")</f>
        <v/>
      </c>
    </row>
    <row r="662" spans="1:7" ht="21.95" customHeight="1">
      <c r="A662" s="11"/>
      <c r="B662" s="11"/>
      <c r="C662" s="12"/>
      <c r="D662" s="17" t="str">
        <f>IFERROR(INDEX(المواد!$B$2:$B$320,MATCH(B662,المواد!$A$2:$A$320,0)),"")</f>
        <v/>
      </c>
      <c r="E662" s="11"/>
      <c r="F662" t="str">
        <f>IF(AND($A662&lt;&gt;"",COUNTIF($A$2:A662,$A662)=1),$A662,"")</f>
        <v/>
      </c>
      <c r="G662" t="str">
        <f>IF($F662&lt;&gt;"",SUMPRODUCT(($F$2:F662&lt;&gt;"")*1),"")</f>
        <v/>
      </c>
    </row>
    <row r="663" spans="1:7" ht="21.95" customHeight="1">
      <c r="A663" s="11"/>
      <c r="B663" s="11"/>
      <c r="C663" s="12"/>
      <c r="D663" s="17" t="str">
        <f>IFERROR(INDEX(المواد!$B$2:$B$320,MATCH(B663,المواد!$A$2:$A$320,0)),"")</f>
        <v/>
      </c>
      <c r="E663" s="11"/>
      <c r="F663" t="str">
        <f>IF(AND($A663&lt;&gt;"",COUNTIF($A$2:A663,$A663)=1),$A663,"")</f>
        <v/>
      </c>
      <c r="G663" t="str">
        <f>IF($F663&lt;&gt;"",SUMPRODUCT(($F$2:F663&lt;&gt;"")*1),"")</f>
        <v/>
      </c>
    </row>
    <row r="664" spans="1:7" ht="21.95" customHeight="1">
      <c r="A664" s="11"/>
      <c r="B664" s="11"/>
      <c r="C664" s="12"/>
      <c r="D664" s="17" t="str">
        <f>IFERROR(INDEX(المواد!$B$2:$B$320,MATCH(B664,المواد!$A$2:$A$320,0)),"")</f>
        <v/>
      </c>
      <c r="E664" s="11"/>
      <c r="F664" t="str">
        <f>IF(AND($A664&lt;&gt;"",COUNTIF($A$2:A664,$A664)=1),$A664,"")</f>
        <v/>
      </c>
      <c r="G664" t="str">
        <f>IF($F664&lt;&gt;"",SUMPRODUCT(($F$2:F664&lt;&gt;"")*1),"")</f>
        <v/>
      </c>
    </row>
    <row r="665" spans="1:7" ht="21.95" customHeight="1">
      <c r="A665" s="11"/>
      <c r="B665" s="11"/>
      <c r="C665" s="12"/>
      <c r="D665" s="17" t="str">
        <f>IFERROR(INDEX(المواد!$B$2:$B$320,MATCH(B665,المواد!$A$2:$A$320,0)),"")</f>
        <v/>
      </c>
      <c r="E665" s="11"/>
      <c r="F665" t="str">
        <f>IF(AND($A665&lt;&gt;"",COUNTIF($A$2:A665,$A665)=1),$A665,"")</f>
        <v/>
      </c>
      <c r="G665" t="str">
        <f>IF($F665&lt;&gt;"",SUMPRODUCT(($F$2:F665&lt;&gt;"")*1),"")</f>
        <v/>
      </c>
    </row>
    <row r="666" spans="1:7" ht="21.95" customHeight="1">
      <c r="A666" s="11"/>
      <c r="B666" s="11"/>
      <c r="C666" s="12"/>
      <c r="D666" s="17" t="str">
        <f>IFERROR(INDEX(المواد!$B$2:$B$320,MATCH(B666,المواد!$A$2:$A$320,0)),"")</f>
        <v/>
      </c>
      <c r="E666" s="11"/>
      <c r="F666" t="str">
        <f>IF(AND($A666&lt;&gt;"",COUNTIF($A$2:A666,$A666)=1),$A666,"")</f>
        <v/>
      </c>
      <c r="G666" t="str">
        <f>IF($F666&lt;&gt;"",SUMPRODUCT(($F$2:F666&lt;&gt;"")*1),"")</f>
        <v/>
      </c>
    </row>
    <row r="667" spans="1:7" ht="21.95" customHeight="1">
      <c r="A667" s="11"/>
      <c r="B667" s="11"/>
      <c r="C667" s="12"/>
      <c r="D667" s="17" t="str">
        <f>IFERROR(INDEX(المواد!$B$2:$B$320,MATCH(B667,المواد!$A$2:$A$320,0)),"")</f>
        <v/>
      </c>
      <c r="E667" s="11"/>
      <c r="F667" t="str">
        <f>IF(AND($A667&lt;&gt;"",COUNTIF($A$2:A667,$A667)=1),$A667,"")</f>
        <v/>
      </c>
      <c r="G667" t="str">
        <f>IF($F667&lt;&gt;"",SUMPRODUCT(($F$2:F667&lt;&gt;"")*1),"")</f>
        <v/>
      </c>
    </row>
    <row r="668" spans="1:7" ht="21.95" customHeight="1">
      <c r="A668" s="11"/>
      <c r="B668" s="11"/>
      <c r="C668" s="12"/>
      <c r="D668" s="17" t="str">
        <f>IFERROR(INDEX(المواد!$B$2:$B$320,MATCH(B668,المواد!$A$2:$A$320,0)),"")</f>
        <v/>
      </c>
      <c r="E668" s="11"/>
      <c r="F668" t="str">
        <f>IF(AND($A668&lt;&gt;"",COUNTIF($A$2:A668,$A668)=1),$A668,"")</f>
        <v/>
      </c>
      <c r="G668" t="str">
        <f>IF($F668&lt;&gt;"",SUMPRODUCT(($F$2:F668&lt;&gt;"")*1),"")</f>
        <v/>
      </c>
    </row>
    <row r="669" spans="1:7" ht="21.95" customHeight="1">
      <c r="A669" s="11"/>
      <c r="B669" s="11"/>
      <c r="C669" s="12"/>
      <c r="D669" s="17" t="str">
        <f>IFERROR(INDEX(المواد!$B$2:$B$320,MATCH(B669,المواد!$A$2:$A$320,0)),"")</f>
        <v/>
      </c>
      <c r="E669" s="11"/>
      <c r="F669" t="str">
        <f>IF(AND($A669&lt;&gt;"",COUNTIF($A$2:A669,$A669)=1),$A669,"")</f>
        <v/>
      </c>
      <c r="G669" t="str">
        <f>IF($F669&lt;&gt;"",SUMPRODUCT(($F$2:F669&lt;&gt;"")*1),"")</f>
        <v/>
      </c>
    </row>
    <row r="670" spans="1:7" ht="21.95" customHeight="1">
      <c r="A670" s="11"/>
      <c r="B670" s="11"/>
      <c r="C670" s="12"/>
      <c r="D670" s="17" t="str">
        <f>IFERROR(INDEX(المواد!$B$2:$B$320,MATCH(B670,المواد!$A$2:$A$320,0)),"")</f>
        <v/>
      </c>
      <c r="E670" s="11"/>
      <c r="F670" t="str">
        <f>IF(AND($A670&lt;&gt;"",COUNTIF($A$2:A670,$A670)=1),$A670,"")</f>
        <v/>
      </c>
      <c r="G670" t="str">
        <f>IF($F670&lt;&gt;"",SUMPRODUCT(($F$2:F670&lt;&gt;"")*1),"")</f>
        <v/>
      </c>
    </row>
    <row r="671" spans="1:7" ht="21.95" customHeight="1">
      <c r="A671" s="11"/>
      <c r="B671" s="11"/>
      <c r="C671" s="12"/>
      <c r="D671" s="17" t="str">
        <f>IFERROR(INDEX(المواد!$B$2:$B$320,MATCH(B671,المواد!$A$2:$A$320,0)),"")</f>
        <v/>
      </c>
      <c r="E671" s="11"/>
      <c r="F671" t="str">
        <f>IF(AND($A671&lt;&gt;"",COUNTIF($A$2:A671,$A671)=1),$A671,"")</f>
        <v/>
      </c>
      <c r="G671" t="str">
        <f>IF($F671&lt;&gt;"",SUMPRODUCT(($F$2:F671&lt;&gt;"")*1),"")</f>
        <v/>
      </c>
    </row>
    <row r="672" spans="1:7" ht="21.95" customHeight="1">
      <c r="A672" s="11"/>
      <c r="B672" s="11"/>
      <c r="C672" s="12"/>
      <c r="D672" s="17" t="str">
        <f>IFERROR(INDEX(المواد!$B$2:$B$320,MATCH(B672,المواد!$A$2:$A$320,0)),"")</f>
        <v/>
      </c>
      <c r="E672" s="11"/>
      <c r="F672" t="str">
        <f>IF(AND($A672&lt;&gt;"",COUNTIF($A$2:A672,$A672)=1),$A672,"")</f>
        <v/>
      </c>
      <c r="G672" t="str">
        <f>IF($F672&lt;&gt;"",SUMPRODUCT(($F$2:F672&lt;&gt;"")*1),"")</f>
        <v/>
      </c>
    </row>
    <row r="673" spans="1:7" ht="21.95" customHeight="1">
      <c r="A673" s="11"/>
      <c r="B673" s="11"/>
      <c r="C673" s="12"/>
      <c r="D673" s="17" t="str">
        <f>IFERROR(INDEX(المواد!$B$2:$B$320,MATCH(B673,المواد!$A$2:$A$320,0)),"")</f>
        <v/>
      </c>
      <c r="E673" s="11"/>
      <c r="F673" t="str">
        <f>IF(AND($A673&lt;&gt;"",COUNTIF($A$2:A673,$A673)=1),$A673,"")</f>
        <v/>
      </c>
      <c r="G673" t="str">
        <f>IF($F673&lt;&gt;"",SUMPRODUCT(($F$2:F673&lt;&gt;"")*1),"")</f>
        <v/>
      </c>
    </row>
    <row r="674" spans="1:7" ht="21.95" customHeight="1">
      <c r="A674" s="11"/>
      <c r="B674" s="11"/>
      <c r="C674" s="12"/>
      <c r="D674" s="17" t="str">
        <f>IFERROR(INDEX(المواد!$B$2:$B$320,MATCH(B674,المواد!$A$2:$A$320,0)),"")</f>
        <v/>
      </c>
      <c r="E674" s="11"/>
      <c r="F674" t="str">
        <f>IF(AND($A674&lt;&gt;"",COUNTIF($A$2:A674,$A674)=1),$A674,"")</f>
        <v/>
      </c>
      <c r="G674" t="str">
        <f>IF($F674&lt;&gt;"",SUMPRODUCT(($F$2:F674&lt;&gt;"")*1),"")</f>
        <v/>
      </c>
    </row>
    <row r="675" spans="1:7" ht="21.95" customHeight="1">
      <c r="A675" s="11"/>
      <c r="B675" s="11"/>
      <c r="C675" s="12"/>
      <c r="D675" s="17" t="str">
        <f>IFERROR(INDEX(المواد!$B$2:$B$320,MATCH(B675,المواد!$A$2:$A$320,0)),"")</f>
        <v/>
      </c>
      <c r="E675" s="11"/>
      <c r="F675" t="str">
        <f>IF(AND($A675&lt;&gt;"",COUNTIF($A$2:A675,$A675)=1),$A675,"")</f>
        <v/>
      </c>
      <c r="G675" t="str">
        <f>IF($F675&lt;&gt;"",SUMPRODUCT(($F$2:F675&lt;&gt;"")*1),"")</f>
        <v/>
      </c>
    </row>
    <row r="676" spans="1:7" ht="21.95" customHeight="1">
      <c r="A676" s="11"/>
      <c r="B676" s="11"/>
      <c r="C676" s="12"/>
      <c r="D676" s="17" t="str">
        <f>IFERROR(INDEX(المواد!$B$2:$B$320,MATCH(B676,المواد!$A$2:$A$320,0)),"")</f>
        <v/>
      </c>
      <c r="E676" s="11"/>
      <c r="F676" t="str">
        <f>IF(AND($A676&lt;&gt;"",COUNTIF($A$2:A676,$A676)=1),$A676,"")</f>
        <v/>
      </c>
      <c r="G676" t="str">
        <f>IF($F676&lt;&gt;"",SUMPRODUCT(($F$2:F676&lt;&gt;"")*1),"")</f>
        <v/>
      </c>
    </row>
    <row r="677" spans="1:7" ht="21.95" customHeight="1">
      <c r="A677" s="11"/>
      <c r="B677" s="11"/>
      <c r="C677" s="12"/>
      <c r="D677" s="17" t="str">
        <f>IFERROR(INDEX(المواد!$B$2:$B$320,MATCH(B677,المواد!$A$2:$A$320,0)),"")</f>
        <v/>
      </c>
      <c r="E677" s="11"/>
      <c r="F677" t="str">
        <f>IF(AND($A677&lt;&gt;"",COUNTIF($A$2:A677,$A677)=1),$A677,"")</f>
        <v/>
      </c>
      <c r="G677" t="str">
        <f>IF($F677&lt;&gt;"",SUMPRODUCT(($F$2:F677&lt;&gt;"")*1),"")</f>
        <v/>
      </c>
    </row>
    <row r="678" spans="1:7" ht="21.95" customHeight="1">
      <c r="A678" s="11"/>
      <c r="B678" s="11"/>
      <c r="C678" s="12"/>
      <c r="D678" s="17" t="str">
        <f>IFERROR(INDEX(المواد!$B$2:$B$320,MATCH(B678,المواد!$A$2:$A$320,0)),"")</f>
        <v/>
      </c>
      <c r="E678" s="11"/>
      <c r="F678" t="str">
        <f>IF(AND($A678&lt;&gt;"",COUNTIF($A$2:A678,$A678)=1),$A678,"")</f>
        <v/>
      </c>
      <c r="G678" t="str">
        <f>IF($F678&lt;&gt;"",SUMPRODUCT(($F$2:F678&lt;&gt;"")*1),"")</f>
        <v/>
      </c>
    </row>
    <row r="679" spans="1:7" ht="21.95" customHeight="1">
      <c r="A679" s="11"/>
      <c r="B679" s="11"/>
      <c r="C679" s="12"/>
      <c r="D679" s="17" t="str">
        <f>IFERROR(INDEX(المواد!$B$2:$B$320,MATCH(B679,المواد!$A$2:$A$320,0)),"")</f>
        <v/>
      </c>
      <c r="E679" s="11"/>
      <c r="F679" t="str">
        <f>IF(AND($A679&lt;&gt;"",COUNTIF($A$2:A679,$A679)=1),$A679,"")</f>
        <v/>
      </c>
      <c r="G679" t="str">
        <f>IF($F679&lt;&gt;"",SUMPRODUCT(($F$2:F679&lt;&gt;"")*1),"")</f>
        <v/>
      </c>
    </row>
    <row r="680" spans="1:7" ht="21.95" customHeight="1">
      <c r="A680" s="11"/>
      <c r="B680" s="11"/>
      <c r="C680" s="12"/>
      <c r="D680" s="17" t="str">
        <f>IFERROR(INDEX(المواد!$B$2:$B$320,MATCH(B680,المواد!$A$2:$A$320,0)),"")</f>
        <v/>
      </c>
      <c r="E680" s="11"/>
      <c r="F680" t="str">
        <f>IF(AND($A680&lt;&gt;"",COUNTIF($A$2:A680,$A680)=1),$A680,"")</f>
        <v/>
      </c>
      <c r="G680" t="str">
        <f>IF($F680&lt;&gt;"",SUMPRODUCT(($F$2:F680&lt;&gt;"")*1),"")</f>
        <v/>
      </c>
    </row>
    <row r="681" spans="1:7" ht="21.95" customHeight="1">
      <c r="A681" s="11"/>
      <c r="B681" s="11"/>
      <c r="C681" s="12"/>
      <c r="D681" s="17" t="str">
        <f>IFERROR(INDEX(المواد!$B$2:$B$320,MATCH(B681,المواد!$A$2:$A$320,0)),"")</f>
        <v/>
      </c>
      <c r="E681" s="11"/>
      <c r="F681" t="str">
        <f>IF(AND($A681&lt;&gt;"",COUNTIF($A$2:A681,$A681)=1),$A681,"")</f>
        <v/>
      </c>
      <c r="G681" t="str">
        <f>IF($F681&lt;&gt;"",SUMPRODUCT(($F$2:F681&lt;&gt;"")*1),"")</f>
        <v/>
      </c>
    </row>
    <row r="682" spans="1:7" ht="21.95" customHeight="1">
      <c r="A682" s="11"/>
      <c r="B682" s="11"/>
      <c r="C682" s="12"/>
      <c r="D682" s="17" t="str">
        <f>IFERROR(INDEX(المواد!$B$2:$B$320,MATCH(B682,المواد!$A$2:$A$320,0)),"")</f>
        <v/>
      </c>
      <c r="E682" s="11"/>
      <c r="F682" t="str">
        <f>IF(AND($A682&lt;&gt;"",COUNTIF($A$2:A682,$A682)=1),$A682,"")</f>
        <v/>
      </c>
      <c r="G682" t="str">
        <f>IF($F682&lt;&gt;"",SUMPRODUCT(($F$2:F682&lt;&gt;"")*1),"")</f>
        <v/>
      </c>
    </row>
    <row r="683" spans="1:7" ht="21.95" customHeight="1">
      <c r="A683" s="11"/>
      <c r="B683" s="11"/>
      <c r="C683" s="12"/>
      <c r="D683" s="17" t="str">
        <f>IFERROR(INDEX(المواد!$B$2:$B$320,MATCH(B683,المواد!$A$2:$A$320,0)),"")</f>
        <v/>
      </c>
      <c r="E683" s="11"/>
      <c r="F683" t="str">
        <f>IF(AND($A683&lt;&gt;"",COUNTIF($A$2:A683,$A683)=1),$A683,"")</f>
        <v/>
      </c>
      <c r="G683" t="str">
        <f>IF($F683&lt;&gt;"",SUMPRODUCT(($F$2:F683&lt;&gt;"")*1),"")</f>
        <v/>
      </c>
    </row>
    <row r="684" spans="1:7" ht="21.95" customHeight="1">
      <c r="A684" s="11"/>
      <c r="B684" s="11"/>
      <c r="C684" s="12"/>
      <c r="D684" s="17" t="str">
        <f>IFERROR(INDEX(المواد!$B$2:$B$320,MATCH(B684,المواد!$A$2:$A$320,0)),"")</f>
        <v/>
      </c>
      <c r="E684" s="11"/>
      <c r="F684" t="str">
        <f>IF(AND($A684&lt;&gt;"",COUNTIF($A$2:A684,$A684)=1),$A684,"")</f>
        <v/>
      </c>
      <c r="G684" t="str">
        <f>IF($F684&lt;&gt;"",SUMPRODUCT(($F$2:F684&lt;&gt;"")*1),"")</f>
        <v/>
      </c>
    </row>
    <row r="685" spans="1:7" ht="21.95" customHeight="1">
      <c r="A685" s="11"/>
      <c r="B685" s="11"/>
      <c r="C685" s="12"/>
      <c r="D685" s="17" t="str">
        <f>IFERROR(INDEX(المواد!$B$2:$B$320,MATCH(B685,المواد!$A$2:$A$320,0)),"")</f>
        <v/>
      </c>
      <c r="E685" s="11"/>
      <c r="F685" t="str">
        <f>IF(AND($A685&lt;&gt;"",COUNTIF($A$2:A685,$A685)=1),$A685,"")</f>
        <v/>
      </c>
      <c r="G685" t="str">
        <f>IF($F685&lt;&gt;"",SUMPRODUCT(($F$2:F685&lt;&gt;"")*1),"")</f>
        <v/>
      </c>
    </row>
    <row r="686" spans="1:7" ht="21.95" customHeight="1">
      <c r="A686" s="11"/>
      <c r="B686" s="11"/>
      <c r="C686" s="12"/>
      <c r="D686" s="17" t="str">
        <f>IFERROR(INDEX(المواد!$B$2:$B$320,MATCH(B686,المواد!$A$2:$A$320,0)),"")</f>
        <v/>
      </c>
      <c r="E686" s="11"/>
      <c r="F686" t="str">
        <f>IF(AND($A686&lt;&gt;"",COUNTIF($A$2:A686,$A686)=1),$A686,"")</f>
        <v/>
      </c>
      <c r="G686" t="str">
        <f>IF($F686&lt;&gt;"",SUMPRODUCT(($F$2:F686&lt;&gt;"")*1),"")</f>
        <v/>
      </c>
    </row>
    <row r="687" spans="1:7" ht="21.95" customHeight="1">
      <c r="A687" s="11"/>
      <c r="B687" s="11"/>
      <c r="C687" s="12"/>
      <c r="D687" s="17" t="str">
        <f>IFERROR(INDEX(المواد!$B$2:$B$320,MATCH(B687,المواد!$A$2:$A$320,0)),"")</f>
        <v/>
      </c>
      <c r="E687" s="11"/>
      <c r="F687" t="str">
        <f>IF(AND($A687&lt;&gt;"",COUNTIF($A$2:A687,$A687)=1),$A687,"")</f>
        <v/>
      </c>
      <c r="G687" t="str">
        <f>IF($F687&lt;&gt;"",SUMPRODUCT(($F$2:F687&lt;&gt;"")*1),"")</f>
        <v/>
      </c>
    </row>
    <row r="688" spans="1:7" ht="21.95" customHeight="1">
      <c r="A688" s="11"/>
      <c r="B688" s="11"/>
      <c r="C688" s="12"/>
      <c r="D688" s="17" t="str">
        <f>IFERROR(INDEX(المواد!$B$2:$B$320,MATCH(B688,المواد!$A$2:$A$320,0)),"")</f>
        <v/>
      </c>
      <c r="E688" s="11"/>
      <c r="F688" t="str">
        <f>IF(AND($A688&lt;&gt;"",COUNTIF($A$2:A688,$A688)=1),$A688,"")</f>
        <v/>
      </c>
      <c r="G688" t="str">
        <f>IF($F688&lt;&gt;"",SUMPRODUCT(($F$2:F688&lt;&gt;"")*1),"")</f>
        <v/>
      </c>
    </row>
    <row r="689" spans="1:7" ht="21.95" customHeight="1">
      <c r="A689" s="11"/>
      <c r="B689" s="11"/>
      <c r="C689" s="12"/>
      <c r="D689" s="17" t="str">
        <f>IFERROR(INDEX(المواد!$B$2:$B$320,MATCH(B689,المواد!$A$2:$A$320,0)),"")</f>
        <v/>
      </c>
      <c r="E689" s="11"/>
      <c r="F689" t="str">
        <f>IF(AND($A689&lt;&gt;"",COUNTIF($A$2:A689,$A689)=1),$A689,"")</f>
        <v/>
      </c>
      <c r="G689" t="str">
        <f>IF($F689&lt;&gt;"",SUMPRODUCT(($F$2:F689&lt;&gt;"")*1),"")</f>
        <v/>
      </c>
    </row>
    <row r="690" spans="1:7" ht="21.95" customHeight="1">
      <c r="A690" s="11"/>
      <c r="B690" s="11"/>
      <c r="C690" s="12"/>
      <c r="D690" s="17" t="str">
        <f>IFERROR(INDEX(المواد!$B$2:$B$320,MATCH(B690,المواد!$A$2:$A$320,0)),"")</f>
        <v/>
      </c>
      <c r="E690" s="11"/>
      <c r="F690" t="str">
        <f>IF(AND($A690&lt;&gt;"",COUNTIF($A$2:A690,$A690)=1),$A690,"")</f>
        <v/>
      </c>
      <c r="G690" t="str">
        <f>IF($F690&lt;&gt;"",SUMPRODUCT(($F$2:F690&lt;&gt;"")*1),"")</f>
        <v/>
      </c>
    </row>
    <row r="691" spans="1:7" ht="21.95" customHeight="1">
      <c r="A691" s="11"/>
      <c r="B691" s="11"/>
      <c r="C691" s="12"/>
      <c r="D691" s="17" t="str">
        <f>IFERROR(INDEX(المواد!$B$2:$B$320,MATCH(B691,المواد!$A$2:$A$320,0)),"")</f>
        <v/>
      </c>
      <c r="E691" s="11"/>
      <c r="F691" t="str">
        <f>IF(AND($A691&lt;&gt;"",COUNTIF($A$2:A691,$A691)=1),$A691,"")</f>
        <v/>
      </c>
      <c r="G691" t="str">
        <f>IF($F691&lt;&gt;"",SUMPRODUCT(($F$2:F691&lt;&gt;"")*1),"")</f>
        <v/>
      </c>
    </row>
    <row r="692" spans="1:7" ht="21.95" customHeight="1">
      <c r="A692" s="11"/>
      <c r="B692" s="11"/>
      <c r="C692" s="12"/>
      <c r="D692" s="17" t="str">
        <f>IFERROR(INDEX(المواد!$B$2:$B$320,MATCH(B692,المواد!$A$2:$A$320,0)),"")</f>
        <v/>
      </c>
      <c r="E692" s="11"/>
      <c r="F692" t="str">
        <f>IF(AND($A692&lt;&gt;"",COUNTIF($A$2:A692,$A692)=1),$A692,"")</f>
        <v/>
      </c>
      <c r="G692" t="str">
        <f>IF($F692&lt;&gt;"",SUMPRODUCT(($F$2:F692&lt;&gt;"")*1),"")</f>
        <v/>
      </c>
    </row>
    <row r="693" spans="1:7" ht="21.95" customHeight="1">
      <c r="A693" s="11"/>
      <c r="B693" s="11"/>
      <c r="C693" s="12"/>
      <c r="D693" s="17" t="str">
        <f>IFERROR(INDEX(المواد!$B$2:$B$320,MATCH(B693,المواد!$A$2:$A$320,0)),"")</f>
        <v/>
      </c>
      <c r="E693" s="11"/>
      <c r="F693" t="str">
        <f>IF(AND($A693&lt;&gt;"",COUNTIF($A$2:A693,$A693)=1),$A693,"")</f>
        <v/>
      </c>
      <c r="G693" t="str">
        <f>IF($F693&lt;&gt;"",SUMPRODUCT(($F$2:F693&lt;&gt;"")*1),"")</f>
        <v/>
      </c>
    </row>
    <row r="694" spans="1:7" ht="21.95" customHeight="1">
      <c r="A694" s="11"/>
      <c r="B694" s="11"/>
      <c r="C694" s="12"/>
      <c r="D694" s="17" t="str">
        <f>IFERROR(INDEX(المواد!$B$2:$B$320,MATCH(B694,المواد!$A$2:$A$320,0)),"")</f>
        <v/>
      </c>
      <c r="E694" s="11"/>
      <c r="F694" t="str">
        <f>IF(AND($A694&lt;&gt;"",COUNTIF($A$2:A694,$A694)=1),$A694,"")</f>
        <v/>
      </c>
      <c r="G694" t="str">
        <f>IF($F694&lt;&gt;"",SUMPRODUCT(($F$2:F694&lt;&gt;"")*1),"")</f>
        <v/>
      </c>
    </row>
    <row r="695" spans="1:7" ht="21.95" customHeight="1">
      <c r="A695" s="11"/>
      <c r="B695" s="11"/>
      <c r="C695" s="12"/>
      <c r="D695" s="17" t="str">
        <f>IFERROR(INDEX(المواد!$B$2:$B$320,MATCH(B695,المواد!$A$2:$A$320,0)),"")</f>
        <v/>
      </c>
      <c r="E695" s="11"/>
      <c r="F695" t="str">
        <f>IF(AND($A695&lt;&gt;"",COUNTIF($A$2:A695,$A695)=1),$A695,"")</f>
        <v/>
      </c>
      <c r="G695" t="str">
        <f>IF($F695&lt;&gt;"",SUMPRODUCT(($F$2:F695&lt;&gt;"")*1),"")</f>
        <v/>
      </c>
    </row>
    <row r="696" spans="1:7" ht="21.95" customHeight="1">
      <c r="A696" s="11"/>
      <c r="B696" s="11"/>
      <c r="C696" s="12"/>
      <c r="D696" s="17" t="str">
        <f>IFERROR(INDEX(المواد!$B$2:$B$320,MATCH(B696,المواد!$A$2:$A$320,0)),"")</f>
        <v/>
      </c>
      <c r="E696" s="11"/>
      <c r="F696" t="str">
        <f>IF(AND($A696&lt;&gt;"",COUNTIF($A$2:A696,$A696)=1),$A696,"")</f>
        <v/>
      </c>
      <c r="G696" t="str">
        <f>IF($F696&lt;&gt;"",SUMPRODUCT(($F$2:F696&lt;&gt;"")*1),"")</f>
        <v/>
      </c>
    </row>
    <row r="697" spans="1:7" ht="21.95" customHeight="1">
      <c r="A697" s="11"/>
      <c r="B697" s="11"/>
      <c r="C697" s="12"/>
      <c r="D697" s="17" t="str">
        <f>IFERROR(INDEX(المواد!$B$2:$B$320,MATCH(B697,المواد!$A$2:$A$320,0)),"")</f>
        <v/>
      </c>
      <c r="E697" s="11"/>
      <c r="F697" t="str">
        <f>IF(AND($A697&lt;&gt;"",COUNTIF($A$2:A697,$A697)=1),$A697,"")</f>
        <v/>
      </c>
      <c r="G697" t="str">
        <f>IF($F697&lt;&gt;"",SUMPRODUCT(($F$2:F697&lt;&gt;"")*1),"")</f>
        <v/>
      </c>
    </row>
    <row r="698" spans="1:7" ht="21.95" customHeight="1">
      <c r="A698" s="11"/>
      <c r="B698" s="11"/>
      <c r="C698" s="12"/>
      <c r="D698" s="17" t="str">
        <f>IFERROR(INDEX(المواد!$B$2:$B$320,MATCH(B698,المواد!$A$2:$A$320,0)),"")</f>
        <v/>
      </c>
      <c r="E698" s="11"/>
      <c r="F698" t="str">
        <f>IF(AND($A698&lt;&gt;"",COUNTIF($A$2:A698,$A698)=1),$A698,"")</f>
        <v/>
      </c>
      <c r="G698" t="str">
        <f>IF($F698&lt;&gt;"",SUMPRODUCT(($F$2:F698&lt;&gt;"")*1),"")</f>
        <v/>
      </c>
    </row>
    <row r="699" spans="1:7" ht="21.95" customHeight="1">
      <c r="A699" s="11"/>
      <c r="B699" s="11"/>
      <c r="C699" s="12"/>
      <c r="D699" s="17" t="str">
        <f>IFERROR(INDEX(المواد!$B$2:$B$320,MATCH(B699,المواد!$A$2:$A$320,0)),"")</f>
        <v/>
      </c>
      <c r="E699" s="11"/>
      <c r="F699" t="str">
        <f>IF(AND($A699&lt;&gt;"",COUNTIF($A$2:A699,$A699)=1),$A699,"")</f>
        <v/>
      </c>
      <c r="G699" t="str">
        <f>IF($F699&lt;&gt;"",SUMPRODUCT(($F$2:F699&lt;&gt;"")*1),"")</f>
        <v/>
      </c>
    </row>
    <row r="700" spans="1:7" ht="21.95" customHeight="1">
      <c r="A700" s="11"/>
      <c r="B700" s="11"/>
      <c r="C700" s="12"/>
      <c r="D700" s="17" t="str">
        <f>IFERROR(INDEX(المواد!$B$2:$B$320,MATCH(B700,المواد!$A$2:$A$320,0)),"")</f>
        <v/>
      </c>
      <c r="E700" s="11"/>
      <c r="F700" t="str">
        <f>IF(AND($A700&lt;&gt;"",COUNTIF($A$2:A700,$A700)=1),$A700,"")</f>
        <v/>
      </c>
      <c r="G700" t="str">
        <f>IF($F700&lt;&gt;"",SUMPRODUCT(($F$2:F700&lt;&gt;"")*1),"")</f>
        <v/>
      </c>
    </row>
    <row r="701" spans="1:7" ht="21.95" customHeight="1">
      <c r="A701" s="11"/>
      <c r="B701" s="11"/>
      <c r="C701" s="12"/>
      <c r="D701" s="17" t="str">
        <f>IFERROR(INDEX(المواد!$B$2:$B$320,MATCH(B701,المواد!$A$2:$A$320,0)),"")</f>
        <v/>
      </c>
      <c r="E701" s="11"/>
      <c r="F701" t="str">
        <f>IF(AND($A701&lt;&gt;"",COUNTIF($A$2:A701,$A701)=1),$A701,"")</f>
        <v/>
      </c>
      <c r="G701" t="str">
        <f>IF($F701&lt;&gt;"",SUMPRODUCT(($F$2:F701&lt;&gt;"")*1),"")</f>
        <v/>
      </c>
    </row>
    <row r="702" spans="1:7" ht="21.95" customHeight="1">
      <c r="A702" s="11"/>
      <c r="B702" s="11"/>
      <c r="C702" s="12"/>
      <c r="D702" s="17" t="str">
        <f>IFERROR(INDEX(المواد!$B$2:$B$320,MATCH(B702,المواد!$A$2:$A$320,0)),"")</f>
        <v/>
      </c>
      <c r="E702" s="11"/>
      <c r="F702" t="str">
        <f>IF(AND($A702&lt;&gt;"",COUNTIF($A$2:A702,$A702)=1),$A702,"")</f>
        <v/>
      </c>
      <c r="G702" t="str">
        <f>IF($F702&lt;&gt;"",SUMPRODUCT(($F$2:F702&lt;&gt;"")*1),"")</f>
        <v/>
      </c>
    </row>
    <row r="703" spans="1:7" ht="21.95" customHeight="1">
      <c r="A703" s="11"/>
      <c r="B703" s="11"/>
      <c r="C703" s="12"/>
      <c r="D703" s="17" t="str">
        <f>IFERROR(INDEX(المواد!$B$2:$B$320,MATCH(B703,المواد!$A$2:$A$320,0)),"")</f>
        <v/>
      </c>
      <c r="E703" s="11"/>
      <c r="F703" t="str">
        <f>IF(AND($A703&lt;&gt;"",COUNTIF($A$2:A703,$A703)=1),$A703,"")</f>
        <v/>
      </c>
      <c r="G703" t="str">
        <f>IF($F703&lt;&gt;"",SUMPRODUCT(($F$2:F703&lt;&gt;"")*1),"")</f>
        <v/>
      </c>
    </row>
    <row r="704" spans="1:7" ht="21.95" customHeight="1">
      <c r="A704" s="11"/>
      <c r="B704" s="11"/>
      <c r="C704" s="12"/>
      <c r="D704" s="17" t="str">
        <f>IFERROR(INDEX(المواد!$B$2:$B$320,MATCH(B704,المواد!$A$2:$A$320,0)),"")</f>
        <v/>
      </c>
      <c r="E704" s="11"/>
      <c r="F704" t="str">
        <f>IF(AND($A704&lt;&gt;"",COUNTIF($A$2:A704,$A704)=1),$A704,"")</f>
        <v/>
      </c>
      <c r="G704" t="str">
        <f>IF($F704&lt;&gt;"",SUMPRODUCT(($F$2:F704&lt;&gt;"")*1),"")</f>
        <v/>
      </c>
    </row>
    <row r="705" spans="1:7" ht="21.95" customHeight="1">
      <c r="A705" s="11"/>
      <c r="B705" s="11"/>
      <c r="C705" s="12"/>
      <c r="D705" s="17" t="str">
        <f>IFERROR(INDEX(المواد!$B$2:$B$320,MATCH(B705,المواد!$A$2:$A$320,0)),"")</f>
        <v/>
      </c>
      <c r="E705" s="11"/>
      <c r="F705" t="str">
        <f>IF(AND($A705&lt;&gt;"",COUNTIF($A$2:A705,$A705)=1),$A705,"")</f>
        <v/>
      </c>
      <c r="G705" t="str">
        <f>IF($F705&lt;&gt;"",SUMPRODUCT(($F$2:F705&lt;&gt;"")*1),"")</f>
        <v/>
      </c>
    </row>
    <row r="706" spans="1:7" ht="21.95" customHeight="1">
      <c r="A706" s="11"/>
      <c r="B706" s="11"/>
      <c r="C706" s="12"/>
      <c r="D706" s="17" t="str">
        <f>IFERROR(INDEX(المواد!$B$2:$B$320,MATCH(B706,المواد!$A$2:$A$320,0)),"")</f>
        <v/>
      </c>
      <c r="E706" s="11"/>
      <c r="F706" t="str">
        <f>IF(AND($A706&lt;&gt;"",COUNTIF($A$2:A706,$A706)=1),$A706,"")</f>
        <v/>
      </c>
      <c r="G706" t="str">
        <f>IF($F706&lt;&gt;"",SUMPRODUCT(($F$2:F706&lt;&gt;"")*1),"")</f>
        <v/>
      </c>
    </row>
    <row r="707" spans="1:7" ht="21.95" customHeight="1">
      <c r="A707" s="11"/>
      <c r="B707" s="11"/>
      <c r="C707" s="12"/>
      <c r="D707" s="17" t="str">
        <f>IFERROR(INDEX(المواد!$B$2:$B$320,MATCH(B707,المواد!$A$2:$A$320,0)),"")</f>
        <v/>
      </c>
      <c r="E707" s="11"/>
      <c r="F707" t="str">
        <f>IF(AND($A707&lt;&gt;"",COUNTIF($A$2:A707,$A707)=1),$A707,"")</f>
        <v/>
      </c>
      <c r="G707" t="str">
        <f>IF($F707&lt;&gt;"",SUMPRODUCT(($F$2:F707&lt;&gt;"")*1),"")</f>
        <v/>
      </c>
    </row>
    <row r="708" spans="1:7" ht="21.95" customHeight="1">
      <c r="A708" s="11"/>
      <c r="B708" s="11"/>
      <c r="C708" s="12"/>
      <c r="D708" s="17" t="str">
        <f>IFERROR(INDEX(المواد!$B$2:$B$320,MATCH(B708,المواد!$A$2:$A$320,0)),"")</f>
        <v/>
      </c>
      <c r="E708" s="11"/>
      <c r="F708" t="str">
        <f>IF(AND($A708&lt;&gt;"",COUNTIF($A$2:A708,$A708)=1),$A708,"")</f>
        <v/>
      </c>
      <c r="G708" t="str">
        <f>IF($F708&lt;&gt;"",SUMPRODUCT(($F$2:F708&lt;&gt;"")*1),"")</f>
        <v/>
      </c>
    </row>
    <row r="709" spans="1:7" ht="21.95" customHeight="1">
      <c r="A709" s="11"/>
      <c r="B709" s="11"/>
      <c r="C709" s="12"/>
      <c r="D709" s="17" t="str">
        <f>IFERROR(INDEX(المواد!$B$2:$B$320,MATCH(B709,المواد!$A$2:$A$320,0)),"")</f>
        <v/>
      </c>
      <c r="E709" s="11"/>
      <c r="F709" t="str">
        <f>IF(AND($A709&lt;&gt;"",COUNTIF($A$2:A709,$A709)=1),$A709,"")</f>
        <v/>
      </c>
      <c r="G709" t="str">
        <f>IF($F709&lt;&gt;"",SUMPRODUCT(($F$2:F709&lt;&gt;"")*1),"")</f>
        <v/>
      </c>
    </row>
    <row r="710" spans="1:7" ht="21.95" customHeight="1">
      <c r="A710" s="11"/>
      <c r="B710" s="11"/>
      <c r="C710" s="12"/>
      <c r="D710" s="17" t="str">
        <f>IFERROR(INDEX(المواد!$B$2:$B$320,MATCH(B710,المواد!$A$2:$A$320,0)),"")</f>
        <v/>
      </c>
      <c r="E710" s="11"/>
      <c r="F710" t="str">
        <f>IF(AND($A710&lt;&gt;"",COUNTIF($A$2:A710,$A710)=1),$A710,"")</f>
        <v/>
      </c>
      <c r="G710" t="str">
        <f>IF($F710&lt;&gt;"",SUMPRODUCT(($F$2:F710&lt;&gt;"")*1),"")</f>
        <v/>
      </c>
    </row>
    <row r="711" spans="1:7" ht="21.95" customHeight="1">
      <c r="A711" s="11"/>
      <c r="B711" s="11"/>
      <c r="C711" s="12"/>
      <c r="D711" s="17" t="str">
        <f>IFERROR(INDEX(المواد!$B$2:$B$320,MATCH(B711,المواد!$A$2:$A$320,0)),"")</f>
        <v/>
      </c>
      <c r="E711" s="11"/>
      <c r="F711" t="str">
        <f>IF(AND($A711&lt;&gt;"",COUNTIF($A$2:A711,$A711)=1),$A711,"")</f>
        <v/>
      </c>
      <c r="G711" t="str">
        <f>IF($F711&lt;&gt;"",SUMPRODUCT(($F$2:F711&lt;&gt;"")*1),"")</f>
        <v/>
      </c>
    </row>
    <row r="712" spans="1:7" ht="21.95" customHeight="1">
      <c r="A712" s="11"/>
      <c r="B712" s="11"/>
      <c r="C712" s="12"/>
      <c r="D712" s="17" t="str">
        <f>IFERROR(INDEX(المواد!$B$2:$B$320,MATCH(B712,المواد!$A$2:$A$320,0)),"")</f>
        <v/>
      </c>
      <c r="E712" s="11"/>
      <c r="F712" t="str">
        <f>IF(AND($A712&lt;&gt;"",COUNTIF($A$2:A712,$A712)=1),$A712,"")</f>
        <v/>
      </c>
      <c r="G712" t="str">
        <f>IF($F712&lt;&gt;"",SUMPRODUCT(($F$2:F712&lt;&gt;"")*1),"")</f>
        <v/>
      </c>
    </row>
    <row r="713" spans="1:7" ht="21.95" customHeight="1">
      <c r="A713" s="11"/>
      <c r="B713" s="11"/>
      <c r="C713" s="12"/>
      <c r="D713" s="17" t="str">
        <f>IFERROR(INDEX(المواد!$B$2:$B$320,MATCH(B713,المواد!$A$2:$A$320,0)),"")</f>
        <v/>
      </c>
      <c r="E713" s="11"/>
      <c r="F713" t="str">
        <f>IF(AND($A713&lt;&gt;"",COUNTIF($A$2:A713,$A713)=1),$A713,"")</f>
        <v/>
      </c>
      <c r="G713" t="str">
        <f>IF($F713&lt;&gt;"",SUMPRODUCT(($F$2:F713&lt;&gt;"")*1),"")</f>
        <v/>
      </c>
    </row>
    <row r="714" spans="1:7" ht="21.95" customHeight="1">
      <c r="A714" s="11"/>
      <c r="B714" s="11"/>
      <c r="C714" s="12"/>
      <c r="D714" s="17" t="str">
        <f>IFERROR(INDEX(المواد!$B$2:$B$320,MATCH(B714,المواد!$A$2:$A$320,0)),"")</f>
        <v/>
      </c>
      <c r="E714" s="11"/>
      <c r="F714" t="str">
        <f>IF(AND($A714&lt;&gt;"",COUNTIF($A$2:A714,$A714)=1),$A714,"")</f>
        <v/>
      </c>
      <c r="G714" t="str">
        <f>IF($F714&lt;&gt;"",SUMPRODUCT(($F$2:F714&lt;&gt;"")*1),"")</f>
        <v/>
      </c>
    </row>
    <row r="715" spans="1:7" ht="21.95" customHeight="1">
      <c r="A715" s="11"/>
      <c r="B715" s="11"/>
      <c r="C715" s="12"/>
      <c r="D715" s="17" t="str">
        <f>IFERROR(INDEX(المواد!$B$2:$B$320,MATCH(B715,المواد!$A$2:$A$320,0)),"")</f>
        <v/>
      </c>
      <c r="E715" s="11"/>
      <c r="F715" t="str">
        <f>IF(AND($A715&lt;&gt;"",COUNTIF($A$2:A715,$A715)=1),$A715,"")</f>
        <v/>
      </c>
      <c r="G715" t="str">
        <f>IF($F715&lt;&gt;"",SUMPRODUCT(($F$2:F715&lt;&gt;"")*1),"")</f>
        <v/>
      </c>
    </row>
    <row r="716" spans="1:7" ht="21.95" customHeight="1">
      <c r="A716" s="11"/>
      <c r="B716" s="11"/>
      <c r="C716" s="12"/>
      <c r="D716" s="17" t="str">
        <f>IFERROR(INDEX(المواد!$B$2:$B$320,MATCH(B716,المواد!$A$2:$A$320,0)),"")</f>
        <v/>
      </c>
      <c r="E716" s="11"/>
      <c r="F716" t="str">
        <f>IF(AND($A716&lt;&gt;"",COUNTIF($A$2:A716,$A716)=1),$A716,"")</f>
        <v/>
      </c>
      <c r="G716" t="str">
        <f>IF($F716&lt;&gt;"",SUMPRODUCT(($F$2:F716&lt;&gt;"")*1),"")</f>
        <v/>
      </c>
    </row>
    <row r="717" spans="1:7" ht="21.95" customHeight="1">
      <c r="A717" s="11"/>
      <c r="B717" s="11"/>
      <c r="C717" s="12"/>
      <c r="D717" s="17" t="str">
        <f>IFERROR(INDEX(المواد!$B$2:$B$320,MATCH(B717,المواد!$A$2:$A$320,0)),"")</f>
        <v/>
      </c>
      <c r="E717" s="11"/>
      <c r="F717" t="str">
        <f>IF(AND($A717&lt;&gt;"",COUNTIF($A$2:A717,$A717)=1),$A717,"")</f>
        <v/>
      </c>
      <c r="G717" t="str">
        <f>IF($F717&lt;&gt;"",SUMPRODUCT(($F$2:F717&lt;&gt;"")*1),"")</f>
        <v/>
      </c>
    </row>
    <row r="718" spans="1:7" ht="21.95" customHeight="1">
      <c r="A718" s="11"/>
      <c r="B718" s="11"/>
      <c r="C718" s="12"/>
      <c r="D718" s="17" t="str">
        <f>IFERROR(INDEX(المواد!$B$2:$B$320,MATCH(B718,المواد!$A$2:$A$320,0)),"")</f>
        <v/>
      </c>
      <c r="E718" s="11"/>
      <c r="F718" t="str">
        <f>IF(AND($A718&lt;&gt;"",COUNTIF($A$2:A718,$A718)=1),$A718,"")</f>
        <v/>
      </c>
      <c r="G718" t="str">
        <f>IF($F718&lt;&gt;"",SUMPRODUCT(($F$2:F718&lt;&gt;"")*1),"")</f>
        <v/>
      </c>
    </row>
    <row r="719" spans="1:7" ht="21.95" customHeight="1">
      <c r="A719" s="11"/>
      <c r="B719" s="11"/>
      <c r="C719" s="12"/>
      <c r="D719" s="17" t="str">
        <f>IFERROR(INDEX(المواد!$B$2:$B$320,MATCH(B719,المواد!$A$2:$A$320,0)),"")</f>
        <v/>
      </c>
      <c r="E719" s="11"/>
      <c r="F719" t="str">
        <f>IF(AND($A719&lt;&gt;"",COUNTIF($A$2:A719,$A719)=1),$A719,"")</f>
        <v/>
      </c>
      <c r="G719" t="str">
        <f>IF($F719&lt;&gt;"",SUMPRODUCT(($F$2:F719&lt;&gt;"")*1),"")</f>
        <v/>
      </c>
    </row>
    <row r="720" spans="1:7" ht="21.95" customHeight="1">
      <c r="A720" s="11"/>
      <c r="B720" s="11"/>
      <c r="C720" s="12"/>
      <c r="D720" s="17" t="str">
        <f>IFERROR(INDEX(المواد!$B$2:$B$320,MATCH(B720,المواد!$A$2:$A$320,0)),"")</f>
        <v/>
      </c>
      <c r="E720" s="11"/>
      <c r="F720" t="str">
        <f>IF(AND($A720&lt;&gt;"",COUNTIF($A$2:A720,$A720)=1),$A720,"")</f>
        <v/>
      </c>
      <c r="G720" t="str">
        <f>IF($F720&lt;&gt;"",SUMPRODUCT(($F$2:F720&lt;&gt;"")*1),"")</f>
        <v/>
      </c>
    </row>
    <row r="721" spans="1:7" ht="21.95" customHeight="1">
      <c r="A721" s="11"/>
      <c r="B721" s="11"/>
      <c r="C721" s="12"/>
      <c r="D721" s="17" t="str">
        <f>IFERROR(INDEX(المواد!$B$2:$B$320,MATCH(B721,المواد!$A$2:$A$320,0)),"")</f>
        <v/>
      </c>
      <c r="E721" s="11"/>
      <c r="F721" t="str">
        <f>IF(AND($A721&lt;&gt;"",COUNTIF($A$2:A721,$A721)=1),$A721,"")</f>
        <v/>
      </c>
      <c r="G721" t="str">
        <f>IF($F721&lt;&gt;"",SUMPRODUCT(($F$2:F721&lt;&gt;"")*1),"")</f>
        <v/>
      </c>
    </row>
    <row r="722" spans="1:7" ht="21.95" customHeight="1">
      <c r="A722" s="11"/>
      <c r="B722" s="11"/>
      <c r="C722" s="12"/>
      <c r="D722" s="17" t="str">
        <f>IFERROR(INDEX(المواد!$B$2:$B$320,MATCH(B722,المواد!$A$2:$A$320,0)),"")</f>
        <v/>
      </c>
      <c r="E722" s="11"/>
      <c r="F722" t="str">
        <f>IF(AND($A722&lt;&gt;"",COUNTIF($A$2:A722,$A722)=1),$A722,"")</f>
        <v/>
      </c>
      <c r="G722" t="str">
        <f>IF($F722&lt;&gt;"",SUMPRODUCT(($F$2:F722&lt;&gt;"")*1),"")</f>
        <v/>
      </c>
    </row>
    <row r="723" spans="1:7" ht="21.95" customHeight="1">
      <c r="A723" s="11"/>
      <c r="B723" s="11"/>
      <c r="C723" s="12"/>
      <c r="D723" s="17" t="str">
        <f>IFERROR(INDEX(المواد!$B$2:$B$320,MATCH(B723,المواد!$A$2:$A$320,0)),"")</f>
        <v/>
      </c>
      <c r="E723" s="11"/>
      <c r="F723" t="str">
        <f>IF(AND($A723&lt;&gt;"",COUNTIF($A$2:A723,$A723)=1),$A723,"")</f>
        <v/>
      </c>
      <c r="G723" t="str">
        <f>IF($F723&lt;&gt;"",SUMPRODUCT(($F$2:F723&lt;&gt;"")*1),"")</f>
        <v/>
      </c>
    </row>
    <row r="724" spans="1:7" ht="21.95" customHeight="1">
      <c r="A724" s="11"/>
      <c r="B724" s="11"/>
      <c r="C724" s="12"/>
      <c r="D724" s="17" t="str">
        <f>IFERROR(INDEX(المواد!$B$2:$B$320,MATCH(B724,المواد!$A$2:$A$320,0)),"")</f>
        <v/>
      </c>
      <c r="E724" s="11"/>
      <c r="F724" t="str">
        <f>IF(AND($A724&lt;&gt;"",COUNTIF($A$2:A724,$A724)=1),$A724,"")</f>
        <v/>
      </c>
      <c r="G724" t="str">
        <f>IF($F724&lt;&gt;"",SUMPRODUCT(($F$2:F724&lt;&gt;"")*1),"")</f>
        <v/>
      </c>
    </row>
    <row r="725" spans="1:7" ht="21.95" customHeight="1">
      <c r="A725" s="11"/>
      <c r="B725" s="11"/>
      <c r="C725" s="12"/>
      <c r="D725" s="17" t="str">
        <f>IFERROR(INDEX(المواد!$B$2:$B$320,MATCH(B725,المواد!$A$2:$A$320,0)),"")</f>
        <v/>
      </c>
      <c r="E725" s="11"/>
      <c r="F725" t="str">
        <f>IF(AND($A725&lt;&gt;"",COUNTIF($A$2:A725,$A725)=1),$A725,"")</f>
        <v/>
      </c>
      <c r="G725" t="str">
        <f>IF($F725&lt;&gt;"",SUMPRODUCT(($F$2:F725&lt;&gt;"")*1),"")</f>
        <v/>
      </c>
    </row>
    <row r="726" spans="1:7" ht="21.95" customHeight="1">
      <c r="A726" s="11"/>
      <c r="B726" s="11"/>
      <c r="C726" s="12"/>
      <c r="D726" s="17" t="str">
        <f>IFERROR(INDEX(المواد!$B$2:$B$320,MATCH(B726,المواد!$A$2:$A$320,0)),"")</f>
        <v/>
      </c>
      <c r="E726" s="11"/>
      <c r="F726" t="str">
        <f>IF(AND($A726&lt;&gt;"",COUNTIF($A$2:A726,$A726)=1),$A726,"")</f>
        <v/>
      </c>
      <c r="G726" t="str">
        <f>IF($F726&lt;&gt;"",SUMPRODUCT(($F$2:F726&lt;&gt;"")*1),"")</f>
        <v/>
      </c>
    </row>
    <row r="727" spans="1:7" ht="21.95" customHeight="1">
      <c r="A727" s="11"/>
      <c r="B727" s="11"/>
      <c r="C727" s="12"/>
      <c r="D727" s="17" t="str">
        <f>IFERROR(INDEX(المواد!$B$2:$B$320,MATCH(B727,المواد!$A$2:$A$320,0)),"")</f>
        <v/>
      </c>
      <c r="E727" s="11"/>
      <c r="F727" t="str">
        <f>IF(AND($A727&lt;&gt;"",COUNTIF($A$2:A727,$A727)=1),$A727,"")</f>
        <v/>
      </c>
      <c r="G727" t="str">
        <f>IF($F727&lt;&gt;"",SUMPRODUCT(($F$2:F727&lt;&gt;"")*1),"")</f>
        <v/>
      </c>
    </row>
    <row r="728" spans="1:7" ht="21.95" customHeight="1">
      <c r="A728" s="11"/>
      <c r="B728" s="11"/>
      <c r="C728" s="12"/>
      <c r="D728" s="17" t="str">
        <f>IFERROR(INDEX(المواد!$B$2:$B$320,MATCH(B728,المواد!$A$2:$A$320,0)),"")</f>
        <v/>
      </c>
      <c r="E728" s="11"/>
      <c r="F728" t="str">
        <f>IF(AND($A728&lt;&gt;"",COUNTIF($A$2:A728,$A728)=1),$A728,"")</f>
        <v/>
      </c>
      <c r="G728" t="str">
        <f>IF($F728&lt;&gt;"",SUMPRODUCT(($F$2:F728&lt;&gt;"")*1),"")</f>
        <v/>
      </c>
    </row>
    <row r="729" spans="1:7" ht="21.95" customHeight="1">
      <c r="A729" s="11"/>
      <c r="B729" s="11"/>
      <c r="C729" s="12"/>
      <c r="D729" s="17" t="str">
        <f>IFERROR(INDEX(المواد!$B$2:$B$320,MATCH(B729,المواد!$A$2:$A$320,0)),"")</f>
        <v/>
      </c>
      <c r="E729" s="11"/>
      <c r="F729" t="str">
        <f>IF(AND($A729&lt;&gt;"",COUNTIF($A$2:A729,$A729)=1),$A729,"")</f>
        <v/>
      </c>
      <c r="G729" t="str">
        <f>IF($F729&lt;&gt;"",SUMPRODUCT(($F$2:F729&lt;&gt;"")*1),"")</f>
        <v/>
      </c>
    </row>
    <row r="730" spans="1:7" ht="21.95" customHeight="1">
      <c r="A730" s="11"/>
      <c r="B730" s="11"/>
      <c r="C730" s="12"/>
      <c r="D730" s="17" t="str">
        <f>IFERROR(INDEX(المواد!$B$2:$B$320,MATCH(B730,المواد!$A$2:$A$320,0)),"")</f>
        <v/>
      </c>
      <c r="E730" s="11"/>
      <c r="F730" t="str">
        <f>IF(AND($A730&lt;&gt;"",COUNTIF($A$2:A730,$A730)=1),$A730,"")</f>
        <v/>
      </c>
      <c r="G730" t="str">
        <f>IF($F730&lt;&gt;"",SUMPRODUCT(($F$2:F730&lt;&gt;"")*1),"")</f>
        <v/>
      </c>
    </row>
    <row r="731" spans="1:7" ht="21.95" customHeight="1">
      <c r="A731" s="11"/>
      <c r="B731" s="11"/>
      <c r="C731" s="12"/>
      <c r="D731" s="17" t="str">
        <f>IFERROR(INDEX(المواد!$B$2:$B$320,MATCH(B731,المواد!$A$2:$A$320,0)),"")</f>
        <v/>
      </c>
      <c r="E731" s="11"/>
      <c r="F731" t="str">
        <f>IF(AND($A731&lt;&gt;"",COUNTIF($A$2:A731,$A731)=1),$A731,"")</f>
        <v/>
      </c>
      <c r="G731" t="str">
        <f>IF($F731&lt;&gt;"",SUMPRODUCT(($F$2:F731&lt;&gt;"")*1),"")</f>
        <v/>
      </c>
    </row>
    <row r="732" spans="1:7" ht="21.95" customHeight="1">
      <c r="A732" s="11"/>
      <c r="B732" s="11"/>
      <c r="C732" s="12"/>
      <c r="D732" s="17" t="str">
        <f>IFERROR(INDEX(المواد!$B$2:$B$320,MATCH(B732,المواد!$A$2:$A$320,0)),"")</f>
        <v/>
      </c>
      <c r="E732" s="11"/>
      <c r="F732" t="str">
        <f>IF(AND($A732&lt;&gt;"",COUNTIF($A$2:A732,$A732)=1),$A732,"")</f>
        <v/>
      </c>
      <c r="G732" t="str">
        <f>IF($F732&lt;&gt;"",SUMPRODUCT(($F$2:F732&lt;&gt;"")*1),"")</f>
        <v/>
      </c>
    </row>
    <row r="733" spans="1:7" ht="21.95" customHeight="1">
      <c r="A733" s="11"/>
      <c r="B733" s="11"/>
      <c r="C733" s="12"/>
      <c r="D733" s="17" t="str">
        <f>IFERROR(INDEX(المواد!$B$2:$B$320,MATCH(B733,المواد!$A$2:$A$320,0)),"")</f>
        <v/>
      </c>
      <c r="E733" s="11"/>
      <c r="F733" t="str">
        <f>IF(AND($A733&lt;&gt;"",COUNTIF($A$2:A733,$A733)=1),$A733,"")</f>
        <v/>
      </c>
      <c r="G733" t="str">
        <f>IF($F733&lt;&gt;"",SUMPRODUCT(($F$2:F733&lt;&gt;"")*1),"")</f>
        <v/>
      </c>
    </row>
    <row r="734" spans="1:7" ht="21.95" customHeight="1">
      <c r="A734" s="11"/>
      <c r="B734" s="11"/>
      <c r="C734" s="12"/>
      <c r="D734" s="17" t="str">
        <f>IFERROR(INDEX(المواد!$B$2:$B$320,MATCH(B734,المواد!$A$2:$A$320,0)),"")</f>
        <v/>
      </c>
      <c r="E734" s="11"/>
      <c r="F734" t="str">
        <f>IF(AND($A734&lt;&gt;"",COUNTIF($A$2:A734,$A734)=1),$A734,"")</f>
        <v/>
      </c>
      <c r="G734" t="str">
        <f>IF($F734&lt;&gt;"",SUMPRODUCT(($F$2:F734&lt;&gt;"")*1),"")</f>
        <v/>
      </c>
    </row>
    <row r="735" spans="1:7" ht="21.95" customHeight="1">
      <c r="A735" s="11"/>
      <c r="B735" s="11"/>
      <c r="C735" s="12"/>
      <c r="D735" s="17" t="str">
        <f>IFERROR(INDEX(المواد!$B$2:$B$320,MATCH(B735,المواد!$A$2:$A$320,0)),"")</f>
        <v/>
      </c>
      <c r="E735" s="11"/>
      <c r="F735" t="str">
        <f>IF(AND($A735&lt;&gt;"",COUNTIF($A$2:A735,$A735)=1),$A735,"")</f>
        <v/>
      </c>
      <c r="G735" t="str">
        <f>IF($F735&lt;&gt;"",SUMPRODUCT(($F$2:F735&lt;&gt;"")*1),"")</f>
        <v/>
      </c>
    </row>
    <row r="736" spans="1:7" ht="21.95" customHeight="1">
      <c r="A736" s="11"/>
      <c r="B736" s="11"/>
      <c r="C736" s="12"/>
      <c r="D736" s="17" t="str">
        <f>IFERROR(INDEX(المواد!$B$2:$B$320,MATCH(B736,المواد!$A$2:$A$320,0)),"")</f>
        <v/>
      </c>
      <c r="E736" s="11"/>
      <c r="F736" t="str">
        <f>IF(AND($A736&lt;&gt;"",COUNTIF($A$2:A736,$A736)=1),$A736,"")</f>
        <v/>
      </c>
      <c r="G736" t="str">
        <f>IF($F736&lt;&gt;"",SUMPRODUCT(($F$2:F736&lt;&gt;"")*1),"")</f>
        <v/>
      </c>
    </row>
    <row r="737" spans="1:7" ht="21.95" customHeight="1">
      <c r="A737" s="11"/>
      <c r="B737" s="11"/>
      <c r="C737" s="12"/>
      <c r="D737" s="17" t="str">
        <f>IFERROR(INDEX(المواد!$B$2:$B$320,MATCH(B737,المواد!$A$2:$A$320,0)),"")</f>
        <v/>
      </c>
      <c r="E737" s="11"/>
      <c r="F737" t="str">
        <f>IF(AND($A737&lt;&gt;"",COUNTIF($A$2:A737,$A737)=1),$A737,"")</f>
        <v/>
      </c>
      <c r="G737" t="str">
        <f>IF($F737&lt;&gt;"",SUMPRODUCT(($F$2:F737&lt;&gt;"")*1),"")</f>
        <v/>
      </c>
    </row>
    <row r="738" spans="1:7" ht="21.95" customHeight="1">
      <c r="A738" s="11"/>
      <c r="B738" s="11"/>
      <c r="C738" s="12"/>
      <c r="D738" s="17" t="str">
        <f>IFERROR(INDEX(المواد!$B$2:$B$320,MATCH(B738,المواد!$A$2:$A$320,0)),"")</f>
        <v/>
      </c>
      <c r="E738" s="11"/>
      <c r="F738" t="str">
        <f>IF(AND($A738&lt;&gt;"",COUNTIF($A$2:A738,$A738)=1),$A738,"")</f>
        <v/>
      </c>
      <c r="G738" t="str">
        <f>IF($F738&lt;&gt;"",SUMPRODUCT(($F$2:F738&lt;&gt;"")*1),"")</f>
        <v/>
      </c>
    </row>
    <row r="739" spans="1:7" ht="21.95" customHeight="1">
      <c r="A739" s="11"/>
      <c r="B739" s="11"/>
      <c r="C739" s="12"/>
      <c r="D739" s="17" t="str">
        <f>IFERROR(INDEX(المواد!$B$2:$B$320,MATCH(B739,المواد!$A$2:$A$320,0)),"")</f>
        <v/>
      </c>
      <c r="E739" s="11"/>
      <c r="F739" t="str">
        <f>IF(AND($A739&lt;&gt;"",COUNTIF($A$2:A739,$A739)=1),$A739,"")</f>
        <v/>
      </c>
      <c r="G739" t="str">
        <f>IF($F739&lt;&gt;"",SUMPRODUCT(($F$2:F739&lt;&gt;"")*1),"")</f>
        <v/>
      </c>
    </row>
    <row r="740" spans="1:7" ht="21.95" customHeight="1">
      <c r="A740" s="11"/>
      <c r="B740" s="11"/>
      <c r="C740" s="12"/>
      <c r="D740" s="17" t="str">
        <f>IFERROR(INDEX(المواد!$B$2:$B$320,MATCH(B740,المواد!$A$2:$A$320,0)),"")</f>
        <v/>
      </c>
      <c r="E740" s="11"/>
      <c r="F740" t="str">
        <f>IF(AND($A740&lt;&gt;"",COUNTIF($A$2:A740,$A740)=1),$A740,"")</f>
        <v/>
      </c>
      <c r="G740" t="str">
        <f>IF($F740&lt;&gt;"",SUMPRODUCT(($F$2:F740&lt;&gt;"")*1),"")</f>
        <v/>
      </c>
    </row>
    <row r="741" spans="1:7" ht="21.95" customHeight="1">
      <c r="A741" s="11"/>
      <c r="B741" s="11"/>
      <c r="C741" s="12"/>
      <c r="D741" s="17" t="str">
        <f>IFERROR(INDEX(المواد!$B$2:$B$320,MATCH(B741,المواد!$A$2:$A$320,0)),"")</f>
        <v/>
      </c>
      <c r="E741" s="11"/>
      <c r="F741" t="str">
        <f>IF(AND($A741&lt;&gt;"",COUNTIF($A$2:A741,$A741)=1),$A741,"")</f>
        <v/>
      </c>
      <c r="G741" t="str">
        <f>IF($F741&lt;&gt;"",SUMPRODUCT(($F$2:F741&lt;&gt;"")*1),"")</f>
        <v/>
      </c>
    </row>
    <row r="742" spans="1:7" ht="21.95" customHeight="1">
      <c r="A742" s="11"/>
      <c r="B742" s="11"/>
      <c r="C742" s="12"/>
      <c r="D742" s="17" t="str">
        <f>IFERROR(INDEX(المواد!$B$2:$B$320,MATCH(B742,المواد!$A$2:$A$320,0)),"")</f>
        <v/>
      </c>
      <c r="E742" s="11"/>
      <c r="F742" t="str">
        <f>IF(AND($A742&lt;&gt;"",COUNTIF($A$2:A742,$A742)=1),$A742,"")</f>
        <v/>
      </c>
      <c r="G742" t="str">
        <f>IF($F742&lt;&gt;"",SUMPRODUCT(($F$2:F742&lt;&gt;"")*1),"")</f>
        <v/>
      </c>
    </row>
    <row r="743" spans="1:7" ht="21.95" customHeight="1">
      <c r="A743" s="11"/>
      <c r="B743" s="11"/>
      <c r="C743" s="12"/>
      <c r="D743" s="17" t="str">
        <f>IFERROR(INDEX(المواد!$B$2:$B$320,MATCH(B743,المواد!$A$2:$A$320,0)),"")</f>
        <v/>
      </c>
      <c r="E743" s="11"/>
      <c r="F743" t="str">
        <f>IF(AND($A743&lt;&gt;"",COUNTIF($A$2:A743,$A743)=1),$A743,"")</f>
        <v/>
      </c>
      <c r="G743" t="str">
        <f>IF($F743&lt;&gt;"",SUMPRODUCT(($F$2:F743&lt;&gt;"")*1),"")</f>
        <v/>
      </c>
    </row>
    <row r="744" spans="1:7" ht="21.95" customHeight="1">
      <c r="A744" s="11"/>
      <c r="B744" s="11"/>
      <c r="C744" s="12"/>
      <c r="D744" s="17" t="str">
        <f>IFERROR(INDEX(المواد!$B$2:$B$320,MATCH(B744,المواد!$A$2:$A$320,0)),"")</f>
        <v/>
      </c>
      <c r="E744" s="11"/>
      <c r="F744" t="str">
        <f>IF(AND($A744&lt;&gt;"",COUNTIF($A$2:A744,$A744)=1),$A744,"")</f>
        <v/>
      </c>
      <c r="G744" t="str">
        <f>IF($F744&lt;&gt;"",SUMPRODUCT(($F$2:F744&lt;&gt;"")*1),"")</f>
        <v/>
      </c>
    </row>
    <row r="745" spans="1:7" ht="21.95" customHeight="1">
      <c r="A745" s="11"/>
      <c r="B745" s="11"/>
      <c r="C745" s="12"/>
      <c r="D745" s="17" t="str">
        <f>IFERROR(INDEX(المواد!$B$2:$B$320,MATCH(B745,المواد!$A$2:$A$320,0)),"")</f>
        <v/>
      </c>
      <c r="E745" s="11"/>
      <c r="F745" t="str">
        <f>IF(AND($A745&lt;&gt;"",COUNTIF($A$2:A745,$A745)=1),$A745,"")</f>
        <v/>
      </c>
      <c r="G745" t="str">
        <f>IF($F745&lt;&gt;"",SUMPRODUCT(($F$2:F745&lt;&gt;"")*1),"")</f>
        <v/>
      </c>
    </row>
    <row r="746" spans="1:7" ht="21.95" customHeight="1">
      <c r="A746" s="11"/>
      <c r="B746" s="11"/>
      <c r="C746" s="12"/>
      <c r="D746" s="17" t="str">
        <f>IFERROR(INDEX(المواد!$B$2:$B$320,MATCH(B746,المواد!$A$2:$A$320,0)),"")</f>
        <v/>
      </c>
      <c r="E746" s="11"/>
      <c r="F746" t="str">
        <f>IF(AND($A746&lt;&gt;"",COUNTIF($A$2:A746,$A746)=1),$A746,"")</f>
        <v/>
      </c>
      <c r="G746" t="str">
        <f>IF($F746&lt;&gt;"",SUMPRODUCT(($F$2:F746&lt;&gt;"")*1),"")</f>
        <v/>
      </c>
    </row>
    <row r="747" spans="1:7" ht="21.95" customHeight="1">
      <c r="A747" s="11"/>
      <c r="B747" s="11"/>
      <c r="C747" s="12"/>
      <c r="D747" s="17" t="str">
        <f>IFERROR(INDEX(المواد!$B$2:$B$320,MATCH(B747,المواد!$A$2:$A$320,0)),"")</f>
        <v/>
      </c>
      <c r="E747" s="11"/>
      <c r="F747" t="str">
        <f>IF(AND($A747&lt;&gt;"",COUNTIF($A$2:A747,$A747)=1),$A747,"")</f>
        <v/>
      </c>
      <c r="G747" t="str">
        <f>IF($F747&lt;&gt;"",SUMPRODUCT(($F$2:F747&lt;&gt;"")*1),"")</f>
        <v/>
      </c>
    </row>
    <row r="748" spans="1:7" ht="21.95" customHeight="1">
      <c r="A748" s="11"/>
      <c r="B748" s="11"/>
      <c r="C748" s="12"/>
      <c r="D748" s="17" t="str">
        <f>IFERROR(INDEX(المواد!$B$2:$B$320,MATCH(B748,المواد!$A$2:$A$320,0)),"")</f>
        <v/>
      </c>
      <c r="E748" s="11"/>
      <c r="F748" t="str">
        <f>IF(AND($A748&lt;&gt;"",COUNTIF($A$2:A748,$A748)=1),$A748,"")</f>
        <v/>
      </c>
      <c r="G748" t="str">
        <f>IF($F748&lt;&gt;"",SUMPRODUCT(($F$2:F748&lt;&gt;"")*1),"")</f>
        <v/>
      </c>
    </row>
    <row r="749" spans="1:7" ht="21.95" customHeight="1">
      <c r="A749" s="11"/>
      <c r="B749" s="11"/>
      <c r="C749" s="12"/>
      <c r="D749" s="17" t="str">
        <f>IFERROR(INDEX(المواد!$B$2:$B$320,MATCH(B749,المواد!$A$2:$A$320,0)),"")</f>
        <v/>
      </c>
      <c r="E749" s="11"/>
      <c r="F749" t="str">
        <f>IF(AND($A749&lt;&gt;"",COUNTIF($A$2:A749,$A749)=1),$A749,"")</f>
        <v/>
      </c>
      <c r="G749" t="str">
        <f>IF($F749&lt;&gt;"",SUMPRODUCT(($F$2:F749&lt;&gt;"")*1),"")</f>
        <v/>
      </c>
    </row>
    <row r="750" spans="1:7" ht="21.95" customHeight="1">
      <c r="A750" s="11"/>
      <c r="B750" s="11"/>
      <c r="C750" s="12"/>
      <c r="D750" s="17" t="str">
        <f>IFERROR(INDEX(المواد!$B$2:$B$320,MATCH(B750,المواد!$A$2:$A$320,0)),"")</f>
        <v/>
      </c>
      <c r="E750" s="11"/>
      <c r="F750" t="str">
        <f>IF(AND($A750&lt;&gt;"",COUNTIF($A$2:A750,$A750)=1),$A750,"")</f>
        <v/>
      </c>
      <c r="G750" t="str">
        <f>IF($F750&lt;&gt;"",SUMPRODUCT(($F$2:F750&lt;&gt;"")*1),"")</f>
        <v/>
      </c>
    </row>
    <row r="751" spans="1:7" ht="21.95" customHeight="1">
      <c r="A751" s="11"/>
      <c r="B751" s="11"/>
      <c r="C751" s="12"/>
      <c r="D751" s="17" t="str">
        <f>IFERROR(INDEX(المواد!$B$2:$B$320,MATCH(B751,المواد!$A$2:$A$320,0)),"")</f>
        <v/>
      </c>
      <c r="E751" s="11"/>
      <c r="F751" t="str">
        <f>IF(AND($A751&lt;&gt;"",COUNTIF($A$2:A751,$A751)=1),$A751,"")</f>
        <v/>
      </c>
      <c r="G751" t="str">
        <f>IF($F751&lt;&gt;"",SUMPRODUCT(($F$2:F751&lt;&gt;"")*1),"")</f>
        <v/>
      </c>
    </row>
    <row r="752" spans="1:7" ht="21.95" customHeight="1">
      <c r="A752" s="11"/>
      <c r="B752" s="11"/>
      <c r="C752" s="12"/>
      <c r="D752" s="17" t="str">
        <f>IFERROR(INDEX(المواد!$B$2:$B$320,MATCH(B752,المواد!$A$2:$A$320,0)),"")</f>
        <v/>
      </c>
      <c r="E752" s="11"/>
      <c r="F752" t="str">
        <f>IF(AND($A752&lt;&gt;"",COUNTIF($A$2:A752,$A752)=1),$A752,"")</f>
        <v/>
      </c>
      <c r="G752" t="str">
        <f>IF($F752&lt;&gt;"",SUMPRODUCT(($F$2:F752&lt;&gt;"")*1),"")</f>
        <v/>
      </c>
    </row>
    <row r="753" spans="1:7" ht="21.95" customHeight="1">
      <c r="A753" s="11"/>
      <c r="B753" s="11"/>
      <c r="C753" s="12"/>
      <c r="D753" s="17" t="str">
        <f>IFERROR(INDEX(المواد!$B$2:$B$320,MATCH(B753,المواد!$A$2:$A$320,0)),"")</f>
        <v/>
      </c>
      <c r="E753" s="11"/>
      <c r="F753" t="str">
        <f>IF(AND($A753&lt;&gt;"",COUNTIF($A$2:A753,$A753)=1),$A753,"")</f>
        <v/>
      </c>
      <c r="G753" t="str">
        <f>IF($F753&lt;&gt;"",SUMPRODUCT(($F$2:F753&lt;&gt;"")*1),"")</f>
        <v/>
      </c>
    </row>
    <row r="754" spans="1:7" ht="21.95" customHeight="1">
      <c r="A754" s="11"/>
      <c r="B754" s="11"/>
      <c r="C754" s="12"/>
      <c r="D754" s="17" t="str">
        <f>IFERROR(INDEX(المواد!$B$2:$B$320,MATCH(B754,المواد!$A$2:$A$320,0)),"")</f>
        <v/>
      </c>
      <c r="E754" s="11"/>
      <c r="F754" t="str">
        <f>IF(AND($A754&lt;&gt;"",COUNTIF($A$2:A754,$A754)=1),$A754,"")</f>
        <v/>
      </c>
      <c r="G754" t="str">
        <f>IF($F754&lt;&gt;"",SUMPRODUCT(($F$2:F754&lt;&gt;"")*1),"")</f>
        <v/>
      </c>
    </row>
    <row r="755" spans="1:7" ht="21.95" customHeight="1">
      <c r="A755" s="11"/>
      <c r="B755" s="11"/>
      <c r="C755" s="12"/>
      <c r="D755" s="17" t="str">
        <f>IFERROR(INDEX(المواد!$B$2:$B$320,MATCH(B755,المواد!$A$2:$A$320,0)),"")</f>
        <v/>
      </c>
      <c r="E755" s="11"/>
      <c r="F755" t="str">
        <f>IF(AND($A755&lt;&gt;"",COUNTIF($A$2:A755,$A755)=1),$A755,"")</f>
        <v/>
      </c>
      <c r="G755" t="str">
        <f>IF($F755&lt;&gt;"",SUMPRODUCT(($F$2:F755&lt;&gt;"")*1),"")</f>
        <v/>
      </c>
    </row>
    <row r="756" spans="1:7" ht="21.95" customHeight="1">
      <c r="A756" s="11"/>
      <c r="B756" s="11"/>
      <c r="C756" s="12"/>
      <c r="D756" s="17" t="str">
        <f>IFERROR(INDEX(المواد!$B$2:$B$320,MATCH(B756,المواد!$A$2:$A$320,0)),"")</f>
        <v/>
      </c>
      <c r="E756" s="11"/>
      <c r="F756" t="str">
        <f>IF(AND($A756&lt;&gt;"",COUNTIF($A$2:A756,$A756)=1),$A756,"")</f>
        <v/>
      </c>
      <c r="G756" t="str">
        <f>IF($F756&lt;&gt;"",SUMPRODUCT(($F$2:F756&lt;&gt;"")*1),"")</f>
        <v/>
      </c>
    </row>
    <row r="757" spans="1:7" ht="21.95" customHeight="1">
      <c r="A757" s="11"/>
      <c r="B757" s="11"/>
      <c r="C757" s="12"/>
      <c r="D757" s="17" t="str">
        <f>IFERROR(INDEX(المواد!$B$2:$B$320,MATCH(B757,المواد!$A$2:$A$320,0)),"")</f>
        <v/>
      </c>
      <c r="E757" s="11"/>
      <c r="F757" t="str">
        <f>IF(AND($A757&lt;&gt;"",COUNTIF($A$2:A757,$A757)=1),$A757,"")</f>
        <v/>
      </c>
      <c r="G757" t="str">
        <f>IF($F757&lt;&gt;"",SUMPRODUCT(($F$2:F757&lt;&gt;"")*1),"")</f>
        <v/>
      </c>
    </row>
    <row r="758" spans="1:7" ht="21.95" customHeight="1">
      <c r="A758" s="11"/>
      <c r="B758" s="11"/>
      <c r="C758" s="12"/>
      <c r="D758" s="17" t="str">
        <f>IFERROR(INDEX(المواد!$B$2:$B$320,MATCH(B758,المواد!$A$2:$A$320,0)),"")</f>
        <v/>
      </c>
      <c r="E758" s="11"/>
      <c r="F758" t="str">
        <f>IF(AND($A758&lt;&gt;"",COUNTIF($A$2:A758,$A758)=1),$A758,"")</f>
        <v/>
      </c>
      <c r="G758" t="str">
        <f>IF($F758&lt;&gt;"",SUMPRODUCT(($F$2:F758&lt;&gt;"")*1),"")</f>
        <v/>
      </c>
    </row>
    <row r="759" spans="1:7" ht="21.95" customHeight="1">
      <c r="A759" s="11"/>
      <c r="B759" s="11"/>
      <c r="C759" s="12"/>
      <c r="D759" s="17" t="str">
        <f>IFERROR(INDEX(المواد!$B$2:$B$320,MATCH(B759,المواد!$A$2:$A$320,0)),"")</f>
        <v/>
      </c>
      <c r="E759" s="11"/>
      <c r="F759" t="str">
        <f>IF(AND($A759&lt;&gt;"",COUNTIF($A$2:A759,$A759)=1),$A759,"")</f>
        <v/>
      </c>
      <c r="G759" t="str">
        <f>IF($F759&lt;&gt;"",SUMPRODUCT(($F$2:F759&lt;&gt;"")*1),"")</f>
        <v/>
      </c>
    </row>
    <row r="760" spans="1:7" ht="21.95" customHeight="1">
      <c r="A760" s="11"/>
      <c r="B760" s="11"/>
      <c r="C760" s="12"/>
      <c r="D760" s="17" t="str">
        <f>IFERROR(INDEX(المواد!$B$2:$B$320,MATCH(B760,المواد!$A$2:$A$320,0)),"")</f>
        <v/>
      </c>
      <c r="E760" s="11"/>
      <c r="F760" t="str">
        <f>IF(AND($A760&lt;&gt;"",COUNTIF($A$2:A760,$A760)=1),$A760,"")</f>
        <v/>
      </c>
      <c r="G760" t="str">
        <f>IF($F760&lt;&gt;"",SUMPRODUCT(($F$2:F760&lt;&gt;"")*1),"")</f>
        <v/>
      </c>
    </row>
    <row r="761" spans="1:7" ht="21.95" customHeight="1">
      <c r="A761" s="11"/>
      <c r="B761" s="11"/>
      <c r="C761" s="12"/>
      <c r="D761" s="17" t="str">
        <f>IFERROR(INDEX(المواد!$B$2:$B$320,MATCH(B761,المواد!$A$2:$A$320,0)),"")</f>
        <v/>
      </c>
      <c r="E761" s="11"/>
      <c r="F761" t="str">
        <f>IF(AND($A761&lt;&gt;"",COUNTIF($A$2:A761,$A761)=1),$A761,"")</f>
        <v/>
      </c>
      <c r="G761" t="str">
        <f>IF($F761&lt;&gt;"",SUMPRODUCT(($F$2:F761&lt;&gt;"")*1),"")</f>
        <v/>
      </c>
    </row>
    <row r="762" spans="1:7" ht="21.95" customHeight="1">
      <c r="A762" s="11"/>
      <c r="B762" s="11"/>
      <c r="C762" s="12"/>
      <c r="D762" s="17" t="str">
        <f>IFERROR(INDEX(المواد!$B$2:$B$320,MATCH(B762,المواد!$A$2:$A$320,0)),"")</f>
        <v/>
      </c>
      <c r="E762" s="11"/>
      <c r="F762" t="str">
        <f>IF(AND($A762&lt;&gt;"",COUNTIF($A$2:A762,$A762)=1),$A762,"")</f>
        <v/>
      </c>
      <c r="G762" t="str">
        <f>IF($F762&lt;&gt;"",SUMPRODUCT(($F$2:F762&lt;&gt;"")*1),"")</f>
        <v/>
      </c>
    </row>
    <row r="763" spans="1:7" ht="21.95" customHeight="1">
      <c r="A763" s="11"/>
      <c r="B763" s="11"/>
      <c r="C763" s="12"/>
      <c r="D763" s="17" t="str">
        <f>IFERROR(INDEX(المواد!$B$2:$B$320,MATCH(B763,المواد!$A$2:$A$320,0)),"")</f>
        <v/>
      </c>
      <c r="E763" s="11"/>
      <c r="F763" t="str">
        <f>IF(AND($A763&lt;&gt;"",COUNTIF($A$2:A763,$A763)=1),$A763,"")</f>
        <v/>
      </c>
      <c r="G763" t="str">
        <f>IF($F763&lt;&gt;"",SUMPRODUCT(($F$2:F763&lt;&gt;"")*1),"")</f>
        <v/>
      </c>
    </row>
    <row r="764" spans="1:7" ht="21.95" customHeight="1">
      <c r="A764" s="11"/>
      <c r="B764" s="11"/>
      <c r="C764" s="12"/>
      <c r="D764" s="17" t="str">
        <f>IFERROR(INDEX(المواد!$B$2:$B$320,MATCH(B764,المواد!$A$2:$A$320,0)),"")</f>
        <v/>
      </c>
      <c r="E764" s="11"/>
      <c r="F764" t="str">
        <f>IF(AND($A764&lt;&gt;"",COUNTIF($A$2:A764,$A764)=1),$A764,"")</f>
        <v/>
      </c>
      <c r="G764" t="str">
        <f>IF($F764&lt;&gt;"",SUMPRODUCT(($F$2:F764&lt;&gt;"")*1),"")</f>
        <v/>
      </c>
    </row>
    <row r="765" spans="1:7" ht="21.95" customHeight="1">
      <c r="A765" s="11"/>
      <c r="B765" s="11"/>
      <c r="C765" s="12"/>
      <c r="D765" s="17" t="str">
        <f>IFERROR(INDEX(المواد!$B$2:$B$320,MATCH(B765,المواد!$A$2:$A$320,0)),"")</f>
        <v/>
      </c>
      <c r="E765" s="11"/>
      <c r="F765" t="str">
        <f>IF(AND($A765&lt;&gt;"",COUNTIF($A$2:A765,$A765)=1),$A765,"")</f>
        <v/>
      </c>
      <c r="G765" t="str">
        <f>IF($F765&lt;&gt;"",SUMPRODUCT(($F$2:F765&lt;&gt;"")*1),"")</f>
        <v/>
      </c>
    </row>
    <row r="766" spans="1:7" ht="21.95" customHeight="1">
      <c r="A766" s="11"/>
      <c r="B766" s="11"/>
      <c r="C766" s="12"/>
      <c r="D766" s="17" t="str">
        <f>IFERROR(INDEX(المواد!$B$2:$B$320,MATCH(B766,المواد!$A$2:$A$320,0)),"")</f>
        <v/>
      </c>
      <c r="E766" s="11"/>
      <c r="F766" t="str">
        <f>IF(AND($A766&lt;&gt;"",COUNTIF($A$2:A766,$A766)=1),$A766,"")</f>
        <v/>
      </c>
      <c r="G766" t="str">
        <f>IF($F766&lt;&gt;"",SUMPRODUCT(($F$2:F766&lt;&gt;"")*1),"")</f>
        <v/>
      </c>
    </row>
    <row r="767" spans="1:7" ht="21.95" customHeight="1">
      <c r="A767" s="11"/>
      <c r="B767" s="11"/>
      <c r="C767" s="12"/>
      <c r="D767" s="17" t="str">
        <f>IFERROR(INDEX(المواد!$B$2:$B$320,MATCH(B767,المواد!$A$2:$A$320,0)),"")</f>
        <v/>
      </c>
      <c r="E767" s="11"/>
      <c r="F767" t="str">
        <f>IF(AND($A767&lt;&gt;"",COUNTIF($A$2:A767,$A767)=1),$A767,"")</f>
        <v/>
      </c>
      <c r="G767" t="str">
        <f>IF($F767&lt;&gt;"",SUMPRODUCT(($F$2:F767&lt;&gt;"")*1),"")</f>
        <v/>
      </c>
    </row>
    <row r="768" spans="1:7" ht="21.95" customHeight="1">
      <c r="A768" s="11"/>
      <c r="B768" s="11"/>
      <c r="C768" s="12"/>
      <c r="D768" s="17" t="str">
        <f>IFERROR(INDEX(المواد!$B$2:$B$320,MATCH(B768,المواد!$A$2:$A$320,0)),"")</f>
        <v/>
      </c>
      <c r="E768" s="11"/>
      <c r="F768" t="str">
        <f>IF(AND($A768&lt;&gt;"",COUNTIF($A$2:A768,$A768)=1),$A768,"")</f>
        <v/>
      </c>
      <c r="G768" t="str">
        <f>IF($F768&lt;&gt;"",SUMPRODUCT(($F$2:F768&lt;&gt;"")*1),"")</f>
        <v/>
      </c>
    </row>
    <row r="769" spans="1:7" ht="21.95" customHeight="1">
      <c r="A769" s="11"/>
      <c r="B769" s="11"/>
      <c r="C769" s="12"/>
      <c r="D769" s="17" t="str">
        <f>IFERROR(INDEX(المواد!$B$2:$B$320,MATCH(B769,المواد!$A$2:$A$320,0)),"")</f>
        <v/>
      </c>
      <c r="E769" s="11"/>
      <c r="F769" t="str">
        <f>IF(AND($A769&lt;&gt;"",COUNTIF($A$2:A769,$A769)=1),$A769,"")</f>
        <v/>
      </c>
      <c r="G769" t="str">
        <f>IF($F769&lt;&gt;"",SUMPRODUCT(($F$2:F769&lt;&gt;"")*1),"")</f>
        <v/>
      </c>
    </row>
    <row r="770" spans="1:7" ht="21.95" customHeight="1">
      <c r="A770" s="11"/>
      <c r="B770" s="11"/>
      <c r="C770" s="12"/>
      <c r="D770" s="17" t="str">
        <f>IFERROR(INDEX(المواد!$B$2:$B$320,MATCH(B770,المواد!$A$2:$A$320,0)),"")</f>
        <v/>
      </c>
      <c r="E770" s="11"/>
      <c r="F770" t="str">
        <f>IF(AND($A770&lt;&gt;"",COUNTIF($A$2:A770,$A770)=1),$A770,"")</f>
        <v/>
      </c>
      <c r="G770" t="str">
        <f>IF($F770&lt;&gt;"",SUMPRODUCT(($F$2:F770&lt;&gt;"")*1),"")</f>
        <v/>
      </c>
    </row>
    <row r="771" spans="1:7" ht="21.95" customHeight="1">
      <c r="A771" s="11"/>
      <c r="B771" s="11"/>
      <c r="C771" s="12"/>
      <c r="D771" s="17" t="str">
        <f>IFERROR(INDEX(المواد!$B$2:$B$320,MATCH(B771,المواد!$A$2:$A$320,0)),"")</f>
        <v/>
      </c>
      <c r="E771" s="11"/>
      <c r="F771" t="str">
        <f>IF(AND($A771&lt;&gt;"",COUNTIF($A$2:A771,$A771)=1),$A771,"")</f>
        <v/>
      </c>
      <c r="G771" t="str">
        <f>IF($F771&lt;&gt;"",SUMPRODUCT(($F$2:F771&lt;&gt;"")*1),"")</f>
        <v/>
      </c>
    </row>
    <row r="772" spans="1:7" ht="21.95" customHeight="1">
      <c r="A772" s="11"/>
      <c r="B772" s="11"/>
      <c r="C772" s="12"/>
      <c r="D772" s="17" t="str">
        <f>IFERROR(INDEX(المواد!$B$2:$B$320,MATCH(B772,المواد!$A$2:$A$320,0)),"")</f>
        <v/>
      </c>
      <c r="E772" s="11"/>
      <c r="F772" t="str">
        <f>IF(AND($A772&lt;&gt;"",COUNTIF($A$2:A772,$A772)=1),$A772,"")</f>
        <v/>
      </c>
      <c r="G772" t="str">
        <f>IF($F772&lt;&gt;"",SUMPRODUCT(($F$2:F772&lt;&gt;"")*1),"")</f>
        <v/>
      </c>
    </row>
    <row r="773" spans="1:7" ht="21.95" customHeight="1">
      <c r="A773" s="11"/>
      <c r="B773" s="11"/>
      <c r="C773" s="12"/>
      <c r="D773" s="17" t="str">
        <f>IFERROR(INDEX(المواد!$B$2:$B$320,MATCH(B773,المواد!$A$2:$A$320,0)),"")</f>
        <v/>
      </c>
      <c r="E773" s="11"/>
      <c r="F773" t="str">
        <f>IF(AND($A773&lt;&gt;"",COUNTIF($A$2:A773,$A773)=1),$A773,"")</f>
        <v/>
      </c>
      <c r="G773" t="str">
        <f>IF($F773&lt;&gt;"",SUMPRODUCT(($F$2:F773&lt;&gt;"")*1),"")</f>
        <v/>
      </c>
    </row>
    <row r="774" spans="1:7" ht="21.95" customHeight="1">
      <c r="A774" s="11"/>
      <c r="B774" s="11"/>
      <c r="C774" s="12"/>
      <c r="D774" s="17" t="str">
        <f>IFERROR(INDEX(المواد!$B$2:$B$320,MATCH(B774,المواد!$A$2:$A$320,0)),"")</f>
        <v/>
      </c>
      <c r="E774" s="11"/>
      <c r="F774" t="str">
        <f>IF(AND($A774&lt;&gt;"",COUNTIF($A$2:A774,$A774)=1),$A774,"")</f>
        <v/>
      </c>
      <c r="G774" t="str">
        <f>IF($F774&lt;&gt;"",SUMPRODUCT(($F$2:F774&lt;&gt;"")*1),"")</f>
        <v/>
      </c>
    </row>
    <row r="775" spans="1:7" ht="21.95" customHeight="1">
      <c r="A775" s="11"/>
      <c r="B775" s="11"/>
      <c r="C775" s="12"/>
      <c r="D775" s="17" t="str">
        <f>IFERROR(INDEX(المواد!$B$2:$B$320,MATCH(B775,المواد!$A$2:$A$320,0)),"")</f>
        <v/>
      </c>
      <c r="E775" s="11"/>
      <c r="F775" t="str">
        <f>IF(AND($A775&lt;&gt;"",COUNTIF($A$2:A775,$A775)=1),$A775,"")</f>
        <v/>
      </c>
      <c r="G775" t="str">
        <f>IF($F775&lt;&gt;"",SUMPRODUCT(($F$2:F775&lt;&gt;"")*1),"")</f>
        <v/>
      </c>
    </row>
    <row r="776" spans="1:7" ht="21.95" customHeight="1">
      <c r="A776" s="11"/>
      <c r="B776" s="11"/>
      <c r="C776" s="12"/>
      <c r="D776" s="17" t="str">
        <f>IFERROR(INDEX(المواد!$B$2:$B$320,MATCH(B776,المواد!$A$2:$A$320,0)),"")</f>
        <v/>
      </c>
      <c r="E776" s="11"/>
      <c r="F776" t="str">
        <f>IF(AND($A776&lt;&gt;"",COUNTIF($A$2:A776,$A776)=1),$A776,"")</f>
        <v/>
      </c>
      <c r="G776" t="str">
        <f>IF($F776&lt;&gt;"",SUMPRODUCT(($F$2:F776&lt;&gt;"")*1),"")</f>
        <v/>
      </c>
    </row>
    <row r="777" spans="1:7" ht="21.95" customHeight="1">
      <c r="A777" s="11"/>
      <c r="B777" s="11"/>
      <c r="C777" s="12"/>
      <c r="D777" s="17" t="str">
        <f>IFERROR(INDEX(المواد!$B$2:$B$320,MATCH(B777,المواد!$A$2:$A$320,0)),"")</f>
        <v/>
      </c>
      <c r="E777" s="11"/>
      <c r="F777" t="str">
        <f>IF(AND($A777&lt;&gt;"",COUNTIF($A$2:A777,$A777)=1),$A777,"")</f>
        <v/>
      </c>
      <c r="G777" t="str">
        <f>IF($F777&lt;&gt;"",SUMPRODUCT(($F$2:F777&lt;&gt;"")*1),"")</f>
        <v/>
      </c>
    </row>
    <row r="778" spans="1:7" ht="21.95" customHeight="1">
      <c r="A778" s="11"/>
      <c r="B778" s="11"/>
      <c r="C778" s="12"/>
      <c r="D778" s="17" t="str">
        <f>IFERROR(INDEX(المواد!$B$2:$B$320,MATCH(B778,المواد!$A$2:$A$320,0)),"")</f>
        <v/>
      </c>
      <c r="E778" s="11"/>
      <c r="F778" t="str">
        <f>IF(AND($A778&lt;&gt;"",COUNTIF($A$2:A778,$A778)=1),$A778,"")</f>
        <v/>
      </c>
      <c r="G778" t="str">
        <f>IF($F778&lt;&gt;"",SUMPRODUCT(($F$2:F778&lt;&gt;"")*1),"")</f>
        <v/>
      </c>
    </row>
    <row r="779" spans="1:7" ht="21.95" customHeight="1">
      <c r="A779" s="11"/>
      <c r="B779" s="11"/>
      <c r="C779" s="12"/>
      <c r="D779" s="17" t="str">
        <f>IFERROR(INDEX(المواد!$B$2:$B$320,MATCH(B779,المواد!$A$2:$A$320,0)),"")</f>
        <v/>
      </c>
      <c r="E779" s="11"/>
      <c r="F779" t="str">
        <f>IF(AND($A779&lt;&gt;"",COUNTIF($A$2:A779,$A779)=1),$A779,"")</f>
        <v/>
      </c>
      <c r="G779" t="str">
        <f>IF($F779&lt;&gt;"",SUMPRODUCT(($F$2:F779&lt;&gt;"")*1),"")</f>
        <v/>
      </c>
    </row>
    <row r="780" spans="1:7" ht="21.95" customHeight="1">
      <c r="A780" s="11"/>
      <c r="B780" s="11"/>
      <c r="C780" s="12"/>
      <c r="D780" s="17" t="str">
        <f>IFERROR(INDEX(المواد!$B$2:$B$320,MATCH(B780,المواد!$A$2:$A$320,0)),"")</f>
        <v/>
      </c>
      <c r="E780" s="11"/>
      <c r="F780" t="str">
        <f>IF(AND($A780&lt;&gt;"",COUNTIF($A$2:A780,$A780)=1),$A780,"")</f>
        <v/>
      </c>
      <c r="G780" t="str">
        <f>IF($F780&lt;&gt;"",SUMPRODUCT(($F$2:F780&lt;&gt;"")*1),"")</f>
        <v/>
      </c>
    </row>
    <row r="781" spans="1:7" ht="21.95" customHeight="1">
      <c r="A781" s="11"/>
      <c r="B781" s="11"/>
      <c r="C781" s="12"/>
      <c r="D781" s="17" t="str">
        <f>IFERROR(INDEX(المواد!$B$2:$B$320,MATCH(B781,المواد!$A$2:$A$320,0)),"")</f>
        <v/>
      </c>
      <c r="E781" s="11"/>
      <c r="F781" t="str">
        <f>IF(AND($A781&lt;&gt;"",COUNTIF($A$2:A781,$A781)=1),$A781,"")</f>
        <v/>
      </c>
      <c r="G781" t="str">
        <f>IF($F781&lt;&gt;"",SUMPRODUCT(($F$2:F781&lt;&gt;"")*1),"")</f>
        <v/>
      </c>
    </row>
    <row r="782" spans="1:7" ht="21.95" customHeight="1">
      <c r="A782" s="11"/>
      <c r="B782" s="11"/>
      <c r="C782" s="12"/>
      <c r="D782" s="17" t="str">
        <f>IFERROR(INDEX(المواد!$B$2:$B$320,MATCH(B782,المواد!$A$2:$A$320,0)),"")</f>
        <v/>
      </c>
      <c r="E782" s="11"/>
      <c r="F782" t="str">
        <f>IF(AND($A782&lt;&gt;"",COUNTIF($A$2:A782,$A782)=1),$A782,"")</f>
        <v/>
      </c>
      <c r="G782" t="str">
        <f>IF($F782&lt;&gt;"",SUMPRODUCT(($F$2:F782&lt;&gt;"")*1),"")</f>
        <v/>
      </c>
    </row>
    <row r="783" spans="1:7" ht="21.95" customHeight="1">
      <c r="A783" s="11"/>
      <c r="B783" s="11"/>
      <c r="C783" s="12"/>
      <c r="D783" s="17" t="str">
        <f>IFERROR(INDEX(المواد!$B$2:$B$320,MATCH(B783,المواد!$A$2:$A$320,0)),"")</f>
        <v/>
      </c>
      <c r="E783" s="11"/>
      <c r="F783" t="str">
        <f>IF(AND($A783&lt;&gt;"",COUNTIF($A$2:A783,$A783)=1),$A783,"")</f>
        <v/>
      </c>
      <c r="G783" t="str">
        <f>IF($F783&lt;&gt;"",SUMPRODUCT(($F$2:F783&lt;&gt;"")*1),"")</f>
        <v/>
      </c>
    </row>
    <row r="784" spans="1:7" ht="21.95" customHeight="1">
      <c r="A784" s="11"/>
      <c r="B784" s="11"/>
      <c r="C784" s="12"/>
      <c r="D784" s="17" t="str">
        <f>IFERROR(INDEX(المواد!$B$2:$B$320,MATCH(B784,المواد!$A$2:$A$320,0)),"")</f>
        <v/>
      </c>
      <c r="E784" s="11"/>
      <c r="F784" t="str">
        <f>IF(AND($A784&lt;&gt;"",COUNTIF($A$2:A784,$A784)=1),$A784,"")</f>
        <v/>
      </c>
      <c r="G784" t="str">
        <f>IF($F784&lt;&gt;"",SUMPRODUCT(($F$2:F784&lt;&gt;"")*1),"")</f>
        <v/>
      </c>
    </row>
    <row r="785" spans="1:7" ht="21.95" customHeight="1">
      <c r="A785" s="11"/>
      <c r="B785" s="11"/>
      <c r="C785" s="12"/>
      <c r="D785" s="17" t="str">
        <f>IFERROR(INDEX(المواد!$B$2:$B$320,MATCH(B785,المواد!$A$2:$A$320,0)),"")</f>
        <v/>
      </c>
      <c r="E785" s="11"/>
      <c r="F785" t="str">
        <f>IF(AND($A785&lt;&gt;"",COUNTIF($A$2:A785,$A785)=1),$A785,"")</f>
        <v/>
      </c>
      <c r="G785" t="str">
        <f>IF($F785&lt;&gt;"",SUMPRODUCT(($F$2:F785&lt;&gt;"")*1),"")</f>
        <v/>
      </c>
    </row>
    <row r="786" spans="1:7" ht="21.95" customHeight="1">
      <c r="A786" s="11"/>
      <c r="B786" s="11"/>
      <c r="C786" s="12"/>
      <c r="D786" s="17" t="str">
        <f>IFERROR(INDEX(المواد!$B$2:$B$320,MATCH(B786,المواد!$A$2:$A$320,0)),"")</f>
        <v/>
      </c>
      <c r="E786" s="11"/>
      <c r="F786" t="str">
        <f>IF(AND($A786&lt;&gt;"",COUNTIF($A$2:A786,$A786)=1),$A786,"")</f>
        <v/>
      </c>
      <c r="G786" t="str">
        <f>IF($F786&lt;&gt;"",SUMPRODUCT(($F$2:F786&lt;&gt;"")*1),"")</f>
        <v/>
      </c>
    </row>
    <row r="787" spans="1:7" ht="21.95" customHeight="1">
      <c r="A787" s="11"/>
      <c r="B787" s="11"/>
      <c r="C787" s="12"/>
      <c r="D787" s="17" t="str">
        <f>IFERROR(INDEX(المواد!$B$2:$B$320,MATCH(B787,المواد!$A$2:$A$320,0)),"")</f>
        <v/>
      </c>
      <c r="E787" s="11"/>
      <c r="F787" t="str">
        <f>IF(AND($A787&lt;&gt;"",COUNTIF($A$2:A787,$A787)=1),$A787,"")</f>
        <v/>
      </c>
      <c r="G787" t="str">
        <f>IF($F787&lt;&gt;"",SUMPRODUCT(($F$2:F787&lt;&gt;"")*1),"")</f>
        <v/>
      </c>
    </row>
    <row r="788" spans="1:7" ht="21.95" customHeight="1">
      <c r="A788" s="11"/>
      <c r="B788" s="11"/>
      <c r="C788" s="12"/>
      <c r="D788" s="17" t="str">
        <f>IFERROR(INDEX(المواد!$B$2:$B$320,MATCH(B788,المواد!$A$2:$A$320,0)),"")</f>
        <v/>
      </c>
      <c r="E788" s="11"/>
      <c r="F788" t="str">
        <f>IF(AND($A788&lt;&gt;"",COUNTIF($A$2:A788,$A788)=1),$A788,"")</f>
        <v/>
      </c>
      <c r="G788" t="str">
        <f>IF($F788&lt;&gt;"",SUMPRODUCT(($F$2:F788&lt;&gt;"")*1),"")</f>
        <v/>
      </c>
    </row>
    <row r="789" spans="1:7" ht="21.95" customHeight="1">
      <c r="A789" s="11"/>
      <c r="B789" s="11"/>
      <c r="C789" s="12"/>
      <c r="D789" s="17" t="str">
        <f>IFERROR(INDEX(المواد!$B$2:$B$320,MATCH(B789,المواد!$A$2:$A$320,0)),"")</f>
        <v/>
      </c>
      <c r="E789" s="11"/>
      <c r="F789" t="str">
        <f>IF(AND($A789&lt;&gt;"",COUNTIF($A$2:A789,$A789)=1),$A789,"")</f>
        <v/>
      </c>
      <c r="G789" t="str">
        <f>IF($F789&lt;&gt;"",SUMPRODUCT(($F$2:F789&lt;&gt;"")*1),"")</f>
        <v/>
      </c>
    </row>
    <row r="790" spans="1:7" ht="21.95" customHeight="1">
      <c r="A790" s="11"/>
      <c r="B790" s="11"/>
      <c r="C790" s="12"/>
      <c r="D790" s="17" t="str">
        <f>IFERROR(INDEX(المواد!$B$2:$B$320,MATCH(B790,المواد!$A$2:$A$320,0)),"")</f>
        <v/>
      </c>
      <c r="E790" s="11"/>
      <c r="F790" t="str">
        <f>IF(AND($A790&lt;&gt;"",COUNTIF($A$2:A790,$A790)=1),$A790,"")</f>
        <v/>
      </c>
      <c r="G790" t="str">
        <f>IF($F790&lt;&gt;"",SUMPRODUCT(($F$2:F790&lt;&gt;"")*1),"")</f>
        <v/>
      </c>
    </row>
    <row r="791" spans="1:7" ht="21.95" customHeight="1">
      <c r="A791" s="11"/>
      <c r="B791" s="11"/>
      <c r="C791" s="12"/>
      <c r="D791" s="17" t="str">
        <f>IFERROR(INDEX(المواد!$B$2:$B$320,MATCH(B791,المواد!$A$2:$A$320,0)),"")</f>
        <v/>
      </c>
      <c r="E791" s="11"/>
      <c r="F791" t="str">
        <f>IF(AND($A791&lt;&gt;"",COUNTIF($A$2:A791,$A791)=1),$A791,"")</f>
        <v/>
      </c>
      <c r="G791" t="str">
        <f>IF($F791&lt;&gt;"",SUMPRODUCT(($F$2:F791&lt;&gt;"")*1),"")</f>
        <v/>
      </c>
    </row>
    <row r="792" spans="1:7" ht="21.95" customHeight="1">
      <c r="A792" s="11"/>
      <c r="B792" s="11"/>
      <c r="C792" s="12"/>
      <c r="D792" s="17" t="str">
        <f>IFERROR(INDEX(المواد!$B$2:$B$320,MATCH(B792,المواد!$A$2:$A$320,0)),"")</f>
        <v/>
      </c>
      <c r="E792" s="11"/>
      <c r="F792" t="str">
        <f>IF(AND($A792&lt;&gt;"",COUNTIF($A$2:A792,$A792)=1),$A792,"")</f>
        <v/>
      </c>
      <c r="G792" t="str">
        <f>IF($F792&lt;&gt;"",SUMPRODUCT(($F$2:F792&lt;&gt;"")*1),"")</f>
        <v/>
      </c>
    </row>
    <row r="793" spans="1:7" ht="21.95" customHeight="1">
      <c r="A793" s="11"/>
      <c r="B793" s="11"/>
      <c r="C793" s="12"/>
      <c r="D793" s="17" t="str">
        <f>IFERROR(INDEX(المواد!$B$2:$B$320,MATCH(B793,المواد!$A$2:$A$320,0)),"")</f>
        <v/>
      </c>
      <c r="E793" s="11"/>
      <c r="F793" t="str">
        <f>IF(AND($A793&lt;&gt;"",COUNTIF($A$2:A793,$A793)=1),$A793,"")</f>
        <v/>
      </c>
      <c r="G793" t="str">
        <f>IF($F793&lt;&gt;"",SUMPRODUCT(($F$2:F793&lt;&gt;"")*1),"")</f>
        <v/>
      </c>
    </row>
    <row r="794" spans="1:7" ht="21.95" customHeight="1">
      <c r="A794" s="11"/>
      <c r="B794" s="11"/>
      <c r="C794" s="12"/>
      <c r="D794" s="17" t="str">
        <f>IFERROR(INDEX(المواد!$B$2:$B$320,MATCH(B794,المواد!$A$2:$A$320,0)),"")</f>
        <v/>
      </c>
      <c r="E794" s="11"/>
      <c r="F794" t="str">
        <f>IF(AND($A794&lt;&gt;"",COUNTIF($A$2:A794,$A794)=1),$A794,"")</f>
        <v/>
      </c>
      <c r="G794" t="str">
        <f>IF($F794&lt;&gt;"",SUMPRODUCT(($F$2:F794&lt;&gt;"")*1),"")</f>
        <v/>
      </c>
    </row>
    <row r="795" spans="1:7" ht="21.95" customHeight="1">
      <c r="A795" s="11"/>
      <c r="B795" s="11"/>
      <c r="C795" s="12"/>
      <c r="D795" s="17" t="str">
        <f>IFERROR(INDEX(المواد!$B$2:$B$320,MATCH(B795,المواد!$A$2:$A$320,0)),"")</f>
        <v/>
      </c>
      <c r="E795" s="11"/>
      <c r="F795" t="str">
        <f>IF(AND($A795&lt;&gt;"",COUNTIF($A$2:A795,$A795)=1),$A795,"")</f>
        <v/>
      </c>
      <c r="G795" t="str">
        <f>IF($F795&lt;&gt;"",SUMPRODUCT(($F$2:F795&lt;&gt;"")*1),"")</f>
        <v/>
      </c>
    </row>
    <row r="796" spans="1:7" ht="21.95" customHeight="1">
      <c r="A796" s="11"/>
      <c r="B796" s="11"/>
      <c r="C796" s="12"/>
      <c r="D796" s="17" t="str">
        <f>IFERROR(INDEX(المواد!$B$2:$B$320,MATCH(B796,المواد!$A$2:$A$320,0)),"")</f>
        <v/>
      </c>
      <c r="E796" s="11"/>
      <c r="F796" t="str">
        <f>IF(AND($A796&lt;&gt;"",COUNTIF($A$2:A796,$A796)=1),$A796,"")</f>
        <v/>
      </c>
      <c r="G796" t="str">
        <f>IF($F796&lt;&gt;"",SUMPRODUCT(($F$2:F796&lt;&gt;"")*1),"")</f>
        <v/>
      </c>
    </row>
    <row r="797" spans="1:7" ht="21.95" customHeight="1">
      <c r="A797" s="11"/>
      <c r="B797" s="11"/>
      <c r="C797" s="12"/>
      <c r="D797" s="17" t="str">
        <f>IFERROR(INDEX(المواد!$B$2:$B$320,MATCH(B797,المواد!$A$2:$A$320,0)),"")</f>
        <v/>
      </c>
      <c r="E797" s="11"/>
      <c r="F797" t="str">
        <f>IF(AND($A797&lt;&gt;"",COUNTIF($A$2:A797,$A797)=1),$A797,"")</f>
        <v/>
      </c>
      <c r="G797" t="str">
        <f>IF($F797&lt;&gt;"",SUMPRODUCT(($F$2:F797&lt;&gt;"")*1),"")</f>
        <v/>
      </c>
    </row>
    <row r="798" spans="1:7" ht="21.95" customHeight="1">
      <c r="A798" s="11"/>
      <c r="B798" s="11"/>
      <c r="C798" s="12"/>
      <c r="D798" s="17" t="str">
        <f>IFERROR(INDEX(المواد!$B$2:$B$320,MATCH(B798,المواد!$A$2:$A$320,0)),"")</f>
        <v/>
      </c>
      <c r="E798" s="11"/>
      <c r="F798" t="str">
        <f>IF(AND($A798&lt;&gt;"",COUNTIF($A$2:A798,$A798)=1),$A798,"")</f>
        <v/>
      </c>
      <c r="G798" t="str">
        <f>IF($F798&lt;&gt;"",SUMPRODUCT(($F$2:F798&lt;&gt;"")*1),"")</f>
        <v/>
      </c>
    </row>
    <row r="799" spans="1:7" ht="21.95" customHeight="1">
      <c r="A799" s="11"/>
      <c r="B799" s="11"/>
      <c r="C799" s="12"/>
      <c r="D799" s="17" t="str">
        <f>IFERROR(INDEX(المواد!$B$2:$B$320,MATCH(B799,المواد!$A$2:$A$320,0)),"")</f>
        <v/>
      </c>
      <c r="E799" s="11"/>
      <c r="F799" t="str">
        <f>IF(AND($A799&lt;&gt;"",COUNTIF($A$2:A799,$A799)=1),$A799,"")</f>
        <v/>
      </c>
      <c r="G799" t="str">
        <f>IF($F799&lt;&gt;"",SUMPRODUCT(($F$2:F799&lt;&gt;"")*1),"")</f>
        <v/>
      </c>
    </row>
    <row r="800" spans="1:7" ht="21.95" customHeight="1">
      <c r="A800" s="11"/>
      <c r="B800" s="11"/>
      <c r="C800" s="12"/>
      <c r="D800" s="17" t="str">
        <f>IFERROR(INDEX(المواد!$B$2:$B$320,MATCH(B800,المواد!$A$2:$A$320,0)),"")</f>
        <v/>
      </c>
      <c r="E800" s="11"/>
      <c r="F800" t="str">
        <f>IF(AND($A800&lt;&gt;"",COUNTIF($A$2:A800,$A800)=1),$A800,"")</f>
        <v/>
      </c>
      <c r="G800" t="str">
        <f>IF($F800&lt;&gt;"",SUMPRODUCT(($F$2:F800&lt;&gt;"")*1),"")</f>
        <v/>
      </c>
    </row>
    <row r="801" spans="1:7" ht="21.95" customHeight="1">
      <c r="A801" s="11"/>
      <c r="B801" s="11"/>
      <c r="C801" s="12"/>
      <c r="D801" s="17" t="str">
        <f>IFERROR(INDEX(المواد!$B$2:$B$320,MATCH(B801,المواد!$A$2:$A$320,0)),"")</f>
        <v/>
      </c>
      <c r="E801" s="11"/>
      <c r="F801" t="str">
        <f>IF(AND($A801&lt;&gt;"",COUNTIF($A$2:A801,$A801)=1),$A801,"")</f>
        <v/>
      </c>
      <c r="G801" t="str">
        <f>IF($F801&lt;&gt;"",SUMPRODUCT(($F$2:F801&lt;&gt;"")*1),"")</f>
        <v/>
      </c>
    </row>
    <row r="802" spans="1:7" ht="21.95" customHeight="1">
      <c r="A802" s="11"/>
      <c r="B802" s="11"/>
      <c r="C802" s="12"/>
      <c r="D802" s="17" t="str">
        <f>IFERROR(INDEX(المواد!$B$2:$B$320,MATCH(B802,المواد!$A$2:$A$320,0)),"")</f>
        <v/>
      </c>
      <c r="E802" s="11"/>
      <c r="F802" t="str">
        <f>IF(AND($A802&lt;&gt;"",COUNTIF($A$2:A802,$A802)=1),$A802,"")</f>
        <v/>
      </c>
      <c r="G802" t="str">
        <f>IF($F802&lt;&gt;"",SUMPRODUCT(($F$2:F802&lt;&gt;"")*1),"")</f>
        <v/>
      </c>
    </row>
    <row r="803" spans="1:7" ht="21.95" customHeight="1">
      <c r="A803" s="11"/>
      <c r="B803" s="11"/>
      <c r="C803" s="12"/>
      <c r="D803" s="17" t="str">
        <f>IFERROR(INDEX(المواد!$B$2:$B$320,MATCH(B803,المواد!$A$2:$A$320,0)),"")</f>
        <v/>
      </c>
      <c r="E803" s="11"/>
      <c r="F803" t="str">
        <f>IF(AND($A803&lt;&gt;"",COUNTIF($A$2:A803,$A803)=1),$A803,"")</f>
        <v/>
      </c>
      <c r="G803" t="str">
        <f>IF($F803&lt;&gt;"",SUMPRODUCT(($F$2:F803&lt;&gt;"")*1),"")</f>
        <v/>
      </c>
    </row>
    <row r="804" spans="1:7" ht="21.95" customHeight="1">
      <c r="A804" s="11"/>
      <c r="B804" s="11"/>
      <c r="C804" s="12"/>
      <c r="D804" s="17" t="str">
        <f>IFERROR(INDEX(المواد!$B$2:$B$320,MATCH(B804,المواد!$A$2:$A$320,0)),"")</f>
        <v/>
      </c>
      <c r="E804" s="11"/>
      <c r="F804" t="str">
        <f>IF(AND($A804&lt;&gt;"",COUNTIF($A$2:A804,$A804)=1),$A804,"")</f>
        <v/>
      </c>
      <c r="G804" t="str">
        <f>IF($F804&lt;&gt;"",SUMPRODUCT(($F$2:F804&lt;&gt;"")*1),"")</f>
        <v/>
      </c>
    </row>
    <row r="805" spans="1:7" ht="21.95" customHeight="1">
      <c r="A805" s="11"/>
      <c r="B805" s="11"/>
      <c r="C805" s="12"/>
      <c r="D805" s="17" t="str">
        <f>IFERROR(INDEX(المواد!$B$2:$B$320,MATCH(B805,المواد!$A$2:$A$320,0)),"")</f>
        <v/>
      </c>
      <c r="E805" s="11"/>
      <c r="F805" t="str">
        <f>IF(AND($A805&lt;&gt;"",COUNTIF($A$2:A805,$A805)=1),$A805,"")</f>
        <v/>
      </c>
      <c r="G805" t="str">
        <f>IF($F805&lt;&gt;"",SUMPRODUCT(($F$2:F805&lt;&gt;"")*1),"")</f>
        <v/>
      </c>
    </row>
    <row r="806" spans="1:7" ht="21.95" customHeight="1">
      <c r="A806" s="11"/>
      <c r="B806" s="11"/>
      <c r="C806" s="12"/>
      <c r="D806" s="17" t="str">
        <f>IFERROR(INDEX(المواد!$B$2:$B$320,MATCH(B806,المواد!$A$2:$A$320,0)),"")</f>
        <v/>
      </c>
      <c r="E806" s="11"/>
      <c r="F806" t="str">
        <f>IF(AND($A806&lt;&gt;"",COUNTIF($A$2:A806,$A806)=1),$A806,"")</f>
        <v/>
      </c>
      <c r="G806" t="str">
        <f>IF($F806&lt;&gt;"",SUMPRODUCT(($F$2:F806&lt;&gt;"")*1),"")</f>
        <v/>
      </c>
    </row>
    <row r="807" spans="1:7" ht="21.95" customHeight="1">
      <c r="A807" s="11"/>
      <c r="B807" s="11"/>
      <c r="C807" s="12"/>
      <c r="D807" s="17" t="str">
        <f>IFERROR(INDEX(المواد!$B$2:$B$320,MATCH(B807,المواد!$A$2:$A$320,0)),"")</f>
        <v/>
      </c>
      <c r="E807" s="11"/>
      <c r="F807" t="str">
        <f>IF(AND($A807&lt;&gt;"",COUNTIF($A$2:A807,$A807)=1),$A807,"")</f>
        <v/>
      </c>
      <c r="G807" t="str">
        <f>IF($F807&lt;&gt;"",SUMPRODUCT(($F$2:F807&lt;&gt;"")*1),"")</f>
        <v/>
      </c>
    </row>
    <row r="808" spans="1:7" ht="21.95" customHeight="1">
      <c r="A808" s="11"/>
      <c r="B808" s="11"/>
      <c r="C808" s="12"/>
      <c r="D808" s="17" t="str">
        <f>IFERROR(INDEX(المواد!$B$2:$B$320,MATCH(B808,المواد!$A$2:$A$320,0)),"")</f>
        <v/>
      </c>
      <c r="E808" s="11"/>
      <c r="F808" t="str">
        <f>IF(AND($A808&lt;&gt;"",COUNTIF($A$2:A808,$A808)=1),$A808,"")</f>
        <v/>
      </c>
      <c r="G808" t="str">
        <f>IF($F808&lt;&gt;"",SUMPRODUCT(($F$2:F808&lt;&gt;"")*1),"")</f>
        <v/>
      </c>
    </row>
    <row r="809" spans="1:7" ht="21.95" customHeight="1">
      <c r="A809" s="11"/>
      <c r="B809" s="11"/>
      <c r="C809" s="12"/>
      <c r="D809" s="17" t="str">
        <f>IFERROR(INDEX(المواد!$B$2:$B$320,MATCH(B809,المواد!$A$2:$A$320,0)),"")</f>
        <v/>
      </c>
      <c r="E809" s="11"/>
      <c r="F809" t="str">
        <f>IF(AND($A809&lt;&gt;"",COUNTIF($A$2:A809,$A809)=1),$A809,"")</f>
        <v/>
      </c>
      <c r="G809" t="str">
        <f>IF($F809&lt;&gt;"",SUMPRODUCT(($F$2:F809&lt;&gt;"")*1),"")</f>
        <v/>
      </c>
    </row>
    <row r="810" spans="1:7" ht="21.95" customHeight="1">
      <c r="A810" s="11"/>
      <c r="B810" s="11"/>
      <c r="C810" s="12"/>
      <c r="D810" s="17" t="str">
        <f>IFERROR(INDEX(المواد!$B$2:$B$320,MATCH(B810,المواد!$A$2:$A$320,0)),"")</f>
        <v/>
      </c>
      <c r="E810" s="11"/>
      <c r="F810" t="str">
        <f>IF(AND($A810&lt;&gt;"",COUNTIF($A$2:A810,$A810)=1),$A810,"")</f>
        <v/>
      </c>
      <c r="G810" t="str">
        <f>IF($F810&lt;&gt;"",SUMPRODUCT(($F$2:F810&lt;&gt;"")*1),"")</f>
        <v/>
      </c>
    </row>
    <row r="811" spans="1:7" ht="21.95" customHeight="1">
      <c r="A811" s="11"/>
      <c r="B811" s="11"/>
      <c r="C811" s="12"/>
      <c r="D811" s="17" t="str">
        <f>IFERROR(INDEX(المواد!$B$2:$B$320,MATCH(B811,المواد!$A$2:$A$320,0)),"")</f>
        <v/>
      </c>
      <c r="E811" s="11"/>
      <c r="F811" t="str">
        <f>IF(AND($A811&lt;&gt;"",COUNTIF($A$2:A811,$A811)=1),$A811,"")</f>
        <v/>
      </c>
      <c r="G811" t="str">
        <f>IF($F811&lt;&gt;"",SUMPRODUCT(($F$2:F811&lt;&gt;"")*1),"")</f>
        <v/>
      </c>
    </row>
    <row r="812" spans="1:7" ht="21.95" customHeight="1">
      <c r="A812" s="11"/>
      <c r="B812" s="11"/>
      <c r="C812" s="12"/>
      <c r="D812" s="17" t="str">
        <f>IFERROR(INDEX(المواد!$B$2:$B$320,MATCH(B812,المواد!$A$2:$A$320,0)),"")</f>
        <v/>
      </c>
      <c r="E812" s="11"/>
      <c r="F812" t="str">
        <f>IF(AND($A812&lt;&gt;"",COUNTIF($A$2:A812,$A812)=1),$A812,"")</f>
        <v/>
      </c>
      <c r="G812" t="str">
        <f>IF($F812&lt;&gt;"",SUMPRODUCT(($F$2:F812&lt;&gt;"")*1),"")</f>
        <v/>
      </c>
    </row>
    <row r="813" spans="1:7" ht="21.95" customHeight="1">
      <c r="A813" s="11"/>
      <c r="B813" s="11"/>
      <c r="C813" s="12"/>
      <c r="D813" s="17" t="str">
        <f>IFERROR(INDEX(المواد!$B$2:$B$320,MATCH(B813,المواد!$A$2:$A$320,0)),"")</f>
        <v/>
      </c>
      <c r="E813" s="11"/>
      <c r="F813" t="str">
        <f>IF(AND($A813&lt;&gt;"",COUNTIF($A$2:A813,$A813)=1),$A813,"")</f>
        <v/>
      </c>
      <c r="G813" t="str">
        <f>IF($F813&lt;&gt;"",SUMPRODUCT(($F$2:F813&lt;&gt;"")*1),"")</f>
        <v/>
      </c>
    </row>
    <row r="814" spans="1:7" ht="21.95" customHeight="1">
      <c r="A814" s="11"/>
      <c r="B814" s="11"/>
      <c r="C814" s="12"/>
      <c r="D814" s="17" t="str">
        <f>IFERROR(INDEX(المواد!$B$2:$B$320,MATCH(B814,المواد!$A$2:$A$320,0)),"")</f>
        <v/>
      </c>
      <c r="E814" s="11"/>
      <c r="F814" t="str">
        <f>IF(AND($A814&lt;&gt;"",COUNTIF($A$2:A814,$A814)=1),$A814,"")</f>
        <v/>
      </c>
      <c r="G814" t="str">
        <f>IF($F814&lt;&gt;"",SUMPRODUCT(($F$2:F814&lt;&gt;"")*1),"")</f>
        <v/>
      </c>
    </row>
    <row r="815" spans="1:7" ht="21.95" customHeight="1">
      <c r="A815" s="11"/>
      <c r="B815" s="11"/>
      <c r="C815" s="12"/>
      <c r="D815" s="17" t="str">
        <f>IFERROR(INDEX(المواد!$B$2:$B$320,MATCH(B815,المواد!$A$2:$A$320,0)),"")</f>
        <v/>
      </c>
      <c r="E815" s="11"/>
      <c r="F815" t="str">
        <f>IF(AND($A815&lt;&gt;"",COUNTIF($A$2:A815,$A815)=1),$A815,"")</f>
        <v/>
      </c>
      <c r="G815" t="str">
        <f>IF($F815&lt;&gt;"",SUMPRODUCT(($F$2:F815&lt;&gt;"")*1),"")</f>
        <v/>
      </c>
    </row>
    <row r="816" spans="1:7" ht="21.95" customHeight="1">
      <c r="A816" s="11"/>
      <c r="B816" s="11"/>
      <c r="C816" s="12"/>
      <c r="D816" s="17" t="str">
        <f>IFERROR(INDEX(المواد!$B$2:$B$320,MATCH(B816,المواد!$A$2:$A$320,0)),"")</f>
        <v/>
      </c>
      <c r="E816" s="11"/>
      <c r="F816" t="str">
        <f>IF(AND($A816&lt;&gt;"",COUNTIF($A$2:A816,$A816)=1),$A816,"")</f>
        <v/>
      </c>
      <c r="G816" t="str">
        <f>IF($F816&lt;&gt;"",SUMPRODUCT(($F$2:F816&lt;&gt;"")*1),"")</f>
        <v/>
      </c>
    </row>
    <row r="817" spans="1:7" ht="21.95" customHeight="1">
      <c r="A817" s="11"/>
      <c r="B817" s="11"/>
      <c r="C817" s="12"/>
      <c r="D817" s="17" t="str">
        <f>IFERROR(INDEX(المواد!$B$2:$B$320,MATCH(B817,المواد!$A$2:$A$320,0)),"")</f>
        <v/>
      </c>
      <c r="E817" s="11"/>
      <c r="F817" t="str">
        <f>IF(AND($A817&lt;&gt;"",COUNTIF($A$2:A817,$A817)=1),$A817,"")</f>
        <v/>
      </c>
      <c r="G817" t="str">
        <f>IF($F817&lt;&gt;"",SUMPRODUCT(($F$2:F817&lt;&gt;"")*1),"")</f>
        <v/>
      </c>
    </row>
    <row r="818" spans="1:7" ht="21.95" customHeight="1">
      <c r="A818" s="11"/>
      <c r="B818" s="11"/>
      <c r="C818" s="12"/>
      <c r="D818" s="17" t="str">
        <f>IFERROR(INDEX(المواد!$B$2:$B$320,MATCH(B818,المواد!$A$2:$A$320,0)),"")</f>
        <v/>
      </c>
      <c r="E818" s="11"/>
      <c r="F818" t="str">
        <f>IF(AND($A818&lt;&gt;"",COUNTIF($A$2:A818,$A818)=1),$A818,"")</f>
        <v/>
      </c>
      <c r="G818" t="str">
        <f>IF($F818&lt;&gt;"",SUMPRODUCT(($F$2:F818&lt;&gt;"")*1),"")</f>
        <v/>
      </c>
    </row>
    <row r="819" spans="1:7" ht="21.95" customHeight="1">
      <c r="A819" s="11"/>
      <c r="B819" s="11"/>
      <c r="C819" s="12"/>
      <c r="D819" s="17" t="str">
        <f>IFERROR(INDEX(المواد!$B$2:$B$320,MATCH(B819,المواد!$A$2:$A$320,0)),"")</f>
        <v/>
      </c>
      <c r="E819" s="11"/>
      <c r="F819" t="str">
        <f>IF(AND($A819&lt;&gt;"",COUNTIF($A$2:A819,$A819)=1),$A819,"")</f>
        <v/>
      </c>
      <c r="G819" t="str">
        <f>IF($F819&lt;&gt;"",SUMPRODUCT(($F$2:F819&lt;&gt;"")*1),"")</f>
        <v/>
      </c>
    </row>
    <row r="820" spans="1:7" ht="21.95" customHeight="1">
      <c r="A820" s="11"/>
      <c r="B820" s="11"/>
      <c r="C820" s="12"/>
      <c r="D820" s="17" t="str">
        <f>IFERROR(INDEX(المواد!$B$2:$B$320,MATCH(B820,المواد!$A$2:$A$320,0)),"")</f>
        <v/>
      </c>
      <c r="E820" s="11"/>
      <c r="F820" t="str">
        <f>IF(AND($A820&lt;&gt;"",COUNTIF($A$2:A820,$A820)=1),$A820,"")</f>
        <v/>
      </c>
      <c r="G820" t="str">
        <f>IF($F820&lt;&gt;"",SUMPRODUCT(($F$2:F820&lt;&gt;"")*1),"")</f>
        <v/>
      </c>
    </row>
    <row r="821" spans="1:7" ht="21.95" customHeight="1">
      <c r="A821" s="11"/>
      <c r="B821" s="11"/>
      <c r="C821" s="12"/>
      <c r="D821" s="17" t="str">
        <f>IFERROR(INDEX(المواد!$B$2:$B$320,MATCH(B821,المواد!$A$2:$A$320,0)),"")</f>
        <v/>
      </c>
      <c r="E821" s="11"/>
      <c r="F821" t="str">
        <f>IF(AND($A821&lt;&gt;"",COUNTIF($A$2:A821,$A821)=1),$A821,"")</f>
        <v/>
      </c>
      <c r="G821" t="str">
        <f>IF($F821&lt;&gt;"",SUMPRODUCT(($F$2:F821&lt;&gt;"")*1),"")</f>
        <v/>
      </c>
    </row>
    <row r="822" spans="1:7" ht="21.95" customHeight="1">
      <c r="A822" s="11"/>
      <c r="B822" s="11"/>
      <c r="C822" s="12"/>
      <c r="D822" s="17" t="str">
        <f>IFERROR(INDEX(المواد!$B$2:$B$320,MATCH(B822,المواد!$A$2:$A$320,0)),"")</f>
        <v/>
      </c>
      <c r="E822" s="11"/>
      <c r="F822" t="str">
        <f>IF(AND($A822&lt;&gt;"",COUNTIF($A$2:A822,$A822)=1),$A822,"")</f>
        <v/>
      </c>
      <c r="G822" t="str">
        <f>IF($F822&lt;&gt;"",SUMPRODUCT(($F$2:F822&lt;&gt;"")*1),"")</f>
        <v/>
      </c>
    </row>
    <row r="823" spans="1:7" ht="21.95" customHeight="1">
      <c r="A823" s="11"/>
      <c r="B823" s="11"/>
      <c r="C823" s="12"/>
      <c r="D823" s="17" t="str">
        <f>IFERROR(INDEX(المواد!$B$2:$B$320,MATCH(B823,المواد!$A$2:$A$320,0)),"")</f>
        <v/>
      </c>
      <c r="E823" s="11"/>
      <c r="F823" t="str">
        <f>IF(AND($A823&lt;&gt;"",COUNTIF($A$2:A823,$A823)=1),$A823,"")</f>
        <v/>
      </c>
      <c r="G823" t="str">
        <f>IF($F823&lt;&gt;"",SUMPRODUCT(($F$2:F823&lt;&gt;"")*1),"")</f>
        <v/>
      </c>
    </row>
    <row r="824" spans="1:7" ht="21.95" customHeight="1">
      <c r="A824" s="11"/>
      <c r="B824" s="11"/>
      <c r="C824" s="12"/>
      <c r="D824" s="17" t="str">
        <f>IFERROR(INDEX(المواد!$B$2:$B$320,MATCH(B824,المواد!$A$2:$A$320,0)),"")</f>
        <v/>
      </c>
      <c r="E824" s="11"/>
      <c r="F824" t="str">
        <f>IF(AND($A824&lt;&gt;"",COUNTIF($A$2:A824,$A824)=1),$A824,"")</f>
        <v/>
      </c>
      <c r="G824" t="str">
        <f>IF($F824&lt;&gt;"",SUMPRODUCT(($F$2:F824&lt;&gt;"")*1),"")</f>
        <v/>
      </c>
    </row>
    <row r="825" spans="1:7" ht="21.95" customHeight="1">
      <c r="A825" s="11"/>
      <c r="B825" s="11"/>
      <c r="C825" s="12"/>
      <c r="D825" s="17" t="str">
        <f>IFERROR(INDEX(المواد!$B$2:$B$320,MATCH(B825,المواد!$A$2:$A$320,0)),"")</f>
        <v/>
      </c>
      <c r="E825" s="11"/>
      <c r="F825" t="str">
        <f>IF(AND($A825&lt;&gt;"",COUNTIF($A$2:A825,$A825)=1),$A825,"")</f>
        <v/>
      </c>
      <c r="G825" t="str">
        <f>IF($F825&lt;&gt;"",SUMPRODUCT(($F$2:F825&lt;&gt;"")*1),"")</f>
        <v/>
      </c>
    </row>
    <row r="826" spans="1:7" ht="21.95" customHeight="1">
      <c r="A826" s="11"/>
      <c r="B826" s="11"/>
      <c r="C826" s="12"/>
      <c r="D826" s="17" t="str">
        <f>IFERROR(INDEX(المواد!$B$2:$B$320,MATCH(B826,المواد!$A$2:$A$320,0)),"")</f>
        <v/>
      </c>
      <c r="E826" s="11"/>
      <c r="F826" t="str">
        <f>IF(AND($A826&lt;&gt;"",COUNTIF($A$2:A826,$A826)=1),$A826,"")</f>
        <v/>
      </c>
      <c r="G826" t="str">
        <f>IF($F826&lt;&gt;"",SUMPRODUCT(($F$2:F826&lt;&gt;"")*1),"")</f>
        <v/>
      </c>
    </row>
    <row r="827" spans="1:7" ht="21.95" customHeight="1">
      <c r="A827" s="11"/>
      <c r="B827" s="11"/>
      <c r="C827" s="12"/>
      <c r="D827" s="17" t="str">
        <f>IFERROR(INDEX(المواد!$B$2:$B$320,MATCH(B827,المواد!$A$2:$A$320,0)),"")</f>
        <v/>
      </c>
      <c r="E827" s="11"/>
      <c r="F827" t="str">
        <f>IF(AND($A827&lt;&gt;"",COUNTIF($A$2:A827,$A827)=1),$A827,"")</f>
        <v/>
      </c>
      <c r="G827" t="str">
        <f>IF($F827&lt;&gt;"",SUMPRODUCT(($F$2:F827&lt;&gt;"")*1),"")</f>
        <v/>
      </c>
    </row>
    <row r="828" spans="1:7" ht="21.95" customHeight="1">
      <c r="A828" s="11"/>
      <c r="B828" s="11"/>
      <c r="C828" s="12"/>
      <c r="D828" s="17" t="str">
        <f>IFERROR(INDEX(المواد!$B$2:$B$320,MATCH(B828,المواد!$A$2:$A$320,0)),"")</f>
        <v/>
      </c>
      <c r="E828" s="11"/>
      <c r="F828" t="str">
        <f>IF(AND($A828&lt;&gt;"",COUNTIF($A$2:A828,$A828)=1),$A828,"")</f>
        <v/>
      </c>
      <c r="G828" t="str">
        <f>IF($F828&lt;&gt;"",SUMPRODUCT(($F$2:F828&lt;&gt;"")*1),"")</f>
        <v/>
      </c>
    </row>
    <row r="829" spans="1:7" ht="21.95" customHeight="1">
      <c r="A829" s="11"/>
      <c r="B829" s="11"/>
      <c r="C829" s="12"/>
      <c r="D829" s="17" t="str">
        <f>IFERROR(INDEX(المواد!$B$2:$B$320,MATCH(B829,المواد!$A$2:$A$320,0)),"")</f>
        <v/>
      </c>
      <c r="E829" s="11"/>
      <c r="F829" t="str">
        <f>IF(AND($A829&lt;&gt;"",COUNTIF($A$2:A829,$A829)=1),$A829,"")</f>
        <v/>
      </c>
      <c r="G829" t="str">
        <f>IF($F829&lt;&gt;"",SUMPRODUCT(($F$2:F829&lt;&gt;"")*1),"")</f>
        <v/>
      </c>
    </row>
    <row r="830" spans="1:7" ht="21.95" customHeight="1">
      <c r="A830" s="11"/>
      <c r="B830" s="11"/>
      <c r="C830" s="12"/>
      <c r="D830" s="17" t="str">
        <f>IFERROR(INDEX(المواد!$B$2:$B$320,MATCH(B830,المواد!$A$2:$A$320,0)),"")</f>
        <v/>
      </c>
      <c r="E830" s="11"/>
      <c r="F830" t="str">
        <f>IF(AND($A830&lt;&gt;"",COUNTIF($A$2:A830,$A830)=1),$A830,"")</f>
        <v/>
      </c>
      <c r="G830" t="str">
        <f>IF($F830&lt;&gt;"",SUMPRODUCT(($F$2:F830&lt;&gt;"")*1),"")</f>
        <v/>
      </c>
    </row>
    <row r="831" spans="1:7" ht="21.95" customHeight="1">
      <c r="A831" s="11"/>
      <c r="B831" s="11"/>
      <c r="C831" s="12"/>
      <c r="D831" s="17" t="str">
        <f>IFERROR(INDEX(المواد!$B$2:$B$320,MATCH(B831,المواد!$A$2:$A$320,0)),"")</f>
        <v/>
      </c>
      <c r="E831" s="11"/>
      <c r="F831" t="str">
        <f>IF(AND($A831&lt;&gt;"",COUNTIF($A$2:A831,$A831)=1),$A831,"")</f>
        <v/>
      </c>
      <c r="G831" t="str">
        <f>IF($F831&lt;&gt;"",SUMPRODUCT(($F$2:F831&lt;&gt;"")*1),"")</f>
        <v/>
      </c>
    </row>
    <row r="832" spans="1:7" ht="21.95" customHeight="1">
      <c r="A832" s="11"/>
      <c r="B832" s="11"/>
      <c r="C832" s="12"/>
      <c r="D832" s="17" t="str">
        <f>IFERROR(INDEX(المواد!$B$2:$B$320,MATCH(B832,المواد!$A$2:$A$320,0)),"")</f>
        <v/>
      </c>
      <c r="E832" s="11"/>
      <c r="F832" t="str">
        <f>IF(AND($A832&lt;&gt;"",COUNTIF($A$2:A832,$A832)=1),$A832,"")</f>
        <v/>
      </c>
      <c r="G832" t="str">
        <f>IF($F832&lt;&gt;"",SUMPRODUCT(($F$2:F832&lt;&gt;"")*1),"")</f>
        <v/>
      </c>
    </row>
    <row r="833" spans="1:7" ht="21.95" customHeight="1">
      <c r="A833" s="11"/>
      <c r="B833" s="11"/>
      <c r="C833" s="12"/>
      <c r="D833" s="17" t="str">
        <f>IFERROR(INDEX(المواد!$B$2:$B$320,MATCH(B833,المواد!$A$2:$A$320,0)),"")</f>
        <v/>
      </c>
      <c r="E833" s="11"/>
      <c r="F833" t="str">
        <f>IF(AND($A833&lt;&gt;"",COUNTIF($A$2:A833,$A833)=1),$A833,"")</f>
        <v/>
      </c>
      <c r="G833" t="str">
        <f>IF($F833&lt;&gt;"",SUMPRODUCT(($F$2:F833&lt;&gt;"")*1),"")</f>
        <v/>
      </c>
    </row>
    <row r="834" spans="1:7" ht="21.95" customHeight="1">
      <c r="A834" s="11"/>
      <c r="B834" s="11"/>
      <c r="C834" s="12"/>
      <c r="D834" s="17" t="str">
        <f>IFERROR(INDEX(المواد!$B$2:$B$320,MATCH(B834,المواد!$A$2:$A$320,0)),"")</f>
        <v/>
      </c>
      <c r="E834" s="11"/>
      <c r="F834" t="str">
        <f>IF(AND($A834&lt;&gt;"",COUNTIF($A$2:A834,$A834)=1),$A834,"")</f>
        <v/>
      </c>
      <c r="G834" t="str">
        <f>IF($F834&lt;&gt;"",SUMPRODUCT(($F$2:F834&lt;&gt;"")*1),"")</f>
        <v/>
      </c>
    </row>
    <row r="835" spans="1:7" ht="21.95" customHeight="1">
      <c r="A835" s="11"/>
      <c r="B835" s="11"/>
      <c r="C835" s="12"/>
      <c r="D835" s="17" t="str">
        <f>IFERROR(INDEX(المواد!$B$2:$B$320,MATCH(B835,المواد!$A$2:$A$320,0)),"")</f>
        <v/>
      </c>
      <c r="E835" s="11"/>
      <c r="F835" t="str">
        <f>IF(AND($A835&lt;&gt;"",COUNTIF($A$2:A835,$A835)=1),$A835,"")</f>
        <v/>
      </c>
      <c r="G835" t="str">
        <f>IF($F835&lt;&gt;"",SUMPRODUCT(($F$2:F835&lt;&gt;"")*1),"")</f>
        <v/>
      </c>
    </row>
    <row r="836" spans="1:7" ht="21.95" customHeight="1">
      <c r="A836" s="11"/>
      <c r="B836" s="11"/>
      <c r="C836" s="12"/>
      <c r="D836" s="17" t="str">
        <f>IFERROR(INDEX(المواد!$B$2:$B$320,MATCH(B836,المواد!$A$2:$A$320,0)),"")</f>
        <v/>
      </c>
      <c r="E836" s="11"/>
      <c r="F836" t="str">
        <f>IF(AND($A836&lt;&gt;"",COUNTIF($A$2:A836,$A836)=1),$A836,"")</f>
        <v/>
      </c>
      <c r="G836" t="str">
        <f>IF($F836&lt;&gt;"",SUMPRODUCT(($F$2:F836&lt;&gt;"")*1),"")</f>
        <v/>
      </c>
    </row>
    <row r="837" spans="1:7" ht="21.95" customHeight="1">
      <c r="A837" s="11"/>
      <c r="B837" s="11"/>
      <c r="C837" s="12"/>
      <c r="D837" s="17" t="str">
        <f>IFERROR(INDEX(المواد!$B$2:$B$320,MATCH(B837,المواد!$A$2:$A$320,0)),"")</f>
        <v/>
      </c>
      <c r="E837" s="11"/>
      <c r="F837" t="str">
        <f>IF(AND($A837&lt;&gt;"",COUNTIF($A$2:A837,$A837)=1),$A837,"")</f>
        <v/>
      </c>
      <c r="G837" t="str">
        <f>IF($F837&lt;&gt;"",SUMPRODUCT(($F$2:F837&lt;&gt;"")*1),"")</f>
        <v/>
      </c>
    </row>
    <row r="838" spans="1:7" ht="21.95" customHeight="1">
      <c r="A838" s="11"/>
      <c r="B838" s="11"/>
      <c r="C838" s="12"/>
      <c r="D838" s="17" t="str">
        <f>IFERROR(INDEX(المواد!$B$2:$B$320,MATCH(B838,المواد!$A$2:$A$320,0)),"")</f>
        <v/>
      </c>
      <c r="E838" s="11"/>
      <c r="F838" t="str">
        <f>IF(AND($A838&lt;&gt;"",COUNTIF($A$2:A838,$A838)=1),$A838,"")</f>
        <v/>
      </c>
      <c r="G838" t="str">
        <f>IF($F838&lt;&gt;"",SUMPRODUCT(($F$2:F838&lt;&gt;"")*1),"")</f>
        <v/>
      </c>
    </row>
    <row r="839" spans="1:7" ht="21.95" customHeight="1">
      <c r="A839" s="11"/>
      <c r="B839" s="11"/>
      <c r="C839" s="12"/>
      <c r="D839" s="17" t="str">
        <f>IFERROR(INDEX(المواد!$B$2:$B$320,MATCH(B839,المواد!$A$2:$A$320,0)),"")</f>
        <v/>
      </c>
      <c r="E839" s="11"/>
      <c r="F839" t="str">
        <f>IF(AND($A839&lt;&gt;"",COUNTIF($A$2:A839,$A839)=1),$A839,"")</f>
        <v/>
      </c>
      <c r="G839" t="str">
        <f>IF($F839&lt;&gt;"",SUMPRODUCT(($F$2:F839&lt;&gt;"")*1),"")</f>
        <v/>
      </c>
    </row>
    <row r="840" spans="1:7" ht="21.95" customHeight="1">
      <c r="A840" s="11"/>
      <c r="B840" s="11"/>
      <c r="C840" s="12"/>
      <c r="D840" s="17" t="str">
        <f>IFERROR(INDEX(المواد!$B$2:$B$320,MATCH(B840,المواد!$A$2:$A$320,0)),"")</f>
        <v/>
      </c>
      <c r="E840" s="11"/>
      <c r="F840" t="str">
        <f>IF(AND($A840&lt;&gt;"",COUNTIF($A$2:A840,$A840)=1),$A840,"")</f>
        <v/>
      </c>
      <c r="G840" t="str">
        <f>IF($F840&lt;&gt;"",SUMPRODUCT(($F$2:F840&lt;&gt;"")*1),"")</f>
        <v/>
      </c>
    </row>
    <row r="841" spans="1:7" ht="21.95" customHeight="1">
      <c r="A841" s="11"/>
      <c r="B841" s="11"/>
      <c r="C841" s="12"/>
      <c r="D841" s="17" t="str">
        <f>IFERROR(INDEX(المواد!$B$2:$B$320,MATCH(B841,المواد!$A$2:$A$320,0)),"")</f>
        <v/>
      </c>
      <c r="E841" s="11"/>
      <c r="F841" t="str">
        <f>IF(AND($A841&lt;&gt;"",COUNTIF($A$2:A841,$A841)=1),$A841,"")</f>
        <v/>
      </c>
      <c r="G841" t="str">
        <f>IF($F841&lt;&gt;"",SUMPRODUCT(($F$2:F841&lt;&gt;"")*1),"")</f>
        <v/>
      </c>
    </row>
    <row r="842" spans="1:7" ht="21.95" customHeight="1">
      <c r="A842" s="11"/>
      <c r="B842" s="11"/>
      <c r="C842" s="12"/>
      <c r="D842" s="17" t="str">
        <f>IFERROR(INDEX(المواد!$B$2:$B$320,MATCH(B842,المواد!$A$2:$A$320,0)),"")</f>
        <v/>
      </c>
      <c r="E842" s="11"/>
      <c r="F842" t="str">
        <f>IF(AND($A842&lt;&gt;"",COUNTIF($A$2:A842,$A842)=1),$A842,"")</f>
        <v/>
      </c>
      <c r="G842" t="str">
        <f>IF($F842&lt;&gt;"",SUMPRODUCT(($F$2:F842&lt;&gt;"")*1),"")</f>
        <v/>
      </c>
    </row>
    <row r="843" spans="1:7" ht="21.95" customHeight="1">
      <c r="A843" s="11"/>
      <c r="B843" s="11"/>
      <c r="C843" s="12"/>
      <c r="D843" s="17" t="str">
        <f>IFERROR(INDEX(المواد!$B$2:$B$320,MATCH(B843,المواد!$A$2:$A$320,0)),"")</f>
        <v/>
      </c>
      <c r="E843" s="11"/>
      <c r="F843" t="str">
        <f>IF(AND($A843&lt;&gt;"",COUNTIF($A$2:A843,$A843)=1),$A843,"")</f>
        <v/>
      </c>
      <c r="G843" t="str">
        <f>IF($F843&lt;&gt;"",SUMPRODUCT(($F$2:F843&lt;&gt;"")*1),"")</f>
        <v/>
      </c>
    </row>
    <row r="844" spans="1:7" ht="21.95" customHeight="1">
      <c r="A844" s="11"/>
      <c r="B844" s="11"/>
      <c r="C844" s="12"/>
      <c r="D844" s="17" t="str">
        <f>IFERROR(INDEX(المواد!$B$2:$B$320,MATCH(B844,المواد!$A$2:$A$320,0)),"")</f>
        <v/>
      </c>
      <c r="E844" s="11"/>
      <c r="F844" t="str">
        <f>IF(AND($A844&lt;&gt;"",COUNTIF($A$2:A844,$A844)=1),$A844,"")</f>
        <v/>
      </c>
      <c r="G844" t="str">
        <f>IF($F844&lt;&gt;"",SUMPRODUCT(($F$2:F844&lt;&gt;"")*1),"")</f>
        <v/>
      </c>
    </row>
    <row r="845" spans="1:7" ht="21.95" customHeight="1">
      <c r="A845" s="11"/>
      <c r="B845" s="11"/>
      <c r="C845" s="12"/>
      <c r="D845" s="17" t="str">
        <f>IFERROR(INDEX(المواد!$B$2:$B$320,MATCH(B845,المواد!$A$2:$A$320,0)),"")</f>
        <v/>
      </c>
      <c r="E845" s="11"/>
      <c r="F845" t="str">
        <f>IF(AND($A845&lt;&gt;"",COUNTIF($A$2:A845,$A845)=1),$A845,"")</f>
        <v/>
      </c>
      <c r="G845" t="str">
        <f>IF($F845&lt;&gt;"",SUMPRODUCT(($F$2:F845&lt;&gt;"")*1),"")</f>
        <v/>
      </c>
    </row>
    <row r="846" spans="1:7" ht="21.95" customHeight="1">
      <c r="A846" s="11"/>
      <c r="B846" s="11"/>
      <c r="C846" s="12"/>
      <c r="D846" s="17" t="str">
        <f>IFERROR(INDEX(المواد!$B$2:$B$320,MATCH(B846,المواد!$A$2:$A$320,0)),"")</f>
        <v/>
      </c>
      <c r="E846" s="11"/>
      <c r="F846" t="str">
        <f>IF(AND($A846&lt;&gt;"",COUNTIF($A$2:A846,$A846)=1),$A846,"")</f>
        <v/>
      </c>
      <c r="G846" t="str">
        <f>IF($F846&lt;&gt;"",SUMPRODUCT(($F$2:F846&lt;&gt;"")*1),"")</f>
        <v/>
      </c>
    </row>
    <row r="847" spans="1:7" ht="21.95" customHeight="1">
      <c r="A847" s="11"/>
      <c r="B847" s="11"/>
      <c r="C847" s="12"/>
      <c r="D847" s="17" t="str">
        <f>IFERROR(INDEX(المواد!$B$2:$B$320,MATCH(B847,المواد!$A$2:$A$320,0)),"")</f>
        <v/>
      </c>
      <c r="E847" s="11"/>
      <c r="F847" t="str">
        <f>IF(AND($A847&lt;&gt;"",COUNTIF($A$2:A847,$A847)=1),$A847,"")</f>
        <v/>
      </c>
      <c r="G847" t="str">
        <f>IF($F847&lt;&gt;"",SUMPRODUCT(($F$2:F847&lt;&gt;"")*1),"")</f>
        <v/>
      </c>
    </row>
    <row r="848" spans="1:7" ht="21.95" customHeight="1">
      <c r="A848" s="11"/>
      <c r="B848" s="11"/>
      <c r="C848" s="12"/>
      <c r="D848" s="17" t="str">
        <f>IFERROR(INDEX(المواد!$B$2:$B$320,MATCH(B848,المواد!$A$2:$A$320,0)),"")</f>
        <v/>
      </c>
      <c r="E848" s="11"/>
      <c r="F848" t="str">
        <f>IF(AND($A848&lt;&gt;"",COUNTIF($A$2:A848,$A848)=1),$A848,"")</f>
        <v/>
      </c>
      <c r="G848" t="str">
        <f>IF($F848&lt;&gt;"",SUMPRODUCT(($F$2:F848&lt;&gt;"")*1),"")</f>
        <v/>
      </c>
    </row>
    <row r="849" spans="1:7" ht="21.95" customHeight="1">
      <c r="A849" s="11"/>
      <c r="B849" s="11"/>
      <c r="C849" s="12"/>
      <c r="D849" s="17" t="str">
        <f>IFERROR(INDEX(المواد!$B$2:$B$320,MATCH(B849,المواد!$A$2:$A$320,0)),"")</f>
        <v/>
      </c>
      <c r="E849" s="11"/>
      <c r="F849" t="str">
        <f>IF(AND($A849&lt;&gt;"",COUNTIF($A$2:A849,$A849)=1),$A849,"")</f>
        <v/>
      </c>
      <c r="G849" t="str">
        <f>IF($F849&lt;&gt;"",SUMPRODUCT(($F$2:F849&lt;&gt;"")*1),"")</f>
        <v/>
      </c>
    </row>
    <row r="850" spans="1:7" ht="21.95" customHeight="1">
      <c r="A850" s="11"/>
      <c r="B850" s="11"/>
      <c r="C850" s="12"/>
      <c r="D850" s="17" t="str">
        <f>IFERROR(INDEX(المواد!$B$2:$B$320,MATCH(B850,المواد!$A$2:$A$320,0)),"")</f>
        <v/>
      </c>
      <c r="E850" s="11"/>
      <c r="F850" t="str">
        <f>IF(AND($A850&lt;&gt;"",COUNTIF($A$2:A850,$A850)=1),$A850,"")</f>
        <v/>
      </c>
      <c r="G850" t="str">
        <f>IF($F850&lt;&gt;"",SUMPRODUCT(($F$2:F850&lt;&gt;"")*1),"")</f>
        <v/>
      </c>
    </row>
    <row r="851" spans="1:7" ht="21.95" customHeight="1">
      <c r="A851" s="11"/>
      <c r="B851" s="11"/>
      <c r="C851" s="12"/>
      <c r="D851" s="17" t="str">
        <f>IFERROR(INDEX(المواد!$B$2:$B$320,MATCH(B851,المواد!$A$2:$A$320,0)),"")</f>
        <v/>
      </c>
      <c r="E851" s="11"/>
      <c r="F851" t="str">
        <f>IF(AND($A851&lt;&gt;"",COUNTIF($A$2:A851,$A851)=1),$A851,"")</f>
        <v/>
      </c>
      <c r="G851" t="str">
        <f>IF($F851&lt;&gt;"",SUMPRODUCT(($F$2:F851&lt;&gt;"")*1),"")</f>
        <v/>
      </c>
    </row>
    <row r="852" spans="1:7" ht="21.95" customHeight="1">
      <c r="A852" s="11"/>
      <c r="B852" s="11"/>
      <c r="C852" s="12"/>
      <c r="D852" s="17" t="str">
        <f>IFERROR(INDEX(المواد!$B$2:$B$320,MATCH(B852,المواد!$A$2:$A$320,0)),"")</f>
        <v/>
      </c>
      <c r="E852" s="11"/>
      <c r="F852" t="str">
        <f>IF(AND($A852&lt;&gt;"",COUNTIF($A$2:A852,$A852)=1),$A852,"")</f>
        <v/>
      </c>
      <c r="G852" t="str">
        <f>IF($F852&lt;&gt;"",SUMPRODUCT(($F$2:F852&lt;&gt;"")*1),"")</f>
        <v/>
      </c>
    </row>
    <row r="853" spans="1:7" ht="21.95" customHeight="1">
      <c r="A853" s="11"/>
      <c r="B853" s="11"/>
      <c r="C853" s="12"/>
      <c r="D853" s="17" t="str">
        <f>IFERROR(INDEX(المواد!$B$2:$B$320,MATCH(B853,المواد!$A$2:$A$320,0)),"")</f>
        <v/>
      </c>
      <c r="E853" s="11"/>
      <c r="F853" t="str">
        <f>IF(AND($A853&lt;&gt;"",COUNTIF($A$2:A853,$A853)=1),$A853,"")</f>
        <v/>
      </c>
      <c r="G853" t="str">
        <f>IF($F853&lt;&gt;"",SUMPRODUCT(($F$2:F853&lt;&gt;"")*1),"")</f>
        <v/>
      </c>
    </row>
    <row r="854" spans="1:7" ht="21.95" customHeight="1">
      <c r="A854" s="11"/>
      <c r="B854" s="11"/>
      <c r="C854" s="12"/>
      <c r="D854" s="17" t="str">
        <f>IFERROR(INDEX(المواد!$B$2:$B$320,MATCH(B854,المواد!$A$2:$A$320,0)),"")</f>
        <v/>
      </c>
      <c r="E854" s="11"/>
      <c r="F854" t="str">
        <f>IF(AND($A854&lt;&gt;"",COUNTIF($A$2:A854,$A854)=1),$A854,"")</f>
        <v/>
      </c>
      <c r="G854" t="str">
        <f>IF($F854&lt;&gt;"",SUMPRODUCT(($F$2:F854&lt;&gt;"")*1),"")</f>
        <v/>
      </c>
    </row>
    <row r="855" spans="1:7" ht="21.95" customHeight="1">
      <c r="A855" s="11"/>
      <c r="B855" s="11"/>
      <c r="C855" s="12"/>
      <c r="D855" s="17" t="str">
        <f>IFERROR(INDEX(المواد!$B$2:$B$320,MATCH(B855,المواد!$A$2:$A$320,0)),"")</f>
        <v/>
      </c>
      <c r="E855" s="11"/>
      <c r="F855" t="str">
        <f>IF(AND($A855&lt;&gt;"",COUNTIF($A$2:A855,$A855)=1),$A855,"")</f>
        <v/>
      </c>
      <c r="G855" t="str">
        <f>IF($F855&lt;&gt;"",SUMPRODUCT(($F$2:F855&lt;&gt;"")*1),"")</f>
        <v/>
      </c>
    </row>
    <row r="856" spans="1:7" ht="21.95" customHeight="1">
      <c r="A856" s="11"/>
      <c r="B856" s="11"/>
      <c r="C856" s="12"/>
      <c r="D856" s="17" t="str">
        <f>IFERROR(INDEX(المواد!$B$2:$B$320,MATCH(B856,المواد!$A$2:$A$320,0)),"")</f>
        <v/>
      </c>
      <c r="E856" s="11"/>
      <c r="F856" t="str">
        <f>IF(AND($A856&lt;&gt;"",COUNTIF($A$2:A856,$A856)=1),$A856,"")</f>
        <v/>
      </c>
      <c r="G856" t="str">
        <f>IF($F856&lt;&gt;"",SUMPRODUCT(($F$2:F856&lt;&gt;"")*1),"")</f>
        <v/>
      </c>
    </row>
    <row r="857" spans="1:7" ht="21.95" customHeight="1">
      <c r="A857" s="11"/>
      <c r="B857" s="11"/>
      <c r="C857" s="12"/>
      <c r="D857" s="17" t="str">
        <f>IFERROR(INDEX(المواد!$B$2:$B$320,MATCH(B857,المواد!$A$2:$A$320,0)),"")</f>
        <v/>
      </c>
      <c r="E857" s="11"/>
      <c r="F857" t="str">
        <f>IF(AND($A857&lt;&gt;"",COUNTIF($A$2:A857,$A857)=1),$A857,"")</f>
        <v/>
      </c>
      <c r="G857" t="str">
        <f>IF($F857&lt;&gt;"",SUMPRODUCT(($F$2:F857&lt;&gt;"")*1),"")</f>
        <v/>
      </c>
    </row>
    <row r="858" spans="1:7" ht="21.95" customHeight="1">
      <c r="A858" s="11"/>
      <c r="B858" s="11"/>
      <c r="C858" s="12"/>
      <c r="D858" s="17" t="str">
        <f>IFERROR(INDEX(المواد!$B$2:$B$320,MATCH(B858,المواد!$A$2:$A$320,0)),"")</f>
        <v/>
      </c>
      <c r="E858" s="11"/>
      <c r="F858" t="str">
        <f>IF(AND($A858&lt;&gt;"",COUNTIF($A$2:A858,$A858)=1),$A858,"")</f>
        <v/>
      </c>
      <c r="G858" t="str">
        <f>IF($F858&lt;&gt;"",SUMPRODUCT(($F$2:F858&lt;&gt;"")*1),"")</f>
        <v/>
      </c>
    </row>
    <row r="859" spans="1:7" ht="21.95" customHeight="1">
      <c r="A859" s="11"/>
      <c r="B859" s="11"/>
      <c r="C859" s="12"/>
      <c r="D859" s="17" t="str">
        <f>IFERROR(INDEX(المواد!$B$2:$B$320,MATCH(B859,المواد!$A$2:$A$320,0)),"")</f>
        <v/>
      </c>
      <c r="E859" s="11"/>
      <c r="F859" t="str">
        <f>IF(AND($A859&lt;&gt;"",COUNTIF($A$2:A859,$A859)=1),$A859,"")</f>
        <v/>
      </c>
      <c r="G859" t="str">
        <f>IF($F859&lt;&gt;"",SUMPRODUCT(($F$2:F859&lt;&gt;"")*1),"")</f>
        <v/>
      </c>
    </row>
    <row r="860" spans="1:7" ht="21.95" customHeight="1">
      <c r="A860" s="11"/>
      <c r="B860" s="11"/>
      <c r="C860" s="12"/>
      <c r="D860" s="17" t="str">
        <f>IFERROR(INDEX(المواد!$B$2:$B$320,MATCH(B860,المواد!$A$2:$A$320,0)),"")</f>
        <v/>
      </c>
      <c r="E860" s="11"/>
      <c r="F860" t="str">
        <f>IF(AND($A860&lt;&gt;"",COUNTIF($A$2:A860,$A860)=1),$A860,"")</f>
        <v/>
      </c>
      <c r="G860" t="str">
        <f>IF($F860&lt;&gt;"",SUMPRODUCT(($F$2:F860&lt;&gt;"")*1),"")</f>
        <v/>
      </c>
    </row>
    <row r="861" spans="1:7" ht="21.95" customHeight="1">
      <c r="A861" s="11"/>
      <c r="B861" s="11"/>
      <c r="C861" s="12"/>
      <c r="D861" s="17" t="str">
        <f>IFERROR(INDEX(المواد!$B$2:$B$320,MATCH(B861,المواد!$A$2:$A$320,0)),"")</f>
        <v/>
      </c>
      <c r="E861" s="11"/>
      <c r="F861" t="str">
        <f>IF(AND($A861&lt;&gt;"",COUNTIF($A$2:A861,$A861)=1),$A861,"")</f>
        <v/>
      </c>
      <c r="G861" t="str">
        <f>IF($F861&lt;&gt;"",SUMPRODUCT(($F$2:F861&lt;&gt;"")*1),"")</f>
        <v/>
      </c>
    </row>
    <row r="862" spans="1:7" ht="21.95" customHeight="1">
      <c r="A862" s="11"/>
      <c r="B862" s="11"/>
      <c r="C862" s="12"/>
      <c r="D862" s="17" t="str">
        <f>IFERROR(INDEX(المواد!$B$2:$B$320,MATCH(B862,المواد!$A$2:$A$320,0)),"")</f>
        <v/>
      </c>
      <c r="E862" s="11"/>
      <c r="F862" t="str">
        <f>IF(AND($A862&lt;&gt;"",COUNTIF($A$2:A862,$A862)=1),$A862,"")</f>
        <v/>
      </c>
      <c r="G862" t="str">
        <f>IF($F862&lt;&gt;"",SUMPRODUCT(($F$2:F862&lt;&gt;"")*1),"")</f>
        <v/>
      </c>
    </row>
    <row r="863" spans="1:7" ht="21.95" customHeight="1">
      <c r="A863" s="11"/>
      <c r="B863" s="11"/>
      <c r="C863" s="12"/>
      <c r="D863" s="17" t="str">
        <f>IFERROR(INDEX(المواد!$B$2:$B$320,MATCH(B863,المواد!$A$2:$A$320,0)),"")</f>
        <v/>
      </c>
      <c r="E863" s="11"/>
      <c r="F863" t="str">
        <f>IF(AND($A863&lt;&gt;"",COUNTIF($A$2:A863,$A863)=1),$A863,"")</f>
        <v/>
      </c>
      <c r="G863" t="str">
        <f>IF($F863&lt;&gt;"",SUMPRODUCT(($F$2:F863&lt;&gt;"")*1),"")</f>
        <v/>
      </c>
    </row>
    <row r="864" spans="1:7" ht="21.95" customHeight="1">
      <c r="A864" s="11"/>
      <c r="B864" s="11"/>
      <c r="C864" s="12"/>
      <c r="D864" s="17" t="str">
        <f>IFERROR(INDEX(المواد!$B$2:$B$320,MATCH(B864,المواد!$A$2:$A$320,0)),"")</f>
        <v/>
      </c>
      <c r="E864" s="11"/>
      <c r="F864" t="str">
        <f>IF(AND($A864&lt;&gt;"",COUNTIF($A$2:A864,$A864)=1),$A864,"")</f>
        <v/>
      </c>
      <c r="G864" t="str">
        <f>IF($F864&lt;&gt;"",SUMPRODUCT(($F$2:F864&lt;&gt;"")*1),"")</f>
        <v/>
      </c>
    </row>
    <row r="865" spans="1:7" ht="21.95" customHeight="1">
      <c r="A865" s="11"/>
      <c r="B865" s="11"/>
      <c r="C865" s="12"/>
      <c r="D865" s="17" t="str">
        <f>IFERROR(INDEX(المواد!$B$2:$B$320,MATCH(B865,المواد!$A$2:$A$320,0)),"")</f>
        <v/>
      </c>
      <c r="E865" s="11"/>
      <c r="F865" t="str">
        <f>IF(AND($A865&lt;&gt;"",COUNTIF($A$2:A865,$A865)=1),$A865,"")</f>
        <v/>
      </c>
      <c r="G865" t="str">
        <f>IF($F865&lt;&gt;"",SUMPRODUCT(($F$2:F865&lt;&gt;"")*1),"")</f>
        <v/>
      </c>
    </row>
    <row r="866" spans="1:7" ht="21.95" customHeight="1">
      <c r="A866" s="11"/>
      <c r="B866" s="11"/>
      <c r="C866" s="12"/>
      <c r="D866" s="17" t="str">
        <f>IFERROR(INDEX(المواد!$B$2:$B$320,MATCH(B866,المواد!$A$2:$A$320,0)),"")</f>
        <v/>
      </c>
      <c r="E866" s="11"/>
      <c r="F866" t="str">
        <f>IF(AND($A866&lt;&gt;"",COUNTIF($A$2:A866,$A866)=1),$A866,"")</f>
        <v/>
      </c>
      <c r="G866" t="str">
        <f>IF($F866&lt;&gt;"",SUMPRODUCT(($F$2:F866&lt;&gt;"")*1),"")</f>
        <v/>
      </c>
    </row>
    <row r="867" spans="1:7" ht="21.95" customHeight="1">
      <c r="A867" s="11"/>
      <c r="B867" s="11"/>
      <c r="C867" s="12"/>
      <c r="D867" s="17" t="str">
        <f>IFERROR(INDEX(المواد!$B$2:$B$320,MATCH(B867,المواد!$A$2:$A$320,0)),"")</f>
        <v/>
      </c>
      <c r="E867" s="11"/>
      <c r="F867" t="str">
        <f>IF(AND($A867&lt;&gt;"",COUNTIF($A$2:A867,$A867)=1),$A867,"")</f>
        <v/>
      </c>
      <c r="G867" t="str">
        <f>IF($F867&lt;&gt;"",SUMPRODUCT(($F$2:F867&lt;&gt;"")*1),"")</f>
        <v/>
      </c>
    </row>
    <row r="868" spans="1:7" ht="21.95" customHeight="1">
      <c r="A868" s="11"/>
      <c r="B868" s="11"/>
      <c r="C868" s="12"/>
      <c r="D868" s="17" t="str">
        <f>IFERROR(INDEX(المواد!$B$2:$B$320,MATCH(B868,المواد!$A$2:$A$320,0)),"")</f>
        <v/>
      </c>
      <c r="E868" s="11"/>
      <c r="F868" t="str">
        <f>IF(AND($A868&lt;&gt;"",COUNTIF($A$2:A868,$A868)=1),$A868,"")</f>
        <v/>
      </c>
      <c r="G868" t="str">
        <f>IF($F868&lt;&gt;"",SUMPRODUCT(($F$2:F868&lt;&gt;"")*1),"")</f>
        <v/>
      </c>
    </row>
    <row r="869" spans="1:7" ht="21.95" customHeight="1">
      <c r="A869" s="11"/>
      <c r="B869" s="11"/>
      <c r="C869" s="12"/>
      <c r="D869" s="17" t="str">
        <f>IFERROR(INDEX(المواد!$B$2:$B$320,MATCH(B869,المواد!$A$2:$A$320,0)),"")</f>
        <v/>
      </c>
      <c r="E869" s="11"/>
      <c r="F869" t="str">
        <f>IF(AND($A869&lt;&gt;"",COUNTIF($A$2:A869,$A869)=1),$A869,"")</f>
        <v/>
      </c>
      <c r="G869" t="str">
        <f>IF($F869&lt;&gt;"",SUMPRODUCT(($F$2:F869&lt;&gt;"")*1),"")</f>
        <v/>
      </c>
    </row>
    <row r="870" spans="1:7" ht="21.95" customHeight="1">
      <c r="A870" s="11"/>
      <c r="B870" s="11"/>
      <c r="C870" s="12"/>
      <c r="D870" s="17" t="str">
        <f>IFERROR(INDEX(المواد!$B$2:$B$320,MATCH(B870,المواد!$A$2:$A$320,0)),"")</f>
        <v/>
      </c>
      <c r="E870" s="11"/>
      <c r="F870" t="str">
        <f>IF(AND($A870&lt;&gt;"",COUNTIF($A$2:A870,$A870)=1),$A870,"")</f>
        <v/>
      </c>
      <c r="G870" t="str">
        <f>IF($F870&lt;&gt;"",SUMPRODUCT(($F$2:F870&lt;&gt;"")*1),"")</f>
        <v/>
      </c>
    </row>
    <row r="871" spans="1:7" ht="21.95" customHeight="1">
      <c r="A871" s="11"/>
      <c r="B871" s="11"/>
      <c r="C871" s="12"/>
      <c r="D871" s="17" t="str">
        <f>IFERROR(INDEX(المواد!$B$2:$B$320,MATCH(B871,المواد!$A$2:$A$320,0)),"")</f>
        <v/>
      </c>
      <c r="E871" s="11"/>
      <c r="F871" t="str">
        <f>IF(AND($A871&lt;&gt;"",COUNTIF($A$2:A871,$A871)=1),$A871,"")</f>
        <v/>
      </c>
      <c r="G871" t="str">
        <f>IF($F871&lt;&gt;"",SUMPRODUCT(($F$2:F871&lt;&gt;"")*1),"")</f>
        <v/>
      </c>
    </row>
    <row r="872" spans="1:7" ht="21.95" customHeight="1">
      <c r="A872" s="11"/>
      <c r="B872" s="11"/>
      <c r="C872" s="12"/>
      <c r="D872" s="17" t="str">
        <f>IFERROR(INDEX(المواد!$B$2:$B$320,MATCH(B872,المواد!$A$2:$A$320,0)),"")</f>
        <v/>
      </c>
      <c r="E872" s="11"/>
      <c r="F872" t="str">
        <f>IF(AND($A872&lt;&gt;"",COUNTIF($A$2:A872,$A872)=1),$A872,"")</f>
        <v/>
      </c>
      <c r="G872" t="str">
        <f>IF($F872&lt;&gt;"",SUMPRODUCT(($F$2:F872&lt;&gt;"")*1),"")</f>
        <v/>
      </c>
    </row>
    <row r="873" spans="1:7" ht="21.95" customHeight="1">
      <c r="A873" s="11"/>
      <c r="B873" s="11"/>
      <c r="C873" s="12"/>
      <c r="D873" s="17" t="str">
        <f>IFERROR(INDEX(المواد!$B$2:$B$320,MATCH(B873,المواد!$A$2:$A$320,0)),"")</f>
        <v/>
      </c>
      <c r="E873" s="11"/>
      <c r="F873" t="str">
        <f>IF(AND($A873&lt;&gt;"",COUNTIF($A$2:A873,$A873)=1),$A873,"")</f>
        <v/>
      </c>
      <c r="G873" t="str">
        <f>IF($F873&lt;&gt;"",SUMPRODUCT(($F$2:F873&lt;&gt;"")*1),"")</f>
        <v/>
      </c>
    </row>
    <row r="874" spans="1:7" ht="21.95" customHeight="1">
      <c r="A874" s="11"/>
      <c r="B874" s="11"/>
      <c r="C874" s="12"/>
      <c r="D874" s="17" t="str">
        <f>IFERROR(INDEX(المواد!$B$2:$B$320,MATCH(B874,المواد!$A$2:$A$320,0)),"")</f>
        <v/>
      </c>
      <c r="E874" s="11"/>
      <c r="F874" t="str">
        <f>IF(AND($A874&lt;&gt;"",COUNTIF($A$2:A874,$A874)=1),$A874,"")</f>
        <v/>
      </c>
      <c r="G874" t="str">
        <f>IF($F874&lt;&gt;"",SUMPRODUCT(($F$2:F874&lt;&gt;"")*1),"")</f>
        <v/>
      </c>
    </row>
    <row r="875" spans="1:7" ht="21.95" customHeight="1">
      <c r="A875" s="11"/>
      <c r="B875" s="11"/>
      <c r="C875" s="12"/>
      <c r="D875" s="17" t="str">
        <f>IFERROR(INDEX(المواد!$B$2:$B$320,MATCH(B875,المواد!$A$2:$A$320,0)),"")</f>
        <v/>
      </c>
      <c r="E875" s="11"/>
      <c r="F875" t="str">
        <f>IF(AND($A875&lt;&gt;"",COUNTIF($A$2:A875,$A875)=1),$A875,"")</f>
        <v/>
      </c>
      <c r="G875" t="str">
        <f>IF($F875&lt;&gt;"",SUMPRODUCT(($F$2:F875&lt;&gt;"")*1),"")</f>
        <v/>
      </c>
    </row>
    <row r="876" spans="1:7" ht="21.95" customHeight="1">
      <c r="A876" s="11"/>
      <c r="B876" s="11"/>
      <c r="C876" s="12"/>
      <c r="D876" s="17" t="str">
        <f>IFERROR(INDEX(المواد!$B$2:$B$320,MATCH(B876,المواد!$A$2:$A$320,0)),"")</f>
        <v/>
      </c>
      <c r="E876" s="11"/>
      <c r="F876" t="str">
        <f>IF(AND($A876&lt;&gt;"",COUNTIF($A$2:A876,$A876)=1),$A876,"")</f>
        <v/>
      </c>
      <c r="G876" t="str">
        <f>IF($F876&lt;&gt;"",SUMPRODUCT(($F$2:F876&lt;&gt;"")*1),"")</f>
        <v/>
      </c>
    </row>
    <row r="877" spans="1:7" ht="21.95" customHeight="1">
      <c r="A877" s="11"/>
      <c r="B877" s="11"/>
      <c r="C877" s="12"/>
      <c r="D877" s="17" t="str">
        <f>IFERROR(INDEX(المواد!$B$2:$B$320,MATCH(B877,المواد!$A$2:$A$320,0)),"")</f>
        <v/>
      </c>
      <c r="E877" s="11"/>
      <c r="F877" t="str">
        <f>IF(AND($A877&lt;&gt;"",COUNTIF($A$2:A877,$A877)=1),$A877,"")</f>
        <v/>
      </c>
      <c r="G877" t="str">
        <f>IF($F877&lt;&gt;"",SUMPRODUCT(($F$2:F877&lt;&gt;"")*1),"")</f>
        <v/>
      </c>
    </row>
    <row r="878" spans="1:7" ht="21.95" customHeight="1">
      <c r="A878" s="11"/>
      <c r="B878" s="11"/>
      <c r="C878" s="12"/>
      <c r="D878" s="17" t="str">
        <f>IFERROR(INDEX(المواد!$B$2:$B$320,MATCH(B878,المواد!$A$2:$A$320,0)),"")</f>
        <v/>
      </c>
      <c r="E878" s="11"/>
      <c r="F878" t="str">
        <f>IF(AND($A878&lt;&gt;"",COUNTIF($A$2:A878,$A878)=1),$A878,"")</f>
        <v/>
      </c>
      <c r="G878" t="str">
        <f>IF($F878&lt;&gt;"",SUMPRODUCT(($F$2:F878&lt;&gt;"")*1),"")</f>
        <v/>
      </c>
    </row>
    <row r="879" spans="1:7" ht="21.95" customHeight="1">
      <c r="A879" s="11"/>
      <c r="B879" s="11"/>
      <c r="C879" s="12"/>
      <c r="D879" s="17" t="str">
        <f>IFERROR(INDEX(المواد!$B$2:$B$320,MATCH(B879,المواد!$A$2:$A$320,0)),"")</f>
        <v/>
      </c>
      <c r="E879" s="11"/>
      <c r="F879" t="str">
        <f>IF(AND($A879&lt;&gt;"",COUNTIF($A$2:A879,$A879)=1),$A879,"")</f>
        <v/>
      </c>
      <c r="G879" t="str">
        <f>IF($F879&lt;&gt;"",SUMPRODUCT(($F$2:F879&lt;&gt;"")*1),"")</f>
        <v/>
      </c>
    </row>
    <row r="880" spans="1:7" ht="21.95" customHeight="1">
      <c r="A880" s="11"/>
      <c r="B880" s="11"/>
      <c r="C880" s="12"/>
      <c r="D880" s="17" t="str">
        <f>IFERROR(INDEX(المواد!$B$2:$B$320,MATCH(B880,المواد!$A$2:$A$320,0)),"")</f>
        <v/>
      </c>
      <c r="E880" s="11"/>
      <c r="F880" t="str">
        <f>IF(AND($A880&lt;&gt;"",COUNTIF($A$2:A880,$A880)=1),$A880,"")</f>
        <v/>
      </c>
      <c r="G880" t="str">
        <f>IF($F880&lt;&gt;"",SUMPRODUCT(($F$2:F880&lt;&gt;"")*1),"")</f>
        <v/>
      </c>
    </row>
    <row r="881" spans="1:7" ht="21.95" customHeight="1">
      <c r="A881" s="11"/>
      <c r="B881" s="11"/>
      <c r="C881" s="12"/>
      <c r="D881" s="17" t="str">
        <f>IFERROR(INDEX(المواد!$B$2:$B$320,MATCH(B881,المواد!$A$2:$A$320,0)),"")</f>
        <v/>
      </c>
      <c r="E881" s="11"/>
      <c r="F881" t="str">
        <f>IF(AND($A881&lt;&gt;"",COUNTIF($A$2:A881,$A881)=1),$A881,"")</f>
        <v/>
      </c>
      <c r="G881" t="str">
        <f>IF($F881&lt;&gt;"",SUMPRODUCT(($F$2:F881&lt;&gt;"")*1),"")</f>
        <v/>
      </c>
    </row>
    <row r="882" spans="1:7" ht="21.95" customHeight="1">
      <c r="A882" s="11"/>
      <c r="B882" s="11"/>
      <c r="C882" s="12"/>
      <c r="D882" s="17" t="str">
        <f>IFERROR(INDEX(المواد!$B$2:$B$320,MATCH(B882,المواد!$A$2:$A$320,0)),"")</f>
        <v/>
      </c>
      <c r="E882" s="11"/>
      <c r="F882" t="str">
        <f>IF(AND($A882&lt;&gt;"",COUNTIF($A$2:A882,$A882)=1),$A882,"")</f>
        <v/>
      </c>
      <c r="G882" t="str">
        <f>IF($F882&lt;&gt;"",SUMPRODUCT(($F$2:F882&lt;&gt;"")*1),"")</f>
        <v/>
      </c>
    </row>
    <row r="883" spans="1:7" ht="21.95" customHeight="1">
      <c r="A883" s="11"/>
      <c r="B883" s="11"/>
      <c r="C883" s="12"/>
      <c r="D883" s="17" t="str">
        <f>IFERROR(INDEX(المواد!$B$2:$B$320,MATCH(B883,المواد!$A$2:$A$320,0)),"")</f>
        <v/>
      </c>
      <c r="E883" s="11"/>
      <c r="F883" t="str">
        <f>IF(AND($A883&lt;&gt;"",COUNTIF($A$2:A883,$A883)=1),$A883,"")</f>
        <v/>
      </c>
      <c r="G883" t="str">
        <f>IF($F883&lt;&gt;"",SUMPRODUCT(($F$2:F883&lt;&gt;"")*1),"")</f>
        <v/>
      </c>
    </row>
    <row r="884" spans="1:7" ht="21.95" customHeight="1">
      <c r="A884" s="11"/>
      <c r="B884" s="11"/>
      <c r="C884" s="12"/>
      <c r="D884" s="17" t="str">
        <f>IFERROR(INDEX(المواد!$B$2:$B$320,MATCH(B884,المواد!$A$2:$A$320,0)),"")</f>
        <v/>
      </c>
      <c r="E884" s="11"/>
      <c r="F884" t="str">
        <f>IF(AND($A884&lt;&gt;"",COUNTIF($A$2:A884,$A884)=1),$A884,"")</f>
        <v/>
      </c>
      <c r="G884" t="str">
        <f>IF($F884&lt;&gt;"",SUMPRODUCT(($F$2:F884&lt;&gt;"")*1),"")</f>
        <v/>
      </c>
    </row>
    <row r="885" spans="1:7" ht="21.95" customHeight="1">
      <c r="A885" s="11"/>
      <c r="B885" s="11"/>
      <c r="C885" s="12"/>
      <c r="D885" s="17" t="str">
        <f>IFERROR(INDEX(المواد!$B$2:$B$320,MATCH(B885,المواد!$A$2:$A$320,0)),"")</f>
        <v/>
      </c>
      <c r="E885" s="11"/>
      <c r="F885" t="str">
        <f>IF(AND($A885&lt;&gt;"",COUNTIF($A$2:A885,$A885)=1),$A885,"")</f>
        <v/>
      </c>
      <c r="G885" t="str">
        <f>IF($F885&lt;&gt;"",SUMPRODUCT(($F$2:F885&lt;&gt;"")*1),"")</f>
        <v/>
      </c>
    </row>
    <row r="886" spans="1:7" ht="21.95" customHeight="1">
      <c r="A886" s="11"/>
      <c r="B886" s="11"/>
      <c r="C886" s="12"/>
      <c r="D886" s="17" t="str">
        <f>IFERROR(INDEX(المواد!$B$2:$B$320,MATCH(B886,المواد!$A$2:$A$320,0)),"")</f>
        <v/>
      </c>
      <c r="E886" s="11"/>
      <c r="F886" t="str">
        <f>IF(AND($A886&lt;&gt;"",COUNTIF($A$2:A886,$A886)=1),$A886,"")</f>
        <v/>
      </c>
      <c r="G886" t="str">
        <f>IF($F886&lt;&gt;"",SUMPRODUCT(($F$2:F886&lt;&gt;"")*1),"")</f>
        <v/>
      </c>
    </row>
    <row r="887" spans="1:7" ht="21.95" customHeight="1">
      <c r="A887" s="11"/>
      <c r="B887" s="11"/>
      <c r="C887" s="12"/>
      <c r="D887" s="17" t="str">
        <f>IFERROR(INDEX(المواد!$B$2:$B$320,MATCH(B887,المواد!$A$2:$A$320,0)),"")</f>
        <v/>
      </c>
      <c r="E887" s="11"/>
      <c r="F887" t="str">
        <f>IF(AND($A887&lt;&gt;"",COUNTIF($A$2:A887,$A887)=1),$A887,"")</f>
        <v/>
      </c>
      <c r="G887" t="str">
        <f>IF($F887&lt;&gt;"",SUMPRODUCT(($F$2:F887&lt;&gt;"")*1),"")</f>
        <v/>
      </c>
    </row>
    <row r="888" spans="1:7" ht="21.95" customHeight="1">
      <c r="A888" s="11"/>
      <c r="B888" s="11"/>
      <c r="C888" s="12"/>
      <c r="D888" s="17" t="str">
        <f>IFERROR(INDEX(المواد!$B$2:$B$320,MATCH(B888,المواد!$A$2:$A$320,0)),"")</f>
        <v/>
      </c>
      <c r="E888" s="11"/>
      <c r="F888" t="str">
        <f>IF(AND($A888&lt;&gt;"",COUNTIF($A$2:A888,$A888)=1),$A888,"")</f>
        <v/>
      </c>
      <c r="G888" t="str">
        <f>IF($F888&lt;&gt;"",SUMPRODUCT(($F$2:F888&lt;&gt;"")*1),"")</f>
        <v/>
      </c>
    </row>
    <row r="889" spans="1:7" ht="21.95" customHeight="1">
      <c r="A889" s="11"/>
      <c r="B889" s="11"/>
      <c r="C889" s="12"/>
      <c r="D889" s="17" t="str">
        <f>IFERROR(INDEX(المواد!$B$2:$B$320,MATCH(B889,المواد!$A$2:$A$320,0)),"")</f>
        <v/>
      </c>
      <c r="E889" s="11"/>
      <c r="F889" t="str">
        <f>IF(AND($A889&lt;&gt;"",COUNTIF($A$2:A889,$A889)=1),$A889,"")</f>
        <v/>
      </c>
      <c r="G889" t="str">
        <f>IF($F889&lt;&gt;"",SUMPRODUCT(($F$2:F889&lt;&gt;"")*1),"")</f>
        <v/>
      </c>
    </row>
    <row r="890" spans="1:7" ht="21.95" customHeight="1">
      <c r="A890" s="11"/>
      <c r="B890" s="11"/>
      <c r="C890" s="12"/>
      <c r="D890" s="17" t="str">
        <f>IFERROR(INDEX(المواد!$B$2:$B$320,MATCH(B890,المواد!$A$2:$A$320,0)),"")</f>
        <v/>
      </c>
      <c r="E890" s="11"/>
      <c r="F890" t="str">
        <f>IF(AND($A890&lt;&gt;"",COUNTIF($A$2:A890,$A890)=1),$A890,"")</f>
        <v/>
      </c>
      <c r="G890" t="str">
        <f>IF($F890&lt;&gt;"",SUMPRODUCT(($F$2:F890&lt;&gt;"")*1),"")</f>
        <v/>
      </c>
    </row>
    <row r="891" spans="1:7" ht="21.95" customHeight="1">
      <c r="A891" s="11"/>
      <c r="B891" s="11"/>
      <c r="C891" s="12"/>
      <c r="D891" s="17" t="str">
        <f>IFERROR(INDEX(المواد!$B$2:$B$320,MATCH(B891,المواد!$A$2:$A$320,0)),"")</f>
        <v/>
      </c>
      <c r="E891" s="11"/>
      <c r="F891" t="str">
        <f>IF(AND($A891&lt;&gt;"",COUNTIF($A$2:A891,$A891)=1),$A891,"")</f>
        <v/>
      </c>
      <c r="G891" t="str">
        <f>IF($F891&lt;&gt;"",SUMPRODUCT(($F$2:F891&lt;&gt;"")*1),"")</f>
        <v/>
      </c>
    </row>
    <row r="892" spans="1:7" ht="21.95" customHeight="1">
      <c r="A892" s="11"/>
      <c r="B892" s="11"/>
      <c r="C892" s="12"/>
      <c r="D892" s="17" t="str">
        <f>IFERROR(INDEX(المواد!$B$2:$B$320,MATCH(B892,المواد!$A$2:$A$320,0)),"")</f>
        <v/>
      </c>
      <c r="E892" s="11"/>
      <c r="F892" t="str">
        <f>IF(AND($A892&lt;&gt;"",COUNTIF($A$2:A892,$A892)=1),$A892,"")</f>
        <v/>
      </c>
      <c r="G892" t="str">
        <f>IF($F892&lt;&gt;"",SUMPRODUCT(($F$2:F892&lt;&gt;"")*1),"")</f>
        <v/>
      </c>
    </row>
    <row r="893" spans="1:7" ht="21.95" customHeight="1">
      <c r="A893" s="11"/>
      <c r="B893" s="11"/>
      <c r="C893" s="12"/>
      <c r="D893" s="17" t="str">
        <f>IFERROR(INDEX(المواد!$B$2:$B$320,MATCH(B893,المواد!$A$2:$A$320,0)),"")</f>
        <v/>
      </c>
      <c r="E893" s="11"/>
      <c r="F893" t="str">
        <f>IF(AND($A893&lt;&gt;"",COUNTIF($A$2:A893,$A893)=1),$A893,"")</f>
        <v/>
      </c>
      <c r="G893" t="str">
        <f>IF($F893&lt;&gt;"",SUMPRODUCT(($F$2:F893&lt;&gt;"")*1),"")</f>
        <v/>
      </c>
    </row>
    <row r="894" spans="1:7" ht="21.95" customHeight="1">
      <c r="A894" s="11"/>
      <c r="B894" s="11"/>
      <c r="C894" s="12"/>
      <c r="D894" s="17" t="str">
        <f>IFERROR(INDEX(المواد!$B$2:$B$320,MATCH(B894,المواد!$A$2:$A$320,0)),"")</f>
        <v/>
      </c>
      <c r="E894" s="11"/>
      <c r="F894" t="str">
        <f>IF(AND($A894&lt;&gt;"",COUNTIF($A$2:A894,$A894)=1),$A894,"")</f>
        <v/>
      </c>
      <c r="G894" t="str">
        <f>IF($F894&lt;&gt;"",SUMPRODUCT(($F$2:F894&lt;&gt;"")*1),"")</f>
        <v/>
      </c>
    </row>
    <row r="895" spans="1:7" ht="21.95" customHeight="1">
      <c r="A895" s="11"/>
      <c r="B895" s="11"/>
      <c r="C895" s="12"/>
      <c r="D895" s="17" t="str">
        <f>IFERROR(INDEX(المواد!$B$2:$B$320,MATCH(B895,المواد!$A$2:$A$320,0)),"")</f>
        <v/>
      </c>
      <c r="E895" s="11"/>
      <c r="F895" t="str">
        <f>IF(AND($A895&lt;&gt;"",COUNTIF($A$2:A895,$A895)=1),$A895,"")</f>
        <v/>
      </c>
      <c r="G895" t="str">
        <f>IF($F895&lt;&gt;"",SUMPRODUCT(($F$2:F895&lt;&gt;"")*1),"")</f>
        <v/>
      </c>
    </row>
    <row r="896" spans="1:7" ht="21.95" customHeight="1">
      <c r="A896" s="11"/>
      <c r="B896" s="11"/>
      <c r="C896" s="12"/>
      <c r="D896" s="17" t="str">
        <f>IFERROR(INDEX(المواد!$B$2:$B$320,MATCH(B896,المواد!$A$2:$A$320,0)),"")</f>
        <v/>
      </c>
      <c r="E896" s="11"/>
      <c r="F896" t="str">
        <f>IF(AND($A896&lt;&gt;"",COUNTIF($A$2:A896,$A896)=1),$A896,"")</f>
        <v/>
      </c>
      <c r="G896" t="str">
        <f>IF($F896&lt;&gt;"",SUMPRODUCT(($F$2:F896&lt;&gt;"")*1),"")</f>
        <v/>
      </c>
    </row>
    <row r="897" spans="1:7" ht="21.95" customHeight="1">
      <c r="A897" s="11"/>
      <c r="B897" s="11"/>
      <c r="C897" s="12"/>
      <c r="D897" s="17" t="str">
        <f>IFERROR(INDEX(المواد!$B$2:$B$320,MATCH(B897,المواد!$A$2:$A$320,0)),"")</f>
        <v/>
      </c>
      <c r="E897" s="11"/>
      <c r="F897" t="str">
        <f>IF(AND($A897&lt;&gt;"",COUNTIF($A$2:A897,$A897)=1),$A897,"")</f>
        <v/>
      </c>
      <c r="G897" t="str">
        <f>IF($F897&lt;&gt;"",SUMPRODUCT(($F$2:F897&lt;&gt;"")*1),"")</f>
        <v/>
      </c>
    </row>
    <row r="898" spans="1:7" ht="21.95" customHeight="1">
      <c r="A898" s="11"/>
      <c r="B898" s="11"/>
      <c r="C898" s="12"/>
      <c r="D898" s="17" t="str">
        <f>IFERROR(INDEX(المواد!$B$2:$B$320,MATCH(B898,المواد!$A$2:$A$320,0)),"")</f>
        <v/>
      </c>
      <c r="E898" s="11"/>
      <c r="F898" t="str">
        <f>IF(AND($A898&lt;&gt;"",COUNTIF($A$2:A898,$A898)=1),$A898,"")</f>
        <v/>
      </c>
      <c r="G898" t="str">
        <f>IF($F898&lt;&gt;"",SUMPRODUCT(($F$2:F898&lt;&gt;"")*1),"")</f>
        <v/>
      </c>
    </row>
    <row r="899" spans="1:7" ht="21.95" customHeight="1">
      <c r="A899" s="11"/>
      <c r="B899" s="11"/>
      <c r="C899" s="12"/>
      <c r="D899" s="17" t="str">
        <f>IFERROR(INDEX(المواد!$B$2:$B$320,MATCH(B899,المواد!$A$2:$A$320,0)),"")</f>
        <v/>
      </c>
      <c r="E899" s="11"/>
      <c r="F899" t="str">
        <f>IF(AND($A899&lt;&gt;"",COUNTIF($A$2:A899,$A899)=1),$A899,"")</f>
        <v/>
      </c>
      <c r="G899" t="str">
        <f>IF($F899&lt;&gt;"",SUMPRODUCT(($F$2:F899&lt;&gt;"")*1),"")</f>
        <v/>
      </c>
    </row>
    <row r="900" spans="1:7" ht="21.95" customHeight="1">
      <c r="A900" s="11"/>
      <c r="B900" s="11"/>
      <c r="C900" s="12"/>
      <c r="D900" s="17" t="str">
        <f>IFERROR(INDEX(المواد!$B$2:$B$320,MATCH(B900,المواد!$A$2:$A$320,0)),"")</f>
        <v/>
      </c>
      <c r="E900" s="11"/>
      <c r="F900" t="str">
        <f>IF(AND($A900&lt;&gt;"",COUNTIF($A$2:A900,$A900)=1),$A900,"")</f>
        <v/>
      </c>
      <c r="G900" t="str">
        <f>IF($F900&lt;&gt;"",SUMPRODUCT(($F$2:F900&lt;&gt;"")*1),"")</f>
        <v/>
      </c>
    </row>
  </sheetData>
  <autoFilter ref="A1:E900" xr:uid="{00000000-0009-0000-0000-000002000000}"/>
  <conditionalFormatting sqref="A2:E900">
    <cfRule type="expression" dxfId="19" priority="1">
      <formula>AND($A2&lt;&gt;"",$B2&lt;&gt;"",COUNTIFS($A$2:$A2,$A2,$B$2:$B2,$B2)&gt;1)</formula>
    </cfRule>
  </conditionalFormatting>
  <dataValidations count="1">
    <dataValidation type="decimal" operator="greaterThanOrEqual" allowBlank="1" showErrorMessage="1" errorTitle="كمية غير صحيحة" error="لا يسمح بإدخال كمية سالبة" sqref="C2:C900" xr:uid="{00000000-0002-0000-0200-000001000000}">
      <formula1>0</formula1>
    </dataValidation>
  </dataValidations>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expression" priority="2" id="{00000000-000E-0000-0200-000002000000}">
            <xm:f>AND($B2&lt;&gt;"",COUNTIF(المواد!$A$2:$A$320,$B2)=0)</xm:f>
            <x14:dxf>
              <fill>
                <patternFill patternType="solid">
                  <fgColor rgb="FFFCEBCB"/>
                </patternFill>
              </fill>
            </x14:dxf>
          </x14:cfRule>
          <xm:sqref>A2:E900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ErrorMessage="1" errorTitle="مادة غير موجودة" error="الرجاء اختيار مادة موجودة في صفحة المواد فقط" xr:uid="{00000000-0002-0000-0200-000000000000}">
          <x14:formula1>
            <xm:f>المواد!$A$2:$A$320</xm:f>
          </x14:formula1>
          <xm:sqref>B2:B900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D32"/>
  </sheetPr>
  <dimension ref="A1:G501"/>
  <sheetViews>
    <sheetView rightToLeft="1" workbookViewId="0">
      <pane ySplit="1" topLeftCell="A2" activePane="bottomLeft" state="frozen"/>
      <selection pane="bottomLeft" activeCell="E3" sqref="E3:E75"/>
    </sheetView>
  </sheetViews>
  <sheetFormatPr defaultRowHeight="14.25"/>
  <cols>
    <col min="1" max="1" width="10" customWidth="1"/>
    <col min="2" max="2" width="14" customWidth="1"/>
    <col min="3" max="3" width="37" customWidth="1"/>
    <col min="4" max="4" width="12" customWidth="1"/>
    <col min="5" max="5" width="22" customWidth="1"/>
    <col min="6" max="6" width="16" customWidth="1"/>
    <col min="7" max="7" width="34" customWidth="1"/>
  </cols>
  <sheetData>
    <row r="1" spans="1:7" ht="26.1" customHeight="1">
      <c r="A1" s="2" t="s">
        <v>168</v>
      </c>
      <c r="B1" s="2" t="s">
        <v>20</v>
      </c>
      <c r="C1" s="2" t="s">
        <v>21</v>
      </c>
      <c r="D1" s="2" t="s">
        <v>22</v>
      </c>
      <c r="E1" s="2" t="s">
        <v>169</v>
      </c>
      <c r="F1" s="2" t="s">
        <v>170</v>
      </c>
      <c r="G1" s="2" t="s">
        <v>26</v>
      </c>
    </row>
    <row r="2" spans="1:7" ht="24" customHeight="1">
      <c r="A2" s="5">
        <f t="shared" ref="A2:A65" si="0">IF(C2="","",ROW()-1)</f>
        <v>1</v>
      </c>
      <c r="B2" s="18">
        <v>46218</v>
      </c>
      <c r="C2" s="9" t="s">
        <v>104</v>
      </c>
      <c r="D2" s="15">
        <v>138.04</v>
      </c>
      <c r="E2" s="9" t="s">
        <v>253</v>
      </c>
      <c r="F2" s="7" t="s">
        <v>171</v>
      </c>
      <c r="G2" s="9" t="s">
        <v>252</v>
      </c>
    </row>
    <row r="3" spans="1:7" ht="24" customHeight="1">
      <c r="A3" s="5">
        <f t="shared" si="0"/>
        <v>2</v>
      </c>
      <c r="B3" s="18">
        <v>46218</v>
      </c>
      <c r="C3" s="9" t="s">
        <v>103</v>
      </c>
      <c r="D3" s="15">
        <v>2</v>
      </c>
      <c r="E3" s="9" t="s">
        <v>253</v>
      </c>
      <c r="F3" s="7" t="s">
        <v>171</v>
      </c>
      <c r="G3" s="9" t="s">
        <v>252</v>
      </c>
    </row>
    <row r="4" spans="1:7" ht="24" customHeight="1">
      <c r="A4" s="5">
        <f t="shared" si="0"/>
        <v>3</v>
      </c>
      <c r="B4" s="18">
        <v>46218</v>
      </c>
      <c r="C4" s="9" t="s">
        <v>230</v>
      </c>
      <c r="D4" s="15">
        <v>63.5</v>
      </c>
      <c r="E4" s="9" t="s">
        <v>253</v>
      </c>
      <c r="F4" s="7" t="s">
        <v>171</v>
      </c>
      <c r="G4" s="9" t="s">
        <v>252</v>
      </c>
    </row>
    <row r="5" spans="1:7" ht="24" customHeight="1">
      <c r="A5" s="5">
        <f t="shared" si="0"/>
        <v>4</v>
      </c>
      <c r="B5" s="18">
        <v>46218</v>
      </c>
      <c r="C5" s="9" t="s">
        <v>101</v>
      </c>
      <c r="D5" s="15">
        <v>0</v>
      </c>
      <c r="E5" s="9" t="s">
        <v>253</v>
      </c>
      <c r="F5" s="7" t="s">
        <v>171</v>
      </c>
      <c r="G5" s="9" t="s">
        <v>252</v>
      </c>
    </row>
    <row r="6" spans="1:7" ht="24" customHeight="1">
      <c r="A6" s="5">
        <f t="shared" si="0"/>
        <v>5</v>
      </c>
      <c r="B6" s="18">
        <v>46218</v>
      </c>
      <c r="C6" s="9" t="s">
        <v>100</v>
      </c>
      <c r="D6" s="15">
        <v>0</v>
      </c>
      <c r="E6" s="9" t="s">
        <v>253</v>
      </c>
      <c r="F6" s="7" t="s">
        <v>171</v>
      </c>
      <c r="G6" s="9" t="s">
        <v>252</v>
      </c>
    </row>
    <row r="7" spans="1:7" ht="24" customHeight="1">
      <c r="A7" s="5">
        <f t="shared" si="0"/>
        <v>6</v>
      </c>
      <c r="B7" s="18">
        <v>46218</v>
      </c>
      <c r="C7" s="9" t="s">
        <v>99</v>
      </c>
      <c r="D7" s="15">
        <v>28622</v>
      </c>
      <c r="E7" s="9" t="s">
        <v>253</v>
      </c>
      <c r="F7" s="7" t="s">
        <v>171</v>
      </c>
      <c r="G7" s="9" t="s">
        <v>252</v>
      </c>
    </row>
    <row r="8" spans="1:7" ht="24" customHeight="1">
      <c r="A8" s="5">
        <f t="shared" si="0"/>
        <v>7</v>
      </c>
      <c r="B8" s="18">
        <v>46218</v>
      </c>
      <c r="C8" s="9" t="s">
        <v>231</v>
      </c>
      <c r="D8" s="15">
        <v>3</v>
      </c>
      <c r="E8" s="9" t="s">
        <v>253</v>
      </c>
      <c r="F8" s="7" t="s">
        <v>171</v>
      </c>
      <c r="G8" s="9" t="s">
        <v>252</v>
      </c>
    </row>
    <row r="9" spans="1:7" ht="24" customHeight="1">
      <c r="A9" s="5">
        <f t="shared" si="0"/>
        <v>8</v>
      </c>
      <c r="B9" s="18">
        <v>46218</v>
      </c>
      <c r="C9" s="9" t="s">
        <v>97</v>
      </c>
      <c r="D9" s="15">
        <v>0</v>
      </c>
      <c r="E9" s="9" t="s">
        <v>253</v>
      </c>
      <c r="F9" s="7" t="s">
        <v>171</v>
      </c>
      <c r="G9" s="9" t="s">
        <v>252</v>
      </c>
    </row>
    <row r="10" spans="1:7" ht="24" customHeight="1">
      <c r="A10" s="5">
        <f t="shared" si="0"/>
        <v>9</v>
      </c>
      <c r="B10" s="18">
        <v>46218</v>
      </c>
      <c r="C10" s="9" t="s">
        <v>96</v>
      </c>
      <c r="D10" s="15">
        <v>27.71</v>
      </c>
      <c r="E10" s="9" t="s">
        <v>253</v>
      </c>
      <c r="F10" s="7" t="s">
        <v>171</v>
      </c>
      <c r="G10" s="9" t="s">
        <v>252</v>
      </c>
    </row>
    <row r="11" spans="1:7" ht="24" customHeight="1">
      <c r="A11" s="5">
        <f t="shared" si="0"/>
        <v>10</v>
      </c>
      <c r="B11" s="18">
        <v>46218</v>
      </c>
      <c r="C11" s="9" t="s">
        <v>95</v>
      </c>
      <c r="D11" s="15">
        <v>0</v>
      </c>
      <c r="E11" s="9" t="s">
        <v>253</v>
      </c>
      <c r="F11" s="7" t="s">
        <v>171</v>
      </c>
      <c r="G11" s="9" t="s">
        <v>252</v>
      </c>
    </row>
    <row r="12" spans="1:7" ht="24" customHeight="1">
      <c r="A12" s="5">
        <f t="shared" si="0"/>
        <v>11</v>
      </c>
      <c r="B12" s="18">
        <v>46218</v>
      </c>
      <c r="C12" s="9" t="s">
        <v>94</v>
      </c>
      <c r="D12" s="15">
        <v>0</v>
      </c>
      <c r="E12" s="9" t="s">
        <v>253</v>
      </c>
      <c r="F12" s="7" t="s">
        <v>171</v>
      </c>
      <c r="G12" s="9" t="s">
        <v>252</v>
      </c>
    </row>
    <row r="13" spans="1:7" ht="24" customHeight="1">
      <c r="A13" s="5">
        <f t="shared" si="0"/>
        <v>12</v>
      </c>
      <c r="B13" s="18">
        <v>46218</v>
      </c>
      <c r="C13" s="9" t="s">
        <v>93</v>
      </c>
      <c r="D13" s="15">
        <v>272</v>
      </c>
      <c r="E13" s="9" t="s">
        <v>253</v>
      </c>
      <c r="F13" s="7" t="s">
        <v>171</v>
      </c>
      <c r="G13" s="9" t="s">
        <v>252</v>
      </c>
    </row>
    <row r="14" spans="1:7" ht="24" customHeight="1">
      <c r="A14" s="5">
        <f t="shared" si="0"/>
        <v>13</v>
      </c>
      <c r="B14" s="18">
        <v>46218</v>
      </c>
      <c r="C14" s="9" t="s">
        <v>92</v>
      </c>
      <c r="D14" s="15">
        <v>25</v>
      </c>
      <c r="E14" s="9" t="s">
        <v>253</v>
      </c>
      <c r="F14" s="7" t="s">
        <v>171</v>
      </c>
      <c r="G14" s="9" t="s">
        <v>252</v>
      </c>
    </row>
    <row r="15" spans="1:7" ht="24" customHeight="1">
      <c r="A15" s="5">
        <f t="shared" si="0"/>
        <v>14</v>
      </c>
      <c r="B15" s="18">
        <v>46218</v>
      </c>
      <c r="C15" s="9" t="s">
        <v>232</v>
      </c>
      <c r="D15" s="15">
        <v>1.64</v>
      </c>
      <c r="E15" s="9" t="s">
        <v>253</v>
      </c>
      <c r="F15" s="7" t="s">
        <v>171</v>
      </c>
      <c r="G15" s="9" t="s">
        <v>252</v>
      </c>
    </row>
    <row r="16" spans="1:7" ht="24" customHeight="1">
      <c r="A16" s="5">
        <f t="shared" si="0"/>
        <v>15</v>
      </c>
      <c r="B16" s="18">
        <v>46218</v>
      </c>
      <c r="C16" s="9" t="s">
        <v>89</v>
      </c>
      <c r="D16" s="15">
        <v>251.4</v>
      </c>
      <c r="E16" s="9" t="s">
        <v>253</v>
      </c>
      <c r="F16" s="7" t="s">
        <v>171</v>
      </c>
      <c r="G16" s="9" t="s">
        <v>252</v>
      </c>
    </row>
    <row r="17" spans="1:7" ht="24" customHeight="1">
      <c r="A17" s="5">
        <f t="shared" si="0"/>
        <v>16</v>
      </c>
      <c r="B17" s="18">
        <v>46218</v>
      </c>
      <c r="C17" s="9" t="s">
        <v>88</v>
      </c>
      <c r="D17" s="15">
        <v>0</v>
      </c>
      <c r="E17" s="9" t="s">
        <v>253</v>
      </c>
      <c r="F17" s="7" t="s">
        <v>171</v>
      </c>
      <c r="G17" s="9" t="s">
        <v>252</v>
      </c>
    </row>
    <row r="18" spans="1:7" ht="24" customHeight="1">
      <c r="A18" s="5">
        <f t="shared" si="0"/>
        <v>17</v>
      </c>
      <c r="B18" s="18">
        <v>46218</v>
      </c>
      <c r="C18" s="9" t="s">
        <v>233</v>
      </c>
      <c r="D18" s="15">
        <v>0.59</v>
      </c>
      <c r="E18" s="9" t="s">
        <v>253</v>
      </c>
      <c r="F18" s="7" t="s">
        <v>171</v>
      </c>
      <c r="G18" s="9" t="s">
        <v>252</v>
      </c>
    </row>
    <row r="19" spans="1:7" ht="24" customHeight="1">
      <c r="A19" s="5">
        <f t="shared" si="0"/>
        <v>18</v>
      </c>
      <c r="B19" s="18">
        <v>46218</v>
      </c>
      <c r="C19" s="9" t="s">
        <v>87</v>
      </c>
      <c r="D19" s="15">
        <v>0.52</v>
      </c>
      <c r="E19" s="9" t="s">
        <v>253</v>
      </c>
      <c r="F19" s="7" t="s">
        <v>171</v>
      </c>
      <c r="G19" s="9" t="s">
        <v>252</v>
      </c>
    </row>
    <row r="20" spans="1:7" ht="24" customHeight="1">
      <c r="A20" s="5">
        <f t="shared" si="0"/>
        <v>19</v>
      </c>
      <c r="B20" s="18">
        <v>46218</v>
      </c>
      <c r="C20" s="9" t="s">
        <v>86</v>
      </c>
      <c r="D20" s="15">
        <v>0.36</v>
      </c>
      <c r="E20" s="9" t="s">
        <v>253</v>
      </c>
      <c r="F20" s="7" t="s">
        <v>171</v>
      </c>
      <c r="G20" s="9" t="s">
        <v>252</v>
      </c>
    </row>
    <row r="21" spans="1:7" ht="24" customHeight="1">
      <c r="A21" s="5">
        <f t="shared" si="0"/>
        <v>20</v>
      </c>
      <c r="B21" s="18">
        <v>46218</v>
      </c>
      <c r="C21" s="9" t="s">
        <v>85</v>
      </c>
      <c r="D21" s="15">
        <v>0.74</v>
      </c>
      <c r="E21" s="9" t="s">
        <v>253</v>
      </c>
      <c r="F21" s="7" t="s">
        <v>171</v>
      </c>
      <c r="G21" s="9" t="s">
        <v>252</v>
      </c>
    </row>
    <row r="22" spans="1:7" ht="24" customHeight="1">
      <c r="A22" s="5">
        <f t="shared" si="0"/>
        <v>21</v>
      </c>
      <c r="B22" s="18">
        <v>46218</v>
      </c>
      <c r="C22" s="9" t="s">
        <v>234</v>
      </c>
      <c r="D22" s="15">
        <v>2.59</v>
      </c>
      <c r="E22" s="9" t="s">
        <v>253</v>
      </c>
      <c r="F22" s="7" t="s">
        <v>171</v>
      </c>
      <c r="G22" s="9" t="s">
        <v>252</v>
      </c>
    </row>
    <row r="23" spans="1:7" ht="24" customHeight="1">
      <c r="A23" s="5">
        <f t="shared" si="0"/>
        <v>22</v>
      </c>
      <c r="B23" s="18">
        <v>46218</v>
      </c>
      <c r="C23" s="9" t="s">
        <v>84</v>
      </c>
      <c r="D23" s="15">
        <v>0.53</v>
      </c>
      <c r="E23" s="9" t="s">
        <v>253</v>
      </c>
      <c r="F23" s="7" t="s">
        <v>171</v>
      </c>
      <c r="G23" s="9" t="s">
        <v>252</v>
      </c>
    </row>
    <row r="24" spans="1:7" ht="24" customHeight="1">
      <c r="A24" s="5">
        <f t="shared" si="0"/>
        <v>23</v>
      </c>
      <c r="B24" s="18">
        <v>46218</v>
      </c>
      <c r="C24" s="9" t="s">
        <v>83</v>
      </c>
      <c r="D24" s="15">
        <v>0.66</v>
      </c>
      <c r="E24" s="9" t="s">
        <v>253</v>
      </c>
      <c r="F24" s="7" t="s">
        <v>171</v>
      </c>
      <c r="G24" s="9" t="s">
        <v>252</v>
      </c>
    </row>
    <row r="25" spans="1:7" ht="24" customHeight="1">
      <c r="A25" s="5">
        <f t="shared" si="0"/>
        <v>24</v>
      </c>
      <c r="B25" s="18">
        <v>46218</v>
      </c>
      <c r="C25" s="9" t="s">
        <v>82</v>
      </c>
      <c r="D25" s="15">
        <v>0.6</v>
      </c>
      <c r="E25" s="9" t="s">
        <v>253</v>
      </c>
      <c r="F25" s="7" t="s">
        <v>171</v>
      </c>
      <c r="G25" s="9" t="s">
        <v>252</v>
      </c>
    </row>
    <row r="26" spans="1:7" ht="24" customHeight="1">
      <c r="A26" s="5">
        <f t="shared" si="0"/>
        <v>25</v>
      </c>
      <c r="B26" s="18">
        <v>46218</v>
      </c>
      <c r="C26" s="9" t="s">
        <v>235</v>
      </c>
      <c r="D26" s="15">
        <v>0.47</v>
      </c>
      <c r="E26" s="9" t="s">
        <v>253</v>
      </c>
      <c r="F26" s="7" t="s">
        <v>171</v>
      </c>
      <c r="G26" s="9" t="s">
        <v>252</v>
      </c>
    </row>
    <row r="27" spans="1:7" ht="24" customHeight="1">
      <c r="A27" s="5">
        <f t="shared" si="0"/>
        <v>26</v>
      </c>
      <c r="B27" s="18">
        <v>46218</v>
      </c>
      <c r="C27" s="9" t="s">
        <v>81</v>
      </c>
      <c r="D27" s="15">
        <v>0</v>
      </c>
      <c r="E27" s="9" t="s">
        <v>253</v>
      </c>
      <c r="F27" s="7" t="s">
        <v>171</v>
      </c>
      <c r="G27" s="9" t="s">
        <v>252</v>
      </c>
    </row>
    <row r="28" spans="1:7" ht="24" customHeight="1">
      <c r="A28" s="5">
        <f t="shared" si="0"/>
        <v>27</v>
      </c>
      <c r="B28" s="18">
        <v>46218</v>
      </c>
      <c r="C28" s="9" t="s">
        <v>80</v>
      </c>
      <c r="D28" s="15">
        <v>20</v>
      </c>
      <c r="E28" s="9" t="s">
        <v>253</v>
      </c>
      <c r="F28" s="7" t="s">
        <v>171</v>
      </c>
      <c r="G28" s="9" t="s">
        <v>252</v>
      </c>
    </row>
    <row r="29" spans="1:7" ht="24" customHeight="1">
      <c r="A29" s="5">
        <f t="shared" si="0"/>
        <v>28</v>
      </c>
      <c r="B29" s="18">
        <v>46218</v>
      </c>
      <c r="C29" s="9" t="s">
        <v>79</v>
      </c>
      <c r="D29" s="15">
        <v>21.4</v>
      </c>
      <c r="E29" s="9" t="s">
        <v>253</v>
      </c>
      <c r="F29" s="7" t="s">
        <v>171</v>
      </c>
      <c r="G29" s="9" t="s">
        <v>252</v>
      </c>
    </row>
    <row r="30" spans="1:7" ht="24" customHeight="1">
      <c r="A30" s="5">
        <f t="shared" si="0"/>
        <v>29</v>
      </c>
      <c r="B30" s="18">
        <v>46218</v>
      </c>
      <c r="C30" s="9" t="s">
        <v>78</v>
      </c>
      <c r="D30" s="15">
        <v>0</v>
      </c>
      <c r="E30" s="9" t="s">
        <v>253</v>
      </c>
      <c r="F30" s="7" t="s">
        <v>171</v>
      </c>
      <c r="G30" s="9" t="s">
        <v>252</v>
      </c>
    </row>
    <row r="31" spans="1:7" ht="24" customHeight="1">
      <c r="A31" s="5">
        <f t="shared" si="0"/>
        <v>30</v>
      </c>
      <c r="B31" s="18">
        <v>46218</v>
      </c>
      <c r="C31" s="9" t="s">
        <v>76</v>
      </c>
      <c r="D31" s="15">
        <v>2</v>
      </c>
      <c r="E31" s="9" t="s">
        <v>253</v>
      </c>
      <c r="F31" s="7" t="s">
        <v>171</v>
      </c>
      <c r="G31" s="9" t="s">
        <v>252</v>
      </c>
    </row>
    <row r="32" spans="1:7" ht="24" customHeight="1">
      <c r="A32" s="5">
        <f t="shared" si="0"/>
        <v>31</v>
      </c>
      <c r="B32" s="18">
        <v>46218</v>
      </c>
      <c r="C32" s="9" t="s">
        <v>75</v>
      </c>
      <c r="D32" s="15">
        <v>3</v>
      </c>
      <c r="E32" s="9" t="s">
        <v>253</v>
      </c>
      <c r="F32" s="7" t="s">
        <v>171</v>
      </c>
      <c r="G32" s="9" t="s">
        <v>252</v>
      </c>
    </row>
    <row r="33" spans="1:7" ht="24" customHeight="1">
      <c r="A33" s="5">
        <f t="shared" si="0"/>
        <v>32</v>
      </c>
      <c r="B33" s="18">
        <v>46218</v>
      </c>
      <c r="C33" s="9" t="s">
        <v>73</v>
      </c>
      <c r="D33" s="15">
        <v>0.42</v>
      </c>
      <c r="E33" s="9" t="s">
        <v>253</v>
      </c>
      <c r="F33" s="7" t="s">
        <v>171</v>
      </c>
      <c r="G33" s="9" t="s">
        <v>252</v>
      </c>
    </row>
    <row r="34" spans="1:7" ht="24" customHeight="1">
      <c r="A34" s="5">
        <f t="shared" si="0"/>
        <v>33</v>
      </c>
      <c r="B34" s="18">
        <v>46218</v>
      </c>
      <c r="C34" s="9" t="s">
        <v>69</v>
      </c>
      <c r="D34" s="15">
        <v>1</v>
      </c>
      <c r="E34" s="9" t="s">
        <v>253</v>
      </c>
      <c r="F34" s="7" t="s">
        <v>171</v>
      </c>
      <c r="G34" s="9" t="s">
        <v>252</v>
      </c>
    </row>
    <row r="35" spans="1:7" ht="24" customHeight="1">
      <c r="A35" s="5">
        <f t="shared" si="0"/>
        <v>34</v>
      </c>
      <c r="B35" s="18">
        <v>46218</v>
      </c>
      <c r="C35" s="9" t="s">
        <v>66</v>
      </c>
      <c r="D35" s="15">
        <v>0</v>
      </c>
      <c r="E35" s="9" t="s">
        <v>253</v>
      </c>
      <c r="F35" s="7" t="s">
        <v>171</v>
      </c>
      <c r="G35" s="9" t="s">
        <v>252</v>
      </c>
    </row>
    <row r="36" spans="1:7" ht="24" customHeight="1">
      <c r="A36" s="5">
        <f t="shared" si="0"/>
        <v>35</v>
      </c>
      <c r="B36" s="18">
        <v>46218</v>
      </c>
      <c r="C36" s="9" t="s">
        <v>62</v>
      </c>
      <c r="D36" s="15">
        <v>0</v>
      </c>
      <c r="E36" s="9" t="s">
        <v>253</v>
      </c>
      <c r="F36" s="7" t="s">
        <v>171</v>
      </c>
      <c r="G36" s="9" t="s">
        <v>252</v>
      </c>
    </row>
    <row r="37" spans="1:7" ht="24" customHeight="1">
      <c r="A37" s="5">
        <f t="shared" si="0"/>
        <v>36</v>
      </c>
      <c r="B37" s="18">
        <v>46218</v>
      </c>
      <c r="C37" s="9" t="s">
        <v>61</v>
      </c>
      <c r="D37" s="15">
        <v>0</v>
      </c>
      <c r="E37" s="9" t="s">
        <v>253</v>
      </c>
      <c r="F37" s="7" t="s">
        <v>171</v>
      </c>
      <c r="G37" s="9" t="s">
        <v>252</v>
      </c>
    </row>
    <row r="38" spans="1:7" ht="24" customHeight="1">
      <c r="A38" s="5">
        <f t="shared" si="0"/>
        <v>37</v>
      </c>
      <c r="B38" s="18">
        <v>46218</v>
      </c>
      <c r="C38" s="9" t="s">
        <v>58</v>
      </c>
      <c r="D38" s="15">
        <v>2</v>
      </c>
      <c r="E38" s="9" t="s">
        <v>253</v>
      </c>
      <c r="F38" s="7" t="s">
        <v>171</v>
      </c>
      <c r="G38" s="9" t="s">
        <v>252</v>
      </c>
    </row>
    <row r="39" spans="1:7" ht="24" customHeight="1">
      <c r="A39" s="5">
        <f t="shared" si="0"/>
        <v>38</v>
      </c>
      <c r="B39" s="18">
        <v>46218</v>
      </c>
      <c r="C39" s="9" t="s">
        <v>57</v>
      </c>
      <c r="D39" s="15">
        <v>50</v>
      </c>
      <c r="E39" s="9" t="s">
        <v>253</v>
      </c>
      <c r="F39" s="7" t="s">
        <v>171</v>
      </c>
      <c r="G39" s="9" t="s">
        <v>252</v>
      </c>
    </row>
    <row r="40" spans="1:7" ht="24" customHeight="1">
      <c r="A40" s="5">
        <f t="shared" si="0"/>
        <v>39</v>
      </c>
      <c r="B40" s="18">
        <v>46218</v>
      </c>
      <c r="C40" s="9" t="s">
        <v>56</v>
      </c>
      <c r="D40" s="15">
        <v>4</v>
      </c>
      <c r="E40" s="9" t="s">
        <v>253</v>
      </c>
      <c r="F40" s="7" t="s">
        <v>171</v>
      </c>
      <c r="G40" s="9" t="s">
        <v>252</v>
      </c>
    </row>
    <row r="41" spans="1:7" ht="24" customHeight="1">
      <c r="A41" s="5">
        <f t="shared" si="0"/>
        <v>40</v>
      </c>
      <c r="B41" s="18">
        <v>46218</v>
      </c>
      <c r="C41" s="9" t="s">
        <v>55</v>
      </c>
      <c r="D41" s="15">
        <v>1.44</v>
      </c>
      <c r="E41" s="9" t="s">
        <v>253</v>
      </c>
      <c r="F41" s="7" t="s">
        <v>171</v>
      </c>
      <c r="G41" s="9" t="s">
        <v>252</v>
      </c>
    </row>
    <row r="42" spans="1:7" ht="24" customHeight="1">
      <c r="A42" s="5">
        <f t="shared" si="0"/>
        <v>41</v>
      </c>
      <c r="B42" s="18">
        <v>46218</v>
      </c>
      <c r="C42" s="9" t="s">
        <v>52</v>
      </c>
      <c r="D42" s="15">
        <v>105</v>
      </c>
      <c r="E42" s="9" t="s">
        <v>253</v>
      </c>
      <c r="F42" s="7" t="s">
        <v>171</v>
      </c>
      <c r="G42" s="9" t="s">
        <v>252</v>
      </c>
    </row>
    <row r="43" spans="1:7" ht="24" customHeight="1">
      <c r="A43" s="5">
        <f t="shared" si="0"/>
        <v>42</v>
      </c>
      <c r="B43" s="18">
        <v>46218</v>
      </c>
      <c r="C43" s="9" t="s">
        <v>54</v>
      </c>
      <c r="D43" s="15">
        <v>4</v>
      </c>
      <c r="E43" s="9" t="s">
        <v>253</v>
      </c>
      <c r="F43" s="7" t="s">
        <v>171</v>
      </c>
      <c r="G43" s="9" t="s">
        <v>252</v>
      </c>
    </row>
    <row r="44" spans="1:7" ht="24" customHeight="1">
      <c r="A44" s="5">
        <f t="shared" si="0"/>
        <v>43</v>
      </c>
      <c r="B44" s="18">
        <v>46218</v>
      </c>
      <c r="C44" s="9" t="s">
        <v>53</v>
      </c>
      <c r="D44" s="15">
        <v>2</v>
      </c>
      <c r="E44" s="9" t="s">
        <v>253</v>
      </c>
      <c r="F44" s="7" t="s">
        <v>171</v>
      </c>
      <c r="G44" s="9" t="s">
        <v>252</v>
      </c>
    </row>
    <row r="45" spans="1:7" ht="24" customHeight="1">
      <c r="A45" s="5">
        <f t="shared" si="0"/>
        <v>44</v>
      </c>
      <c r="B45" s="18">
        <v>46218</v>
      </c>
      <c r="C45" s="9" t="s">
        <v>236</v>
      </c>
      <c r="D45" s="15">
        <v>0</v>
      </c>
      <c r="E45" s="9" t="s">
        <v>253</v>
      </c>
      <c r="F45" s="7" t="s">
        <v>171</v>
      </c>
      <c r="G45" s="9" t="s">
        <v>252</v>
      </c>
    </row>
    <row r="46" spans="1:7" ht="24" customHeight="1">
      <c r="A46" s="5">
        <f t="shared" si="0"/>
        <v>45</v>
      </c>
      <c r="B46" s="18">
        <v>46218</v>
      </c>
      <c r="C46" s="9" t="s">
        <v>50</v>
      </c>
      <c r="D46" s="15">
        <v>17</v>
      </c>
      <c r="E46" s="9" t="s">
        <v>253</v>
      </c>
      <c r="F46" s="7" t="s">
        <v>171</v>
      </c>
      <c r="G46" s="9" t="s">
        <v>252</v>
      </c>
    </row>
    <row r="47" spans="1:7" ht="24" customHeight="1">
      <c r="A47" s="5">
        <f t="shared" si="0"/>
        <v>46</v>
      </c>
      <c r="B47" s="18">
        <v>46218</v>
      </c>
      <c r="C47" s="9" t="s">
        <v>237</v>
      </c>
      <c r="D47" s="15">
        <v>0</v>
      </c>
      <c r="E47" s="9" t="s">
        <v>253</v>
      </c>
      <c r="F47" s="7" t="s">
        <v>171</v>
      </c>
      <c r="G47" s="9" t="s">
        <v>252</v>
      </c>
    </row>
    <row r="48" spans="1:7" ht="24" customHeight="1">
      <c r="A48" s="5">
        <f t="shared" si="0"/>
        <v>47</v>
      </c>
      <c r="B48" s="18">
        <v>46218</v>
      </c>
      <c r="C48" s="9" t="s">
        <v>238</v>
      </c>
      <c r="D48" s="15">
        <v>1.42</v>
      </c>
      <c r="E48" s="9" t="s">
        <v>253</v>
      </c>
      <c r="F48" s="7" t="s">
        <v>171</v>
      </c>
      <c r="G48" s="9" t="s">
        <v>252</v>
      </c>
    </row>
    <row r="49" spans="1:7" ht="24" customHeight="1">
      <c r="A49" s="5">
        <f t="shared" si="0"/>
        <v>48</v>
      </c>
      <c r="B49" s="18">
        <v>46218</v>
      </c>
      <c r="C49" s="9" t="s">
        <v>239</v>
      </c>
      <c r="D49" s="15">
        <v>0</v>
      </c>
      <c r="E49" s="9" t="s">
        <v>253</v>
      </c>
      <c r="F49" s="7" t="s">
        <v>171</v>
      </c>
      <c r="G49" s="9" t="s">
        <v>252</v>
      </c>
    </row>
    <row r="50" spans="1:7" ht="24" customHeight="1">
      <c r="A50" s="5">
        <f t="shared" si="0"/>
        <v>49</v>
      </c>
      <c r="B50" s="18">
        <v>46218</v>
      </c>
      <c r="C50" s="9" t="s">
        <v>47</v>
      </c>
      <c r="D50" s="15">
        <v>24</v>
      </c>
      <c r="E50" s="9" t="s">
        <v>253</v>
      </c>
      <c r="F50" s="7" t="s">
        <v>171</v>
      </c>
      <c r="G50" s="9" t="s">
        <v>252</v>
      </c>
    </row>
    <row r="51" spans="1:7" ht="24" customHeight="1">
      <c r="A51" s="5">
        <f t="shared" si="0"/>
        <v>50</v>
      </c>
      <c r="B51" s="18">
        <v>46218</v>
      </c>
      <c r="C51" s="9" t="s">
        <v>46</v>
      </c>
      <c r="D51" s="15">
        <v>536</v>
      </c>
      <c r="E51" s="9" t="s">
        <v>253</v>
      </c>
      <c r="F51" s="7" t="s">
        <v>171</v>
      </c>
      <c r="G51" s="9" t="s">
        <v>252</v>
      </c>
    </row>
    <row r="52" spans="1:7" ht="24" customHeight="1">
      <c r="A52" s="5">
        <f t="shared" si="0"/>
        <v>51</v>
      </c>
      <c r="B52" s="18">
        <v>46218</v>
      </c>
      <c r="C52" s="9" t="s">
        <v>42</v>
      </c>
      <c r="D52" s="15">
        <v>0</v>
      </c>
      <c r="E52" s="9" t="s">
        <v>253</v>
      </c>
      <c r="F52" s="7" t="s">
        <v>171</v>
      </c>
      <c r="G52" s="9" t="s">
        <v>252</v>
      </c>
    </row>
    <row r="53" spans="1:7" ht="24" customHeight="1">
      <c r="A53" s="5">
        <f t="shared" si="0"/>
        <v>52</v>
      </c>
      <c r="B53" s="18">
        <v>46218</v>
      </c>
      <c r="C53" s="9" t="s">
        <v>41</v>
      </c>
      <c r="D53" s="15">
        <v>34</v>
      </c>
      <c r="E53" s="9" t="s">
        <v>253</v>
      </c>
      <c r="F53" s="7" t="s">
        <v>171</v>
      </c>
      <c r="G53" s="9" t="s">
        <v>252</v>
      </c>
    </row>
    <row r="54" spans="1:7" ht="24" customHeight="1">
      <c r="A54" s="5">
        <f t="shared" si="0"/>
        <v>53</v>
      </c>
      <c r="B54" s="18">
        <v>46218</v>
      </c>
      <c r="C54" s="9" t="s">
        <v>40</v>
      </c>
      <c r="D54" s="15">
        <v>1</v>
      </c>
      <c r="E54" s="9" t="s">
        <v>253</v>
      </c>
      <c r="F54" s="7" t="s">
        <v>171</v>
      </c>
      <c r="G54" s="9" t="s">
        <v>252</v>
      </c>
    </row>
    <row r="55" spans="1:7" ht="24" customHeight="1">
      <c r="A55" s="5">
        <f t="shared" si="0"/>
        <v>54</v>
      </c>
      <c r="B55" s="18">
        <v>46218</v>
      </c>
      <c r="C55" s="9" t="s">
        <v>39</v>
      </c>
      <c r="D55" s="15">
        <v>0</v>
      </c>
      <c r="E55" s="9" t="s">
        <v>253</v>
      </c>
      <c r="F55" s="7" t="s">
        <v>171</v>
      </c>
      <c r="G55" s="9" t="s">
        <v>252</v>
      </c>
    </row>
    <row r="56" spans="1:7" ht="24" customHeight="1">
      <c r="A56" s="5">
        <f t="shared" si="0"/>
        <v>55</v>
      </c>
      <c r="B56" s="18">
        <v>46218</v>
      </c>
      <c r="C56" s="9" t="s">
        <v>38</v>
      </c>
      <c r="D56" s="15">
        <v>1</v>
      </c>
      <c r="E56" s="9" t="s">
        <v>253</v>
      </c>
      <c r="F56" s="7" t="s">
        <v>171</v>
      </c>
      <c r="G56" s="9" t="s">
        <v>252</v>
      </c>
    </row>
    <row r="57" spans="1:7" ht="24" customHeight="1">
      <c r="A57" s="5">
        <f t="shared" si="0"/>
        <v>56</v>
      </c>
      <c r="B57" s="18">
        <v>46218</v>
      </c>
      <c r="C57" s="9" t="s">
        <v>37</v>
      </c>
      <c r="D57" s="15">
        <v>0.83</v>
      </c>
      <c r="E57" s="9" t="s">
        <v>253</v>
      </c>
      <c r="F57" s="7" t="s">
        <v>171</v>
      </c>
      <c r="G57" s="9" t="s">
        <v>252</v>
      </c>
    </row>
    <row r="58" spans="1:7" ht="24" customHeight="1">
      <c r="A58" s="5">
        <f t="shared" si="0"/>
        <v>57</v>
      </c>
      <c r="B58" s="18">
        <v>46218</v>
      </c>
      <c r="C58" s="9" t="s">
        <v>240</v>
      </c>
      <c r="D58" s="15">
        <v>0</v>
      </c>
      <c r="E58" s="9" t="s">
        <v>253</v>
      </c>
      <c r="F58" s="7" t="s">
        <v>171</v>
      </c>
      <c r="G58" s="9" t="s">
        <v>252</v>
      </c>
    </row>
    <row r="59" spans="1:7" ht="24" customHeight="1">
      <c r="A59" s="5">
        <f t="shared" si="0"/>
        <v>58</v>
      </c>
      <c r="B59" s="18">
        <v>46218</v>
      </c>
      <c r="C59" s="9" t="s">
        <v>35</v>
      </c>
      <c r="D59" s="15">
        <v>468</v>
      </c>
      <c r="E59" s="9" t="s">
        <v>253</v>
      </c>
      <c r="F59" s="7" t="s">
        <v>171</v>
      </c>
      <c r="G59" s="9" t="s">
        <v>252</v>
      </c>
    </row>
    <row r="60" spans="1:7" ht="24" customHeight="1">
      <c r="A60" s="5">
        <f t="shared" si="0"/>
        <v>59</v>
      </c>
      <c r="B60" s="18">
        <v>46218</v>
      </c>
      <c r="C60" s="9" t="s">
        <v>241</v>
      </c>
      <c r="D60" s="15">
        <v>12</v>
      </c>
      <c r="E60" s="9" t="s">
        <v>253</v>
      </c>
      <c r="F60" s="7" t="s">
        <v>171</v>
      </c>
      <c r="G60" s="9" t="s">
        <v>252</v>
      </c>
    </row>
    <row r="61" spans="1:7" ht="24" customHeight="1">
      <c r="A61" s="5">
        <f t="shared" si="0"/>
        <v>60</v>
      </c>
      <c r="B61" s="18">
        <v>46218</v>
      </c>
      <c r="C61" s="9" t="s">
        <v>34</v>
      </c>
      <c r="D61" s="15">
        <v>307.5</v>
      </c>
      <c r="E61" s="9" t="s">
        <v>253</v>
      </c>
      <c r="F61" s="7" t="s">
        <v>171</v>
      </c>
      <c r="G61" s="9" t="s">
        <v>252</v>
      </c>
    </row>
    <row r="62" spans="1:7" ht="24" customHeight="1">
      <c r="A62" s="5">
        <f t="shared" si="0"/>
        <v>61</v>
      </c>
      <c r="B62" s="18">
        <v>46218</v>
      </c>
      <c r="C62" s="9" t="s">
        <v>33</v>
      </c>
      <c r="D62" s="15">
        <v>0</v>
      </c>
      <c r="E62" s="9" t="s">
        <v>253</v>
      </c>
      <c r="F62" s="7" t="s">
        <v>171</v>
      </c>
      <c r="G62" s="9" t="s">
        <v>252</v>
      </c>
    </row>
    <row r="63" spans="1:7" ht="24" customHeight="1">
      <c r="A63" s="5">
        <f t="shared" si="0"/>
        <v>62</v>
      </c>
      <c r="B63" s="18">
        <v>46218</v>
      </c>
      <c r="C63" s="9" t="s">
        <v>32</v>
      </c>
      <c r="D63" s="15">
        <v>3</v>
      </c>
      <c r="E63" s="9" t="s">
        <v>253</v>
      </c>
      <c r="F63" s="7" t="s">
        <v>171</v>
      </c>
      <c r="G63" s="9" t="s">
        <v>252</v>
      </c>
    </row>
    <row r="64" spans="1:7" ht="24" customHeight="1">
      <c r="A64" s="5">
        <f t="shared" si="0"/>
        <v>63</v>
      </c>
      <c r="B64" s="18">
        <v>46218</v>
      </c>
      <c r="C64" s="9" t="s">
        <v>31</v>
      </c>
      <c r="D64" s="15">
        <v>0</v>
      </c>
      <c r="E64" s="9" t="s">
        <v>253</v>
      </c>
      <c r="F64" s="7" t="s">
        <v>171</v>
      </c>
      <c r="G64" s="9" t="s">
        <v>252</v>
      </c>
    </row>
    <row r="65" spans="1:7" ht="24" customHeight="1">
      <c r="A65" s="5">
        <f t="shared" si="0"/>
        <v>64</v>
      </c>
      <c r="B65" s="18">
        <v>46218</v>
      </c>
      <c r="C65" s="9" t="s">
        <v>29</v>
      </c>
      <c r="D65" s="15">
        <v>6</v>
      </c>
      <c r="E65" s="9" t="s">
        <v>253</v>
      </c>
      <c r="F65" s="7" t="s">
        <v>171</v>
      </c>
      <c r="G65" s="9" t="s">
        <v>252</v>
      </c>
    </row>
    <row r="66" spans="1:7" ht="24" customHeight="1">
      <c r="A66" s="5">
        <f t="shared" ref="A66:A129" si="1">IF(C66="","",ROW()-1)</f>
        <v>65</v>
      </c>
      <c r="B66" s="18">
        <v>46218</v>
      </c>
      <c r="C66" s="9" t="s">
        <v>27</v>
      </c>
      <c r="D66" s="15">
        <v>16.5</v>
      </c>
      <c r="E66" s="9" t="s">
        <v>253</v>
      </c>
      <c r="F66" s="7" t="s">
        <v>171</v>
      </c>
      <c r="G66" s="9" t="s">
        <v>252</v>
      </c>
    </row>
    <row r="67" spans="1:7" ht="24" customHeight="1">
      <c r="A67" s="5">
        <f t="shared" si="1"/>
        <v>66</v>
      </c>
      <c r="B67" s="18">
        <v>46218</v>
      </c>
      <c r="C67" s="9" t="s">
        <v>242</v>
      </c>
      <c r="D67" s="15">
        <v>57</v>
      </c>
      <c r="E67" s="9" t="s">
        <v>253</v>
      </c>
      <c r="F67" s="7" t="s">
        <v>171</v>
      </c>
      <c r="G67" s="9" t="s">
        <v>252</v>
      </c>
    </row>
    <row r="68" spans="1:7" ht="24" customHeight="1">
      <c r="A68" s="5">
        <f t="shared" si="1"/>
        <v>67</v>
      </c>
      <c r="B68" s="18">
        <v>46218</v>
      </c>
      <c r="C68" s="9" t="s">
        <v>243</v>
      </c>
      <c r="D68" s="15">
        <v>207.5</v>
      </c>
      <c r="E68" s="9" t="s">
        <v>253</v>
      </c>
      <c r="F68" s="7" t="s">
        <v>171</v>
      </c>
      <c r="G68" s="9" t="s">
        <v>252</v>
      </c>
    </row>
    <row r="69" spans="1:7" ht="24" customHeight="1">
      <c r="A69" s="5">
        <f t="shared" si="1"/>
        <v>68</v>
      </c>
      <c r="B69" s="18">
        <v>46218</v>
      </c>
      <c r="C69" s="9" t="s">
        <v>244</v>
      </c>
      <c r="D69" s="15">
        <v>0</v>
      </c>
      <c r="E69" s="9" t="s">
        <v>253</v>
      </c>
      <c r="F69" s="7" t="s">
        <v>171</v>
      </c>
      <c r="G69" s="9" t="s">
        <v>252</v>
      </c>
    </row>
    <row r="70" spans="1:7" ht="24" customHeight="1">
      <c r="A70" s="5">
        <f t="shared" si="1"/>
        <v>69</v>
      </c>
      <c r="B70" s="18">
        <v>46218</v>
      </c>
      <c r="C70" s="9" t="s">
        <v>245</v>
      </c>
      <c r="D70" s="15">
        <v>1</v>
      </c>
      <c r="E70" s="9" t="s">
        <v>253</v>
      </c>
      <c r="F70" s="7" t="s">
        <v>171</v>
      </c>
      <c r="G70" s="9" t="s">
        <v>252</v>
      </c>
    </row>
    <row r="71" spans="1:7" ht="24" customHeight="1">
      <c r="A71" s="5">
        <f t="shared" si="1"/>
        <v>70</v>
      </c>
      <c r="B71" s="18">
        <v>46218</v>
      </c>
      <c r="C71" s="9" t="s">
        <v>246</v>
      </c>
      <c r="D71" s="15">
        <v>0</v>
      </c>
      <c r="E71" s="9" t="s">
        <v>253</v>
      </c>
      <c r="F71" s="7" t="s">
        <v>171</v>
      </c>
      <c r="G71" s="9" t="s">
        <v>252</v>
      </c>
    </row>
    <row r="72" spans="1:7" ht="24" customHeight="1">
      <c r="A72" s="5">
        <f t="shared" si="1"/>
        <v>71</v>
      </c>
      <c r="B72" s="18">
        <v>46218</v>
      </c>
      <c r="C72" s="9" t="s">
        <v>247</v>
      </c>
      <c r="D72" s="15">
        <v>19.829999999999998</v>
      </c>
      <c r="E72" s="9" t="s">
        <v>253</v>
      </c>
      <c r="F72" s="7" t="s">
        <v>171</v>
      </c>
      <c r="G72" s="9" t="s">
        <v>252</v>
      </c>
    </row>
    <row r="73" spans="1:7" ht="24" customHeight="1">
      <c r="A73" s="5">
        <f t="shared" si="1"/>
        <v>72</v>
      </c>
      <c r="B73" s="18">
        <v>46218</v>
      </c>
      <c r="C73" s="9" t="s">
        <v>248</v>
      </c>
      <c r="D73" s="15">
        <v>11.16</v>
      </c>
      <c r="E73" s="9" t="s">
        <v>253</v>
      </c>
      <c r="F73" s="7" t="s">
        <v>171</v>
      </c>
      <c r="G73" s="9" t="s">
        <v>252</v>
      </c>
    </row>
    <row r="74" spans="1:7" ht="24" customHeight="1">
      <c r="A74" s="5">
        <f t="shared" si="1"/>
        <v>73</v>
      </c>
      <c r="B74" s="18">
        <v>46218</v>
      </c>
      <c r="C74" s="9" t="s">
        <v>249</v>
      </c>
      <c r="D74" s="15">
        <v>93.75</v>
      </c>
      <c r="E74" s="9" t="s">
        <v>253</v>
      </c>
      <c r="F74" s="7" t="s">
        <v>171</v>
      </c>
      <c r="G74" s="9" t="s">
        <v>252</v>
      </c>
    </row>
    <row r="75" spans="1:7" ht="24" customHeight="1">
      <c r="A75" s="5">
        <f t="shared" si="1"/>
        <v>74</v>
      </c>
      <c r="B75" s="18">
        <v>46218</v>
      </c>
      <c r="C75" s="9" t="s">
        <v>250</v>
      </c>
      <c r="D75" s="15">
        <v>0</v>
      </c>
      <c r="E75" s="9" t="s">
        <v>253</v>
      </c>
      <c r="F75" s="7" t="s">
        <v>171</v>
      </c>
      <c r="G75" s="9" t="s">
        <v>252</v>
      </c>
    </row>
    <row r="76" spans="1:7" ht="24" customHeight="1">
      <c r="A76" s="5" t="str">
        <f t="shared" si="1"/>
        <v/>
      </c>
      <c r="B76" s="18"/>
      <c r="C76" s="9"/>
      <c r="D76" s="15"/>
      <c r="E76" s="9"/>
      <c r="F76" s="7"/>
      <c r="G76" s="9"/>
    </row>
    <row r="77" spans="1:7" ht="24" customHeight="1">
      <c r="A77" s="5" t="str">
        <f t="shared" si="1"/>
        <v/>
      </c>
      <c r="B77" s="18"/>
      <c r="C77" s="9"/>
      <c r="D77" s="15"/>
      <c r="E77" s="9"/>
      <c r="F77" s="7"/>
      <c r="G77" s="9"/>
    </row>
    <row r="78" spans="1:7" ht="24" customHeight="1">
      <c r="A78" s="5" t="str">
        <f t="shared" si="1"/>
        <v/>
      </c>
      <c r="B78" s="18"/>
      <c r="C78" s="9"/>
      <c r="D78" s="15"/>
      <c r="E78" s="9"/>
      <c r="F78" s="7"/>
      <c r="G78" s="9"/>
    </row>
    <row r="79" spans="1:7" ht="24" customHeight="1">
      <c r="A79" s="5" t="str">
        <f t="shared" si="1"/>
        <v/>
      </c>
      <c r="B79" s="18"/>
      <c r="C79" s="9"/>
      <c r="D79" s="15"/>
      <c r="E79" s="9"/>
      <c r="F79" s="7"/>
      <c r="G79" s="9"/>
    </row>
    <row r="80" spans="1:7" ht="24" customHeight="1">
      <c r="A80" s="5" t="str">
        <f t="shared" si="1"/>
        <v/>
      </c>
      <c r="B80" s="18"/>
      <c r="C80" s="9"/>
      <c r="D80" s="15"/>
      <c r="E80" s="9"/>
      <c r="F80" s="7"/>
      <c r="G80" s="9"/>
    </row>
    <row r="81" spans="1:7" ht="24" customHeight="1">
      <c r="A81" s="5" t="str">
        <f t="shared" si="1"/>
        <v/>
      </c>
      <c r="B81" s="18"/>
      <c r="C81" s="9"/>
      <c r="D81" s="15"/>
      <c r="E81" s="9"/>
      <c r="F81" s="7"/>
      <c r="G81" s="9"/>
    </row>
    <row r="82" spans="1:7" ht="24" customHeight="1">
      <c r="A82" s="5" t="str">
        <f t="shared" si="1"/>
        <v/>
      </c>
      <c r="B82" s="18"/>
      <c r="C82" s="9"/>
      <c r="D82" s="15"/>
      <c r="E82" s="9"/>
      <c r="F82" s="7"/>
      <c r="G82" s="9"/>
    </row>
    <row r="83" spans="1:7" ht="24" customHeight="1">
      <c r="A83" s="5" t="str">
        <f t="shared" si="1"/>
        <v/>
      </c>
      <c r="B83" s="18"/>
      <c r="C83" s="9"/>
      <c r="D83" s="15"/>
      <c r="E83" s="9"/>
      <c r="F83" s="7"/>
      <c r="G83" s="9"/>
    </row>
    <row r="84" spans="1:7" ht="24" customHeight="1">
      <c r="A84" s="5" t="str">
        <f t="shared" si="1"/>
        <v/>
      </c>
      <c r="B84" s="18"/>
      <c r="C84" s="9"/>
      <c r="D84" s="15"/>
      <c r="E84" s="9"/>
      <c r="F84" s="7"/>
      <c r="G84" s="9"/>
    </row>
    <row r="85" spans="1:7" ht="24" customHeight="1">
      <c r="A85" s="5" t="str">
        <f t="shared" si="1"/>
        <v/>
      </c>
      <c r="B85" s="18"/>
      <c r="C85" s="9"/>
      <c r="D85" s="15"/>
      <c r="E85" s="9"/>
      <c r="F85" s="7"/>
      <c r="G85" s="9"/>
    </row>
    <row r="86" spans="1:7" ht="24" customHeight="1">
      <c r="A86" s="5" t="str">
        <f t="shared" si="1"/>
        <v/>
      </c>
      <c r="B86" s="18"/>
      <c r="C86" s="9"/>
      <c r="D86" s="15"/>
      <c r="E86" s="9"/>
      <c r="F86" s="7"/>
      <c r="G86" s="9"/>
    </row>
    <row r="87" spans="1:7" ht="24" customHeight="1">
      <c r="A87" s="5" t="str">
        <f t="shared" si="1"/>
        <v/>
      </c>
      <c r="B87" s="18"/>
      <c r="C87" s="9"/>
      <c r="D87" s="15"/>
      <c r="E87" s="9"/>
      <c r="F87" s="7"/>
      <c r="G87" s="9"/>
    </row>
    <row r="88" spans="1:7" ht="24" customHeight="1">
      <c r="A88" s="5" t="str">
        <f t="shared" si="1"/>
        <v/>
      </c>
      <c r="B88" s="18"/>
      <c r="C88" s="9"/>
      <c r="D88" s="15"/>
      <c r="E88" s="9"/>
      <c r="F88" s="7"/>
      <c r="G88" s="9"/>
    </row>
    <row r="89" spans="1:7" ht="24" customHeight="1">
      <c r="A89" s="5" t="str">
        <f t="shared" si="1"/>
        <v/>
      </c>
      <c r="B89" s="18"/>
      <c r="C89" s="9"/>
      <c r="D89" s="15"/>
      <c r="E89" s="9"/>
      <c r="F89" s="7"/>
      <c r="G89" s="9"/>
    </row>
    <row r="90" spans="1:7" ht="24" customHeight="1">
      <c r="A90" s="5" t="str">
        <f t="shared" si="1"/>
        <v/>
      </c>
      <c r="B90" s="18"/>
      <c r="C90" s="9"/>
      <c r="D90" s="15"/>
      <c r="E90" s="9"/>
      <c r="F90" s="7"/>
      <c r="G90" s="9"/>
    </row>
    <row r="91" spans="1:7" ht="24" customHeight="1">
      <c r="A91" s="5" t="str">
        <f t="shared" si="1"/>
        <v/>
      </c>
      <c r="B91" s="18"/>
      <c r="C91" s="9"/>
      <c r="D91" s="15"/>
      <c r="E91" s="9"/>
      <c r="F91" s="7"/>
      <c r="G91" s="9"/>
    </row>
    <row r="92" spans="1:7" ht="24" customHeight="1">
      <c r="A92" s="5" t="str">
        <f t="shared" si="1"/>
        <v/>
      </c>
      <c r="B92" s="18"/>
      <c r="C92" s="9"/>
      <c r="D92" s="15"/>
      <c r="E92" s="9"/>
      <c r="F92" s="7"/>
      <c r="G92" s="9"/>
    </row>
    <row r="93" spans="1:7" ht="24" customHeight="1">
      <c r="A93" s="5" t="str">
        <f t="shared" si="1"/>
        <v/>
      </c>
      <c r="B93" s="18"/>
      <c r="C93" s="9"/>
      <c r="D93" s="15"/>
      <c r="E93" s="9"/>
      <c r="F93" s="7"/>
      <c r="G93" s="9"/>
    </row>
    <row r="94" spans="1:7" ht="24" customHeight="1">
      <c r="A94" s="5" t="str">
        <f t="shared" si="1"/>
        <v/>
      </c>
      <c r="B94" s="18"/>
      <c r="C94" s="9"/>
      <c r="D94" s="15"/>
      <c r="E94" s="9"/>
      <c r="F94" s="7"/>
      <c r="G94" s="9"/>
    </row>
    <row r="95" spans="1:7" ht="24" customHeight="1">
      <c r="A95" s="5" t="str">
        <f t="shared" si="1"/>
        <v/>
      </c>
      <c r="B95" s="18"/>
      <c r="C95" s="9"/>
      <c r="D95" s="15"/>
      <c r="E95" s="9"/>
      <c r="F95" s="7"/>
      <c r="G95" s="9"/>
    </row>
    <row r="96" spans="1:7" ht="24" customHeight="1">
      <c r="A96" s="5" t="str">
        <f t="shared" si="1"/>
        <v/>
      </c>
      <c r="B96" s="18"/>
      <c r="C96" s="9"/>
      <c r="D96" s="15"/>
      <c r="E96" s="9"/>
      <c r="F96" s="7"/>
      <c r="G96" s="9"/>
    </row>
    <row r="97" spans="1:7" ht="24" customHeight="1">
      <c r="A97" s="5" t="str">
        <f t="shared" si="1"/>
        <v/>
      </c>
      <c r="B97" s="18"/>
      <c r="C97" s="9"/>
      <c r="D97" s="15"/>
      <c r="E97" s="9"/>
      <c r="F97" s="7"/>
      <c r="G97" s="9"/>
    </row>
    <row r="98" spans="1:7" ht="24" customHeight="1">
      <c r="A98" s="5" t="str">
        <f t="shared" si="1"/>
        <v/>
      </c>
      <c r="B98" s="18"/>
      <c r="C98" s="9"/>
      <c r="D98" s="15"/>
      <c r="E98" s="9"/>
      <c r="F98" s="7"/>
      <c r="G98" s="9"/>
    </row>
    <row r="99" spans="1:7" ht="24" customHeight="1">
      <c r="A99" s="5" t="str">
        <f t="shared" si="1"/>
        <v/>
      </c>
      <c r="B99" s="18"/>
      <c r="C99" s="9"/>
      <c r="D99" s="15"/>
      <c r="E99" s="9"/>
      <c r="F99" s="7"/>
      <c r="G99" s="9"/>
    </row>
    <row r="100" spans="1:7" ht="24" customHeight="1">
      <c r="A100" s="5" t="str">
        <f t="shared" si="1"/>
        <v/>
      </c>
      <c r="B100" s="18"/>
      <c r="C100" s="9"/>
      <c r="D100" s="15"/>
      <c r="E100" s="9"/>
      <c r="F100" s="7"/>
      <c r="G100" s="9"/>
    </row>
    <row r="101" spans="1:7" ht="24" customHeight="1">
      <c r="A101" s="5" t="str">
        <f t="shared" si="1"/>
        <v/>
      </c>
      <c r="B101" s="18"/>
      <c r="C101" s="9"/>
      <c r="D101" s="15"/>
      <c r="E101" s="9"/>
      <c r="F101" s="7"/>
      <c r="G101" s="9"/>
    </row>
    <row r="102" spans="1:7" ht="24" customHeight="1">
      <c r="A102" s="5" t="str">
        <f t="shared" si="1"/>
        <v/>
      </c>
      <c r="B102" s="18"/>
      <c r="C102" s="9"/>
      <c r="D102" s="15"/>
      <c r="E102" s="9"/>
      <c r="F102" s="7"/>
      <c r="G102" s="9"/>
    </row>
    <row r="103" spans="1:7" ht="24" customHeight="1">
      <c r="A103" s="5" t="str">
        <f t="shared" si="1"/>
        <v/>
      </c>
      <c r="B103" s="18"/>
      <c r="C103" s="9"/>
      <c r="D103" s="15"/>
      <c r="E103" s="9"/>
      <c r="F103" s="7"/>
      <c r="G103" s="9"/>
    </row>
    <row r="104" spans="1:7" ht="24" customHeight="1">
      <c r="A104" s="5" t="str">
        <f t="shared" si="1"/>
        <v/>
      </c>
      <c r="B104" s="18"/>
      <c r="C104" s="9"/>
      <c r="D104" s="15"/>
      <c r="E104" s="9"/>
      <c r="F104" s="7"/>
      <c r="G104" s="9"/>
    </row>
    <row r="105" spans="1:7" ht="24" customHeight="1">
      <c r="A105" s="5" t="str">
        <f t="shared" si="1"/>
        <v/>
      </c>
      <c r="B105" s="18"/>
      <c r="C105" s="9"/>
      <c r="D105" s="15"/>
      <c r="E105" s="9"/>
      <c r="F105" s="7"/>
      <c r="G105" s="9"/>
    </row>
    <row r="106" spans="1:7" ht="24" customHeight="1">
      <c r="A106" s="5" t="str">
        <f t="shared" si="1"/>
        <v/>
      </c>
      <c r="B106" s="18"/>
      <c r="C106" s="9"/>
      <c r="D106" s="15"/>
      <c r="E106" s="9"/>
      <c r="F106" s="7"/>
      <c r="G106" s="9"/>
    </row>
    <row r="107" spans="1:7" ht="24" customHeight="1">
      <c r="A107" s="5" t="str">
        <f t="shared" si="1"/>
        <v/>
      </c>
      <c r="B107" s="18"/>
      <c r="C107" s="9"/>
      <c r="D107" s="15"/>
      <c r="E107" s="9"/>
      <c r="F107" s="7"/>
      <c r="G107" s="9"/>
    </row>
    <row r="108" spans="1:7" ht="24" customHeight="1">
      <c r="A108" s="5" t="str">
        <f t="shared" si="1"/>
        <v/>
      </c>
      <c r="B108" s="18"/>
      <c r="C108" s="9"/>
      <c r="D108" s="15"/>
      <c r="E108" s="9"/>
      <c r="F108" s="7"/>
      <c r="G108" s="9"/>
    </row>
    <row r="109" spans="1:7" ht="24" customHeight="1">
      <c r="A109" s="5" t="str">
        <f t="shared" si="1"/>
        <v/>
      </c>
      <c r="B109" s="18"/>
      <c r="C109" s="9"/>
      <c r="D109" s="15"/>
      <c r="E109" s="9"/>
      <c r="F109" s="7"/>
      <c r="G109" s="9"/>
    </row>
    <row r="110" spans="1:7" ht="24" customHeight="1">
      <c r="A110" s="5" t="str">
        <f t="shared" si="1"/>
        <v/>
      </c>
      <c r="B110" s="18"/>
      <c r="C110" s="9"/>
      <c r="D110" s="15"/>
      <c r="E110" s="9"/>
      <c r="F110" s="7"/>
      <c r="G110" s="9"/>
    </row>
    <row r="111" spans="1:7" ht="24" customHeight="1">
      <c r="A111" s="5" t="str">
        <f t="shared" si="1"/>
        <v/>
      </c>
      <c r="B111" s="18"/>
      <c r="C111" s="9"/>
      <c r="D111" s="15"/>
      <c r="E111" s="9"/>
      <c r="F111" s="7"/>
      <c r="G111" s="9"/>
    </row>
    <row r="112" spans="1:7" ht="24" customHeight="1">
      <c r="A112" s="5" t="str">
        <f t="shared" si="1"/>
        <v/>
      </c>
      <c r="B112" s="18"/>
      <c r="C112" s="9"/>
      <c r="D112" s="15"/>
      <c r="E112" s="9"/>
      <c r="F112" s="7"/>
      <c r="G112" s="9"/>
    </row>
    <row r="113" spans="1:7" ht="24" customHeight="1">
      <c r="A113" s="5" t="str">
        <f t="shared" si="1"/>
        <v/>
      </c>
      <c r="B113" s="18"/>
      <c r="C113" s="9"/>
      <c r="D113" s="15"/>
      <c r="E113" s="9"/>
      <c r="F113" s="7"/>
      <c r="G113" s="9"/>
    </row>
    <row r="114" spans="1:7" ht="24" customHeight="1">
      <c r="A114" s="5" t="str">
        <f t="shared" si="1"/>
        <v/>
      </c>
      <c r="B114" s="18"/>
      <c r="C114" s="9"/>
      <c r="D114" s="15"/>
      <c r="E114" s="9"/>
      <c r="F114" s="7"/>
      <c r="G114" s="9"/>
    </row>
    <row r="115" spans="1:7" ht="24" customHeight="1">
      <c r="A115" s="5" t="str">
        <f t="shared" si="1"/>
        <v/>
      </c>
      <c r="B115" s="18"/>
      <c r="C115" s="9"/>
      <c r="D115" s="15"/>
      <c r="E115" s="9"/>
      <c r="F115" s="7"/>
      <c r="G115" s="9"/>
    </row>
    <row r="116" spans="1:7" ht="24" customHeight="1">
      <c r="A116" s="5" t="str">
        <f t="shared" si="1"/>
        <v/>
      </c>
      <c r="B116" s="18"/>
      <c r="C116" s="9"/>
      <c r="D116" s="15"/>
      <c r="E116" s="9"/>
      <c r="F116" s="7"/>
      <c r="G116" s="9"/>
    </row>
    <row r="117" spans="1:7" ht="24" customHeight="1">
      <c r="A117" s="5" t="str">
        <f t="shared" si="1"/>
        <v/>
      </c>
      <c r="B117" s="18"/>
      <c r="C117" s="9"/>
      <c r="D117" s="15"/>
      <c r="E117" s="9"/>
      <c r="F117" s="7"/>
      <c r="G117" s="9"/>
    </row>
    <row r="118" spans="1:7" ht="24" customHeight="1">
      <c r="A118" s="5" t="str">
        <f t="shared" si="1"/>
        <v/>
      </c>
      <c r="B118" s="18"/>
      <c r="C118" s="9"/>
      <c r="D118" s="15"/>
      <c r="E118" s="9"/>
      <c r="F118" s="7"/>
      <c r="G118" s="9"/>
    </row>
    <row r="119" spans="1:7" ht="24" customHeight="1">
      <c r="A119" s="5" t="str">
        <f t="shared" si="1"/>
        <v/>
      </c>
      <c r="B119" s="18"/>
      <c r="C119" s="9"/>
      <c r="D119" s="15"/>
      <c r="E119" s="9"/>
      <c r="F119" s="7"/>
      <c r="G119" s="9"/>
    </row>
    <row r="120" spans="1:7" ht="24" customHeight="1">
      <c r="A120" s="5" t="str">
        <f t="shared" si="1"/>
        <v/>
      </c>
      <c r="B120" s="18"/>
      <c r="C120" s="9"/>
      <c r="D120" s="15"/>
      <c r="E120" s="9"/>
      <c r="F120" s="7"/>
      <c r="G120" s="9"/>
    </row>
    <row r="121" spans="1:7" ht="24" customHeight="1">
      <c r="A121" s="5" t="str">
        <f t="shared" si="1"/>
        <v/>
      </c>
      <c r="B121" s="18"/>
      <c r="C121" s="9"/>
      <c r="D121" s="15"/>
      <c r="E121" s="9"/>
      <c r="F121" s="7"/>
      <c r="G121" s="9"/>
    </row>
    <row r="122" spans="1:7" ht="24" customHeight="1">
      <c r="A122" s="5" t="str">
        <f t="shared" si="1"/>
        <v/>
      </c>
      <c r="B122" s="18"/>
      <c r="C122" s="9"/>
      <c r="D122" s="15"/>
      <c r="E122" s="9"/>
      <c r="F122" s="7"/>
      <c r="G122" s="9"/>
    </row>
    <row r="123" spans="1:7" ht="24" customHeight="1">
      <c r="A123" s="5" t="str">
        <f t="shared" si="1"/>
        <v/>
      </c>
      <c r="B123" s="18"/>
      <c r="C123" s="9"/>
      <c r="D123" s="15"/>
      <c r="E123" s="9"/>
      <c r="F123" s="7"/>
      <c r="G123" s="9"/>
    </row>
    <row r="124" spans="1:7" ht="24" customHeight="1">
      <c r="A124" s="5" t="str">
        <f t="shared" si="1"/>
        <v/>
      </c>
      <c r="B124" s="18"/>
      <c r="C124" s="9"/>
      <c r="D124" s="15"/>
      <c r="E124" s="9"/>
      <c r="F124" s="7"/>
      <c r="G124" s="9"/>
    </row>
    <row r="125" spans="1:7" ht="24" customHeight="1">
      <c r="A125" s="5" t="str">
        <f t="shared" si="1"/>
        <v/>
      </c>
      <c r="B125" s="18"/>
      <c r="C125" s="9"/>
      <c r="D125" s="15"/>
      <c r="E125" s="9"/>
      <c r="F125" s="7"/>
      <c r="G125" s="9"/>
    </row>
    <row r="126" spans="1:7" ht="24" customHeight="1">
      <c r="A126" s="5" t="str">
        <f t="shared" si="1"/>
        <v/>
      </c>
      <c r="B126" s="18"/>
      <c r="C126" s="9"/>
      <c r="D126" s="15"/>
      <c r="E126" s="9"/>
      <c r="F126" s="7"/>
      <c r="G126" s="9"/>
    </row>
    <row r="127" spans="1:7" ht="24" customHeight="1">
      <c r="A127" s="5" t="str">
        <f t="shared" si="1"/>
        <v/>
      </c>
      <c r="B127" s="18"/>
      <c r="C127" s="9"/>
      <c r="D127" s="15"/>
      <c r="E127" s="9"/>
      <c r="F127" s="7"/>
      <c r="G127" s="9"/>
    </row>
    <row r="128" spans="1:7" ht="24" customHeight="1">
      <c r="A128" s="5" t="str">
        <f t="shared" si="1"/>
        <v/>
      </c>
      <c r="B128" s="18"/>
      <c r="C128" s="9"/>
      <c r="D128" s="15"/>
      <c r="E128" s="9"/>
      <c r="F128" s="7"/>
      <c r="G128" s="9"/>
    </row>
    <row r="129" spans="1:7" ht="24" customHeight="1">
      <c r="A129" s="5" t="str">
        <f t="shared" si="1"/>
        <v/>
      </c>
      <c r="B129" s="18"/>
      <c r="C129" s="9"/>
      <c r="D129" s="15"/>
      <c r="E129" s="9"/>
      <c r="F129" s="7"/>
      <c r="G129" s="9"/>
    </row>
    <row r="130" spans="1:7" ht="24" customHeight="1">
      <c r="A130" s="5" t="str">
        <f t="shared" ref="A130:A193" si="2">IF(C130="","",ROW()-1)</f>
        <v/>
      </c>
      <c r="B130" s="18"/>
      <c r="C130" s="9"/>
      <c r="D130" s="15"/>
      <c r="E130" s="9"/>
      <c r="F130" s="7"/>
      <c r="G130" s="9"/>
    </row>
    <row r="131" spans="1:7" ht="24" customHeight="1">
      <c r="A131" s="5" t="str">
        <f t="shared" si="2"/>
        <v/>
      </c>
      <c r="B131" s="18"/>
      <c r="C131" s="9"/>
      <c r="D131" s="15"/>
      <c r="E131" s="9"/>
      <c r="F131" s="7"/>
      <c r="G131" s="9"/>
    </row>
    <row r="132" spans="1:7" ht="24" customHeight="1">
      <c r="A132" s="5" t="str">
        <f t="shared" si="2"/>
        <v/>
      </c>
      <c r="B132" s="18"/>
      <c r="C132" s="9"/>
      <c r="D132" s="15"/>
      <c r="E132" s="9"/>
      <c r="F132" s="7"/>
      <c r="G132" s="9"/>
    </row>
    <row r="133" spans="1:7" ht="24" customHeight="1">
      <c r="A133" s="5" t="str">
        <f t="shared" si="2"/>
        <v/>
      </c>
      <c r="B133" s="18"/>
      <c r="C133" s="9"/>
      <c r="D133" s="15"/>
      <c r="E133" s="9"/>
      <c r="F133" s="7"/>
      <c r="G133" s="9"/>
    </row>
    <row r="134" spans="1:7" ht="24" customHeight="1">
      <c r="A134" s="5" t="str">
        <f t="shared" si="2"/>
        <v/>
      </c>
      <c r="B134" s="18"/>
      <c r="C134" s="9"/>
      <c r="D134" s="15"/>
      <c r="E134" s="9"/>
      <c r="F134" s="7"/>
      <c r="G134" s="9"/>
    </row>
    <row r="135" spans="1:7" ht="24" customHeight="1">
      <c r="A135" s="5" t="str">
        <f t="shared" si="2"/>
        <v/>
      </c>
      <c r="B135" s="18"/>
      <c r="C135" s="9"/>
      <c r="D135" s="15"/>
      <c r="E135" s="9"/>
      <c r="F135" s="7"/>
      <c r="G135" s="9"/>
    </row>
    <row r="136" spans="1:7" ht="24" customHeight="1">
      <c r="A136" s="5" t="str">
        <f t="shared" si="2"/>
        <v/>
      </c>
      <c r="B136" s="18"/>
      <c r="C136" s="9"/>
      <c r="D136" s="15"/>
      <c r="E136" s="9"/>
      <c r="F136" s="7"/>
      <c r="G136" s="9"/>
    </row>
    <row r="137" spans="1:7" ht="24" customHeight="1">
      <c r="A137" s="5" t="str">
        <f t="shared" si="2"/>
        <v/>
      </c>
      <c r="B137" s="18"/>
      <c r="C137" s="9"/>
      <c r="D137" s="15"/>
      <c r="E137" s="9"/>
      <c r="F137" s="7"/>
      <c r="G137" s="9"/>
    </row>
    <row r="138" spans="1:7" ht="24" customHeight="1">
      <c r="A138" s="5" t="str">
        <f t="shared" si="2"/>
        <v/>
      </c>
      <c r="B138" s="18"/>
      <c r="C138" s="9"/>
      <c r="D138" s="15"/>
      <c r="E138" s="9"/>
      <c r="F138" s="7"/>
      <c r="G138" s="9"/>
    </row>
    <row r="139" spans="1:7" ht="24" customHeight="1">
      <c r="A139" s="5" t="str">
        <f t="shared" si="2"/>
        <v/>
      </c>
      <c r="B139" s="18"/>
      <c r="C139" s="9"/>
      <c r="D139" s="15"/>
      <c r="E139" s="9"/>
      <c r="F139" s="7"/>
      <c r="G139" s="9"/>
    </row>
    <row r="140" spans="1:7" ht="24" customHeight="1">
      <c r="A140" s="5" t="str">
        <f t="shared" si="2"/>
        <v/>
      </c>
      <c r="B140" s="18"/>
      <c r="C140" s="9"/>
      <c r="D140" s="15"/>
      <c r="E140" s="9"/>
      <c r="F140" s="7"/>
      <c r="G140" s="9"/>
    </row>
    <row r="141" spans="1:7" ht="24" customHeight="1">
      <c r="A141" s="5" t="str">
        <f t="shared" si="2"/>
        <v/>
      </c>
      <c r="B141" s="18"/>
      <c r="C141" s="9"/>
      <c r="D141" s="15"/>
      <c r="E141" s="9"/>
      <c r="F141" s="7"/>
      <c r="G141" s="9"/>
    </row>
    <row r="142" spans="1:7" ht="24" customHeight="1">
      <c r="A142" s="5" t="str">
        <f t="shared" si="2"/>
        <v/>
      </c>
      <c r="B142" s="18"/>
      <c r="C142" s="9"/>
      <c r="D142" s="15"/>
      <c r="E142" s="9"/>
      <c r="F142" s="7"/>
      <c r="G142" s="9"/>
    </row>
    <row r="143" spans="1:7" ht="24" customHeight="1">
      <c r="A143" s="5" t="str">
        <f t="shared" si="2"/>
        <v/>
      </c>
      <c r="B143" s="18"/>
      <c r="C143" s="9"/>
      <c r="D143" s="15"/>
      <c r="E143" s="9"/>
      <c r="F143" s="7"/>
      <c r="G143" s="9"/>
    </row>
    <row r="144" spans="1:7" ht="24" customHeight="1">
      <c r="A144" s="5" t="str">
        <f t="shared" si="2"/>
        <v/>
      </c>
      <c r="B144" s="18"/>
      <c r="C144" s="9"/>
      <c r="D144" s="15"/>
      <c r="E144" s="9"/>
      <c r="F144" s="7"/>
      <c r="G144" s="9"/>
    </row>
    <row r="145" spans="1:7" ht="24" customHeight="1">
      <c r="A145" s="5" t="str">
        <f t="shared" si="2"/>
        <v/>
      </c>
      <c r="B145" s="18"/>
      <c r="C145" s="9"/>
      <c r="D145" s="15"/>
      <c r="E145" s="9"/>
      <c r="F145" s="7"/>
      <c r="G145" s="9"/>
    </row>
    <row r="146" spans="1:7" ht="24" customHeight="1">
      <c r="A146" s="5" t="str">
        <f t="shared" si="2"/>
        <v/>
      </c>
      <c r="B146" s="18"/>
      <c r="C146" s="9"/>
      <c r="D146" s="15"/>
      <c r="E146" s="9"/>
      <c r="F146" s="7"/>
      <c r="G146" s="9"/>
    </row>
    <row r="147" spans="1:7" ht="24" customHeight="1">
      <c r="A147" s="5" t="str">
        <f t="shared" si="2"/>
        <v/>
      </c>
      <c r="B147" s="18"/>
      <c r="C147" s="9"/>
      <c r="D147" s="15"/>
      <c r="E147" s="9"/>
      <c r="F147" s="7"/>
      <c r="G147" s="9"/>
    </row>
    <row r="148" spans="1:7" ht="24" customHeight="1">
      <c r="A148" s="5" t="str">
        <f t="shared" si="2"/>
        <v/>
      </c>
      <c r="B148" s="18"/>
      <c r="C148" s="9"/>
      <c r="D148" s="15"/>
      <c r="E148" s="9"/>
      <c r="F148" s="7"/>
      <c r="G148" s="9"/>
    </row>
    <row r="149" spans="1:7" ht="24" customHeight="1">
      <c r="A149" s="5" t="str">
        <f t="shared" si="2"/>
        <v/>
      </c>
      <c r="B149" s="18"/>
      <c r="C149" s="9"/>
      <c r="D149" s="15"/>
      <c r="E149" s="9"/>
      <c r="F149" s="7"/>
      <c r="G149" s="9"/>
    </row>
    <row r="150" spans="1:7" ht="24" customHeight="1">
      <c r="A150" s="5" t="str">
        <f t="shared" si="2"/>
        <v/>
      </c>
      <c r="B150" s="18"/>
      <c r="C150" s="9"/>
      <c r="D150" s="15"/>
      <c r="E150" s="9"/>
      <c r="F150" s="7"/>
      <c r="G150" s="9"/>
    </row>
    <row r="151" spans="1:7" ht="24" customHeight="1">
      <c r="A151" s="5" t="str">
        <f t="shared" si="2"/>
        <v/>
      </c>
      <c r="B151" s="18"/>
      <c r="C151" s="9"/>
      <c r="D151" s="15"/>
      <c r="E151" s="9"/>
      <c r="F151" s="7"/>
      <c r="G151" s="9"/>
    </row>
    <row r="152" spans="1:7" ht="24" customHeight="1">
      <c r="A152" s="5" t="str">
        <f t="shared" si="2"/>
        <v/>
      </c>
      <c r="B152" s="18"/>
      <c r="C152" s="9"/>
      <c r="D152" s="15"/>
      <c r="E152" s="9"/>
      <c r="F152" s="7"/>
      <c r="G152" s="9"/>
    </row>
    <row r="153" spans="1:7" ht="24" customHeight="1">
      <c r="A153" s="5" t="str">
        <f t="shared" si="2"/>
        <v/>
      </c>
      <c r="B153" s="18"/>
      <c r="C153" s="9"/>
      <c r="D153" s="15"/>
      <c r="E153" s="9"/>
      <c r="F153" s="7"/>
      <c r="G153" s="9"/>
    </row>
    <row r="154" spans="1:7" ht="24" customHeight="1">
      <c r="A154" s="5" t="str">
        <f t="shared" si="2"/>
        <v/>
      </c>
      <c r="B154" s="18"/>
      <c r="C154" s="9"/>
      <c r="D154" s="15"/>
      <c r="E154" s="9"/>
      <c r="F154" s="7"/>
      <c r="G154" s="9"/>
    </row>
    <row r="155" spans="1:7" ht="24" customHeight="1">
      <c r="A155" s="5" t="str">
        <f t="shared" si="2"/>
        <v/>
      </c>
      <c r="B155" s="18"/>
      <c r="C155" s="9"/>
      <c r="D155" s="15"/>
      <c r="E155" s="9"/>
      <c r="F155" s="7"/>
      <c r="G155" s="9"/>
    </row>
    <row r="156" spans="1:7" ht="24" customHeight="1">
      <c r="A156" s="5" t="str">
        <f t="shared" si="2"/>
        <v/>
      </c>
      <c r="B156" s="18"/>
      <c r="C156" s="9"/>
      <c r="D156" s="15"/>
      <c r="E156" s="9"/>
      <c r="F156" s="7"/>
      <c r="G156" s="9"/>
    </row>
    <row r="157" spans="1:7" ht="24" customHeight="1">
      <c r="A157" s="5" t="str">
        <f t="shared" si="2"/>
        <v/>
      </c>
      <c r="B157" s="18"/>
      <c r="C157" s="9"/>
      <c r="D157" s="15"/>
      <c r="E157" s="9"/>
      <c r="F157" s="7"/>
      <c r="G157" s="9"/>
    </row>
    <row r="158" spans="1:7" ht="24" customHeight="1">
      <c r="A158" s="5" t="str">
        <f t="shared" si="2"/>
        <v/>
      </c>
      <c r="B158" s="18"/>
      <c r="C158" s="9"/>
      <c r="D158" s="15"/>
      <c r="E158" s="9"/>
      <c r="F158" s="7"/>
      <c r="G158" s="9"/>
    </row>
    <row r="159" spans="1:7" ht="24" customHeight="1">
      <c r="A159" s="5" t="str">
        <f t="shared" si="2"/>
        <v/>
      </c>
      <c r="B159" s="18"/>
      <c r="C159" s="9"/>
      <c r="D159" s="15"/>
      <c r="E159" s="9"/>
      <c r="F159" s="7"/>
      <c r="G159" s="9"/>
    </row>
    <row r="160" spans="1:7" ht="24" customHeight="1">
      <c r="A160" s="5" t="str">
        <f t="shared" si="2"/>
        <v/>
      </c>
      <c r="B160" s="18"/>
      <c r="C160" s="9"/>
      <c r="D160" s="15"/>
      <c r="E160" s="9"/>
      <c r="F160" s="7"/>
      <c r="G160" s="9"/>
    </row>
    <row r="161" spans="1:7" ht="24" customHeight="1">
      <c r="A161" s="5" t="str">
        <f t="shared" si="2"/>
        <v/>
      </c>
      <c r="B161" s="18"/>
      <c r="C161" s="9"/>
      <c r="D161" s="15"/>
      <c r="E161" s="9"/>
      <c r="F161" s="7"/>
      <c r="G161" s="9"/>
    </row>
    <row r="162" spans="1:7" ht="24" customHeight="1">
      <c r="A162" s="5" t="str">
        <f t="shared" si="2"/>
        <v/>
      </c>
      <c r="B162" s="18"/>
      <c r="C162" s="9"/>
      <c r="D162" s="15"/>
      <c r="E162" s="9"/>
      <c r="F162" s="7"/>
      <c r="G162" s="9"/>
    </row>
    <row r="163" spans="1:7" ht="24" customHeight="1">
      <c r="A163" s="5" t="str">
        <f t="shared" si="2"/>
        <v/>
      </c>
      <c r="B163" s="18"/>
      <c r="C163" s="9"/>
      <c r="D163" s="15"/>
      <c r="E163" s="9"/>
      <c r="F163" s="7"/>
      <c r="G163" s="9"/>
    </row>
    <row r="164" spans="1:7" ht="24" customHeight="1">
      <c r="A164" s="5" t="str">
        <f t="shared" si="2"/>
        <v/>
      </c>
      <c r="B164" s="18"/>
      <c r="C164" s="9"/>
      <c r="D164" s="15"/>
      <c r="E164" s="9"/>
      <c r="F164" s="7"/>
      <c r="G164" s="9"/>
    </row>
    <row r="165" spans="1:7" ht="24" customHeight="1">
      <c r="A165" s="5" t="str">
        <f t="shared" si="2"/>
        <v/>
      </c>
      <c r="B165" s="18"/>
      <c r="C165" s="9"/>
      <c r="D165" s="15"/>
      <c r="E165" s="9"/>
      <c r="F165" s="7"/>
      <c r="G165" s="9"/>
    </row>
    <row r="166" spans="1:7" ht="24" customHeight="1">
      <c r="A166" s="5" t="str">
        <f t="shared" si="2"/>
        <v/>
      </c>
      <c r="B166" s="18"/>
      <c r="C166" s="9"/>
      <c r="D166" s="15"/>
      <c r="E166" s="9"/>
      <c r="F166" s="7"/>
      <c r="G166" s="9"/>
    </row>
    <row r="167" spans="1:7" ht="24" customHeight="1">
      <c r="A167" s="5" t="str">
        <f t="shared" si="2"/>
        <v/>
      </c>
      <c r="B167" s="18"/>
      <c r="C167" s="9"/>
      <c r="D167" s="15"/>
      <c r="E167" s="9"/>
      <c r="F167" s="7"/>
      <c r="G167" s="9"/>
    </row>
    <row r="168" spans="1:7" ht="24" customHeight="1">
      <c r="A168" s="5" t="str">
        <f t="shared" si="2"/>
        <v/>
      </c>
      <c r="B168" s="18"/>
      <c r="C168" s="9"/>
      <c r="D168" s="15"/>
      <c r="E168" s="9"/>
      <c r="F168" s="7"/>
      <c r="G168" s="9"/>
    </row>
    <row r="169" spans="1:7" ht="24" customHeight="1">
      <c r="A169" s="5" t="str">
        <f t="shared" si="2"/>
        <v/>
      </c>
      <c r="B169" s="18"/>
      <c r="C169" s="9"/>
      <c r="D169" s="15"/>
      <c r="E169" s="9"/>
      <c r="F169" s="7"/>
      <c r="G169" s="9"/>
    </row>
    <row r="170" spans="1:7" ht="24" customHeight="1">
      <c r="A170" s="5" t="str">
        <f t="shared" si="2"/>
        <v/>
      </c>
      <c r="B170" s="18"/>
      <c r="C170" s="9"/>
      <c r="D170" s="15"/>
      <c r="E170" s="9"/>
      <c r="F170" s="7"/>
      <c r="G170" s="9"/>
    </row>
    <row r="171" spans="1:7" ht="24" customHeight="1">
      <c r="A171" s="5" t="str">
        <f t="shared" si="2"/>
        <v/>
      </c>
      <c r="B171" s="18"/>
      <c r="C171" s="9"/>
      <c r="D171" s="15"/>
      <c r="E171" s="9"/>
      <c r="F171" s="7"/>
      <c r="G171" s="9"/>
    </row>
    <row r="172" spans="1:7" ht="24" customHeight="1">
      <c r="A172" s="5" t="str">
        <f t="shared" si="2"/>
        <v/>
      </c>
      <c r="B172" s="18"/>
      <c r="C172" s="9"/>
      <c r="D172" s="15"/>
      <c r="E172" s="9"/>
      <c r="F172" s="7"/>
      <c r="G172" s="9"/>
    </row>
    <row r="173" spans="1:7" ht="24" customHeight="1">
      <c r="A173" s="5" t="str">
        <f t="shared" si="2"/>
        <v/>
      </c>
      <c r="B173" s="18"/>
      <c r="C173" s="9"/>
      <c r="D173" s="15"/>
      <c r="E173" s="9"/>
      <c r="F173" s="7"/>
      <c r="G173" s="9"/>
    </row>
    <row r="174" spans="1:7" ht="24" customHeight="1">
      <c r="A174" s="5" t="str">
        <f t="shared" si="2"/>
        <v/>
      </c>
      <c r="B174" s="18"/>
      <c r="C174" s="9"/>
      <c r="D174" s="15"/>
      <c r="E174" s="9"/>
      <c r="F174" s="7"/>
      <c r="G174" s="9"/>
    </row>
    <row r="175" spans="1:7" ht="24" customHeight="1">
      <c r="A175" s="5" t="str">
        <f t="shared" si="2"/>
        <v/>
      </c>
      <c r="B175" s="18"/>
      <c r="C175" s="9"/>
      <c r="D175" s="15"/>
      <c r="E175" s="9"/>
      <c r="F175" s="7"/>
      <c r="G175" s="9"/>
    </row>
    <row r="176" spans="1:7" ht="24" customHeight="1">
      <c r="A176" s="5" t="str">
        <f t="shared" si="2"/>
        <v/>
      </c>
      <c r="B176" s="18"/>
      <c r="C176" s="9"/>
      <c r="D176" s="15"/>
      <c r="E176" s="9"/>
      <c r="F176" s="7"/>
      <c r="G176" s="9"/>
    </row>
    <row r="177" spans="1:7" ht="24" customHeight="1">
      <c r="A177" s="5" t="str">
        <f t="shared" si="2"/>
        <v/>
      </c>
      <c r="B177" s="18"/>
      <c r="C177" s="9"/>
      <c r="D177" s="15"/>
      <c r="E177" s="9"/>
      <c r="F177" s="7"/>
      <c r="G177" s="9"/>
    </row>
    <row r="178" spans="1:7" ht="24" customHeight="1">
      <c r="A178" s="5" t="str">
        <f t="shared" si="2"/>
        <v/>
      </c>
      <c r="B178" s="18"/>
      <c r="C178" s="9"/>
      <c r="D178" s="15"/>
      <c r="E178" s="9"/>
      <c r="F178" s="7"/>
      <c r="G178" s="9"/>
    </row>
    <row r="179" spans="1:7" ht="24" customHeight="1">
      <c r="A179" s="5" t="str">
        <f t="shared" si="2"/>
        <v/>
      </c>
      <c r="B179" s="18"/>
      <c r="C179" s="9"/>
      <c r="D179" s="15"/>
      <c r="E179" s="9"/>
      <c r="F179" s="7"/>
      <c r="G179" s="9"/>
    </row>
    <row r="180" spans="1:7" ht="24" customHeight="1">
      <c r="A180" s="5" t="str">
        <f t="shared" si="2"/>
        <v/>
      </c>
      <c r="B180" s="18"/>
      <c r="C180" s="9"/>
      <c r="D180" s="15"/>
      <c r="E180" s="9"/>
      <c r="F180" s="7"/>
      <c r="G180" s="9"/>
    </row>
    <row r="181" spans="1:7" ht="24" customHeight="1">
      <c r="A181" s="5" t="str">
        <f t="shared" si="2"/>
        <v/>
      </c>
      <c r="B181" s="18"/>
      <c r="C181" s="9"/>
      <c r="D181" s="15"/>
      <c r="E181" s="9"/>
      <c r="F181" s="7"/>
      <c r="G181" s="9"/>
    </row>
    <row r="182" spans="1:7" ht="24" customHeight="1">
      <c r="A182" s="5" t="str">
        <f t="shared" si="2"/>
        <v/>
      </c>
      <c r="B182" s="18"/>
      <c r="C182" s="9"/>
      <c r="D182" s="15"/>
      <c r="E182" s="9"/>
      <c r="F182" s="7"/>
      <c r="G182" s="9"/>
    </row>
    <row r="183" spans="1:7" ht="24" customHeight="1">
      <c r="A183" s="5" t="str">
        <f t="shared" si="2"/>
        <v/>
      </c>
      <c r="B183" s="18"/>
      <c r="C183" s="9"/>
      <c r="D183" s="15"/>
      <c r="E183" s="9"/>
      <c r="F183" s="7"/>
      <c r="G183" s="9"/>
    </row>
    <row r="184" spans="1:7" ht="24" customHeight="1">
      <c r="A184" s="5" t="str">
        <f t="shared" si="2"/>
        <v/>
      </c>
      <c r="B184" s="18"/>
      <c r="C184" s="9"/>
      <c r="D184" s="15"/>
      <c r="E184" s="9"/>
      <c r="F184" s="7"/>
      <c r="G184" s="9"/>
    </row>
    <row r="185" spans="1:7" ht="24" customHeight="1">
      <c r="A185" s="5" t="str">
        <f t="shared" si="2"/>
        <v/>
      </c>
      <c r="B185" s="18"/>
      <c r="C185" s="9"/>
      <c r="D185" s="15"/>
      <c r="E185" s="9"/>
      <c r="F185" s="7"/>
      <c r="G185" s="9"/>
    </row>
    <row r="186" spans="1:7" ht="24" customHeight="1">
      <c r="A186" s="5" t="str">
        <f t="shared" si="2"/>
        <v/>
      </c>
      <c r="B186" s="18"/>
      <c r="C186" s="9"/>
      <c r="D186" s="15"/>
      <c r="E186" s="9"/>
      <c r="F186" s="7"/>
      <c r="G186" s="9"/>
    </row>
    <row r="187" spans="1:7" ht="24" customHeight="1">
      <c r="A187" s="5" t="str">
        <f t="shared" si="2"/>
        <v/>
      </c>
      <c r="B187" s="18"/>
      <c r="C187" s="9"/>
      <c r="D187" s="15"/>
      <c r="E187" s="9"/>
      <c r="F187" s="7"/>
      <c r="G187" s="9"/>
    </row>
    <row r="188" spans="1:7" ht="24" customHeight="1">
      <c r="A188" s="5" t="str">
        <f t="shared" si="2"/>
        <v/>
      </c>
      <c r="B188" s="18"/>
      <c r="C188" s="9"/>
      <c r="D188" s="15"/>
      <c r="E188" s="9"/>
      <c r="F188" s="7"/>
      <c r="G188" s="9"/>
    </row>
    <row r="189" spans="1:7" ht="24" customHeight="1">
      <c r="A189" s="5" t="str">
        <f t="shared" si="2"/>
        <v/>
      </c>
      <c r="B189" s="18"/>
      <c r="C189" s="9"/>
      <c r="D189" s="15"/>
      <c r="E189" s="9"/>
      <c r="F189" s="7"/>
      <c r="G189" s="9"/>
    </row>
    <row r="190" spans="1:7" ht="24" customHeight="1">
      <c r="A190" s="5" t="str">
        <f t="shared" si="2"/>
        <v/>
      </c>
      <c r="B190" s="18"/>
      <c r="C190" s="9"/>
      <c r="D190" s="15"/>
      <c r="E190" s="9"/>
      <c r="F190" s="7"/>
      <c r="G190" s="9"/>
    </row>
    <row r="191" spans="1:7" ht="24" customHeight="1">
      <c r="A191" s="5" t="str">
        <f t="shared" si="2"/>
        <v/>
      </c>
      <c r="B191" s="18"/>
      <c r="C191" s="9"/>
      <c r="D191" s="15"/>
      <c r="E191" s="9"/>
      <c r="F191" s="7"/>
      <c r="G191" s="9"/>
    </row>
    <row r="192" spans="1:7" ht="24" customHeight="1">
      <c r="A192" s="5" t="str">
        <f t="shared" si="2"/>
        <v/>
      </c>
      <c r="B192" s="18"/>
      <c r="C192" s="9"/>
      <c r="D192" s="15"/>
      <c r="E192" s="9"/>
      <c r="F192" s="7"/>
      <c r="G192" s="9"/>
    </row>
    <row r="193" spans="1:7" ht="24" customHeight="1">
      <c r="A193" s="5" t="str">
        <f t="shared" si="2"/>
        <v/>
      </c>
      <c r="B193" s="18"/>
      <c r="C193" s="9"/>
      <c r="D193" s="15"/>
      <c r="E193" s="9"/>
      <c r="F193" s="7"/>
      <c r="G193" s="9"/>
    </row>
    <row r="194" spans="1:7" ht="24" customHeight="1">
      <c r="A194" s="5" t="str">
        <f t="shared" ref="A194:A257" si="3">IF(C194="","",ROW()-1)</f>
        <v/>
      </c>
      <c r="B194" s="18"/>
      <c r="C194" s="9"/>
      <c r="D194" s="15"/>
      <c r="E194" s="9"/>
      <c r="F194" s="7"/>
      <c r="G194" s="9"/>
    </row>
    <row r="195" spans="1:7" ht="24" customHeight="1">
      <c r="A195" s="5" t="str">
        <f t="shared" si="3"/>
        <v/>
      </c>
      <c r="B195" s="18"/>
      <c r="C195" s="9"/>
      <c r="D195" s="15"/>
      <c r="E195" s="9"/>
      <c r="F195" s="7"/>
      <c r="G195" s="9"/>
    </row>
    <row r="196" spans="1:7" ht="24" customHeight="1">
      <c r="A196" s="5" t="str">
        <f t="shared" si="3"/>
        <v/>
      </c>
      <c r="B196" s="18"/>
      <c r="C196" s="9"/>
      <c r="D196" s="15"/>
      <c r="E196" s="9"/>
      <c r="F196" s="7"/>
      <c r="G196" s="9"/>
    </row>
    <row r="197" spans="1:7" ht="24" customHeight="1">
      <c r="A197" s="5" t="str">
        <f t="shared" si="3"/>
        <v/>
      </c>
      <c r="B197" s="18"/>
      <c r="C197" s="9"/>
      <c r="D197" s="15"/>
      <c r="E197" s="9"/>
      <c r="F197" s="7"/>
      <c r="G197" s="9"/>
    </row>
    <row r="198" spans="1:7" ht="24" customHeight="1">
      <c r="A198" s="5" t="str">
        <f t="shared" si="3"/>
        <v/>
      </c>
      <c r="B198" s="18"/>
      <c r="C198" s="9"/>
      <c r="D198" s="15"/>
      <c r="E198" s="9"/>
      <c r="F198" s="7"/>
      <c r="G198" s="9"/>
    </row>
    <row r="199" spans="1:7" ht="24" customHeight="1">
      <c r="A199" s="5" t="str">
        <f t="shared" si="3"/>
        <v/>
      </c>
      <c r="B199" s="18"/>
      <c r="C199" s="9"/>
      <c r="D199" s="15"/>
      <c r="E199" s="9"/>
      <c r="F199" s="7"/>
      <c r="G199" s="9"/>
    </row>
    <row r="200" spans="1:7" ht="24" customHeight="1">
      <c r="A200" s="5" t="str">
        <f t="shared" si="3"/>
        <v/>
      </c>
      <c r="B200" s="18"/>
      <c r="C200" s="9"/>
      <c r="D200" s="15"/>
      <c r="E200" s="9"/>
      <c r="F200" s="7"/>
      <c r="G200" s="9"/>
    </row>
    <row r="201" spans="1:7" ht="24" customHeight="1">
      <c r="A201" s="5" t="str">
        <f t="shared" si="3"/>
        <v/>
      </c>
      <c r="B201" s="18"/>
      <c r="C201" s="9"/>
      <c r="D201" s="15"/>
      <c r="E201" s="9"/>
      <c r="F201" s="7"/>
      <c r="G201" s="9"/>
    </row>
    <row r="202" spans="1:7" ht="24" customHeight="1">
      <c r="A202" s="5" t="str">
        <f t="shared" si="3"/>
        <v/>
      </c>
      <c r="B202" s="18"/>
      <c r="C202" s="9"/>
      <c r="D202" s="15"/>
      <c r="E202" s="9"/>
      <c r="F202" s="7"/>
      <c r="G202" s="9"/>
    </row>
    <row r="203" spans="1:7" ht="24" customHeight="1">
      <c r="A203" s="5" t="str">
        <f t="shared" si="3"/>
        <v/>
      </c>
      <c r="B203" s="18"/>
      <c r="C203" s="9"/>
      <c r="D203" s="15"/>
      <c r="E203" s="9"/>
      <c r="F203" s="7"/>
      <c r="G203" s="9"/>
    </row>
    <row r="204" spans="1:7" ht="24" customHeight="1">
      <c r="A204" s="5" t="str">
        <f t="shared" si="3"/>
        <v/>
      </c>
      <c r="B204" s="18"/>
      <c r="C204" s="9"/>
      <c r="D204" s="15"/>
      <c r="E204" s="9"/>
      <c r="F204" s="7"/>
      <c r="G204" s="9"/>
    </row>
    <row r="205" spans="1:7" ht="24" customHeight="1">
      <c r="A205" s="5" t="str">
        <f t="shared" si="3"/>
        <v/>
      </c>
      <c r="B205" s="18"/>
      <c r="C205" s="9"/>
      <c r="D205" s="15"/>
      <c r="E205" s="9"/>
      <c r="F205" s="7"/>
      <c r="G205" s="9"/>
    </row>
    <row r="206" spans="1:7" ht="24" customHeight="1">
      <c r="A206" s="5" t="str">
        <f t="shared" si="3"/>
        <v/>
      </c>
      <c r="B206" s="18"/>
      <c r="C206" s="9"/>
      <c r="D206" s="15"/>
      <c r="E206" s="9"/>
      <c r="F206" s="7"/>
      <c r="G206" s="9"/>
    </row>
    <row r="207" spans="1:7" ht="24" customHeight="1">
      <c r="A207" s="5" t="str">
        <f t="shared" si="3"/>
        <v/>
      </c>
      <c r="B207" s="18"/>
      <c r="C207" s="9"/>
      <c r="D207" s="15"/>
      <c r="E207" s="9"/>
      <c r="F207" s="7"/>
      <c r="G207" s="9"/>
    </row>
    <row r="208" spans="1:7" ht="24" customHeight="1">
      <c r="A208" s="5" t="str">
        <f t="shared" si="3"/>
        <v/>
      </c>
      <c r="B208" s="18"/>
      <c r="C208" s="9"/>
      <c r="D208" s="15"/>
      <c r="E208" s="9"/>
      <c r="F208" s="7"/>
      <c r="G208" s="9"/>
    </row>
    <row r="209" spans="1:7" ht="24" customHeight="1">
      <c r="A209" s="5" t="str">
        <f t="shared" si="3"/>
        <v/>
      </c>
      <c r="B209" s="18"/>
      <c r="C209" s="9"/>
      <c r="D209" s="15"/>
      <c r="E209" s="9"/>
      <c r="F209" s="7"/>
      <c r="G209" s="9"/>
    </row>
    <row r="210" spans="1:7" ht="24" customHeight="1">
      <c r="A210" s="5" t="str">
        <f t="shared" si="3"/>
        <v/>
      </c>
      <c r="B210" s="18"/>
      <c r="C210" s="9"/>
      <c r="D210" s="15"/>
      <c r="E210" s="9"/>
      <c r="F210" s="7"/>
      <c r="G210" s="9"/>
    </row>
    <row r="211" spans="1:7" ht="24" customHeight="1">
      <c r="A211" s="5" t="str">
        <f t="shared" si="3"/>
        <v/>
      </c>
      <c r="B211" s="18"/>
      <c r="C211" s="9"/>
      <c r="D211" s="15"/>
      <c r="E211" s="9"/>
      <c r="F211" s="7"/>
      <c r="G211" s="9"/>
    </row>
    <row r="212" spans="1:7" ht="24" customHeight="1">
      <c r="A212" s="5" t="str">
        <f t="shared" si="3"/>
        <v/>
      </c>
      <c r="B212" s="18"/>
      <c r="C212" s="9"/>
      <c r="D212" s="15"/>
      <c r="E212" s="9"/>
      <c r="F212" s="7"/>
      <c r="G212" s="9"/>
    </row>
    <row r="213" spans="1:7" ht="24" customHeight="1">
      <c r="A213" s="5" t="str">
        <f t="shared" si="3"/>
        <v/>
      </c>
      <c r="B213" s="18"/>
      <c r="C213" s="9"/>
      <c r="D213" s="15"/>
      <c r="E213" s="9"/>
      <c r="F213" s="7"/>
      <c r="G213" s="9"/>
    </row>
    <row r="214" spans="1:7" ht="24" customHeight="1">
      <c r="A214" s="5" t="str">
        <f t="shared" si="3"/>
        <v/>
      </c>
      <c r="B214" s="18"/>
      <c r="C214" s="9"/>
      <c r="D214" s="15"/>
      <c r="E214" s="9"/>
      <c r="F214" s="7"/>
      <c r="G214" s="9"/>
    </row>
    <row r="215" spans="1:7" ht="24" customHeight="1">
      <c r="A215" s="5" t="str">
        <f t="shared" si="3"/>
        <v/>
      </c>
      <c r="B215" s="18"/>
      <c r="C215" s="9"/>
      <c r="D215" s="15"/>
      <c r="E215" s="9"/>
      <c r="F215" s="7"/>
      <c r="G215" s="9"/>
    </row>
    <row r="216" spans="1:7" ht="24" customHeight="1">
      <c r="A216" s="5" t="str">
        <f t="shared" si="3"/>
        <v/>
      </c>
      <c r="B216" s="18"/>
      <c r="C216" s="9"/>
      <c r="D216" s="15"/>
      <c r="E216" s="9"/>
      <c r="F216" s="7"/>
      <c r="G216" s="9"/>
    </row>
    <row r="217" spans="1:7" ht="24" customHeight="1">
      <c r="A217" s="5" t="str">
        <f t="shared" si="3"/>
        <v/>
      </c>
      <c r="B217" s="18"/>
      <c r="C217" s="9"/>
      <c r="D217" s="15"/>
      <c r="E217" s="9"/>
      <c r="F217" s="7"/>
      <c r="G217" s="9"/>
    </row>
    <row r="218" spans="1:7" ht="24" customHeight="1">
      <c r="A218" s="5" t="str">
        <f t="shared" si="3"/>
        <v/>
      </c>
      <c r="B218" s="18"/>
      <c r="C218" s="9"/>
      <c r="D218" s="15"/>
      <c r="E218" s="9"/>
      <c r="F218" s="7"/>
      <c r="G218" s="9"/>
    </row>
    <row r="219" spans="1:7" ht="24" customHeight="1">
      <c r="A219" s="5" t="str">
        <f t="shared" si="3"/>
        <v/>
      </c>
      <c r="B219" s="18"/>
      <c r="C219" s="9"/>
      <c r="D219" s="15"/>
      <c r="E219" s="9"/>
      <c r="F219" s="7"/>
      <c r="G219" s="9"/>
    </row>
    <row r="220" spans="1:7" ht="24" customHeight="1">
      <c r="A220" s="5" t="str">
        <f t="shared" si="3"/>
        <v/>
      </c>
      <c r="B220" s="18"/>
      <c r="C220" s="9"/>
      <c r="D220" s="15"/>
      <c r="E220" s="9"/>
      <c r="F220" s="7"/>
      <c r="G220" s="9"/>
    </row>
    <row r="221" spans="1:7" ht="24" customHeight="1">
      <c r="A221" s="5" t="str">
        <f t="shared" si="3"/>
        <v/>
      </c>
      <c r="B221" s="18"/>
      <c r="C221" s="9"/>
      <c r="D221" s="15"/>
      <c r="E221" s="9"/>
      <c r="F221" s="7"/>
      <c r="G221" s="9"/>
    </row>
    <row r="222" spans="1:7" ht="24" customHeight="1">
      <c r="A222" s="5" t="str">
        <f t="shared" si="3"/>
        <v/>
      </c>
      <c r="B222" s="18"/>
      <c r="C222" s="9"/>
      <c r="D222" s="15"/>
      <c r="E222" s="9"/>
      <c r="F222" s="7"/>
      <c r="G222" s="9"/>
    </row>
    <row r="223" spans="1:7" ht="24" customHeight="1">
      <c r="A223" s="5" t="str">
        <f t="shared" si="3"/>
        <v/>
      </c>
      <c r="B223" s="18"/>
      <c r="C223" s="9"/>
      <c r="D223" s="15"/>
      <c r="E223" s="9"/>
      <c r="F223" s="7"/>
      <c r="G223" s="9"/>
    </row>
    <row r="224" spans="1:7" ht="24" customHeight="1">
      <c r="A224" s="5" t="str">
        <f t="shared" si="3"/>
        <v/>
      </c>
      <c r="B224" s="18"/>
      <c r="C224" s="9"/>
      <c r="D224" s="15"/>
      <c r="E224" s="9"/>
      <c r="F224" s="7"/>
      <c r="G224" s="9"/>
    </row>
    <row r="225" spans="1:7" ht="24" customHeight="1">
      <c r="A225" s="5" t="str">
        <f t="shared" si="3"/>
        <v/>
      </c>
      <c r="B225" s="18"/>
      <c r="C225" s="9"/>
      <c r="D225" s="15"/>
      <c r="E225" s="9"/>
      <c r="F225" s="7"/>
      <c r="G225" s="9"/>
    </row>
    <row r="226" spans="1:7" ht="24" customHeight="1">
      <c r="A226" s="5" t="str">
        <f t="shared" si="3"/>
        <v/>
      </c>
      <c r="B226" s="18"/>
      <c r="C226" s="9"/>
      <c r="D226" s="15"/>
      <c r="E226" s="9"/>
      <c r="F226" s="7"/>
      <c r="G226" s="9"/>
    </row>
    <row r="227" spans="1:7" ht="24" customHeight="1">
      <c r="A227" s="5" t="str">
        <f t="shared" si="3"/>
        <v/>
      </c>
      <c r="B227" s="18"/>
      <c r="C227" s="9"/>
      <c r="D227" s="15"/>
      <c r="E227" s="9"/>
      <c r="F227" s="7"/>
      <c r="G227" s="9"/>
    </row>
    <row r="228" spans="1:7" ht="24" customHeight="1">
      <c r="A228" s="5" t="str">
        <f t="shared" si="3"/>
        <v/>
      </c>
      <c r="B228" s="18"/>
      <c r="C228" s="9"/>
      <c r="D228" s="15"/>
      <c r="E228" s="9"/>
      <c r="F228" s="7"/>
      <c r="G228" s="9"/>
    </row>
    <row r="229" spans="1:7" ht="24" customHeight="1">
      <c r="A229" s="5" t="str">
        <f t="shared" si="3"/>
        <v/>
      </c>
      <c r="B229" s="18"/>
      <c r="C229" s="9"/>
      <c r="D229" s="15"/>
      <c r="E229" s="9"/>
      <c r="F229" s="7"/>
      <c r="G229" s="9"/>
    </row>
    <row r="230" spans="1:7" ht="24" customHeight="1">
      <c r="A230" s="5" t="str">
        <f t="shared" si="3"/>
        <v/>
      </c>
      <c r="B230" s="18"/>
      <c r="C230" s="9"/>
      <c r="D230" s="15"/>
      <c r="E230" s="9"/>
      <c r="F230" s="7"/>
      <c r="G230" s="9"/>
    </row>
    <row r="231" spans="1:7" ht="24" customHeight="1">
      <c r="A231" s="5" t="str">
        <f t="shared" si="3"/>
        <v/>
      </c>
      <c r="B231" s="18"/>
      <c r="C231" s="9"/>
      <c r="D231" s="15"/>
      <c r="E231" s="9"/>
      <c r="F231" s="7"/>
      <c r="G231" s="9"/>
    </row>
    <row r="232" spans="1:7" ht="24" customHeight="1">
      <c r="A232" s="5" t="str">
        <f t="shared" si="3"/>
        <v/>
      </c>
      <c r="B232" s="18"/>
      <c r="C232" s="9"/>
      <c r="D232" s="15"/>
      <c r="E232" s="9"/>
      <c r="F232" s="7"/>
      <c r="G232" s="9"/>
    </row>
    <row r="233" spans="1:7" ht="24" customHeight="1">
      <c r="A233" s="5" t="str">
        <f t="shared" si="3"/>
        <v/>
      </c>
      <c r="B233" s="18"/>
      <c r="C233" s="9"/>
      <c r="D233" s="15"/>
      <c r="E233" s="9"/>
      <c r="F233" s="7"/>
      <c r="G233" s="9"/>
    </row>
    <row r="234" spans="1:7" ht="24" customHeight="1">
      <c r="A234" s="5" t="str">
        <f t="shared" si="3"/>
        <v/>
      </c>
      <c r="B234" s="18"/>
      <c r="C234" s="9"/>
      <c r="D234" s="15"/>
      <c r="E234" s="9"/>
      <c r="F234" s="7"/>
      <c r="G234" s="9"/>
    </row>
    <row r="235" spans="1:7" ht="24" customHeight="1">
      <c r="A235" s="5" t="str">
        <f t="shared" si="3"/>
        <v/>
      </c>
      <c r="B235" s="18"/>
      <c r="C235" s="9"/>
      <c r="D235" s="15"/>
      <c r="E235" s="9"/>
      <c r="F235" s="7"/>
      <c r="G235" s="9"/>
    </row>
    <row r="236" spans="1:7" ht="24" customHeight="1">
      <c r="A236" s="5" t="str">
        <f t="shared" si="3"/>
        <v/>
      </c>
      <c r="B236" s="18"/>
      <c r="C236" s="9"/>
      <c r="D236" s="15"/>
      <c r="E236" s="9"/>
      <c r="F236" s="7"/>
      <c r="G236" s="9"/>
    </row>
    <row r="237" spans="1:7" ht="24" customHeight="1">
      <c r="A237" s="5" t="str">
        <f t="shared" si="3"/>
        <v/>
      </c>
      <c r="B237" s="18"/>
      <c r="C237" s="9"/>
      <c r="D237" s="15"/>
      <c r="E237" s="9"/>
      <c r="F237" s="7"/>
      <c r="G237" s="9"/>
    </row>
    <row r="238" spans="1:7" ht="24" customHeight="1">
      <c r="A238" s="5" t="str">
        <f t="shared" si="3"/>
        <v/>
      </c>
      <c r="B238" s="18"/>
      <c r="C238" s="9"/>
      <c r="D238" s="15"/>
      <c r="E238" s="9"/>
      <c r="F238" s="7"/>
      <c r="G238" s="9"/>
    </row>
    <row r="239" spans="1:7" ht="24" customHeight="1">
      <c r="A239" s="5" t="str">
        <f t="shared" si="3"/>
        <v/>
      </c>
      <c r="B239" s="18"/>
      <c r="C239" s="9"/>
      <c r="D239" s="15"/>
      <c r="E239" s="9"/>
      <c r="F239" s="7"/>
      <c r="G239" s="9"/>
    </row>
    <row r="240" spans="1:7" ht="24" customHeight="1">
      <c r="A240" s="5" t="str">
        <f t="shared" si="3"/>
        <v/>
      </c>
      <c r="B240" s="18"/>
      <c r="C240" s="9"/>
      <c r="D240" s="15"/>
      <c r="E240" s="9"/>
      <c r="F240" s="7"/>
      <c r="G240" s="9"/>
    </row>
    <row r="241" spans="1:7" ht="24" customHeight="1">
      <c r="A241" s="5" t="str">
        <f t="shared" si="3"/>
        <v/>
      </c>
      <c r="B241" s="18"/>
      <c r="C241" s="9"/>
      <c r="D241" s="15"/>
      <c r="E241" s="9"/>
      <c r="F241" s="7"/>
      <c r="G241" s="9"/>
    </row>
    <row r="242" spans="1:7" ht="24" customHeight="1">
      <c r="A242" s="5" t="str">
        <f t="shared" si="3"/>
        <v/>
      </c>
      <c r="B242" s="18"/>
      <c r="C242" s="9"/>
      <c r="D242" s="15"/>
      <c r="E242" s="9"/>
      <c r="F242" s="7"/>
      <c r="G242" s="9"/>
    </row>
    <row r="243" spans="1:7" ht="24" customHeight="1">
      <c r="A243" s="5" t="str">
        <f t="shared" si="3"/>
        <v/>
      </c>
      <c r="B243" s="18"/>
      <c r="C243" s="9"/>
      <c r="D243" s="15"/>
      <c r="E243" s="9"/>
      <c r="F243" s="7"/>
      <c r="G243" s="9"/>
    </row>
    <row r="244" spans="1:7" ht="24" customHeight="1">
      <c r="A244" s="5" t="str">
        <f t="shared" si="3"/>
        <v/>
      </c>
      <c r="B244" s="18"/>
      <c r="C244" s="9"/>
      <c r="D244" s="15"/>
      <c r="E244" s="9"/>
      <c r="F244" s="7"/>
      <c r="G244" s="9"/>
    </row>
    <row r="245" spans="1:7" ht="24" customHeight="1">
      <c r="A245" s="5" t="str">
        <f t="shared" si="3"/>
        <v/>
      </c>
      <c r="B245" s="18"/>
      <c r="C245" s="9"/>
      <c r="D245" s="15"/>
      <c r="E245" s="9"/>
      <c r="F245" s="7"/>
      <c r="G245" s="9"/>
    </row>
    <row r="246" spans="1:7" ht="24" customHeight="1">
      <c r="A246" s="5" t="str">
        <f t="shared" si="3"/>
        <v/>
      </c>
      <c r="B246" s="18"/>
      <c r="C246" s="9"/>
      <c r="D246" s="15"/>
      <c r="E246" s="9"/>
      <c r="F246" s="7"/>
      <c r="G246" s="9"/>
    </row>
    <row r="247" spans="1:7" ht="24" customHeight="1">
      <c r="A247" s="5" t="str">
        <f t="shared" si="3"/>
        <v/>
      </c>
      <c r="B247" s="18"/>
      <c r="C247" s="9"/>
      <c r="D247" s="15"/>
      <c r="E247" s="9"/>
      <c r="F247" s="7"/>
      <c r="G247" s="9"/>
    </row>
    <row r="248" spans="1:7" ht="24" customHeight="1">
      <c r="A248" s="5" t="str">
        <f t="shared" si="3"/>
        <v/>
      </c>
      <c r="B248" s="18"/>
      <c r="C248" s="9"/>
      <c r="D248" s="15"/>
      <c r="E248" s="9"/>
      <c r="F248" s="7"/>
      <c r="G248" s="9"/>
    </row>
    <row r="249" spans="1:7" ht="24" customHeight="1">
      <c r="A249" s="5" t="str">
        <f t="shared" si="3"/>
        <v/>
      </c>
      <c r="B249" s="18"/>
      <c r="C249" s="9"/>
      <c r="D249" s="15"/>
      <c r="E249" s="9"/>
      <c r="F249" s="7"/>
      <c r="G249" s="9"/>
    </row>
    <row r="250" spans="1:7" ht="24" customHeight="1">
      <c r="A250" s="5" t="str">
        <f t="shared" si="3"/>
        <v/>
      </c>
      <c r="B250" s="18"/>
      <c r="C250" s="9"/>
      <c r="D250" s="15"/>
      <c r="E250" s="9"/>
      <c r="F250" s="7"/>
      <c r="G250" s="9"/>
    </row>
    <row r="251" spans="1:7" ht="24" customHeight="1">
      <c r="A251" s="5" t="str">
        <f t="shared" si="3"/>
        <v/>
      </c>
      <c r="B251" s="18"/>
      <c r="C251" s="9"/>
      <c r="D251" s="15"/>
      <c r="E251" s="9"/>
      <c r="F251" s="7"/>
      <c r="G251" s="9"/>
    </row>
    <row r="252" spans="1:7" ht="24" customHeight="1">
      <c r="A252" s="5" t="str">
        <f t="shared" si="3"/>
        <v/>
      </c>
      <c r="B252" s="18"/>
      <c r="C252" s="9"/>
      <c r="D252" s="15"/>
      <c r="E252" s="9"/>
      <c r="F252" s="7"/>
      <c r="G252" s="9"/>
    </row>
    <row r="253" spans="1:7" ht="24" customHeight="1">
      <c r="A253" s="5" t="str">
        <f t="shared" si="3"/>
        <v/>
      </c>
      <c r="B253" s="18"/>
      <c r="C253" s="9"/>
      <c r="D253" s="15"/>
      <c r="E253" s="9"/>
      <c r="F253" s="7"/>
      <c r="G253" s="9"/>
    </row>
    <row r="254" spans="1:7" ht="24" customHeight="1">
      <c r="A254" s="5" t="str">
        <f t="shared" si="3"/>
        <v/>
      </c>
      <c r="B254" s="18"/>
      <c r="C254" s="9"/>
      <c r="D254" s="15"/>
      <c r="E254" s="9"/>
      <c r="F254" s="7"/>
      <c r="G254" s="9"/>
    </row>
    <row r="255" spans="1:7" ht="24" customHeight="1">
      <c r="A255" s="5" t="str">
        <f t="shared" si="3"/>
        <v/>
      </c>
      <c r="B255" s="18"/>
      <c r="C255" s="9"/>
      <c r="D255" s="15"/>
      <c r="E255" s="9"/>
      <c r="F255" s="7"/>
      <c r="G255" s="9"/>
    </row>
    <row r="256" spans="1:7" ht="24" customHeight="1">
      <c r="A256" s="5" t="str">
        <f t="shared" si="3"/>
        <v/>
      </c>
      <c r="B256" s="18"/>
      <c r="C256" s="9"/>
      <c r="D256" s="15"/>
      <c r="E256" s="9"/>
      <c r="F256" s="7"/>
      <c r="G256" s="9"/>
    </row>
    <row r="257" spans="1:7" ht="24" customHeight="1">
      <c r="A257" s="5" t="str">
        <f t="shared" si="3"/>
        <v/>
      </c>
      <c r="B257" s="18"/>
      <c r="C257" s="9"/>
      <c r="D257" s="15"/>
      <c r="E257" s="9"/>
      <c r="F257" s="7"/>
      <c r="G257" s="9"/>
    </row>
    <row r="258" spans="1:7" ht="24" customHeight="1">
      <c r="A258" s="5" t="str">
        <f t="shared" ref="A258:A321" si="4">IF(C258="","",ROW()-1)</f>
        <v/>
      </c>
      <c r="B258" s="18"/>
      <c r="C258" s="9"/>
      <c r="D258" s="15"/>
      <c r="E258" s="9"/>
      <c r="F258" s="7"/>
      <c r="G258" s="9"/>
    </row>
    <row r="259" spans="1:7" ht="24" customHeight="1">
      <c r="A259" s="5" t="str">
        <f t="shared" si="4"/>
        <v/>
      </c>
      <c r="B259" s="18"/>
      <c r="C259" s="9"/>
      <c r="D259" s="15"/>
      <c r="E259" s="9"/>
      <c r="F259" s="7"/>
      <c r="G259" s="9"/>
    </row>
    <row r="260" spans="1:7" ht="24" customHeight="1">
      <c r="A260" s="5" t="str">
        <f t="shared" si="4"/>
        <v/>
      </c>
      <c r="B260" s="18"/>
      <c r="C260" s="9"/>
      <c r="D260" s="15"/>
      <c r="E260" s="9"/>
      <c r="F260" s="7"/>
      <c r="G260" s="9"/>
    </row>
    <row r="261" spans="1:7" ht="24" customHeight="1">
      <c r="A261" s="5" t="str">
        <f t="shared" si="4"/>
        <v/>
      </c>
      <c r="B261" s="18"/>
      <c r="C261" s="9"/>
      <c r="D261" s="15"/>
      <c r="E261" s="9"/>
      <c r="F261" s="7"/>
      <c r="G261" s="9"/>
    </row>
    <row r="262" spans="1:7" ht="24" customHeight="1">
      <c r="A262" s="5" t="str">
        <f t="shared" si="4"/>
        <v/>
      </c>
      <c r="B262" s="18"/>
      <c r="C262" s="9"/>
      <c r="D262" s="15"/>
      <c r="E262" s="9"/>
      <c r="F262" s="7"/>
      <c r="G262" s="9"/>
    </row>
    <row r="263" spans="1:7" ht="24" customHeight="1">
      <c r="A263" s="5" t="str">
        <f t="shared" si="4"/>
        <v/>
      </c>
      <c r="B263" s="18"/>
      <c r="C263" s="9"/>
      <c r="D263" s="15"/>
      <c r="E263" s="9"/>
      <c r="F263" s="7"/>
      <c r="G263" s="9"/>
    </row>
    <row r="264" spans="1:7" ht="24" customHeight="1">
      <c r="A264" s="5" t="str">
        <f t="shared" si="4"/>
        <v/>
      </c>
      <c r="B264" s="18"/>
      <c r="C264" s="9"/>
      <c r="D264" s="15"/>
      <c r="E264" s="9"/>
      <c r="F264" s="7"/>
      <c r="G264" s="9"/>
    </row>
    <row r="265" spans="1:7" ht="24" customHeight="1">
      <c r="A265" s="5" t="str">
        <f t="shared" si="4"/>
        <v/>
      </c>
      <c r="B265" s="18"/>
      <c r="C265" s="9"/>
      <c r="D265" s="15"/>
      <c r="E265" s="9"/>
      <c r="F265" s="7"/>
      <c r="G265" s="9"/>
    </row>
    <row r="266" spans="1:7" ht="24" customHeight="1">
      <c r="A266" s="5" t="str">
        <f t="shared" si="4"/>
        <v/>
      </c>
      <c r="B266" s="18"/>
      <c r="C266" s="9"/>
      <c r="D266" s="15"/>
      <c r="E266" s="9"/>
      <c r="F266" s="7"/>
      <c r="G266" s="9"/>
    </row>
    <row r="267" spans="1:7" ht="24" customHeight="1">
      <c r="A267" s="5" t="str">
        <f t="shared" si="4"/>
        <v/>
      </c>
      <c r="B267" s="18"/>
      <c r="C267" s="9"/>
      <c r="D267" s="15"/>
      <c r="E267" s="9"/>
      <c r="F267" s="7"/>
      <c r="G267" s="9"/>
    </row>
    <row r="268" spans="1:7" ht="24" customHeight="1">
      <c r="A268" s="5" t="str">
        <f t="shared" si="4"/>
        <v/>
      </c>
      <c r="B268" s="18"/>
      <c r="C268" s="9"/>
      <c r="D268" s="15"/>
      <c r="E268" s="9"/>
      <c r="F268" s="7"/>
      <c r="G268" s="9"/>
    </row>
    <row r="269" spans="1:7" ht="24" customHeight="1">
      <c r="A269" s="5" t="str">
        <f t="shared" si="4"/>
        <v/>
      </c>
      <c r="B269" s="18"/>
      <c r="C269" s="9"/>
      <c r="D269" s="15"/>
      <c r="E269" s="9"/>
      <c r="F269" s="7"/>
      <c r="G269" s="9"/>
    </row>
    <row r="270" spans="1:7" ht="24" customHeight="1">
      <c r="A270" s="5" t="str">
        <f t="shared" si="4"/>
        <v/>
      </c>
      <c r="B270" s="18"/>
      <c r="C270" s="9"/>
      <c r="D270" s="15"/>
      <c r="E270" s="9"/>
      <c r="F270" s="7"/>
      <c r="G270" s="9"/>
    </row>
    <row r="271" spans="1:7" ht="24" customHeight="1">
      <c r="A271" s="5" t="str">
        <f t="shared" si="4"/>
        <v/>
      </c>
      <c r="B271" s="18"/>
      <c r="C271" s="9"/>
      <c r="D271" s="15"/>
      <c r="E271" s="9"/>
      <c r="F271" s="7"/>
      <c r="G271" s="9"/>
    </row>
    <row r="272" spans="1:7" ht="24" customHeight="1">
      <c r="A272" s="5" t="str">
        <f t="shared" si="4"/>
        <v/>
      </c>
      <c r="B272" s="18"/>
      <c r="C272" s="9"/>
      <c r="D272" s="15"/>
      <c r="E272" s="9"/>
      <c r="F272" s="7"/>
      <c r="G272" s="9"/>
    </row>
    <row r="273" spans="1:7" ht="24" customHeight="1">
      <c r="A273" s="5" t="str">
        <f t="shared" si="4"/>
        <v/>
      </c>
      <c r="B273" s="18"/>
      <c r="C273" s="9"/>
      <c r="D273" s="15"/>
      <c r="E273" s="9"/>
      <c r="F273" s="7"/>
      <c r="G273" s="9"/>
    </row>
    <row r="274" spans="1:7" ht="24" customHeight="1">
      <c r="A274" s="5" t="str">
        <f t="shared" si="4"/>
        <v/>
      </c>
      <c r="B274" s="18"/>
      <c r="C274" s="9"/>
      <c r="D274" s="15"/>
      <c r="E274" s="9"/>
      <c r="F274" s="7"/>
      <c r="G274" s="9"/>
    </row>
    <row r="275" spans="1:7" ht="24" customHeight="1">
      <c r="A275" s="5" t="str">
        <f t="shared" si="4"/>
        <v/>
      </c>
      <c r="B275" s="18"/>
      <c r="C275" s="9"/>
      <c r="D275" s="15"/>
      <c r="E275" s="9"/>
      <c r="F275" s="7"/>
      <c r="G275" s="9"/>
    </row>
    <row r="276" spans="1:7" ht="24" customHeight="1">
      <c r="A276" s="5" t="str">
        <f t="shared" si="4"/>
        <v/>
      </c>
      <c r="B276" s="18"/>
      <c r="C276" s="9"/>
      <c r="D276" s="15"/>
      <c r="E276" s="9"/>
      <c r="F276" s="7"/>
      <c r="G276" s="9"/>
    </row>
    <row r="277" spans="1:7" ht="24" customHeight="1">
      <c r="A277" s="5" t="str">
        <f t="shared" si="4"/>
        <v/>
      </c>
      <c r="B277" s="18"/>
      <c r="C277" s="9"/>
      <c r="D277" s="15"/>
      <c r="E277" s="9"/>
      <c r="F277" s="7"/>
      <c r="G277" s="9"/>
    </row>
    <row r="278" spans="1:7" ht="24" customHeight="1">
      <c r="A278" s="5" t="str">
        <f t="shared" si="4"/>
        <v/>
      </c>
      <c r="B278" s="18"/>
      <c r="C278" s="9"/>
      <c r="D278" s="15"/>
      <c r="E278" s="9"/>
      <c r="F278" s="7"/>
      <c r="G278" s="9"/>
    </row>
    <row r="279" spans="1:7" ht="24" customHeight="1">
      <c r="A279" s="5" t="str">
        <f t="shared" si="4"/>
        <v/>
      </c>
      <c r="B279" s="18"/>
      <c r="C279" s="9"/>
      <c r="D279" s="15"/>
      <c r="E279" s="9"/>
      <c r="F279" s="7"/>
      <c r="G279" s="9"/>
    </row>
    <row r="280" spans="1:7" ht="24" customHeight="1">
      <c r="A280" s="5" t="str">
        <f t="shared" si="4"/>
        <v/>
      </c>
      <c r="B280" s="18"/>
      <c r="C280" s="9"/>
      <c r="D280" s="15"/>
      <c r="E280" s="9"/>
      <c r="F280" s="7"/>
      <c r="G280" s="9"/>
    </row>
    <row r="281" spans="1:7" ht="24" customHeight="1">
      <c r="A281" s="5" t="str">
        <f t="shared" si="4"/>
        <v/>
      </c>
      <c r="B281" s="18"/>
      <c r="C281" s="9"/>
      <c r="D281" s="15"/>
      <c r="E281" s="9"/>
      <c r="F281" s="7"/>
      <c r="G281" s="9"/>
    </row>
    <row r="282" spans="1:7" ht="24" customHeight="1">
      <c r="A282" s="5" t="str">
        <f t="shared" si="4"/>
        <v/>
      </c>
      <c r="B282" s="18"/>
      <c r="C282" s="9"/>
      <c r="D282" s="15"/>
      <c r="E282" s="9"/>
      <c r="F282" s="7"/>
      <c r="G282" s="9"/>
    </row>
    <row r="283" spans="1:7" ht="24" customHeight="1">
      <c r="A283" s="5" t="str">
        <f t="shared" si="4"/>
        <v/>
      </c>
      <c r="B283" s="18"/>
      <c r="C283" s="9"/>
      <c r="D283" s="15"/>
      <c r="E283" s="9"/>
      <c r="F283" s="7"/>
      <c r="G283" s="9"/>
    </row>
    <row r="284" spans="1:7" ht="24" customHeight="1">
      <c r="A284" s="5" t="str">
        <f t="shared" si="4"/>
        <v/>
      </c>
      <c r="B284" s="18"/>
      <c r="C284" s="9"/>
      <c r="D284" s="15"/>
      <c r="E284" s="9"/>
      <c r="F284" s="7"/>
      <c r="G284" s="9"/>
    </row>
    <row r="285" spans="1:7" ht="24" customHeight="1">
      <c r="A285" s="5" t="str">
        <f t="shared" si="4"/>
        <v/>
      </c>
      <c r="B285" s="18"/>
      <c r="C285" s="9"/>
      <c r="D285" s="15"/>
      <c r="E285" s="9"/>
      <c r="F285" s="7"/>
      <c r="G285" s="9"/>
    </row>
    <row r="286" spans="1:7" ht="24" customHeight="1">
      <c r="A286" s="5" t="str">
        <f t="shared" si="4"/>
        <v/>
      </c>
      <c r="B286" s="18"/>
      <c r="C286" s="9"/>
      <c r="D286" s="15"/>
      <c r="E286" s="9"/>
      <c r="F286" s="7"/>
      <c r="G286" s="9"/>
    </row>
    <row r="287" spans="1:7" ht="24" customHeight="1">
      <c r="A287" s="5" t="str">
        <f t="shared" si="4"/>
        <v/>
      </c>
      <c r="B287" s="18"/>
      <c r="C287" s="9"/>
      <c r="D287" s="15"/>
      <c r="E287" s="9"/>
      <c r="F287" s="7"/>
      <c r="G287" s="9"/>
    </row>
    <row r="288" spans="1:7" ht="24" customHeight="1">
      <c r="A288" s="5" t="str">
        <f t="shared" si="4"/>
        <v/>
      </c>
      <c r="B288" s="18"/>
      <c r="C288" s="9"/>
      <c r="D288" s="15"/>
      <c r="E288" s="9"/>
      <c r="F288" s="7"/>
      <c r="G288" s="9"/>
    </row>
    <row r="289" spans="1:7" ht="24" customHeight="1">
      <c r="A289" s="5" t="str">
        <f t="shared" si="4"/>
        <v/>
      </c>
      <c r="B289" s="18"/>
      <c r="C289" s="9"/>
      <c r="D289" s="15"/>
      <c r="E289" s="9"/>
      <c r="F289" s="7"/>
      <c r="G289" s="9"/>
    </row>
    <row r="290" spans="1:7" ht="24" customHeight="1">
      <c r="A290" s="5" t="str">
        <f t="shared" si="4"/>
        <v/>
      </c>
      <c r="B290" s="18"/>
      <c r="C290" s="9"/>
      <c r="D290" s="15"/>
      <c r="E290" s="9"/>
      <c r="F290" s="7"/>
      <c r="G290" s="9"/>
    </row>
    <row r="291" spans="1:7" ht="24" customHeight="1">
      <c r="A291" s="5" t="str">
        <f t="shared" si="4"/>
        <v/>
      </c>
      <c r="B291" s="18"/>
      <c r="C291" s="9"/>
      <c r="D291" s="15"/>
      <c r="E291" s="9"/>
      <c r="F291" s="7"/>
      <c r="G291" s="9"/>
    </row>
    <row r="292" spans="1:7" ht="24" customHeight="1">
      <c r="A292" s="5" t="str">
        <f t="shared" si="4"/>
        <v/>
      </c>
      <c r="B292" s="18"/>
      <c r="C292" s="9"/>
      <c r="D292" s="15"/>
      <c r="E292" s="9"/>
      <c r="F292" s="7"/>
      <c r="G292" s="9"/>
    </row>
    <row r="293" spans="1:7" ht="24" customHeight="1">
      <c r="A293" s="5" t="str">
        <f t="shared" si="4"/>
        <v/>
      </c>
      <c r="B293" s="18"/>
      <c r="C293" s="9"/>
      <c r="D293" s="15"/>
      <c r="E293" s="9"/>
      <c r="F293" s="7"/>
      <c r="G293" s="9"/>
    </row>
    <row r="294" spans="1:7" ht="24" customHeight="1">
      <c r="A294" s="5" t="str">
        <f t="shared" si="4"/>
        <v/>
      </c>
      <c r="B294" s="18"/>
      <c r="C294" s="9"/>
      <c r="D294" s="15"/>
      <c r="E294" s="9"/>
      <c r="F294" s="7"/>
      <c r="G294" s="9"/>
    </row>
    <row r="295" spans="1:7" ht="24" customHeight="1">
      <c r="A295" s="5" t="str">
        <f t="shared" si="4"/>
        <v/>
      </c>
      <c r="B295" s="18"/>
      <c r="C295" s="9"/>
      <c r="D295" s="15"/>
      <c r="E295" s="9"/>
      <c r="F295" s="7"/>
      <c r="G295" s="9"/>
    </row>
    <row r="296" spans="1:7" ht="24" customHeight="1">
      <c r="A296" s="5" t="str">
        <f t="shared" si="4"/>
        <v/>
      </c>
      <c r="B296" s="18"/>
      <c r="C296" s="9"/>
      <c r="D296" s="15"/>
      <c r="E296" s="9"/>
      <c r="F296" s="7"/>
      <c r="G296" s="9"/>
    </row>
    <row r="297" spans="1:7" ht="24" customHeight="1">
      <c r="A297" s="5" t="str">
        <f t="shared" si="4"/>
        <v/>
      </c>
      <c r="B297" s="18"/>
      <c r="C297" s="9"/>
      <c r="D297" s="15"/>
      <c r="E297" s="9"/>
      <c r="F297" s="7"/>
      <c r="G297" s="9"/>
    </row>
    <row r="298" spans="1:7" ht="24" customHeight="1">
      <c r="A298" s="5" t="str">
        <f t="shared" si="4"/>
        <v/>
      </c>
      <c r="B298" s="18"/>
      <c r="C298" s="9"/>
      <c r="D298" s="15"/>
      <c r="E298" s="9"/>
      <c r="F298" s="7"/>
      <c r="G298" s="9"/>
    </row>
    <row r="299" spans="1:7" ht="24" customHeight="1">
      <c r="A299" s="5" t="str">
        <f t="shared" si="4"/>
        <v/>
      </c>
      <c r="B299" s="18"/>
      <c r="C299" s="9"/>
      <c r="D299" s="15"/>
      <c r="E299" s="9"/>
      <c r="F299" s="7"/>
      <c r="G299" s="9"/>
    </row>
    <row r="300" spans="1:7" ht="24" customHeight="1">
      <c r="A300" s="5" t="str">
        <f t="shared" si="4"/>
        <v/>
      </c>
      <c r="B300" s="18"/>
      <c r="C300" s="9"/>
      <c r="D300" s="15"/>
      <c r="E300" s="9"/>
      <c r="F300" s="7"/>
      <c r="G300" s="9"/>
    </row>
    <row r="301" spans="1:7" ht="24" customHeight="1">
      <c r="A301" s="5" t="str">
        <f t="shared" si="4"/>
        <v/>
      </c>
      <c r="B301" s="18"/>
      <c r="C301" s="9"/>
      <c r="D301" s="15"/>
      <c r="E301" s="9"/>
      <c r="F301" s="7"/>
      <c r="G301" s="9"/>
    </row>
    <row r="302" spans="1:7" ht="24" customHeight="1">
      <c r="A302" s="5" t="str">
        <f t="shared" si="4"/>
        <v/>
      </c>
      <c r="B302" s="18"/>
      <c r="C302" s="9"/>
      <c r="D302" s="15"/>
      <c r="E302" s="9"/>
      <c r="F302" s="7"/>
      <c r="G302" s="9"/>
    </row>
    <row r="303" spans="1:7" ht="24" customHeight="1">
      <c r="A303" s="5" t="str">
        <f t="shared" si="4"/>
        <v/>
      </c>
      <c r="B303" s="18"/>
      <c r="C303" s="9"/>
      <c r="D303" s="15"/>
      <c r="E303" s="9"/>
      <c r="F303" s="7"/>
      <c r="G303" s="9"/>
    </row>
    <row r="304" spans="1:7" ht="24" customHeight="1">
      <c r="A304" s="5" t="str">
        <f t="shared" si="4"/>
        <v/>
      </c>
      <c r="B304" s="18"/>
      <c r="C304" s="9"/>
      <c r="D304" s="15"/>
      <c r="E304" s="9"/>
      <c r="F304" s="7"/>
      <c r="G304" s="9"/>
    </row>
    <row r="305" spans="1:7" ht="24" customHeight="1">
      <c r="A305" s="5" t="str">
        <f t="shared" si="4"/>
        <v/>
      </c>
      <c r="B305" s="18"/>
      <c r="C305" s="9"/>
      <c r="D305" s="15"/>
      <c r="E305" s="9"/>
      <c r="F305" s="7"/>
      <c r="G305" s="9"/>
    </row>
    <row r="306" spans="1:7" ht="24" customHeight="1">
      <c r="A306" s="5" t="str">
        <f t="shared" si="4"/>
        <v/>
      </c>
      <c r="B306" s="18"/>
      <c r="C306" s="9"/>
      <c r="D306" s="15"/>
      <c r="E306" s="9"/>
      <c r="F306" s="7"/>
      <c r="G306" s="9"/>
    </row>
    <row r="307" spans="1:7" ht="24" customHeight="1">
      <c r="A307" s="5" t="str">
        <f t="shared" si="4"/>
        <v/>
      </c>
      <c r="B307" s="18"/>
      <c r="C307" s="9"/>
      <c r="D307" s="15"/>
      <c r="E307" s="9"/>
      <c r="F307" s="7"/>
      <c r="G307" s="9"/>
    </row>
    <row r="308" spans="1:7" ht="24" customHeight="1">
      <c r="A308" s="5" t="str">
        <f t="shared" si="4"/>
        <v/>
      </c>
      <c r="B308" s="18"/>
      <c r="C308" s="9"/>
      <c r="D308" s="15"/>
      <c r="E308" s="9"/>
      <c r="F308" s="7"/>
      <c r="G308" s="9"/>
    </row>
    <row r="309" spans="1:7" ht="24" customHeight="1">
      <c r="A309" s="5" t="str">
        <f t="shared" si="4"/>
        <v/>
      </c>
      <c r="B309" s="18"/>
      <c r="C309" s="9"/>
      <c r="D309" s="15"/>
      <c r="E309" s="9"/>
      <c r="F309" s="7"/>
      <c r="G309" s="9"/>
    </row>
    <row r="310" spans="1:7" ht="24" customHeight="1">
      <c r="A310" s="5" t="str">
        <f t="shared" si="4"/>
        <v/>
      </c>
      <c r="B310" s="18"/>
      <c r="C310" s="9"/>
      <c r="D310" s="15"/>
      <c r="E310" s="9"/>
      <c r="F310" s="7"/>
      <c r="G310" s="9"/>
    </row>
    <row r="311" spans="1:7" ht="24" customHeight="1">
      <c r="A311" s="5" t="str">
        <f t="shared" si="4"/>
        <v/>
      </c>
      <c r="B311" s="18"/>
      <c r="C311" s="9"/>
      <c r="D311" s="15"/>
      <c r="E311" s="9"/>
      <c r="F311" s="7"/>
      <c r="G311" s="9"/>
    </row>
    <row r="312" spans="1:7" ht="24" customHeight="1">
      <c r="A312" s="5" t="str">
        <f t="shared" si="4"/>
        <v/>
      </c>
      <c r="B312" s="18"/>
      <c r="C312" s="9"/>
      <c r="D312" s="15"/>
      <c r="E312" s="9"/>
      <c r="F312" s="7"/>
      <c r="G312" s="9"/>
    </row>
    <row r="313" spans="1:7" ht="24" customHeight="1">
      <c r="A313" s="5" t="str">
        <f t="shared" si="4"/>
        <v/>
      </c>
      <c r="B313" s="18"/>
      <c r="C313" s="9"/>
      <c r="D313" s="15"/>
      <c r="E313" s="9"/>
      <c r="F313" s="7"/>
      <c r="G313" s="9"/>
    </row>
    <row r="314" spans="1:7" ht="24" customHeight="1">
      <c r="A314" s="5" t="str">
        <f t="shared" si="4"/>
        <v/>
      </c>
      <c r="B314" s="18"/>
      <c r="C314" s="9"/>
      <c r="D314" s="15"/>
      <c r="E314" s="9"/>
      <c r="F314" s="7"/>
      <c r="G314" s="9"/>
    </row>
    <row r="315" spans="1:7" ht="24" customHeight="1">
      <c r="A315" s="5" t="str">
        <f t="shared" si="4"/>
        <v/>
      </c>
      <c r="B315" s="18"/>
      <c r="C315" s="9"/>
      <c r="D315" s="15"/>
      <c r="E315" s="9"/>
      <c r="F315" s="7"/>
      <c r="G315" s="9"/>
    </row>
    <row r="316" spans="1:7" ht="24" customHeight="1">
      <c r="A316" s="5" t="str">
        <f t="shared" si="4"/>
        <v/>
      </c>
      <c r="B316" s="18"/>
      <c r="C316" s="9"/>
      <c r="D316" s="15"/>
      <c r="E316" s="9"/>
      <c r="F316" s="7"/>
      <c r="G316" s="9"/>
    </row>
    <row r="317" spans="1:7" ht="24" customHeight="1">
      <c r="A317" s="5" t="str">
        <f t="shared" si="4"/>
        <v/>
      </c>
      <c r="B317" s="18"/>
      <c r="C317" s="9"/>
      <c r="D317" s="15"/>
      <c r="E317" s="9"/>
      <c r="F317" s="7"/>
      <c r="G317" s="9"/>
    </row>
    <row r="318" spans="1:7" ht="24" customHeight="1">
      <c r="A318" s="5" t="str">
        <f t="shared" si="4"/>
        <v/>
      </c>
      <c r="B318" s="18"/>
      <c r="C318" s="9"/>
      <c r="D318" s="15"/>
      <c r="E318" s="9"/>
      <c r="F318" s="7"/>
      <c r="G318" s="9"/>
    </row>
    <row r="319" spans="1:7" ht="24" customHeight="1">
      <c r="A319" s="5" t="str">
        <f t="shared" si="4"/>
        <v/>
      </c>
      <c r="B319" s="18"/>
      <c r="C319" s="9"/>
      <c r="D319" s="15"/>
      <c r="E319" s="9"/>
      <c r="F319" s="7"/>
      <c r="G319" s="9"/>
    </row>
    <row r="320" spans="1:7" ht="24" customHeight="1">
      <c r="A320" s="5" t="str">
        <f t="shared" si="4"/>
        <v/>
      </c>
      <c r="B320" s="18"/>
      <c r="C320" s="9"/>
      <c r="D320" s="15"/>
      <c r="E320" s="9"/>
      <c r="F320" s="7"/>
      <c r="G320" s="9"/>
    </row>
    <row r="321" spans="1:7" ht="24" customHeight="1">
      <c r="A321" s="5" t="str">
        <f t="shared" si="4"/>
        <v/>
      </c>
      <c r="B321" s="18"/>
      <c r="C321" s="9"/>
      <c r="D321" s="15"/>
      <c r="E321" s="9"/>
      <c r="F321" s="7"/>
      <c r="G321" s="9"/>
    </row>
    <row r="322" spans="1:7" ht="24" customHeight="1">
      <c r="A322" s="5" t="str">
        <f t="shared" ref="A322:A385" si="5">IF(C322="","",ROW()-1)</f>
        <v/>
      </c>
      <c r="B322" s="18"/>
      <c r="C322" s="9"/>
      <c r="D322" s="15"/>
      <c r="E322" s="9"/>
      <c r="F322" s="7"/>
      <c r="G322" s="9"/>
    </row>
    <row r="323" spans="1:7" ht="24" customHeight="1">
      <c r="A323" s="5" t="str">
        <f t="shared" si="5"/>
        <v/>
      </c>
      <c r="B323" s="18"/>
      <c r="C323" s="9"/>
      <c r="D323" s="15"/>
      <c r="E323" s="9"/>
      <c r="F323" s="7"/>
      <c r="G323" s="9"/>
    </row>
    <row r="324" spans="1:7" ht="24" customHeight="1">
      <c r="A324" s="5" t="str">
        <f t="shared" si="5"/>
        <v/>
      </c>
      <c r="B324" s="18"/>
      <c r="C324" s="9"/>
      <c r="D324" s="15"/>
      <c r="E324" s="9"/>
      <c r="F324" s="7"/>
      <c r="G324" s="9"/>
    </row>
    <row r="325" spans="1:7" ht="24" customHeight="1">
      <c r="A325" s="5" t="str">
        <f t="shared" si="5"/>
        <v/>
      </c>
      <c r="B325" s="18"/>
      <c r="C325" s="9"/>
      <c r="D325" s="15"/>
      <c r="E325" s="9"/>
      <c r="F325" s="7"/>
      <c r="G325" s="9"/>
    </row>
    <row r="326" spans="1:7" ht="24" customHeight="1">
      <c r="A326" s="5" t="str">
        <f t="shared" si="5"/>
        <v/>
      </c>
      <c r="B326" s="18"/>
      <c r="C326" s="9"/>
      <c r="D326" s="15"/>
      <c r="E326" s="9"/>
      <c r="F326" s="7"/>
      <c r="G326" s="9"/>
    </row>
    <row r="327" spans="1:7" ht="24" customHeight="1">
      <c r="A327" s="5" t="str">
        <f t="shared" si="5"/>
        <v/>
      </c>
      <c r="B327" s="18"/>
      <c r="C327" s="9"/>
      <c r="D327" s="15"/>
      <c r="E327" s="9"/>
      <c r="F327" s="7"/>
      <c r="G327" s="9"/>
    </row>
    <row r="328" spans="1:7" ht="24" customHeight="1">
      <c r="A328" s="5" t="str">
        <f t="shared" si="5"/>
        <v/>
      </c>
      <c r="B328" s="18"/>
      <c r="C328" s="9"/>
      <c r="D328" s="15"/>
      <c r="E328" s="9"/>
      <c r="F328" s="7"/>
      <c r="G328" s="9"/>
    </row>
    <row r="329" spans="1:7" ht="24" customHeight="1">
      <c r="A329" s="5" t="str">
        <f t="shared" si="5"/>
        <v/>
      </c>
      <c r="B329" s="18"/>
      <c r="C329" s="9"/>
      <c r="D329" s="15"/>
      <c r="E329" s="9"/>
      <c r="F329" s="7"/>
      <c r="G329" s="9"/>
    </row>
    <row r="330" spans="1:7" ht="24" customHeight="1">
      <c r="A330" s="5" t="str">
        <f t="shared" si="5"/>
        <v/>
      </c>
      <c r="B330" s="18"/>
      <c r="C330" s="9"/>
      <c r="D330" s="15"/>
      <c r="E330" s="9"/>
      <c r="F330" s="7"/>
      <c r="G330" s="9"/>
    </row>
    <row r="331" spans="1:7" ht="24" customHeight="1">
      <c r="A331" s="5" t="str">
        <f t="shared" si="5"/>
        <v/>
      </c>
      <c r="B331" s="18"/>
      <c r="C331" s="9"/>
      <c r="D331" s="15"/>
      <c r="E331" s="9"/>
      <c r="F331" s="7"/>
      <c r="G331" s="9"/>
    </row>
    <row r="332" spans="1:7" ht="24" customHeight="1">
      <c r="A332" s="5" t="str">
        <f t="shared" si="5"/>
        <v/>
      </c>
      <c r="B332" s="18"/>
      <c r="C332" s="9"/>
      <c r="D332" s="15"/>
      <c r="E332" s="9"/>
      <c r="F332" s="7"/>
      <c r="G332" s="9"/>
    </row>
    <row r="333" spans="1:7" ht="24" customHeight="1">
      <c r="A333" s="5" t="str">
        <f t="shared" si="5"/>
        <v/>
      </c>
      <c r="B333" s="18"/>
      <c r="C333" s="9"/>
      <c r="D333" s="15"/>
      <c r="E333" s="9"/>
      <c r="F333" s="7"/>
      <c r="G333" s="9"/>
    </row>
    <row r="334" spans="1:7" ht="24" customHeight="1">
      <c r="A334" s="5" t="str">
        <f t="shared" si="5"/>
        <v/>
      </c>
      <c r="B334" s="18"/>
      <c r="C334" s="9"/>
      <c r="D334" s="15"/>
      <c r="E334" s="9"/>
      <c r="F334" s="7"/>
      <c r="G334" s="9"/>
    </row>
    <row r="335" spans="1:7" ht="24" customHeight="1">
      <c r="A335" s="5" t="str">
        <f t="shared" si="5"/>
        <v/>
      </c>
      <c r="B335" s="18"/>
      <c r="C335" s="9"/>
      <c r="D335" s="15"/>
      <c r="E335" s="9"/>
      <c r="F335" s="7"/>
      <c r="G335" s="9"/>
    </row>
    <row r="336" spans="1:7" ht="24" customHeight="1">
      <c r="A336" s="5" t="str">
        <f t="shared" si="5"/>
        <v/>
      </c>
      <c r="B336" s="18"/>
      <c r="C336" s="9"/>
      <c r="D336" s="15"/>
      <c r="E336" s="9"/>
      <c r="F336" s="7"/>
      <c r="G336" s="9"/>
    </row>
    <row r="337" spans="1:7" ht="24" customHeight="1">
      <c r="A337" s="5" t="str">
        <f t="shared" si="5"/>
        <v/>
      </c>
      <c r="B337" s="18"/>
      <c r="C337" s="9"/>
      <c r="D337" s="15"/>
      <c r="E337" s="9"/>
      <c r="F337" s="7"/>
      <c r="G337" s="9"/>
    </row>
    <row r="338" spans="1:7" ht="24" customHeight="1">
      <c r="A338" s="5" t="str">
        <f t="shared" si="5"/>
        <v/>
      </c>
      <c r="B338" s="18"/>
      <c r="C338" s="9"/>
      <c r="D338" s="15"/>
      <c r="E338" s="9"/>
      <c r="F338" s="7"/>
      <c r="G338" s="9"/>
    </row>
    <row r="339" spans="1:7" ht="24" customHeight="1">
      <c r="A339" s="5" t="str">
        <f t="shared" si="5"/>
        <v/>
      </c>
      <c r="B339" s="18"/>
      <c r="C339" s="9"/>
      <c r="D339" s="15"/>
      <c r="E339" s="9"/>
      <c r="F339" s="7"/>
      <c r="G339" s="9"/>
    </row>
    <row r="340" spans="1:7" ht="24" customHeight="1">
      <c r="A340" s="5" t="str">
        <f t="shared" si="5"/>
        <v/>
      </c>
      <c r="B340" s="18"/>
      <c r="C340" s="9"/>
      <c r="D340" s="15"/>
      <c r="E340" s="9"/>
      <c r="F340" s="7"/>
      <c r="G340" s="9"/>
    </row>
    <row r="341" spans="1:7" ht="24" customHeight="1">
      <c r="A341" s="5" t="str">
        <f t="shared" si="5"/>
        <v/>
      </c>
      <c r="B341" s="18"/>
      <c r="C341" s="9"/>
      <c r="D341" s="15"/>
      <c r="E341" s="9"/>
      <c r="F341" s="7"/>
      <c r="G341" s="9"/>
    </row>
    <row r="342" spans="1:7" ht="24" customHeight="1">
      <c r="A342" s="5" t="str">
        <f t="shared" si="5"/>
        <v/>
      </c>
      <c r="B342" s="18"/>
      <c r="C342" s="9"/>
      <c r="D342" s="15"/>
      <c r="E342" s="9"/>
      <c r="F342" s="7"/>
      <c r="G342" s="9"/>
    </row>
    <row r="343" spans="1:7" ht="24" customHeight="1">
      <c r="A343" s="5" t="str">
        <f t="shared" si="5"/>
        <v/>
      </c>
      <c r="B343" s="18"/>
      <c r="C343" s="9"/>
      <c r="D343" s="15"/>
      <c r="E343" s="9"/>
      <c r="F343" s="7"/>
      <c r="G343" s="9"/>
    </row>
    <row r="344" spans="1:7" ht="24" customHeight="1">
      <c r="A344" s="5" t="str">
        <f t="shared" si="5"/>
        <v/>
      </c>
      <c r="B344" s="18"/>
      <c r="C344" s="9"/>
      <c r="D344" s="15"/>
      <c r="E344" s="9"/>
      <c r="F344" s="7"/>
      <c r="G344" s="9"/>
    </row>
    <row r="345" spans="1:7" ht="24" customHeight="1">
      <c r="A345" s="5" t="str">
        <f t="shared" si="5"/>
        <v/>
      </c>
      <c r="B345" s="18"/>
      <c r="C345" s="9"/>
      <c r="D345" s="15"/>
      <c r="E345" s="9"/>
      <c r="F345" s="7"/>
      <c r="G345" s="9"/>
    </row>
    <row r="346" spans="1:7" ht="24" customHeight="1">
      <c r="A346" s="5" t="str">
        <f t="shared" si="5"/>
        <v/>
      </c>
      <c r="B346" s="18"/>
      <c r="C346" s="9"/>
      <c r="D346" s="15"/>
      <c r="E346" s="9"/>
      <c r="F346" s="7"/>
      <c r="G346" s="9"/>
    </row>
    <row r="347" spans="1:7" ht="24" customHeight="1">
      <c r="A347" s="5" t="str">
        <f t="shared" si="5"/>
        <v/>
      </c>
      <c r="B347" s="18"/>
      <c r="C347" s="9"/>
      <c r="D347" s="15"/>
      <c r="E347" s="9"/>
      <c r="F347" s="7"/>
      <c r="G347" s="9"/>
    </row>
    <row r="348" spans="1:7" ht="24" customHeight="1">
      <c r="A348" s="5" t="str">
        <f t="shared" si="5"/>
        <v/>
      </c>
      <c r="B348" s="18"/>
      <c r="C348" s="9"/>
      <c r="D348" s="15"/>
      <c r="E348" s="9"/>
      <c r="F348" s="7"/>
      <c r="G348" s="9"/>
    </row>
    <row r="349" spans="1:7" ht="24" customHeight="1">
      <c r="A349" s="5" t="str">
        <f t="shared" si="5"/>
        <v/>
      </c>
      <c r="B349" s="18"/>
      <c r="C349" s="9"/>
      <c r="D349" s="15"/>
      <c r="E349" s="9"/>
      <c r="F349" s="7"/>
      <c r="G349" s="9"/>
    </row>
    <row r="350" spans="1:7" ht="24" customHeight="1">
      <c r="A350" s="5" t="str">
        <f t="shared" si="5"/>
        <v/>
      </c>
      <c r="B350" s="18"/>
      <c r="C350" s="9"/>
      <c r="D350" s="15"/>
      <c r="E350" s="9"/>
      <c r="F350" s="7"/>
      <c r="G350" s="9"/>
    </row>
    <row r="351" spans="1:7" ht="24" customHeight="1">
      <c r="A351" s="5" t="str">
        <f t="shared" si="5"/>
        <v/>
      </c>
      <c r="B351" s="18"/>
      <c r="C351" s="9"/>
      <c r="D351" s="15"/>
      <c r="E351" s="9"/>
      <c r="F351" s="7"/>
      <c r="G351" s="9"/>
    </row>
    <row r="352" spans="1:7" ht="24" customHeight="1">
      <c r="A352" s="5" t="str">
        <f t="shared" si="5"/>
        <v/>
      </c>
      <c r="B352" s="18"/>
      <c r="C352" s="9"/>
      <c r="D352" s="15"/>
      <c r="E352" s="9"/>
      <c r="F352" s="7"/>
      <c r="G352" s="9"/>
    </row>
    <row r="353" spans="1:7" ht="24" customHeight="1">
      <c r="A353" s="5" t="str">
        <f t="shared" si="5"/>
        <v/>
      </c>
      <c r="B353" s="18"/>
      <c r="C353" s="9"/>
      <c r="D353" s="15"/>
      <c r="E353" s="9"/>
      <c r="F353" s="7"/>
      <c r="G353" s="9"/>
    </row>
    <row r="354" spans="1:7" ht="24" customHeight="1">
      <c r="A354" s="5" t="str">
        <f t="shared" si="5"/>
        <v/>
      </c>
      <c r="B354" s="18"/>
      <c r="C354" s="9"/>
      <c r="D354" s="15"/>
      <c r="E354" s="9"/>
      <c r="F354" s="7"/>
      <c r="G354" s="9"/>
    </row>
    <row r="355" spans="1:7" ht="24" customHeight="1">
      <c r="A355" s="5" t="str">
        <f t="shared" si="5"/>
        <v/>
      </c>
      <c r="B355" s="18"/>
      <c r="C355" s="9"/>
      <c r="D355" s="15"/>
      <c r="E355" s="9"/>
      <c r="F355" s="7"/>
      <c r="G355" s="9"/>
    </row>
    <row r="356" spans="1:7" ht="24" customHeight="1">
      <c r="A356" s="5" t="str">
        <f t="shared" si="5"/>
        <v/>
      </c>
      <c r="B356" s="18"/>
      <c r="C356" s="9"/>
      <c r="D356" s="15"/>
      <c r="E356" s="9"/>
      <c r="F356" s="7"/>
      <c r="G356" s="9"/>
    </row>
    <row r="357" spans="1:7" ht="24" customHeight="1">
      <c r="A357" s="5" t="str">
        <f t="shared" si="5"/>
        <v/>
      </c>
      <c r="B357" s="18"/>
      <c r="C357" s="9"/>
      <c r="D357" s="15"/>
      <c r="E357" s="9"/>
      <c r="F357" s="7"/>
      <c r="G357" s="9"/>
    </row>
    <row r="358" spans="1:7" ht="24" customHeight="1">
      <c r="A358" s="5" t="str">
        <f t="shared" si="5"/>
        <v/>
      </c>
      <c r="B358" s="18"/>
      <c r="C358" s="9"/>
      <c r="D358" s="15"/>
      <c r="E358" s="9"/>
      <c r="F358" s="7"/>
      <c r="G358" s="9"/>
    </row>
    <row r="359" spans="1:7" ht="24" customHeight="1">
      <c r="A359" s="5" t="str">
        <f t="shared" si="5"/>
        <v/>
      </c>
      <c r="B359" s="18"/>
      <c r="C359" s="9"/>
      <c r="D359" s="15"/>
      <c r="E359" s="9"/>
      <c r="F359" s="7"/>
      <c r="G359" s="9"/>
    </row>
    <row r="360" spans="1:7" ht="24" customHeight="1">
      <c r="A360" s="5" t="str">
        <f t="shared" si="5"/>
        <v/>
      </c>
      <c r="B360" s="18"/>
      <c r="C360" s="9"/>
      <c r="D360" s="15"/>
      <c r="E360" s="9"/>
      <c r="F360" s="7"/>
      <c r="G360" s="9"/>
    </row>
    <row r="361" spans="1:7" ht="24" customHeight="1">
      <c r="A361" s="5" t="str">
        <f t="shared" si="5"/>
        <v/>
      </c>
      <c r="B361" s="18"/>
      <c r="C361" s="9"/>
      <c r="D361" s="15"/>
      <c r="E361" s="9"/>
      <c r="F361" s="7"/>
      <c r="G361" s="9"/>
    </row>
    <row r="362" spans="1:7" ht="24" customHeight="1">
      <c r="A362" s="5" t="str">
        <f t="shared" si="5"/>
        <v/>
      </c>
      <c r="B362" s="18"/>
      <c r="C362" s="9"/>
      <c r="D362" s="15"/>
      <c r="E362" s="9"/>
      <c r="F362" s="7"/>
      <c r="G362" s="9"/>
    </row>
    <row r="363" spans="1:7" ht="24" customHeight="1">
      <c r="A363" s="5" t="str">
        <f t="shared" si="5"/>
        <v/>
      </c>
      <c r="B363" s="18"/>
      <c r="C363" s="9"/>
      <c r="D363" s="15"/>
      <c r="E363" s="9"/>
      <c r="F363" s="7"/>
      <c r="G363" s="9"/>
    </row>
    <row r="364" spans="1:7" ht="24" customHeight="1">
      <c r="A364" s="5" t="str">
        <f t="shared" si="5"/>
        <v/>
      </c>
      <c r="B364" s="18"/>
      <c r="C364" s="9"/>
      <c r="D364" s="15"/>
      <c r="E364" s="9"/>
      <c r="F364" s="7"/>
      <c r="G364" s="9"/>
    </row>
    <row r="365" spans="1:7" ht="24" customHeight="1">
      <c r="A365" s="5" t="str">
        <f t="shared" si="5"/>
        <v/>
      </c>
      <c r="B365" s="18"/>
      <c r="C365" s="9"/>
      <c r="D365" s="15"/>
      <c r="E365" s="9"/>
      <c r="F365" s="7"/>
      <c r="G365" s="9"/>
    </row>
    <row r="366" spans="1:7" ht="24" customHeight="1">
      <c r="A366" s="5" t="str">
        <f t="shared" si="5"/>
        <v/>
      </c>
      <c r="B366" s="18"/>
      <c r="C366" s="9"/>
      <c r="D366" s="15"/>
      <c r="E366" s="9"/>
      <c r="F366" s="7"/>
      <c r="G366" s="9"/>
    </row>
    <row r="367" spans="1:7" ht="24" customHeight="1">
      <c r="A367" s="5" t="str">
        <f t="shared" si="5"/>
        <v/>
      </c>
      <c r="B367" s="18"/>
      <c r="C367" s="9"/>
      <c r="D367" s="15"/>
      <c r="E367" s="9"/>
      <c r="F367" s="7"/>
      <c r="G367" s="9"/>
    </row>
    <row r="368" spans="1:7" ht="24" customHeight="1">
      <c r="A368" s="5" t="str">
        <f t="shared" si="5"/>
        <v/>
      </c>
      <c r="B368" s="18"/>
      <c r="C368" s="9"/>
      <c r="D368" s="15"/>
      <c r="E368" s="9"/>
      <c r="F368" s="7"/>
      <c r="G368" s="9"/>
    </row>
    <row r="369" spans="1:7" ht="24" customHeight="1">
      <c r="A369" s="5" t="str">
        <f t="shared" si="5"/>
        <v/>
      </c>
      <c r="B369" s="18"/>
      <c r="C369" s="9"/>
      <c r="D369" s="15"/>
      <c r="E369" s="9"/>
      <c r="F369" s="7"/>
      <c r="G369" s="9"/>
    </row>
    <row r="370" spans="1:7" ht="24" customHeight="1">
      <c r="A370" s="5" t="str">
        <f t="shared" si="5"/>
        <v/>
      </c>
      <c r="B370" s="18"/>
      <c r="C370" s="9"/>
      <c r="D370" s="15"/>
      <c r="E370" s="9"/>
      <c r="F370" s="7"/>
      <c r="G370" s="9"/>
    </row>
    <row r="371" spans="1:7" ht="24" customHeight="1">
      <c r="A371" s="5" t="str">
        <f t="shared" si="5"/>
        <v/>
      </c>
      <c r="B371" s="18"/>
      <c r="C371" s="9"/>
      <c r="D371" s="15"/>
      <c r="E371" s="9"/>
      <c r="F371" s="7"/>
      <c r="G371" s="9"/>
    </row>
    <row r="372" spans="1:7" ht="24" customHeight="1">
      <c r="A372" s="5" t="str">
        <f t="shared" si="5"/>
        <v/>
      </c>
      <c r="B372" s="18"/>
      <c r="C372" s="9"/>
      <c r="D372" s="15"/>
      <c r="E372" s="9"/>
      <c r="F372" s="7"/>
      <c r="G372" s="9"/>
    </row>
    <row r="373" spans="1:7" ht="24" customHeight="1">
      <c r="A373" s="5" t="str">
        <f t="shared" si="5"/>
        <v/>
      </c>
      <c r="B373" s="18"/>
      <c r="C373" s="9"/>
      <c r="D373" s="15"/>
      <c r="E373" s="9"/>
      <c r="F373" s="7"/>
      <c r="G373" s="9"/>
    </row>
    <row r="374" spans="1:7" ht="24" customHeight="1">
      <c r="A374" s="5" t="str">
        <f t="shared" si="5"/>
        <v/>
      </c>
      <c r="B374" s="18"/>
      <c r="C374" s="9"/>
      <c r="D374" s="15"/>
      <c r="E374" s="9"/>
      <c r="F374" s="7"/>
      <c r="G374" s="9"/>
    </row>
    <row r="375" spans="1:7" ht="24" customHeight="1">
      <c r="A375" s="5" t="str">
        <f t="shared" si="5"/>
        <v/>
      </c>
      <c r="B375" s="18"/>
      <c r="C375" s="9"/>
      <c r="D375" s="15"/>
      <c r="E375" s="9"/>
      <c r="F375" s="7"/>
      <c r="G375" s="9"/>
    </row>
    <row r="376" spans="1:7" ht="24" customHeight="1">
      <c r="A376" s="5" t="str">
        <f t="shared" si="5"/>
        <v/>
      </c>
      <c r="B376" s="18"/>
      <c r="C376" s="9"/>
      <c r="D376" s="15"/>
      <c r="E376" s="9"/>
      <c r="F376" s="7"/>
      <c r="G376" s="9"/>
    </row>
    <row r="377" spans="1:7" ht="24" customHeight="1">
      <c r="A377" s="5" t="str">
        <f t="shared" si="5"/>
        <v/>
      </c>
      <c r="B377" s="18"/>
      <c r="C377" s="9"/>
      <c r="D377" s="15"/>
      <c r="E377" s="9"/>
      <c r="F377" s="7"/>
      <c r="G377" s="9"/>
    </row>
    <row r="378" spans="1:7" ht="24" customHeight="1">
      <c r="A378" s="5" t="str">
        <f t="shared" si="5"/>
        <v/>
      </c>
      <c r="B378" s="18"/>
      <c r="C378" s="9"/>
      <c r="D378" s="15"/>
      <c r="E378" s="9"/>
      <c r="F378" s="7"/>
      <c r="G378" s="9"/>
    </row>
    <row r="379" spans="1:7" ht="24" customHeight="1">
      <c r="A379" s="5" t="str">
        <f t="shared" si="5"/>
        <v/>
      </c>
      <c r="B379" s="18"/>
      <c r="C379" s="9"/>
      <c r="D379" s="15"/>
      <c r="E379" s="9"/>
      <c r="F379" s="7"/>
      <c r="G379" s="9"/>
    </row>
    <row r="380" spans="1:7" ht="24" customHeight="1">
      <c r="A380" s="5" t="str">
        <f t="shared" si="5"/>
        <v/>
      </c>
      <c r="B380" s="18"/>
      <c r="C380" s="9"/>
      <c r="D380" s="15"/>
      <c r="E380" s="9"/>
      <c r="F380" s="7"/>
      <c r="G380" s="9"/>
    </row>
    <row r="381" spans="1:7" ht="24" customHeight="1">
      <c r="A381" s="5" t="str">
        <f t="shared" si="5"/>
        <v/>
      </c>
      <c r="B381" s="18"/>
      <c r="C381" s="9"/>
      <c r="D381" s="15"/>
      <c r="E381" s="9"/>
      <c r="F381" s="7"/>
      <c r="G381" s="9"/>
    </row>
    <row r="382" spans="1:7" ht="24" customHeight="1">
      <c r="A382" s="5" t="str">
        <f t="shared" si="5"/>
        <v/>
      </c>
      <c r="B382" s="18"/>
      <c r="C382" s="9"/>
      <c r="D382" s="15"/>
      <c r="E382" s="9"/>
      <c r="F382" s="7"/>
      <c r="G382" s="9"/>
    </row>
    <row r="383" spans="1:7" ht="24" customHeight="1">
      <c r="A383" s="5" t="str">
        <f t="shared" si="5"/>
        <v/>
      </c>
      <c r="B383" s="18"/>
      <c r="C383" s="9"/>
      <c r="D383" s="15"/>
      <c r="E383" s="9"/>
      <c r="F383" s="7"/>
      <c r="G383" s="9"/>
    </row>
    <row r="384" spans="1:7" ht="24" customHeight="1">
      <c r="A384" s="5" t="str">
        <f t="shared" si="5"/>
        <v/>
      </c>
      <c r="B384" s="18"/>
      <c r="C384" s="9"/>
      <c r="D384" s="15"/>
      <c r="E384" s="9"/>
      <c r="F384" s="7"/>
      <c r="G384" s="9"/>
    </row>
    <row r="385" spans="1:7" ht="24" customHeight="1">
      <c r="A385" s="5" t="str">
        <f t="shared" si="5"/>
        <v/>
      </c>
      <c r="B385" s="18"/>
      <c r="C385" s="9"/>
      <c r="D385" s="15"/>
      <c r="E385" s="9"/>
      <c r="F385" s="7"/>
      <c r="G385" s="9"/>
    </row>
    <row r="386" spans="1:7" ht="24" customHeight="1">
      <c r="A386" s="5" t="str">
        <f t="shared" ref="A386:A449" si="6">IF(C386="","",ROW()-1)</f>
        <v/>
      </c>
      <c r="B386" s="18"/>
      <c r="C386" s="9"/>
      <c r="D386" s="15"/>
      <c r="E386" s="9"/>
      <c r="F386" s="7"/>
      <c r="G386" s="9"/>
    </row>
    <row r="387" spans="1:7" ht="24" customHeight="1">
      <c r="A387" s="5" t="str">
        <f t="shared" si="6"/>
        <v/>
      </c>
      <c r="B387" s="18"/>
      <c r="C387" s="9"/>
      <c r="D387" s="15"/>
      <c r="E387" s="9"/>
      <c r="F387" s="7"/>
      <c r="G387" s="9"/>
    </row>
    <row r="388" spans="1:7" ht="24" customHeight="1">
      <c r="A388" s="5" t="str">
        <f t="shared" si="6"/>
        <v/>
      </c>
      <c r="B388" s="18"/>
      <c r="C388" s="9"/>
      <c r="D388" s="15"/>
      <c r="E388" s="9"/>
      <c r="F388" s="7"/>
      <c r="G388" s="9"/>
    </row>
    <row r="389" spans="1:7" ht="24" customHeight="1">
      <c r="A389" s="5" t="str">
        <f t="shared" si="6"/>
        <v/>
      </c>
      <c r="B389" s="18"/>
      <c r="C389" s="9"/>
      <c r="D389" s="15"/>
      <c r="E389" s="9"/>
      <c r="F389" s="7"/>
      <c r="G389" s="9"/>
    </row>
    <row r="390" spans="1:7" ht="24" customHeight="1">
      <c r="A390" s="5" t="str">
        <f t="shared" si="6"/>
        <v/>
      </c>
      <c r="B390" s="18"/>
      <c r="C390" s="9"/>
      <c r="D390" s="15"/>
      <c r="E390" s="9"/>
      <c r="F390" s="7"/>
      <c r="G390" s="9"/>
    </row>
    <row r="391" spans="1:7" ht="24" customHeight="1">
      <c r="A391" s="5" t="str">
        <f t="shared" si="6"/>
        <v/>
      </c>
      <c r="B391" s="18"/>
      <c r="C391" s="9"/>
      <c r="D391" s="15"/>
      <c r="E391" s="9"/>
      <c r="F391" s="7"/>
      <c r="G391" s="9"/>
    </row>
    <row r="392" spans="1:7" ht="24" customHeight="1">
      <c r="A392" s="5" t="str">
        <f t="shared" si="6"/>
        <v/>
      </c>
      <c r="B392" s="18"/>
      <c r="C392" s="9"/>
      <c r="D392" s="15"/>
      <c r="E392" s="9"/>
      <c r="F392" s="7"/>
      <c r="G392" s="9"/>
    </row>
    <row r="393" spans="1:7" ht="24" customHeight="1">
      <c r="A393" s="5" t="str">
        <f t="shared" si="6"/>
        <v/>
      </c>
      <c r="B393" s="18"/>
      <c r="C393" s="9"/>
      <c r="D393" s="15"/>
      <c r="E393" s="9"/>
      <c r="F393" s="7"/>
      <c r="G393" s="9"/>
    </row>
    <row r="394" spans="1:7" ht="24" customHeight="1">
      <c r="A394" s="5" t="str">
        <f t="shared" si="6"/>
        <v/>
      </c>
      <c r="B394" s="18"/>
      <c r="C394" s="9"/>
      <c r="D394" s="15"/>
      <c r="E394" s="9"/>
      <c r="F394" s="7"/>
      <c r="G394" s="9"/>
    </row>
    <row r="395" spans="1:7" ht="24" customHeight="1">
      <c r="A395" s="5" t="str">
        <f t="shared" si="6"/>
        <v/>
      </c>
      <c r="B395" s="18"/>
      <c r="C395" s="9"/>
      <c r="D395" s="15"/>
      <c r="E395" s="9"/>
      <c r="F395" s="7"/>
      <c r="G395" s="9"/>
    </row>
    <row r="396" spans="1:7" ht="24" customHeight="1">
      <c r="A396" s="5" t="str">
        <f t="shared" si="6"/>
        <v/>
      </c>
      <c r="B396" s="18"/>
      <c r="C396" s="9"/>
      <c r="D396" s="15"/>
      <c r="E396" s="9"/>
      <c r="F396" s="7"/>
      <c r="G396" s="9"/>
    </row>
    <row r="397" spans="1:7" ht="24" customHeight="1">
      <c r="A397" s="5" t="str">
        <f t="shared" si="6"/>
        <v/>
      </c>
      <c r="B397" s="18"/>
      <c r="C397" s="9"/>
      <c r="D397" s="15"/>
      <c r="E397" s="9"/>
      <c r="F397" s="7"/>
      <c r="G397" s="9"/>
    </row>
    <row r="398" spans="1:7" ht="24" customHeight="1">
      <c r="A398" s="5" t="str">
        <f t="shared" si="6"/>
        <v/>
      </c>
      <c r="B398" s="18"/>
      <c r="C398" s="9"/>
      <c r="D398" s="15"/>
      <c r="E398" s="9"/>
      <c r="F398" s="7"/>
      <c r="G398" s="9"/>
    </row>
    <row r="399" spans="1:7" ht="24" customHeight="1">
      <c r="A399" s="5" t="str">
        <f t="shared" si="6"/>
        <v/>
      </c>
      <c r="B399" s="18"/>
      <c r="C399" s="9"/>
      <c r="D399" s="15"/>
      <c r="E399" s="9"/>
      <c r="F399" s="7"/>
      <c r="G399" s="9"/>
    </row>
    <row r="400" spans="1:7" ht="24" customHeight="1">
      <c r="A400" s="5" t="str">
        <f t="shared" si="6"/>
        <v/>
      </c>
      <c r="B400" s="18"/>
      <c r="C400" s="9"/>
      <c r="D400" s="15"/>
      <c r="E400" s="9"/>
      <c r="F400" s="7"/>
      <c r="G400" s="9"/>
    </row>
    <row r="401" spans="1:7" ht="24" customHeight="1">
      <c r="A401" s="5" t="str">
        <f t="shared" si="6"/>
        <v/>
      </c>
      <c r="B401" s="18"/>
      <c r="C401" s="9"/>
      <c r="D401" s="15"/>
      <c r="E401" s="9"/>
      <c r="F401" s="7"/>
      <c r="G401" s="9"/>
    </row>
    <row r="402" spans="1:7" ht="24" customHeight="1">
      <c r="A402" s="5" t="str">
        <f t="shared" si="6"/>
        <v/>
      </c>
      <c r="B402" s="18"/>
      <c r="C402" s="9"/>
      <c r="D402" s="15"/>
      <c r="E402" s="9"/>
      <c r="F402" s="7"/>
      <c r="G402" s="9"/>
    </row>
    <row r="403" spans="1:7" ht="24" customHeight="1">
      <c r="A403" s="5" t="str">
        <f t="shared" si="6"/>
        <v/>
      </c>
      <c r="B403" s="18"/>
      <c r="C403" s="9"/>
      <c r="D403" s="15"/>
      <c r="E403" s="9"/>
      <c r="F403" s="7"/>
      <c r="G403" s="9"/>
    </row>
    <row r="404" spans="1:7" ht="24" customHeight="1">
      <c r="A404" s="5" t="str">
        <f t="shared" si="6"/>
        <v/>
      </c>
      <c r="B404" s="18"/>
      <c r="C404" s="9"/>
      <c r="D404" s="15"/>
      <c r="E404" s="9"/>
      <c r="F404" s="7"/>
      <c r="G404" s="9"/>
    </row>
    <row r="405" spans="1:7" ht="24" customHeight="1">
      <c r="A405" s="5" t="str">
        <f t="shared" si="6"/>
        <v/>
      </c>
      <c r="B405" s="18"/>
      <c r="C405" s="9"/>
      <c r="D405" s="15"/>
      <c r="E405" s="9"/>
      <c r="F405" s="7"/>
      <c r="G405" s="9"/>
    </row>
    <row r="406" spans="1:7" ht="24" customHeight="1">
      <c r="A406" s="5" t="str">
        <f t="shared" si="6"/>
        <v/>
      </c>
      <c r="B406" s="18"/>
      <c r="C406" s="9"/>
      <c r="D406" s="15"/>
      <c r="E406" s="9"/>
      <c r="F406" s="7"/>
      <c r="G406" s="9"/>
    </row>
    <row r="407" spans="1:7" ht="24" customHeight="1">
      <c r="A407" s="5" t="str">
        <f t="shared" si="6"/>
        <v/>
      </c>
      <c r="B407" s="18"/>
      <c r="C407" s="9"/>
      <c r="D407" s="15"/>
      <c r="E407" s="9"/>
      <c r="F407" s="7"/>
      <c r="G407" s="9"/>
    </row>
    <row r="408" spans="1:7" ht="24" customHeight="1">
      <c r="A408" s="5" t="str">
        <f t="shared" si="6"/>
        <v/>
      </c>
      <c r="B408" s="18"/>
      <c r="C408" s="9"/>
      <c r="D408" s="15"/>
      <c r="E408" s="9"/>
      <c r="F408" s="7"/>
      <c r="G408" s="9"/>
    </row>
    <row r="409" spans="1:7" ht="24" customHeight="1">
      <c r="A409" s="5" t="str">
        <f t="shared" si="6"/>
        <v/>
      </c>
      <c r="B409" s="18"/>
      <c r="C409" s="9"/>
      <c r="D409" s="15"/>
      <c r="E409" s="9"/>
      <c r="F409" s="7"/>
      <c r="G409" s="9"/>
    </row>
    <row r="410" spans="1:7" ht="24" customHeight="1">
      <c r="A410" s="5" t="str">
        <f t="shared" si="6"/>
        <v/>
      </c>
      <c r="B410" s="18"/>
      <c r="C410" s="9"/>
      <c r="D410" s="15"/>
      <c r="E410" s="9"/>
      <c r="F410" s="7"/>
      <c r="G410" s="9"/>
    </row>
    <row r="411" spans="1:7" ht="24" customHeight="1">
      <c r="A411" s="5" t="str">
        <f t="shared" si="6"/>
        <v/>
      </c>
      <c r="B411" s="18"/>
      <c r="C411" s="9"/>
      <c r="D411" s="15"/>
      <c r="E411" s="9"/>
      <c r="F411" s="7"/>
      <c r="G411" s="9"/>
    </row>
    <row r="412" spans="1:7" ht="24" customHeight="1">
      <c r="A412" s="5" t="str">
        <f t="shared" si="6"/>
        <v/>
      </c>
      <c r="B412" s="18"/>
      <c r="C412" s="9"/>
      <c r="D412" s="15"/>
      <c r="E412" s="9"/>
      <c r="F412" s="7"/>
      <c r="G412" s="9"/>
    </row>
    <row r="413" spans="1:7" ht="24" customHeight="1">
      <c r="A413" s="5" t="str">
        <f t="shared" si="6"/>
        <v/>
      </c>
      <c r="B413" s="18"/>
      <c r="C413" s="9"/>
      <c r="D413" s="15"/>
      <c r="E413" s="9"/>
      <c r="F413" s="7"/>
      <c r="G413" s="9"/>
    </row>
    <row r="414" spans="1:7" ht="24" customHeight="1">
      <c r="A414" s="5" t="str">
        <f t="shared" si="6"/>
        <v/>
      </c>
      <c r="B414" s="18"/>
      <c r="C414" s="9"/>
      <c r="D414" s="15"/>
      <c r="E414" s="9"/>
      <c r="F414" s="7"/>
      <c r="G414" s="9"/>
    </row>
    <row r="415" spans="1:7" ht="24" customHeight="1">
      <c r="A415" s="5" t="str">
        <f t="shared" si="6"/>
        <v/>
      </c>
      <c r="B415" s="18"/>
      <c r="C415" s="9"/>
      <c r="D415" s="15"/>
      <c r="E415" s="9"/>
      <c r="F415" s="7"/>
      <c r="G415" s="9"/>
    </row>
    <row r="416" spans="1:7" ht="24" customHeight="1">
      <c r="A416" s="5" t="str">
        <f t="shared" si="6"/>
        <v/>
      </c>
      <c r="B416" s="18"/>
      <c r="C416" s="9"/>
      <c r="D416" s="15"/>
      <c r="E416" s="9"/>
      <c r="F416" s="7"/>
      <c r="G416" s="9"/>
    </row>
    <row r="417" spans="1:7" ht="24" customHeight="1">
      <c r="A417" s="5" t="str">
        <f t="shared" si="6"/>
        <v/>
      </c>
      <c r="B417" s="18"/>
      <c r="C417" s="9"/>
      <c r="D417" s="15"/>
      <c r="E417" s="9"/>
      <c r="F417" s="7"/>
      <c r="G417" s="9"/>
    </row>
    <row r="418" spans="1:7" ht="24" customHeight="1">
      <c r="A418" s="5" t="str">
        <f t="shared" si="6"/>
        <v/>
      </c>
      <c r="B418" s="18"/>
      <c r="C418" s="9"/>
      <c r="D418" s="15"/>
      <c r="E418" s="9"/>
      <c r="F418" s="7"/>
      <c r="G418" s="9"/>
    </row>
    <row r="419" spans="1:7" ht="24" customHeight="1">
      <c r="A419" s="5" t="str">
        <f t="shared" si="6"/>
        <v/>
      </c>
      <c r="B419" s="18"/>
      <c r="C419" s="9"/>
      <c r="D419" s="15"/>
      <c r="E419" s="9"/>
      <c r="F419" s="7"/>
      <c r="G419" s="9"/>
    </row>
    <row r="420" spans="1:7" ht="24" customHeight="1">
      <c r="A420" s="5" t="str">
        <f t="shared" si="6"/>
        <v/>
      </c>
      <c r="B420" s="18"/>
      <c r="C420" s="9"/>
      <c r="D420" s="15"/>
      <c r="E420" s="9"/>
      <c r="F420" s="7"/>
      <c r="G420" s="9"/>
    </row>
    <row r="421" spans="1:7" ht="24" customHeight="1">
      <c r="A421" s="5" t="str">
        <f t="shared" si="6"/>
        <v/>
      </c>
      <c r="B421" s="18"/>
      <c r="C421" s="9"/>
      <c r="D421" s="15"/>
      <c r="E421" s="9"/>
      <c r="F421" s="7"/>
      <c r="G421" s="9"/>
    </row>
    <row r="422" spans="1:7" ht="24" customHeight="1">
      <c r="A422" s="5" t="str">
        <f t="shared" si="6"/>
        <v/>
      </c>
      <c r="B422" s="18"/>
      <c r="C422" s="9"/>
      <c r="D422" s="15"/>
      <c r="E422" s="9"/>
      <c r="F422" s="7"/>
      <c r="G422" s="9"/>
    </row>
    <row r="423" spans="1:7" ht="24" customHeight="1">
      <c r="A423" s="5" t="str">
        <f t="shared" si="6"/>
        <v/>
      </c>
      <c r="B423" s="18"/>
      <c r="C423" s="9"/>
      <c r="D423" s="15"/>
      <c r="E423" s="9"/>
      <c r="F423" s="7"/>
      <c r="G423" s="9"/>
    </row>
    <row r="424" spans="1:7" ht="24" customHeight="1">
      <c r="A424" s="5" t="str">
        <f t="shared" si="6"/>
        <v/>
      </c>
      <c r="B424" s="18"/>
      <c r="C424" s="9"/>
      <c r="D424" s="15"/>
      <c r="E424" s="9"/>
      <c r="F424" s="7"/>
      <c r="G424" s="9"/>
    </row>
    <row r="425" spans="1:7" ht="24" customHeight="1">
      <c r="A425" s="5" t="str">
        <f t="shared" si="6"/>
        <v/>
      </c>
      <c r="B425" s="18"/>
      <c r="C425" s="9"/>
      <c r="D425" s="15"/>
      <c r="E425" s="9"/>
      <c r="F425" s="7"/>
      <c r="G425" s="9"/>
    </row>
    <row r="426" spans="1:7" ht="24" customHeight="1">
      <c r="A426" s="5" t="str">
        <f t="shared" si="6"/>
        <v/>
      </c>
      <c r="B426" s="18"/>
      <c r="C426" s="9"/>
      <c r="D426" s="15"/>
      <c r="E426" s="9"/>
      <c r="F426" s="7"/>
      <c r="G426" s="9"/>
    </row>
    <row r="427" spans="1:7" ht="24" customHeight="1">
      <c r="A427" s="5" t="str">
        <f t="shared" si="6"/>
        <v/>
      </c>
      <c r="B427" s="18"/>
      <c r="C427" s="9"/>
      <c r="D427" s="15"/>
      <c r="E427" s="9"/>
      <c r="F427" s="7"/>
      <c r="G427" s="9"/>
    </row>
    <row r="428" spans="1:7" ht="24" customHeight="1">
      <c r="A428" s="5" t="str">
        <f t="shared" si="6"/>
        <v/>
      </c>
      <c r="B428" s="18"/>
      <c r="C428" s="9"/>
      <c r="D428" s="15"/>
      <c r="E428" s="9"/>
      <c r="F428" s="7"/>
      <c r="G428" s="9"/>
    </row>
    <row r="429" spans="1:7" ht="24" customHeight="1">
      <c r="A429" s="5" t="str">
        <f t="shared" si="6"/>
        <v/>
      </c>
      <c r="B429" s="18"/>
      <c r="C429" s="9"/>
      <c r="D429" s="15"/>
      <c r="E429" s="9"/>
      <c r="F429" s="7"/>
      <c r="G429" s="9"/>
    </row>
    <row r="430" spans="1:7" ht="24" customHeight="1">
      <c r="A430" s="5" t="str">
        <f t="shared" si="6"/>
        <v/>
      </c>
      <c r="B430" s="18"/>
      <c r="C430" s="9"/>
      <c r="D430" s="15"/>
      <c r="E430" s="9"/>
      <c r="F430" s="7"/>
      <c r="G430" s="9"/>
    </row>
    <row r="431" spans="1:7" ht="24" customHeight="1">
      <c r="A431" s="5" t="str">
        <f t="shared" si="6"/>
        <v/>
      </c>
      <c r="B431" s="18"/>
      <c r="C431" s="9"/>
      <c r="D431" s="15"/>
      <c r="E431" s="9"/>
      <c r="F431" s="7"/>
      <c r="G431" s="9"/>
    </row>
    <row r="432" spans="1:7" ht="24" customHeight="1">
      <c r="A432" s="5" t="str">
        <f t="shared" si="6"/>
        <v/>
      </c>
      <c r="B432" s="18"/>
      <c r="C432" s="9"/>
      <c r="D432" s="15"/>
      <c r="E432" s="9"/>
      <c r="F432" s="7"/>
      <c r="G432" s="9"/>
    </row>
    <row r="433" spans="1:7" ht="24" customHeight="1">
      <c r="A433" s="5" t="str">
        <f t="shared" si="6"/>
        <v/>
      </c>
      <c r="B433" s="18"/>
      <c r="C433" s="9"/>
      <c r="D433" s="15"/>
      <c r="E433" s="9"/>
      <c r="F433" s="7"/>
      <c r="G433" s="9"/>
    </row>
    <row r="434" spans="1:7" ht="24" customHeight="1">
      <c r="A434" s="5" t="str">
        <f t="shared" si="6"/>
        <v/>
      </c>
      <c r="B434" s="18"/>
      <c r="C434" s="9"/>
      <c r="D434" s="15"/>
      <c r="E434" s="9"/>
      <c r="F434" s="7"/>
      <c r="G434" s="9"/>
    </row>
    <row r="435" spans="1:7" ht="24" customHeight="1">
      <c r="A435" s="5" t="str">
        <f t="shared" si="6"/>
        <v/>
      </c>
      <c r="B435" s="18"/>
      <c r="C435" s="9"/>
      <c r="D435" s="15"/>
      <c r="E435" s="9"/>
      <c r="F435" s="7"/>
      <c r="G435" s="9"/>
    </row>
    <row r="436" spans="1:7" ht="24" customHeight="1">
      <c r="A436" s="5" t="str">
        <f t="shared" si="6"/>
        <v/>
      </c>
      <c r="B436" s="18"/>
      <c r="C436" s="9"/>
      <c r="D436" s="15"/>
      <c r="E436" s="9"/>
      <c r="F436" s="7"/>
      <c r="G436" s="9"/>
    </row>
    <row r="437" spans="1:7" ht="24" customHeight="1">
      <c r="A437" s="5" t="str">
        <f t="shared" si="6"/>
        <v/>
      </c>
      <c r="B437" s="18"/>
      <c r="C437" s="9"/>
      <c r="D437" s="15"/>
      <c r="E437" s="9"/>
      <c r="F437" s="7"/>
      <c r="G437" s="9"/>
    </row>
    <row r="438" spans="1:7" ht="24" customHeight="1">
      <c r="A438" s="5" t="str">
        <f t="shared" si="6"/>
        <v/>
      </c>
      <c r="B438" s="18"/>
      <c r="C438" s="9"/>
      <c r="D438" s="15"/>
      <c r="E438" s="9"/>
      <c r="F438" s="7"/>
      <c r="G438" s="9"/>
    </row>
    <row r="439" spans="1:7" ht="24" customHeight="1">
      <c r="A439" s="5" t="str">
        <f t="shared" si="6"/>
        <v/>
      </c>
      <c r="B439" s="18"/>
      <c r="C439" s="9"/>
      <c r="D439" s="15"/>
      <c r="E439" s="9"/>
      <c r="F439" s="7"/>
      <c r="G439" s="9"/>
    </row>
    <row r="440" spans="1:7" ht="24" customHeight="1">
      <c r="A440" s="5" t="str">
        <f t="shared" si="6"/>
        <v/>
      </c>
      <c r="B440" s="18"/>
      <c r="C440" s="9"/>
      <c r="D440" s="15"/>
      <c r="E440" s="9"/>
      <c r="F440" s="7"/>
      <c r="G440" s="9"/>
    </row>
    <row r="441" spans="1:7" ht="24" customHeight="1">
      <c r="A441" s="5" t="str">
        <f t="shared" si="6"/>
        <v/>
      </c>
      <c r="B441" s="18"/>
      <c r="C441" s="9"/>
      <c r="D441" s="15"/>
      <c r="E441" s="9"/>
      <c r="F441" s="7"/>
      <c r="G441" s="9"/>
    </row>
    <row r="442" spans="1:7" ht="24" customHeight="1">
      <c r="A442" s="5" t="str">
        <f t="shared" si="6"/>
        <v/>
      </c>
      <c r="B442" s="18"/>
      <c r="C442" s="9"/>
      <c r="D442" s="15"/>
      <c r="E442" s="9"/>
      <c r="F442" s="7"/>
      <c r="G442" s="9"/>
    </row>
    <row r="443" spans="1:7" ht="24" customHeight="1">
      <c r="A443" s="5" t="str">
        <f t="shared" si="6"/>
        <v/>
      </c>
      <c r="B443" s="18"/>
      <c r="C443" s="9"/>
      <c r="D443" s="15"/>
      <c r="E443" s="9"/>
      <c r="F443" s="7"/>
      <c r="G443" s="9"/>
    </row>
    <row r="444" spans="1:7" ht="24" customHeight="1">
      <c r="A444" s="5" t="str">
        <f t="shared" si="6"/>
        <v/>
      </c>
      <c r="B444" s="18"/>
      <c r="C444" s="9"/>
      <c r="D444" s="15"/>
      <c r="E444" s="9"/>
      <c r="F444" s="7"/>
      <c r="G444" s="9"/>
    </row>
    <row r="445" spans="1:7" ht="24" customHeight="1">
      <c r="A445" s="5" t="str">
        <f t="shared" si="6"/>
        <v/>
      </c>
      <c r="B445" s="18"/>
      <c r="C445" s="9"/>
      <c r="D445" s="15"/>
      <c r="E445" s="9"/>
      <c r="F445" s="7"/>
      <c r="G445" s="9"/>
    </row>
    <row r="446" spans="1:7" ht="24" customHeight="1">
      <c r="A446" s="5" t="str">
        <f t="shared" si="6"/>
        <v/>
      </c>
      <c r="B446" s="18"/>
      <c r="C446" s="9"/>
      <c r="D446" s="15"/>
      <c r="E446" s="9"/>
      <c r="F446" s="7"/>
      <c r="G446" s="9"/>
    </row>
    <row r="447" spans="1:7" ht="24" customHeight="1">
      <c r="A447" s="5" t="str">
        <f t="shared" si="6"/>
        <v/>
      </c>
      <c r="B447" s="18"/>
      <c r="C447" s="9"/>
      <c r="D447" s="15"/>
      <c r="E447" s="9"/>
      <c r="F447" s="7"/>
      <c r="G447" s="9"/>
    </row>
    <row r="448" spans="1:7" ht="24" customHeight="1">
      <c r="A448" s="5" t="str">
        <f t="shared" si="6"/>
        <v/>
      </c>
      <c r="B448" s="18"/>
      <c r="C448" s="9"/>
      <c r="D448" s="15"/>
      <c r="E448" s="9"/>
      <c r="F448" s="7"/>
      <c r="G448" s="9"/>
    </row>
    <row r="449" spans="1:7" ht="24" customHeight="1">
      <c r="A449" s="5" t="str">
        <f t="shared" si="6"/>
        <v/>
      </c>
      <c r="B449" s="18"/>
      <c r="C449" s="9"/>
      <c r="D449" s="15"/>
      <c r="E449" s="9"/>
      <c r="F449" s="7"/>
      <c r="G449" s="9"/>
    </row>
    <row r="450" spans="1:7" ht="24" customHeight="1">
      <c r="A450" s="5" t="str">
        <f t="shared" ref="A450:A501" si="7">IF(C450="","",ROW()-1)</f>
        <v/>
      </c>
      <c r="B450" s="18"/>
      <c r="C450" s="9"/>
      <c r="D450" s="15"/>
      <c r="E450" s="9"/>
      <c r="F450" s="7"/>
      <c r="G450" s="9"/>
    </row>
    <row r="451" spans="1:7" ht="24" customHeight="1">
      <c r="A451" s="5" t="str">
        <f t="shared" si="7"/>
        <v/>
      </c>
      <c r="B451" s="18"/>
      <c r="C451" s="9"/>
      <c r="D451" s="15"/>
      <c r="E451" s="9"/>
      <c r="F451" s="7"/>
      <c r="G451" s="9"/>
    </row>
    <row r="452" spans="1:7" ht="24" customHeight="1">
      <c r="A452" s="5" t="str">
        <f t="shared" si="7"/>
        <v/>
      </c>
      <c r="B452" s="18"/>
      <c r="C452" s="9"/>
      <c r="D452" s="15"/>
      <c r="E452" s="9"/>
      <c r="F452" s="7"/>
      <c r="G452" s="9"/>
    </row>
    <row r="453" spans="1:7" ht="24" customHeight="1">
      <c r="A453" s="5" t="str">
        <f t="shared" si="7"/>
        <v/>
      </c>
      <c r="B453" s="18"/>
      <c r="C453" s="9"/>
      <c r="D453" s="15"/>
      <c r="E453" s="9"/>
      <c r="F453" s="7"/>
      <c r="G453" s="9"/>
    </row>
    <row r="454" spans="1:7" ht="24" customHeight="1">
      <c r="A454" s="5" t="str">
        <f t="shared" si="7"/>
        <v/>
      </c>
      <c r="B454" s="18"/>
      <c r="C454" s="9"/>
      <c r="D454" s="15"/>
      <c r="E454" s="9"/>
      <c r="F454" s="7"/>
      <c r="G454" s="9"/>
    </row>
    <row r="455" spans="1:7" ht="24" customHeight="1">
      <c r="A455" s="5" t="str">
        <f t="shared" si="7"/>
        <v/>
      </c>
      <c r="B455" s="18"/>
      <c r="C455" s="9"/>
      <c r="D455" s="15"/>
      <c r="E455" s="9"/>
      <c r="F455" s="7"/>
      <c r="G455" s="9"/>
    </row>
    <row r="456" spans="1:7" ht="24" customHeight="1">
      <c r="A456" s="5" t="str">
        <f t="shared" si="7"/>
        <v/>
      </c>
      <c r="B456" s="18"/>
      <c r="C456" s="9"/>
      <c r="D456" s="15"/>
      <c r="E456" s="9"/>
      <c r="F456" s="7"/>
      <c r="G456" s="9"/>
    </row>
    <row r="457" spans="1:7" ht="24" customHeight="1">
      <c r="A457" s="5" t="str">
        <f t="shared" si="7"/>
        <v/>
      </c>
      <c r="B457" s="18"/>
      <c r="C457" s="9"/>
      <c r="D457" s="15"/>
      <c r="E457" s="9"/>
      <c r="F457" s="7"/>
      <c r="G457" s="9"/>
    </row>
    <row r="458" spans="1:7" ht="24" customHeight="1">
      <c r="A458" s="5" t="str">
        <f t="shared" si="7"/>
        <v/>
      </c>
      <c r="B458" s="18"/>
      <c r="C458" s="9"/>
      <c r="D458" s="15"/>
      <c r="E458" s="9"/>
      <c r="F458" s="7"/>
      <c r="G458" s="9"/>
    </row>
    <row r="459" spans="1:7" ht="24" customHeight="1">
      <c r="A459" s="5" t="str">
        <f t="shared" si="7"/>
        <v/>
      </c>
      <c r="B459" s="18"/>
      <c r="C459" s="9"/>
      <c r="D459" s="15"/>
      <c r="E459" s="9"/>
      <c r="F459" s="7"/>
      <c r="G459" s="9"/>
    </row>
    <row r="460" spans="1:7" ht="24" customHeight="1">
      <c r="A460" s="5" t="str">
        <f t="shared" si="7"/>
        <v/>
      </c>
      <c r="B460" s="18"/>
      <c r="C460" s="9"/>
      <c r="D460" s="15"/>
      <c r="E460" s="9"/>
      <c r="F460" s="7"/>
      <c r="G460" s="9"/>
    </row>
    <row r="461" spans="1:7" ht="24" customHeight="1">
      <c r="A461" s="5" t="str">
        <f t="shared" si="7"/>
        <v/>
      </c>
      <c r="B461" s="18"/>
      <c r="C461" s="9"/>
      <c r="D461" s="15"/>
      <c r="E461" s="9"/>
      <c r="F461" s="7"/>
      <c r="G461" s="9"/>
    </row>
    <row r="462" spans="1:7" ht="24" customHeight="1">
      <c r="A462" s="5" t="str">
        <f t="shared" si="7"/>
        <v/>
      </c>
      <c r="B462" s="18"/>
      <c r="C462" s="9"/>
      <c r="D462" s="15"/>
      <c r="E462" s="9"/>
      <c r="F462" s="7"/>
      <c r="G462" s="9"/>
    </row>
    <row r="463" spans="1:7" ht="24" customHeight="1">
      <c r="A463" s="5" t="str">
        <f t="shared" si="7"/>
        <v/>
      </c>
      <c r="B463" s="18"/>
      <c r="C463" s="9"/>
      <c r="D463" s="15"/>
      <c r="E463" s="9"/>
      <c r="F463" s="7"/>
      <c r="G463" s="9"/>
    </row>
    <row r="464" spans="1:7" ht="24" customHeight="1">
      <c r="A464" s="5" t="str">
        <f t="shared" si="7"/>
        <v/>
      </c>
      <c r="B464" s="18"/>
      <c r="C464" s="9"/>
      <c r="D464" s="15"/>
      <c r="E464" s="9"/>
      <c r="F464" s="7"/>
      <c r="G464" s="9"/>
    </row>
    <row r="465" spans="1:7" ht="24" customHeight="1">
      <c r="A465" s="5" t="str">
        <f t="shared" si="7"/>
        <v/>
      </c>
      <c r="B465" s="18"/>
      <c r="C465" s="9"/>
      <c r="D465" s="15"/>
      <c r="E465" s="9"/>
      <c r="F465" s="7"/>
      <c r="G465" s="9"/>
    </row>
    <row r="466" spans="1:7" ht="24" customHeight="1">
      <c r="A466" s="5" t="str">
        <f t="shared" si="7"/>
        <v/>
      </c>
      <c r="B466" s="18"/>
      <c r="C466" s="9"/>
      <c r="D466" s="15"/>
      <c r="E466" s="9"/>
      <c r="F466" s="7"/>
      <c r="G466" s="9"/>
    </row>
    <row r="467" spans="1:7" ht="24" customHeight="1">
      <c r="A467" s="5" t="str">
        <f t="shared" si="7"/>
        <v/>
      </c>
      <c r="B467" s="18"/>
      <c r="C467" s="9"/>
      <c r="D467" s="15"/>
      <c r="E467" s="9"/>
      <c r="F467" s="7"/>
      <c r="G467" s="9"/>
    </row>
    <row r="468" spans="1:7" ht="24" customHeight="1">
      <c r="A468" s="5" t="str">
        <f t="shared" si="7"/>
        <v/>
      </c>
      <c r="B468" s="18"/>
      <c r="C468" s="9"/>
      <c r="D468" s="15"/>
      <c r="E468" s="9"/>
      <c r="F468" s="7"/>
      <c r="G468" s="9"/>
    </row>
    <row r="469" spans="1:7" ht="24" customHeight="1">
      <c r="A469" s="5" t="str">
        <f t="shared" si="7"/>
        <v/>
      </c>
      <c r="B469" s="18"/>
      <c r="C469" s="9"/>
      <c r="D469" s="15"/>
      <c r="E469" s="9"/>
      <c r="F469" s="7"/>
      <c r="G469" s="9"/>
    </row>
    <row r="470" spans="1:7" ht="24" customHeight="1">
      <c r="A470" s="5" t="str">
        <f t="shared" si="7"/>
        <v/>
      </c>
      <c r="B470" s="18"/>
      <c r="C470" s="9"/>
      <c r="D470" s="15"/>
      <c r="E470" s="9"/>
      <c r="F470" s="7"/>
      <c r="G470" s="9"/>
    </row>
    <row r="471" spans="1:7" ht="24" customHeight="1">
      <c r="A471" s="5" t="str">
        <f t="shared" si="7"/>
        <v/>
      </c>
      <c r="B471" s="18"/>
      <c r="C471" s="9"/>
      <c r="D471" s="15"/>
      <c r="E471" s="9"/>
      <c r="F471" s="7"/>
      <c r="G471" s="9"/>
    </row>
    <row r="472" spans="1:7" ht="24" customHeight="1">
      <c r="A472" s="5" t="str">
        <f t="shared" si="7"/>
        <v/>
      </c>
      <c r="B472" s="18"/>
      <c r="C472" s="9"/>
      <c r="D472" s="15"/>
      <c r="E472" s="9"/>
      <c r="F472" s="7"/>
      <c r="G472" s="9"/>
    </row>
    <row r="473" spans="1:7" ht="24" customHeight="1">
      <c r="A473" s="5" t="str">
        <f t="shared" si="7"/>
        <v/>
      </c>
      <c r="B473" s="18"/>
      <c r="C473" s="9"/>
      <c r="D473" s="15"/>
      <c r="E473" s="9"/>
      <c r="F473" s="7"/>
      <c r="G473" s="9"/>
    </row>
    <row r="474" spans="1:7" ht="24" customHeight="1">
      <c r="A474" s="5" t="str">
        <f t="shared" si="7"/>
        <v/>
      </c>
      <c r="B474" s="18"/>
      <c r="C474" s="9"/>
      <c r="D474" s="15"/>
      <c r="E474" s="9"/>
      <c r="F474" s="7"/>
      <c r="G474" s="9"/>
    </row>
    <row r="475" spans="1:7" ht="24" customHeight="1">
      <c r="A475" s="5" t="str">
        <f t="shared" si="7"/>
        <v/>
      </c>
      <c r="B475" s="18"/>
      <c r="C475" s="9"/>
      <c r="D475" s="15"/>
      <c r="E475" s="9"/>
      <c r="F475" s="7"/>
      <c r="G475" s="9"/>
    </row>
    <row r="476" spans="1:7" ht="24" customHeight="1">
      <c r="A476" s="5" t="str">
        <f t="shared" si="7"/>
        <v/>
      </c>
      <c r="B476" s="18"/>
      <c r="C476" s="9"/>
      <c r="D476" s="15"/>
      <c r="E476" s="9"/>
      <c r="F476" s="7"/>
      <c r="G476" s="9"/>
    </row>
    <row r="477" spans="1:7" ht="24" customHeight="1">
      <c r="A477" s="5" t="str">
        <f t="shared" si="7"/>
        <v/>
      </c>
      <c r="B477" s="18"/>
      <c r="C477" s="9"/>
      <c r="D477" s="15"/>
      <c r="E477" s="9"/>
      <c r="F477" s="7"/>
      <c r="G477" s="9"/>
    </row>
    <row r="478" spans="1:7" ht="24" customHeight="1">
      <c r="A478" s="5" t="str">
        <f t="shared" si="7"/>
        <v/>
      </c>
      <c r="B478" s="18"/>
      <c r="C478" s="9"/>
      <c r="D478" s="15"/>
      <c r="E478" s="9"/>
      <c r="F478" s="7"/>
      <c r="G478" s="9"/>
    </row>
    <row r="479" spans="1:7" ht="24" customHeight="1">
      <c r="A479" s="5" t="str">
        <f t="shared" si="7"/>
        <v/>
      </c>
      <c r="B479" s="18"/>
      <c r="C479" s="9"/>
      <c r="D479" s="15"/>
      <c r="E479" s="9"/>
      <c r="F479" s="7"/>
      <c r="G479" s="9"/>
    </row>
    <row r="480" spans="1:7" ht="24" customHeight="1">
      <c r="A480" s="5" t="str">
        <f t="shared" si="7"/>
        <v/>
      </c>
      <c r="B480" s="18"/>
      <c r="C480" s="9"/>
      <c r="D480" s="15"/>
      <c r="E480" s="9"/>
      <c r="F480" s="7"/>
      <c r="G480" s="9"/>
    </row>
    <row r="481" spans="1:7" ht="24" customHeight="1">
      <c r="A481" s="5" t="str">
        <f t="shared" si="7"/>
        <v/>
      </c>
      <c r="B481" s="18"/>
      <c r="C481" s="9"/>
      <c r="D481" s="15"/>
      <c r="E481" s="9"/>
      <c r="F481" s="7"/>
      <c r="G481" s="9"/>
    </row>
    <row r="482" spans="1:7" ht="24" customHeight="1">
      <c r="A482" s="5" t="str">
        <f t="shared" si="7"/>
        <v/>
      </c>
      <c r="B482" s="18"/>
      <c r="C482" s="9"/>
      <c r="D482" s="15"/>
      <c r="E482" s="9"/>
      <c r="F482" s="7"/>
      <c r="G482" s="9"/>
    </row>
    <row r="483" spans="1:7" ht="24" customHeight="1">
      <c r="A483" s="5" t="str">
        <f t="shared" si="7"/>
        <v/>
      </c>
      <c r="B483" s="18"/>
      <c r="C483" s="9"/>
      <c r="D483" s="15"/>
      <c r="E483" s="9"/>
      <c r="F483" s="7"/>
      <c r="G483" s="9"/>
    </row>
    <row r="484" spans="1:7" ht="24" customHeight="1">
      <c r="A484" s="5" t="str">
        <f t="shared" si="7"/>
        <v/>
      </c>
      <c r="B484" s="18"/>
      <c r="C484" s="9"/>
      <c r="D484" s="15"/>
      <c r="E484" s="9"/>
      <c r="F484" s="7"/>
      <c r="G484" s="9"/>
    </row>
    <row r="485" spans="1:7" ht="24" customHeight="1">
      <c r="A485" s="5" t="str">
        <f t="shared" si="7"/>
        <v/>
      </c>
      <c r="B485" s="18"/>
      <c r="C485" s="9"/>
      <c r="D485" s="15"/>
      <c r="E485" s="9"/>
      <c r="F485" s="7"/>
      <c r="G485" s="9"/>
    </row>
    <row r="486" spans="1:7" ht="24" customHeight="1">
      <c r="A486" s="5" t="str">
        <f t="shared" si="7"/>
        <v/>
      </c>
      <c r="B486" s="18"/>
      <c r="C486" s="9"/>
      <c r="D486" s="15"/>
      <c r="E486" s="9"/>
      <c r="F486" s="7"/>
      <c r="G486" s="9"/>
    </row>
    <row r="487" spans="1:7" ht="24" customHeight="1">
      <c r="A487" s="5" t="str">
        <f t="shared" si="7"/>
        <v/>
      </c>
      <c r="B487" s="18"/>
      <c r="C487" s="9"/>
      <c r="D487" s="15"/>
      <c r="E487" s="9"/>
      <c r="F487" s="7"/>
      <c r="G487" s="9"/>
    </row>
    <row r="488" spans="1:7" ht="24" customHeight="1">
      <c r="A488" s="5" t="str">
        <f t="shared" si="7"/>
        <v/>
      </c>
      <c r="B488" s="18"/>
      <c r="C488" s="9"/>
      <c r="D488" s="15"/>
      <c r="E488" s="9"/>
      <c r="F488" s="7"/>
      <c r="G488" s="9"/>
    </row>
    <row r="489" spans="1:7" ht="24" customHeight="1">
      <c r="A489" s="5" t="str">
        <f t="shared" si="7"/>
        <v/>
      </c>
      <c r="B489" s="18"/>
      <c r="C489" s="9"/>
      <c r="D489" s="15"/>
      <c r="E489" s="9"/>
      <c r="F489" s="7"/>
      <c r="G489" s="9"/>
    </row>
    <row r="490" spans="1:7" ht="24" customHeight="1">
      <c r="A490" s="5" t="str">
        <f t="shared" si="7"/>
        <v/>
      </c>
      <c r="B490" s="18"/>
      <c r="C490" s="9"/>
      <c r="D490" s="15"/>
      <c r="E490" s="9"/>
      <c r="F490" s="7"/>
      <c r="G490" s="9"/>
    </row>
    <row r="491" spans="1:7" ht="24" customHeight="1">
      <c r="A491" s="5" t="str">
        <f t="shared" si="7"/>
        <v/>
      </c>
      <c r="B491" s="18"/>
      <c r="C491" s="9"/>
      <c r="D491" s="15"/>
      <c r="E491" s="9"/>
      <c r="F491" s="7"/>
      <c r="G491" s="9"/>
    </row>
    <row r="492" spans="1:7" ht="24" customHeight="1">
      <c r="A492" s="5" t="str">
        <f t="shared" si="7"/>
        <v/>
      </c>
      <c r="B492" s="18"/>
      <c r="C492" s="9"/>
      <c r="D492" s="15"/>
      <c r="E492" s="9"/>
      <c r="F492" s="7"/>
      <c r="G492" s="9"/>
    </row>
    <row r="493" spans="1:7" ht="24" customHeight="1">
      <c r="A493" s="5" t="str">
        <f t="shared" si="7"/>
        <v/>
      </c>
      <c r="B493" s="18"/>
      <c r="C493" s="9"/>
      <c r="D493" s="15"/>
      <c r="E493" s="9"/>
      <c r="F493" s="7"/>
      <c r="G493" s="9"/>
    </row>
    <row r="494" spans="1:7" ht="24" customHeight="1">
      <c r="A494" s="5" t="str">
        <f t="shared" si="7"/>
        <v/>
      </c>
      <c r="B494" s="18"/>
      <c r="C494" s="9"/>
      <c r="D494" s="15"/>
      <c r="E494" s="9"/>
      <c r="F494" s="7"/>
      <c r="G494" s="9"/>
    </row>
    <row r="495" spans="1:7" ht="24" customHeight="1">
      <c r="A495" s="5" t="str">
        <f t="shared" si="7"/>
        <v/>
      </c>
      <c r="B495" s="18"/>
      <c r="C495" s="9"/>
      <c r="D495" s="15"/>
      <c r="E495" s="9"/>
      <c r="F495" s="7"/>
      <c r="G495" s="9"/>
    </row>
    <row r="496" spans="1:7" ht="24" customHeight="1">
      <c r="A496" s="5" t="str">
        <f t="shared" si="7"/>
        <v/>
      </c>
      <c r="B496" s="18"/>
      <c r="C496" s="9"/>
      <c r="D496" s="15"/>
      <c r="E496" s="9"/>
      <c r="F496" s="7"/>
      <c r="G496" s="9"/>
    </row>
    <row r="497" spans="1:7" ht="24" customHeight="1">
      <c r="A497" s="5" t="str">
        <f t="shared" si="7"/>
        <v/>
      </c>
      <c r="B497" s="18"/>
      <c r="C497" s="9"/>
      <c r="D497" s="15"/>
      <c r="E497" s="9"/>
      <c r="F497" s="7"/>
      <c r="G497" s="9"/>
    </row>
    <row r="498" spans="1:7" ht="24" customHeight="1">
      <c r="A498" s="5" t="str">
        <f t="shared" si="7"/>
        <v/>
      </c>
      <c r="B498" s="18"/>
      <c r="C498" s="9"/>
      <c r="D498" s="15"/>
      <c r="E498" s="9"/>
      <c r="F498" s="7"/>
      <c r="G498" s="9"/>
    </row>
    <row r="499" spans="1:7" ht="24" customHeight="1">
      <c r="A499" s="5" t="str">
        <f t="shared" si="7"/>
        <v/>
      </c>
      <c r="B499" s="18"/>
      <c r="C499" s="9"/>
      <c r="D499" s="15"/>
      <c r="E499" s="9"/>
      <c r="F499" s="7"/>
      <c r="G499" s="9"/>
    </row>
    <row r="500" spans="1:7" ht="24" customHeight="1">
      <c r="A500" s="5" t="str">
        <f t="shared" si="7"/>
        <v/>
      </c>
      <c r="B500" s="18"/>
      <c r="C500" s="9"/>
      <c r="D500" s="15"/>
      <c r="E500" s="9"/>
      <c r="F500" s="7"/>
      <c r="G500" s="9"/>
    </row>
    <row r="501" spans="1:7" ht="24" customHeight="1">
      <c r="A501" s="5" t="str">
        <f t="shared" si="7"/>
        <v/>
      </c>
      <c r="B501" s="18"/>
      <c r="C501" s="9"/>
      <c r="D501" s="15"/>
      <c r="E501" s="9"/>
      <c r="F501" s="7"/>
      <c r="G501" s="9"/>
    </row>
  </sheetData>
  <autoFilter ref="A1:G501" xr:uid="{00000000-0009-0000-0000-000003000000}"/>
  <conditionalFormatting sqref="A76:G501 A2:B75 D2:G75">
    <cfRule type="expression" dxfId="17" priority="3">
      <formula>AND(OR($C2&lt;&gt;"",$D2&lt;&gt;"",$B2&lt;&gt;""),OR($C2="",$D2="",$B2=""))</formula>
    </cfRule>
  </conditionalFormatting>
  <conditionalFormatting sqref="C2:C75">
    <cfRule type="expression" dxfId="1" priority="1">
      <formula>AND($A2&lt;&gt;"",COUNTIF($A$2:$A$320,$A2)&gt;1)</formula>
    </cfRule>
    <cfRule type="expression" dxfId="0" priority="2">
      <formula>AND($C2&lt;&gt;"",$C2&lt;0)</formula>
    </cfRule>
  </conditionalFormatting>
  <dataValidations count="1">
    <dataValidation type="decimal" operator="greaterThan" allowBlank="1" showErrorMessage="1" errorTitle="كمية غير صحيحة" error="يجب أن تكون الكمية أكبر من صفر" sqref="D2:D501" xr:uid="{00000000-0002-0000-0300-000001000000}">
      <formula1>0</formula1>
    </dataValidation>
  </dataValidations>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expression" priority="4" id="{00000000-000E-0000-0300-000002000000}">
            <xm:f>AND($C2&lt;&gt;"",COUNTIF(المواد!$A$2:$A$320,$C2)=0)</xm:f>
            <x14:dxf>
              <fill>
                <patternFill patternType="solid">
                  <fgColor rgb="FFFCE4E4"/>
                </patternFill>
              </fill>
            </x14:dxf>
          </x14:cfRule>
          <xm:sqref>A76:G501 A2:B75 D2:G75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ErrorMessage="1" errorTitle="مادة غير موجودة" error="اختر مادة من صفحة المواد" xr:uid="{00000000-0002-0000-0300-000000000000}">
          <x14:formula1>
            <xm:f>المواد!$A$2:$A$320</xm:f>
          </x14:formula1>
          <xm:sqref>C2:C501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45F06"/>
  </sheetPr>
  <dimension ref="A1:D501"/>
  <sheetViews>
    <sheetView rightToLeft="1" workbookViewId="0">
      <pane ySplit="1" topLeftCell="A2" activePane="bottomLeft" state="frozen"/>
      <selection pane="bottomLeft" activeCell="C3" sqref="C3"/>
    </sheetView>
  </sheetViews>
  <sheetFormatPr defaultRowHeight="14.25"/>
  <cols>
    <col min="1" max="1" width="10" customWidth="1"/>
    <col min="2" max="2" width="14" customWidth="1"/>
    <col min="3" max="3" width="34" customWidth="1"/>
    <col min="4" max="4" width="40" customWidth="1"/>
  </cols>
  <sheetData>
    <row r="1" spans="1:4" ht="26.1" customHeight="1">
      <c r="A1" s="2" t="s">
        <v>168</v>
      </c>
      <c r="B1" s="2" t="s">
        <v>20</v>
      </c>
      <c r="C1" s="2" t="s">
        <v>16</v>
      </c>
      <c r="D1" s="2" t="s">
        <v>26</v>
      </c>
    </row>
    <row r="2" spans="1:4" ht="24" customHeight="1">
      <c r="A2" s="5">
        <f t="shared" ref="A2:A65" si="0">IF(C2="","",ROW()-1)</f>
        <v>1</v>
      </c>
      <c r="B2" s="18">
        <v>46211</v>
      </c>
      <c r="C2" s="9" t="s">
        <v>130</v>
      </c>
      <c r="D2" s="9" t="s">
        <v>171</v>
      </c>
    </row>
    <row r="3" spans="1:4" ht="24" customHeight="1">
      <c r="A3" s="5" t="str">
        <f t="shared" si="0"/>
        <v/>
      </c>
      <c r="B3" s="18">
        <v>46219</v>
      </c>
      <c r="C3" s="9"/>
      <c r="D3" s="9"/>
    </row>
    <row r="4" spans="1:4" ht="24" customHeight="1">
      <c r="A4" s="5" t="str">
        <f t="shared" si="0"/>
        <v/>
      </c>
      <c r="B4" s="18"/>
      <c r="C4" s="9"/>
      <c r="D4" s="9"/>
    </row>
    <row r="5" spans="1:4" ht="24" customHeight="1">
      <c r="A5" s="5" t="str">
        <f t="shared" si="0"/>
        <v/>
      </c>
      <c r="B5" s="18"/>
      <c r="C5" s="9"/>
      <c r="D5" s="9"/>
    </row>
    <row r="6" spans="1:4" ht="24" customHeight="1">
      <c r="A6" s="5" t="str">
        <f t="shared" si="0"/>
        <v/>
      </c>
      <c r="B6" s="18"/>
      <c r="C6" s="9"/>
      <c r="D6" s="9"/>
    </row>
    <row r="7" spans="1:4" ht="24" customHeight="1">
      <c r="A7" s="5" t="str">
        <f t="shared" si="0"/>
        <v/>
      </c>
      <c r="B7" s="18"/>
      <c r="C7" s="9"/>
      <c r="D7" s="9"/>
    </row>
    <row r="8" spans="1:4" ht="24" customHeight="1">
      <c r="A8" s="5" t="str">
        <f t="shared" si="0"/>
        <v/>
      </c>
      <c r="B8" s="18"/>
      <c r="C8" s="9"/>
      <c r="D8" s="9"/>
    </row>
    <row r="9" spans="1:4" ht="24" customHeight="1">
      <c r="A9" s="5" t="str">
        <f t="shared" si="0"/>
        <v/>
      </c>
      <c r="B9" s="18"/>
      <c r="C9" s="9"/>
      <c r="D9" s="9"/>
    </row>
    <row r="10" spans="1:4" ht="24" customHeight="1">
      <c r="A10" s="5" t="str">
        <f t="shared" si="0"/>
        <v/>
      </c>
      <c r="B10" s="18"/>
      <c r="C10" s="9"/>
      <c r="D10" s="9"/>
    </row>
    <row r="11" spans="1:4" ht="24" customHeight="1">
      <c r="A11" s="5" t="str">
        <f t="shared" si="0"/>
        <v/>
      </c>
      <c r="B11" s="18"/>
      <c r="C11" s="9"/>
      <c r="D11" s="9"/>
    </row>
    <row r="12" spans="1:4" ht="24" customHeight="1">
      <c r="A12" s="5" t="str">
        <f t="shared" si="0"/>
        <v/>
      </c>
      <c r="B12" s="18"/>
      <c r="C12" s="9"/>
      <c r="D12" s="9"/>
    </row>
    <row r="13" spans="1:4" ht="24" customHeight="1">
      <c r="A13" s="5" t="str">
        <f t="shared" si="0"/>
        <v/>
      </c>
      <c r="B13" s="18"/>
      <c r="C13" s="9"/>
      <c r="D13" s="9"/>
    </row>
    <row r="14" spans="1:4" ht="24" customHeight="1">
      <c r="A14" s="5" t="str">
        <f t="shared" si="0"/>
        <v/>
      </c>
      <c r="B14" s="18"/>
      <c r="C14" s="9"/>
      <c r="D14" s="9"/>
    </row>
    <row r="15" spans="1:4" ht="24" customHeight="1">
      <c r="A15" s="5" t="str">
        <f t="shared" si="0"/>
        <v/>
      </c>
      <c r="B15" s="18"/>
      <c r="C15" s="9"/>
      <c r="D15" s="9"/>
    </row>
    <row r="16" spans="1:4" ht="24" customHeight="1">
      <c r="A16" s="5" t="str">
        <f t="shared" si="0"/>
        <v/>
      </c>
      <c r="B16" s="18"/>
      <c r="C16" s="9"/>
      <c r="D16" s="9"/>
    </row>
    <row r="17" spans="1:4" ht="24" customHeight="1">
      <c r="A17" s="5" t="str">
        <f t="shared" si="0"/>
        <v/>
      </c>
      <c r="B17" s="18"/>
      <c r="C17" s="9"/>
      <c r="D17" s="9"/>
    </row>
    <row r="18" spans="1:4" ht="24" customHeight="1">
      <c r="A18" s="5" t="str">
        <f t="shared" si="0"/>
        <v/>
      </c>
      <c r="B18" s="18"/>
      <c r="C18" s="9"/>
      <c r="D18" s="9"/>
    </row>
    <row r="19" spans="1:4" ht="24" customHeight="1">
      <c r="A19" s="5" t="str">
        <f t="shared" si="0"/>
        <v/>
      </c>
      <c r="B19" s="18"/>
      <c r="C19" s="9"/>
      <c r="D19" s="9"/>
    </row>
    <row r="20" spans="1:4" ht="24" customHeight="1">
      <c r="A20" s="5" t="str">
        <f t="shared" si="0"/>
        <v/>
      </c>
      <c r="B20" s="18"/>
      <c r="C20" s="9"/>
      <c r="D20" s="9"/>
    </row>
    <row r="21" spans="1:4" ht="24" customHeight="1">
      <c r="A21" s="5" t="str">
        <f t="shared" si="0"/>
        <v/>
      </c>
      <c r="B21" s="18"/>
      <c r="C21" s="9"/>
      <c r="D21" s="9"/>
    </row>
    <row r="22" spans="1:4" ht="24" customHeight="1">
      <c r="A22" s="5" t="str">
        <f t="shared" si="0"/>
        <v/>
      </c>
      <c r="B22" s="18"/>
      <c r="C22" s="9"/>
      <c r="D22" s="9"/>
    </row>
    <row r="23" spans="1:4" ht="24" customHeight="1">
      <c r="A23" s="5" t="str">
        <f t="shared" si="0"/>
        <v/>
      </c>
      <c r="B23" s="18"/>
      <c r="C23" s="9"/>
      <c r="D23" s="9"/>
    </row>
    <row r="24" spans="1:4" ht="24" customHeight="1">
      <c r="A24" s="5" t="str">
        <f t="shared" si="0"/>
        <v/>
      </c>
      <c r="B24" s="18"/>
      <c r="C24" s="9"/>
      <c r="D24" s="9"/>
    </row>
    <row r="25" spans="1:4" ht="24" customHeight="1">
      <c r="A25" s="5" t="str">
        <f t="shared" si="0"/>
        <v/>
      </c>
      <c r="B25" s="18"/>
      <c r="C25" s="9"/>
      <c r="D25" s="9"/>
    </row>
    <row r="26" spans="1:4" ht="24" customHeight="1">
      <c r="A26" s="5" t="str">
        <f t="shared" si="0"/>
        <v/>
      </c>
      <c r="B26" s="18"/>
      <c r="C26" s="9"/>
      <c r="D26" s="9"/>
    </row>
    <row r="27" spans="1:4" ht="24" customHeight="1">
      <c r="A27" s="5" t="str">
        <f t="shared" si="0"/>
        <v/>
      </c>
      <c r="B27" s="18"/>
      <c r="C27" s="9"/>
      <c r="D27" s="9"/>
    </row>
    <row r="28" spans="1:4" ht="24" customHeight="1">
      <c r="A28" s="5" t="str">
        <f t="shared" si="0"/>
        <v/>
      </c>
      <c r="B28" s="18"/>
      <c r="C28" s="9"/>
      <c r="D28" s="9"/>
    </row>
    <row r="29" spans="1:4" ht="24" customHeight="1">
      <c r="A29" s="5" t="str">
        <f t="shared" si="0"/>
        <v/>
      </c>
      <c r="B29" s="18"/>
      <c r="C29" s="9"/>
      <c r="D29" s="9"/>
    </row>
    <row r="30" spans="1:4" ht="24" customHeight="1">
      <c r="A30" s="5" t="str">
        <f t="shared" si="0"/>
        <v/>
      </c>
      <c r="B30" s="18"/>
      <c r="C30" s="9"/>
      <c r="D30" s="9"/>
    </row>
    <row r="31" spans="1:4" ht="24" customHeight="1">
      <c r="A31" s="5" t="str">
        <f t="shared" si="0"/>
        <v/>
      </c>
      <c r="B31" s="18"/>
      <c r="C31" s="9"/>
      <c r="D31" s="9"/>
    </row>
    <row r="32" spans="1:4" ht="24" customHeight="1">
      <c r="A32" s="5" t="str">
        <f t="shared" si="0"/>
        <v/>
      </c>
      <c r="B32" s="18"/>
      <c r="C32" s="9"/>
      <c r="D32" s="9"/>
    </row>
    <row r="33" spans="1:4" ht="24" customHeight="1">
      <c r="A33" s="5" t="str">
        <f t="shared" si="0"/>
        <v/>
      </c>
      <c r="B33" s="18"/>
      <c r="C33" s="9"/>
      <c r="D33" s="9"/>
    </row>
    <row r="34" spans="1:4" ht="24" customHeight="1">
      <c r="A34" s="5" t="str">
        <f t="shared" si="0"/>
        <v/>
      </c>
      <c r="B34" s="18"/>
      <c r="C34" s="9"/>
      <c r="D34" s="9"/>
    </row>
    <row r="35" spans="1:4" ht="24" customHeight="1">
      <c r="A35" s="5" t="str">
        <f t="shared" si="0"/>
        <v/>
      </c>
      <c r="B35" s="18"/>
      <c r="C35" s="9"/>
      <c r="D35" s="9"/>
    </row>
    <row r="36" spans="1:4" ht="24" customHeight="1">
      <c r="A36" s="5" t="str">
        <f t="shared" si="0"/>
        <v/>
      </c>
      <c r="B36" s="18"/>
      <c r="C36" s="9"/>
      <c r="D36" s="9"/>
    </row>
    <row r="37" spans="1:4" ht="24" customHeight="1">
      <c r="A37" s="5" t="str">
        <f t="shared" si="0"/>
        <v/>
      </c>
      <c r="B37" s="18"/>
      <c r="C37" s="9"/>
      <c r="D37" s="9"/>
    </row>
    <row r="38" spans="1:4" ht="24" customHeight="1">
      <c r="A38" s="5" t="str">
        <f t="shared" si="0"/>
        <v/>
      </c>
      <c r="B38" s="18"/>
      <c r="C38" s="9"/>
      <c r="D38" s="9"/>
    </row>
    <row r="39" spans="1:4" ht="24" customHeight="1">
      <c r="A39" s="5" t="str">
        <f t="shared" si="0"/>
        <v/>
      </c>
      <c r="B39" s="18"/>
      <c r="C39" s="9"/>
      <c r="D39" s="9"/>
    </row>
    <row r="40" spans="1:4" ht="24" customHeight="1">
      <c r="A40" s="5" t="str">
        <f t="shared" si="0"/>
        <v/>
      </c>
      <c r="B40" s="18"/>
      <c r="C40" s="9"/>
      <c r="D40" s="9"/>
    </row>
    <row r="41" spans="1:4" ht="24" customHeight="1">
      <c r="A41" s="5" t="str">
        <f t="shared" si="0"/>
        <v/>
      </c>
      <c r="B41" s="18"/>
      <c r="C41" s="9"/>
      <c r="D41" s="9"/>
    </row>
    <row r="42" spans="1:4" ht="24" customHeight="1">
      <c r="A42" s="5" t="str">
        <f t="shared" si="0"/>
        <v/>
      </c>
      <c r="B42" s="18"/>
      <c r="C42" s="9"/>
      <c r="D42" s="9"/>
    </row>
    <row r="43" spans="1:4" ht="24" customHeight="1">
      <c r="A43" s="5" t="str">
        <f t="shared" si="0"/>
        <v/>
      </c>
      <c r="B43" s="18"/>
      <c r="C43" s="9"/>
      <c r="D43" s="9"/>
    </row>
    <row r="44" spans="1:4" ht="24" customHeight="1">
      <c r="A44" s="5" t="str">
        <f t="shared" si="0"/>
        <v/>
      </c>
      <c r="B44" s="18"/>
      <c r="C44" s="9"/>
      <c r="D44" s="9"/>
    </row>
    <row r="45" spans="1:4" ht="24" customHeight="1">
      <c r="A45" s="5" t="str">
        <f t="shared" si="0"/>
        <v/>
      </c>
      <c r="B45" s="18"/>
      <c r="C45" s="9"/>
      <c r="D45" s="9"/>
    </row>
    <row r="46" spans="1:4" ht="24" customHeight="1">
      <c r="A46" s="5" t="str">
        <f t="shared" si="0"/>
        <v/>
      </c>
      <c r="B46" s="18"/>
      <c r="C46" s="9"/>
      <c r="D46" s="9"/>
    </row>
    <row r="47" spans="1:4" ht="24" customHeight="1">
      <c r="A47" s="5" t="str">
        <f t="shared" si="0"/>
        <v/>
      </c>
      <c r="B47" s="18"/>
      <c r="C47" s="9"/>
      <c r="D47" s="9"/>
    </row>
    <row r="48" spans="1:4" ht="24" customHeight="1">
      <c r="A48" s="5" t="str">
        <f t="shared" si="0"/>
        <v/>
      </c>
      <c r="B48" s="18"/>
      <c r="C48" s="9"/>
      <c r="D48" s="9"/>
    </row>
    <row r="49" spans="1:4" ht="24" customHeight="1">
      <c r="A49" s="5" t="str">
        <f t="shared" si="0"/>
        <v/>
      </c>
      <c r="B49" s="18"/>
      <c r="C49" s="9"/>
      <c r="D49" s="9"/>
    </row>
    <row r="50" spans="1:4" ht="24" customHeight="1">
      <c r="A50" s="5" t="str">
        <f t="shared" si="0"/>
        <v/>
      </c>
      <c r="B50" s="18"/>
      <c r="C50" s="9"/>
      <c r="D50" s="9"/>
    </row>
    <row r="51" spans="1:4" ht="24" customHeight="1">
      <c r="A51" s="5" t="str">
        <f t="shared" si="0"/>
        <v/>
      </c>
      <c r="B51" s="18"/>
      <c r="C51" s="9"/>
      <c r="D51" s="9"/>
    </row>
    <row r="52" spans="1:4" ht="24" customHeight="1">
      <c r="A52" s="5" t="str">
        <f t="shared" si="0"/>
        <v/>
      </c>
      <c r="B52" s="18"/>
      <c r="C52" s="9"/>
      <c r="D52" s="9"/>
    </row>
    <row r="53" spans="1:4" ht="24" customHeight="1">
      <c r="A53" s="5" t="str">
        <f t="shared" si="0"/>
        <v/>
      </c>
      <c r="B53" s="18"/>
      <c r="C53" s="9"/>
      <c r="D53" s="9"/>
    </row>
    <row r="54" spans="1:4" ht="24" customHeight="1">
      <c r="A54" s="5" t="str">
        <f t="shared" si="0"/>
        <v/>
      </c>
      <c r="B54" s="18"/>
      <c r="C54" s="9"/>
      <c r="D54" s="9"/>
    </row>
    <row r="55" spans="1:4" ht="24" customHeight="1">
      <c r="A55" s="5" t="str">
        <f t="shared" si="0"/>
        <v/>
      </c>
      <c r="B55" s="18"/>
      <c r="C55" s="9"/>
      <c r="D55" s="9"/>
    </row>
    <row r="56" spans="1:4" ht="24" customHeight="1">
      <c r="A56" s="5" t="str">
        <f t="shared" si="0"/>
        <v/>
      </c>
      <c r="B56" s="18"/>
      <c r="C56" s="9"/>
      <c r="D56" s="9"/>
    </row>
    <row r="57" spans="1:4" ht="24" customHeight="1">
      <c r="A57" s="5" t="str">
        <f t="shared" si="0"/>
        <v/>
      </c>
      <c r="B57" s="18"/>
      <c r="C57" s="9"/>
      <c r="D57" s="9"/>
    </row>
    <row r="58" spans="1:4" ht="24" customHeight="1">
      <c r="A58" s="5" t="str">
        <f t="shared" si="0"/>
        <v/>
      </c>
      <c r="B58" s="18"/>
      <c r="C58" s="9"/>
      <c r="D58" s="9"/>
    </row>
    <row r="59" spans="1:4" ht="24" customHeight="1">
      <c r="A59" s="5" t="str">
        <f t="shared" si="0"/>
        <v/>
      </c>
      <c r="B59" s="18"/>
      <c r="C59" s="9"/>
      <c r="D59" s="9"/>
    </row>
    <row r="60" spans="1:4" ht="24" customHeight="1">
      <c r="A60" s="5" t="str">
        <f t="shared" si="0"/>
        <v/>
      </c>
      <c r="B60" s="18"/>
      <c r="C60" s="9"/>
      <c r="D60" s="9"/>
    </row>
    <row r="61" spans="1:4" ht="24" customHeight="1">
      <c r="A61" s="5" t="str">
        <f t="shared" si="0"/>
        <v/>
      </c>
      <c r="B61" s="18"/>
      <c r="C61" s="9"/>
      <c r="D61" s="9"/>
    </row>
    <row r="62" spans="1:4" ht="24" customHeight="1">
      <c r="A62" s="5" t="str">
        <f t="shared" si="0"/>
        <v/>
      </c>
      <c r="B62" s="18"/>
      <c r="C62" s="9"/>
      <c r="D62" s="9"/>
    </row>
    <row r="63" spans="1:4" ht="24" customHeight="1">
      <c r="A63" s="5" t="str">
        <f t="shared" si="0"/>
        <v/>
      </c>
      <c r="B63" s="18"/>
      <c r="C63" s="9"/>
      <c r="D63" s="9"/>
    </row>
    <row r="64" spans="1:4" ht="24" customHeight="1">
      <c r="A64" s="5" t="str">
        <f t="shared" si="0"/>
        <v/>
      </c>
      <c r="B64" s="18"/>
      <c r="C64" s="9"/>
      <c r="D64" s="9"/>
    </row>
    <row r="65" spans="1:4" ht="24" customHeight="1">
      <c r="A65" s="5" t="str">
        <f t="shared" si="0"/>
        <v/>
      </c>
      <c r="B65" s="18"/>
      <c r="C65" s="9"/>
      <c r="D65" s="9"/>
    </row>
    <row r="66" spans="1:4" ht="24" customHeight="1">
      <c r="A66" s="5" t="str">
        <f t="shared" ref="A66:A129" si="1">IF(C66="","",ROW()-1)</f>
        <v/>
      </c>
      <c r="B66" s="18"/>
      <c r="C66" s="9"/>
      <c r="D66" s="9"/>
    </row>
    <row r="67" spans="1:4" ht="24" customHeight="1">
      <c r="A67" s="5" t="str">
        <f t="shared" si="1"/>
        <v/>
      </c>
      <c r="B67" s="18"/>
      <c r="C67" s="9"/>
      <c r="D67" s="9"/>
    </row>
    <row r="68" spans="1:4" ht="24" customHeight="1">
      <c r="A68" s="5" t="str">
        <f t="shared" si="1"/>
        <v/>
      </c>
      <c r="B68" s="18"/>
      <c r="C68" s="9"/>
      <c r="D68" s="9"/>
    </row>
    <row r="69" spans="1:4" ht="24" customHeight="1">
      <c r="A69" s="5" t="str">
        <f t="shared" si="1"/>
        <v/>
      </c>
      <c r="B69" s="18"/>
      <c r="C69" s="9"/>
      <c r="D69" s="9"/>
    </row>
    <row r="70" spans="1:4" ht="24" customHeight="1">
      <c r="A70" s="5" t="str">
        <f t="shared" si="1"/>
        <v/>
      </c>
      <c r="B70" s="18"/>
      <c r="C70" s="9"/>
      <c r="D70" s="9"/>
    </row>
    <row r="71" spans="1:4" ht="24" customHeight="1">
      <c r="A71" s="5" t="str">
        <f t="shared" si="1"/>
        <v/>
      </c>
      <c r="B71" s="18"/>
      <c r="C71" s="9"/>
      <c r="D71" s="9"/>
    </row>
    <row r="72" spans="1:4" ht="24" customHeight="1">
      <c r="A72" s="5" t="str">
        <f t="shared" si="1"/>
        <v/>
      </c>
      <c r="B72" s="18"/>
      <c r="C72" s="9"/>
      <c r="D72" s="9"/>
    </row>
    <row r="73" spans="1:4" ht="24" customHeight="1">
      <c r="A73" s="5" t="str">
        <f t="shared" si="1"/>
        <v/>
      </c>
      <c r="B73" s="18"/>
      <c r="C73" s="9"/>
      <c r="D73" s="9"/>
    </row>
    <row r="74" spans="1:4" ht="24" customHeight="1">
      <c r="A74" s="5" t="str">
        <f t="shared" si="1"/>
        <v/>
      </c>
      <c r="B74" s="18"/>
      <c r="C74" s="9"/>
      <c r="D74" s="9"/>
    </row>
    <row r="75" spans="1:4" ht="24" customHeight="1">
      <c r="A75" s="5" t="str">
        <f t="shared" si="1"/>
        <v/>
      </c>
      <c r="B75" s="18"/>
      <c r="C75" s="9"/>
      <c r="D75" s="9"/>
    </row>
    <row r="76" spans="1:4" ht="24" customHeight="1">
      <c r="A76" s="5" t="str">
        <f t="shared" si="1"/>
        <v/>
      </c>
      <c r="B76" s="18"/>
      <c r="C76" s="9"/>
      <c r="D76" s="9"/>
    </row>
    <row r="77" spans="1:4" ht="24" customHeight="1">
      <c r="A77" s="5" t="str">
        <f t="shared" si="1"/>
        <v/>
      </c>
      <c r="B77" s="18"/>
      <c r="C77" s="9"/>
      <c r="D77" s="9"/>
    </row>
    <row r="78" spans="1:4" ht="24" customHeight="1">
      <c r="A78" s="5" t="str">
        <f t="shared" si="1"/>
        <v/>
      </c>
      <c r="B78" s="18"/>
      <c r="C78" s="9"/>
      <c r="D78" s="9"/>
    </row>
    <row r="79" spans="1:4" ht="24" customHeight="1">
      <c r="A79" s="5" t="str">
        <f t="shared" si="1"/>
        <v/>
      </c>
      <c r="B79" s="18"/>
      <c r="C79" s="9"/>
      <c r="D79" s="9"/>
    </row>
    <row r="80" spans="1:4" ht="24" customHeight="1">
      <c r="A80" s="5" t="str">
        <f t="shared" si="1"/>
        <v/>
      </c>
      <c r="B80" s="18"/>
      <c r="C80" s="9"/>
      <c r="D80" s="9"/>
    </row>
    <row r="81" spans="1:4" ht="24" customHeight="1">
      <c r="A81" s="5" t="str">
        <f t="shared" si="1"/>
        <v/>
      </c>
      <c r="B81" s="18"/>
      <c r="C81" s="9"/>
      <c r="D81" s="9"/>
    </row>
    <row r="82" spans="1:4" ht="24" customHeight="1">
      <c r="A82" s="5" t="str">
        <f t="shared" si="1"/>
        <v/>
      </c>
      <c r="B82" s="18"/>
      <c r="C82" s="9"/>
      <c r="D82" s="9"/>
    </row>
    <row r="83" spans="1:4" ht="24" customHeight="1">
      <c r="A83" s="5" t="str">
        <f t="shared" si="1"/>
        <v/>
      </c>
      <c r="B83" s="18"/>
      <c r="C83" s="9"/>
      <c r="D83" s="9"/>
    </row>
    <row r="84" spans="1:4" ht="24" customHeight="1">
      <c r="A84" s="5" t="str">
        <f t="shared" si="1"/>
        <v/>
      </c>
      <c r="B84" s="18"/>
      <c r="C84" s="9"/>
      <c r="D84" s="9"/>
    </row>
    <row r="85" spans="1:4" ht="24" customHeight="1">
      <c r="A85" s="5" t="str">
        <f t="shared" si="1"/>
        <v/>
      </c>
      <c r="B85" s="18"/>
      <c r="C85" s="9"/>
      <c r="D85" s="9"/>
    </row>
    <row r="86" spans="1:4" ht="24" customHeight="1">
      <c r="A86" s="5" t="str">
        <f t="shared" si="1"/>
        <v/>
      </c>
      <c r="B86" s="18"/>
      <c r="C86" s="9"/>
      <c r="D86" s="9"/>
    </row>
    <row r="87" spans="1:4" ht="24" customHeight="1">
      <c r="A87" s="5" t="str">
        <f t="shared" si="1"/>
        <v/>
      </c>
      <c r="B87" s="18"/>
      <c r="C87" s="9"/>
      <c r="D87" s="9"/>
    </row>
    <row r="88" spans="1:4" ht="24" customHeight="1">
      <c r="A88" s="5" t="str">
        <f t="shared" si="1"/>
        <v/>
      </c>
      <c r="B88" s="18"/>
      <c r="C88" s="9"/>
      <c r="D88" s="9"/>
    </row>
    <row r="89" spans="1:4" ht="24" customHeight="1">
      <c r="A89" s="5" t="str">
        <f t="shared" si="1"/>
        <v/>
      </c>
      <c r="B89" s="18"/>
      <c r="C89" s="9"/>
      <c r="D89" s="9"/>
    </row>
    <row r="90" spans="1:4" ht="24" customHeight="1">
      <c r="A90" s="5" t="str">
        <f t="shared" si="1"/>
        <v/>
      </c>
      <c r="B90" s="18"/>
      <c r="C90" s="9"/>
      <c r="D90" s="9"/>
    </row>
    <row r="91" spans="1:4" ht="24" customHeight="1">
      <c r="A91" s="5" t="str">
        <f t="shared" si="1"/>
        <v/>
      </c>
      <c r="B91" s="18"/>
      <c r="C91" s="9"/>
      <c r="D91" s="9"/>
    </row>
    <row r="92" spans="1:4" ht="24" customHeight="1">
      <c r="A92" s="5" t="str">
        <f t="shared" si="1"/>
        <v/>
      </c>
      <c r="B92" s="18"/>
      <c r="C92" s="9"/>
      <c r="D92" s="9"/>
    </row>
    <row r="93" spans="1:4" ht="24" customHeight="1">
      <c r="A93" s="5" t="str">
        <f t="shared" si="1"/>
        <v/>
      </c>
      <c r="B93" s="18"/>
      <c r="C93" s="9"/>
      <c r="D93" s="9"/>
    </row>
    <row r="94" spans="1:4" ht="24" customHeight="1">
      <c r="A94" s="5" t="str">
        <f t="shared" si="1"/>
        <v/>
      </c>
      <c r="B94" s="18"/>
      <c r="C94" s="9"/>
      <c r="D94" s="9"/>
    </row>
    <row r="95" spans="1:4" ht="24" customHeight="1">
      <c r="A95" s="5" t="str">
        <f t="shared" si="1"/>
        <v/>
      </c>
      <c r="B95" s="18"/>
      <c r="C95" s="9"/>
      <c r="D95" s="9"/>
    </row>
    <row r="96" spans="1:4" ht="24" customHeight="1">
      <c r="A96" s="5" t="str">
        <f t="shared" si="1"/>
        <v/>
      </c>
      <c r="B96" s="18"/>
      <c r="C96" s="9"/>
      <c r="D96" s="9"/>
    </row>
    <row r="97" spans="1:4" ht="24" customHeight="1">
      <c r="A97" s="5" t="str">
        <f t="shared" si="1"/>
        <v/>
      </c>
      <c r="B97" s="18"/>
      <c r="C97" s="9"/>
      <c r="D97" s="9"/>
    </row>
    <row r="98" spans="1:4" ht="24" customHeight="1">
      <c r="A98" s="5" t="str">
        <f t="shared" si="1"/>
        <v/>
      </c>
      <c r="B98" s="18"/>
      <c r="C98" s="9"/>
      <c r="D98" s="9"/>
    </row>
    <row r="99" spans="1:4" ht="24" customHeight="1">
      <c r="A99" s="5" t="str">
        <f t="shared" si="1"/>
        <v/>
      </c>
      <c r="B99" s="18"/>
      <c r="C99" s="9"/>
      <c r="D99" s="9"/>
    </row>
    <row r="100" spans="1:4" ht="24" customHeight="1">
      <c r="A100" s="5" t="str">
        <f t="shared" si="1"/>
        <v/>
      </c>
      <c r="B100" s="18"/>
      <c r="C100" s="9"/>
      <c r="D100" s="9"/>
    </row>
    <row r="101" spans="1:4" ht="24" customHeight="1">
      <c r="A101" s="5" t="str">
        <f t="shared" si="1"/>
        <v/>
      </c>
      <c r="B101" s="18"/>
      <c r="C101" s="9"/>
      <c r="D101" s="9"/>
    </row>
    <row r="102" spans="1:4" ht="24" customHeight="1">
      <c r="A102" s="5" t="str">
        <f t="shared" si="1"/>
        <v/>
      </c>
      <c r="B102" s="18"/>
      <c r="C102" s="9"/>
      <c r="D102" s="9"/>
    </row>
    <row r="103" spans="1:4" ht="24" customHeight="1">
      <c r="A103" s="5" t="str">
        <f t="shared" si="1"/>
        <v/>
      </c>
      <c r="B103" s="18"/>
      <c r="C103" s="9"/>
      <c r="D103" s="9"/>
    </row>
    <row r="104" spans="1:4" ht="24" customHeight="1">
      <c r="A104" s="5" t="str">
        <f t="shared" si="1"/>
        <v/>
      </c>
      <c r="B104" s="18"/>
      <c r="C104" s="9"/>
      <c r="D104" s="9"/>
    </row>
    <row r="105" spans="1:4" ht="24" customHeight="1">
      <c r="A105" s="5" t="str">
        <f t="shared" si="1"/>
        <v/>
      </c>
      <c r="B105" s="18"/>
      <c r="C105" s="9"/>
      <c r="D105" s="9"/>
    </row>
    <row r="106" spans="1:4" ht="24" customHeight="1">
      <c r="A106" s="5" t="str">
        <f t="shared" si="1"/>
        <v/>
      </c>
      <c r="B106" s="18"/>
      <c r="C106" s="9"/>
      <c r="D106" s="9"/>
    </row>
    <row r="107" spans="1:4" ht="24" customHeight="1">
      <c r="A107" s="5" t="str">
        <f t="shared" si="1"/>
        <v/>
      </c>
      <c r="B107" s="18"/>
      <c r="C107" s="9"/>
      <c r="D107" s="9"/>
    </row>
    <row r="108" spans="1:4" ht="24" customHeight="1">
      <c r="A108" s="5" t="str">
        <f t="shared" si="1"/>
        <v/>
      </c>
      <c r="B108" s="18"/>
      <c r="C108" s="9"/>
      <c r="D108" s="9"/>
    </row>
    <row r="109" spans="1:4" ht="24" customHeight="1">
      <c r="A109" s="5" t="str">
        <f t="shared" si="1"/>
        <v/>
      </c>
      <c r="B109" s="18"/>
      <c r="C109" s="9"/>
      <c r="D109" s="9"/>
    </row>
    <row r="110" spans="1:4" ht="24" customHeight="1">
      <c r="A110" s="5" t="str">
        <f t="shared" si="1"/>
        <v/>
      </c>
      <c r="B110" s="18"/>
      <c r="C110" s="9"/>
      <c r="D110" s="9"/>
    </row>
    <row r="111" spans="1:4" ht="24" customHeight="1">
      <c r="A111" s="5" t="str">
        <f t="shared" si="1"/>
        <v/>
      </c>
      <c r="B111" s="18"/>
      <c r="C111" s="9"/>
      <c r="D111" s="9"/>
    </row>
    <row r="112" spans="1:4" ht="24" customHeight="1">
      <c r="A112" s="5" t="str">
        <f t="shared" si="1"/>
        <v/>
      </c>
      <c r="B112" s="18"/>
      <c r="C112" s="9"/>
      <c r="D112" s="9"/>
    </row>
    <row r="113" spans="1:4" ht="24" customHeight="1">
      <c r="A113" s="5" t="str">
        <f t="shared" si="1"/>
        <v/>
      </c>
      <c r="B113" s="18"/>
      <c r="C113" s="9"/>
      <c r="D113" s="9"/>
    </row>
    <row r="114" spans="1:4" ht="24" customHeight="1">
      <c r="A114" s="5" t="str">
        <f t="shared" si="1"/>
        <v/>
      </c>
      <c r="B114" s="18"/>
      <c r="C114" s="9"/>
      <c r="D114" s="9"/>
    </row>
    <row r="115" spans="1:4" ht="24" customHeight="1">
      <c r="A115" s="5" t="str">
        <f t="shared" si="1"/>
        <v/>
      </c>
      <c r="B115" s="18"/>
      <c r="C115" s="9"/>
      <c r="D115" s="9"/>
    </row>
    <row r="116" spans="1:4" ht="24" customHeight="1">
      <c r="A116" s="5" t="str">
        <f t="shared" si="1"/>
        <v/>
      </c>
      <c r="B116" s="18"/>
      <c r="C116" s="9"/>
      <c r="D116" s="9"/>
    </row>
    <row r="117" spans="1:4" ht="24" customHeight="1">
      <c r="A117" s="5" t="str">
        <f t="shared" si="1"/>
        <v/>
      </c>
      <c r="B117" s="18"/>
      <c r="C117" s="9"/>
      <c r="D117" s="9"/>
    </row>
    <row r="118" spans="1:4" ht="24" customHeight="1">
      <c r="A118" s="5" t="str">
        <f t="shared" si="1"/>
        <v/>
      </c>
      <c r="B118" s="18"/>
      <c r="C118" s="9"/>
      <c r="D118" s="9"/>
    </row>
    <row r="119" spans="1:4" ht="24" customHeight="1">
      <c r="A119" s="5" t="str">
        <f t="shared" si="1"/>
        <v/>
      </c>
      <c r="B119" s="18"/>
      <c r="C119" s="9"/>
      <c r="D119" s="9"/>
    </row>
    <row r="120" spans="1:4" ht="24" customHeight="1">
      <c r="A120" s="5" t="str">
        <f t="shared" si="1"/>
        <v/>
      </c>
      <c r="B120" s="18"/>
      <c r="C120" s="9"/>
      <c r="D120" s="9"/>
    </row>
    <row r="121" spans="1:4" ht="24" customHeight="1">
      <c r="A121" s="5" t="str">
        <f t="shared" si="1"/>
        <v/>
      </c>
      <c r="B121" s="18"/>
      <c r="C121" s="9"/>
      <c r="D121" s="9"/>
    </row>
    <row r="122" spans="1:4" ht="24" customHeight="1">
      <c r="A122" s="5" t="str">
        <f t="shared" si="1"/>
        <v/>
      </c>
      <c r="B122" s="18"/>
      <c r="C122" s="9"/>
      <c r="D122" s="9"/>
    </row>
    <row r="123" spans="1:4" ht="24" customHeight="1">
      <c r="A123" s="5" t="str">
        <f t="shared" si="1"/>
        <v/>
      </c>
      <c r="B123" s="18"/>
      <c r="C123" s="9"/>
      <c r="D123" s="9"/>
    </row>
    <row r="124" spans="1:4" ht="24" customHeight="1">
      <c r="A124" s="5" t="str">
        <f t="shared" si="1"/>
        <v/>
      </c>
      <c r="B124" s="18"/>
      <c r="C124" s="9"/>
      <c r="D124" s="9"/>
    </row>
    <row r="125" spans="1:4" ht="24" customHeight="1">
      <c r="A125" s="5" t="str">
        <f t="shared" si="1"/>
        <v/>
      </c>
      <c r="B125" s="18"/>
      <c r="C125" s="9"/>
      <c r="D125" s="9"/>
    </row>
    <row r="126" spans="1:4" ht="24" customHeight="1">
      <c r="A126" s="5" t="str">
        <f t="shared" si="1"/>
        <v/>
      </c>
      <c r="B126" s="18"/>
      <c r="C126" s="9"/>
      <c r="D126" s="9"/>
    </row>
    <row r="127" spans="1:4" ht="24" customHeight="1">
      <c r="A127" s="5" t="str">
        <f t="shared" si="1"/>
        <v/>
      </c>
      <c r="B127" s="18"/>
      <c r="C127" s="9"/>
      <c r="D127" s="9"/>
    </row>
    <row r="128" spans="1:4" ht="24" customHeight="1">
      <c r="A128" s="5" t="str">
        <f t="shared" si="1"/>
        <v/>
      </c>
      <c r="B128" s="18"/>
      <c r="C128" s="9"/>
      <c r="D128" s="9"/>
    </row>
    <row r="129" spans="1:4" ht="24" customHeight="1">
      <c r="A129" s="5" t="str">
        <f t="shared" si="1"/>
        <v/>
      </c>
      <c r="B129" s="18"/>
      <c r="C129" s="9"/>
      <c r="D129" s="9"/>
    </row>
    <row r="130" spans="1:4" ht="24" customHeight="1">
      <c r="A130" s="5" t="str">
        <f t="shared" ref="A130:A193" si="2">IF(C130="","",ROW()-1)</f>
        <v/>
      </c>
      <c r="B130" s="18"/>
      <c r="C130" s="9"/>
      <c r="D130" s="9"/>
    </row>
    <row r="131" spans="1:4" ht="24" customHeight="1">
      <c r="A131" s="5" t="str">
        <f t="shared" si="2"/>
        <v/>
      </c>
      <c r="B131" s="18"/>
      <c r="C131" s="9"/>
      <c r="D131" s="9"/>
    </row>
    <row r="132" spans="1:4" ht="24" customHeight="1">
      <c r="A132" s="5" t="str">
        <f t="shared" si="2"/>
        <v/>
      </c>
      <c r="B132" s="18"/>
      <c r="C132" s="9"/>
      <c r="D132" s="9"/>
    </row>
    <row r="133" spans="1:4" ht="24" customHeight="1">
      <c r="A133" s="5" t="str">
        <f t="shared" si="2"/>
        <v/>
      </c>
      <c r="B133" s="18"/>
      <c r="C133" s="9"/>
      <c r="D133" s="9"/>
    </row>
    <row r="134" spans="1:4" ht="24" customHeight="1">
      <c r="A134" s="5" t="str">
        <f t="shared" si="2"/>
        <v/>
      </c>
      <c r="B134" s="18"/>
      <c r="C134" s="9"/>
      <c r="D134" s="9"/>
    </row>
    <row r="135" spans="1:4" ht="24" customHeight="1">
      <c r="A135" s="5" t="str">
        <f t="shared" si="2"/>
        <v/>
      </c>
      <c r="B135" s="18"/>
      <c r="C135" s="9"/>
      <c r="D135" s="9"/>
    </row>
    <row r="136" spans="1:4" ht="24" customHeight="1">
      <c r="A136" s="5" t="str">
        <f t="shared" si="2"/>
        <v/>
      </c>
      <c r="B136" s="18"/>
      <c r="C136" s="9"/>
      <c r="D136" s="9"/>
    </row>
    <row r="137" spans="1:4" ht="24" customHeight="1">
      <c r="A137" s="5" t="str">
        <f t="shared" si="2"/>
        <v/>
      </c>
      <c r="B137" s="18"/>
      <c r="C137" s="9"/>
      <c r="D137" s="9"/>
    </row>
    <row r="138" spans="1:4" ht="24" customHeight="1">
      <c r="A138" s="5" t="str">
        <f t="shared" si="2"/>
        <v/>
      </c>
      <c r="B138" s="18"/>
      <c r="C138" s="9"/>
      <c r="D138" s="9"/>
    </row>
    <row r="139" spans="1:4" ht="24" customHeight="1">
      <c r="A139" s="5" t="str">
        <f t="shared" si="2"/>
        <v/>
      </c>
      <c r="B139" s="18"/>
      <c r="C139" s="9"/>
      <c r="D139" s="9"/>
    </row>
    <row r="140" spans="1:4" ht="24" customHeight="1">
      <c r="A140" s="5" t="str">
        <f t="shared" si="2"/>
        <v/>
      </c>
      <c r="B140" s="18"/>
      <c r="C140" s="9"/>
      <c r="D140" s="9"/>
    </row>
    <row r="141" spans="1:4" ht="24" customHeight="1">
      <c r="A141" s="5" t="str">
        <f t="shared" si="2"/>
        <v/>
      </c>
      <c r="B141" s="18"/>
      <c r="C141" s="9"/>
      <c r="D141" s="9"/>
    </row>
    <row r="142" spans="1:4" ht="24" customHeight="1">
      <c r="A142" s="5" t="str">
        <f t="shared" si="2"/>
        <v/>
      </c>
      <c r="B142" s="18"/>
      <c r="C142" s="9"/>
      <c r="D142" s="9"/>
    </row>
    <row r="143" spans="1:4" ht="24" customHeight="1">
      <c r="A143" s="5" t="str">
        <f t="shared" si="2"/>
        <v/>
      </c>
      <c r="B143" s="18"/>
      <c r="C143" s="9"/>
      <c r="D143" s="9"/>
    </row>
    <row r="144" spans="1:4" ht="24" customHeight="1">
      <c r="A144" s="5" t="str">
        <f t="shared" si="2"/>
        <v/>
      </c>
      <c r="B144" s="18"/>
      <c r="C144" s="9"/>
      <c r="D144" s="9"/>
    </row>
    <row r="145" spans="1:4" ht="24" customHeight="1">
      <c r="A145" s="5" t="str">
        <f t="shared" si="2"/>
        <v/>
      </c>
      <c r="B145" s="18"/>
      <c r="C145" s="9"/>
      <c r="D145" s="9"/>
    </row>
    <row r="146" spans="1:4" ht="24" customHeight="1">
      <c r="A146" s="5" t="str">
        <f t="shared" si="2"/>
        <v/>
      </c>
      <c r="B146" s="18"/>
      <c r="C146" s="9"/>
      <c r="D146" s="9"/>
    </row>
    <row r="147" spans="1:4" ht="24" customHeight="1">
      <c r="A147" s="5" t="str">
        <f t="shared" si="2"/>
        <v/>
      </c>
      <c r="B147" s="18"/>
      <c r="C147" s="9"/>
      <c r="D147" s="9"/>
    </row>
    <row r="148" spans="1:4" ht="24" customHeight="1">
      <c r="A148" s="5" t="str">
        <f t="shared" si="2"/>
        <v/>
      </c>
      <c r="B148" s="18"/>
      <c r="C148" s="9"/>
      <c r="D148" s="9"/>
    </row>
    <row r="149" spans="1:4" ht="24" customHeight="1">
      <c r="A149" s="5" t="str">
        <f t="shared" si="2"/>
        <v/>
      </c>
      <c r="B149" s="18"/>
      <c r="C149" s="9"/>
      <c r="D149" s="9"/>
    </row>
    <row r="150" spans="1:4" ht="24" customHeight="1">
      <c r="A150" s="5" t="str">
        <f t="shared" si="2"/>
        <v/>
      </c>
      <c r="B150" s="18"/>
      <c r="C150" s="9"/>
      <c r="D150" s="9"/>
    </row>
    <row r="151" spans="1:4" ht="24" customHeight="1">
      <c r="A151" s="5" t="str">
        <f t="shared" si="2"/>
        <v/>
      </c>
      <c r="B151" s="18"/>
      <c r="C151" s="9"/>
      <c r="D151" s="9"/>
    </row>
    <row r="152" spans="1:4" ht="24" customHeight="1">
      <c r="A152" s="5" t="str">
        <f t="shared" si="2"/>
        <v/>
      </c>
      <c r="B152" s="18"/>
      <c r="C152" s="9"/>
      <c r="D152" s="9"/>
    </row>
    <row r="153" spans="1:4" ht="24" customHeight="1">
      <c r="A153" s="5" t="str">
        <f t="shared" si="2"/>
        <v/>
      </c>
      <c r="B153" s="18"/>
      <c r="C153" s="9"/>
      <c r="D153" s="9"/>
    </row>
    <row r="154" spans="1:4" ht="24" customHeight="1">
      <c r="A154" s="5" t="str">
        <f t="shared" si="2"/>
        <v/>
      </c>
      <c r="B154" s="18"/>
      <c r="C154" s="9"/>
      <c r="D154" s="9"/>
    </row>
    <row r="155" spans="1:4" ht="24" customHeight="1">
      <c r="A155" s="5" t="str">
        <f t="shared" si="2"/>
        <v/>
      </c>
      <c r="B155" s="18"/>
      <c r="C155" s="9"/>
      <c r="D155" s="9"/>
    </row>
    <row r="156" spans="1:4" ht="24" customHeight="1">
      <c r="A156" s="5" t="str">
        <f t="shared" si="2"/>
        <v/>
      </c>
      <c r="B156" s="18"/>
      <c r="C156" s="9"/>
      <c r="D156" s="9"/>
    </row>
    <row r="157" spans="1:4" ht="24" customHeight="1">
      <c r="A157" s="5" t="str">
        <f t="shared" si="2"/>
        <v/>
      </c>
      <c r="B157" s="18"/>
      <c r="C157" s="9"/>
      <c r="D157" s="9"/>
    </row>
    <row r="158" spans="1:4" ht="24" customHeight="1">
      <c r="A158" s="5" t="str">
        <f t="shared" si="2"/>
        <v/>
      </c>
      <c r="B158" s="18"/>
      <c r="C158" s="9"/>
      <c r="D158" s="9"/>
    </row>
    <row r="159" spans="1:4" ht="24" customHeight="1">
      <c r="A159" s="5" t="str">
        <f t="shared" si="2"/>
        <v/>
      </c>
      <c r="B159" s="18"/>
      <c r="C159" s="9"/>
      <c r="D159" s="9"/>
    </row>
    <row r="160" spans="1:4" ht="24" customHeight="1">
      <c r="A160" s="5" t="str">
        <f t="shared" si="2"/>
        <v/>
      </c>
      <c r="B160" s="18"/>
      <c r="C160" s="9"/>
      <c r="D160" s="9"/>
    </row>
    <row r="161" spans="1:4" ht="24" customHeight="1">
      <c r="A161" s="5" t="str">
        <f t="shared" si="2"/>
        <v/>
      </c>
      <c r="B161" s="18"/>
      <c r="C161" s="9"/>
      <c r="D161" s="9"/>
    </row>
    <row r="162" spans="1:4" ht="24" customHeight="1">
      <c r="A162" s="5" t="str">
        <f t="shared" si="2"/>
        <v/>
      </c>
      <c r="B162" s="18"/>
      <c r="C162" s="9"/>
      <c r="D162" s="9"/>
    </row>
    <row r="163" spans="1:4" ht="24" customHeight="1">
      <c r="A163" s="5" t="str">
        <f t="shared" si="2"/>
        <v/>
      </c>
      <c r="B163" s="18"/>
      <c r="C163" s="9"/>
      <c r="D163" s="9"/>
    </row>
    <row r="164" spans="1:4" ht="24" customHeight="1">
      <c r="A164" s="5" t="str">
        <f t="shared" si="2"/>
        <v/>
      </c>
      <c r="B164" s="18"/>
      <c r="C164" s="9"/>
      <c r="D164" s="9"/>
    </row>
    <row r="165" spans="1:4" ht="24" customHeight="1">
      <c r="A165" s="5" t="str">
        <f t="shared" si="2"/>
        <v/>
      </c>
      <c r="B165" s="18"/>
      <c r="C165" s="9"/>
      <c r="D165" s="9"/>
    </row>
    <row r="166" spans="1:4" ht="24" customHeight="1">
      <c r="A166" s="5" t="str">
        <f t="shared" si="2"/>
        <v/>
      </c>
      <c r="B166" s="18"/>
      <c r="C166" s="9"/>
      <c r="D166" s="9"/>
    </row>
    <row r="167" spans="1:4" ht="24" customHeight="1">
      <c r="A167" s="5" t="str">
        <f t="shared" si="2"/>
        <v/>
      </c>
      <c r="B167" s="18"/>
      <c r="C167" s="9"/>
      <c r="D167" s="9"/>
    </row>
    <row r="168" spans="1:4" ht="24" customHeight="1">
      <c r="A168" s="5" t="str">
        <f t="shared" si="2"/>
        <v/>
      </c>
      <c r="B168" s="18"/>
      <c r="C168" s="9"/>
      <c r="D168" s="9"/>
    </row>
    <row r="169" spans="1:4" ht="24" customHeight="1">
      <c r="A169" s="5" t="str">
        <f t="shared" si="2"/>
        <v/>
      </c>
      <c r="B169" s="18"/>
      <c r="C169" s="9"/>
      <c r="D169" s="9"/>
    </row>
    <row r="170" spans="1:4" ht="24" customHeight="1">
      <c r="A170" s="5" t="str">
        <f t="shared" si="2"/>
        <v/>
      </c>
      <c r="B170" s="18"/>
      <c r="C170" s="9"/>
      <c r="D170" s="9"/>
    </row>
    <row r="171" spans="1:4" ht="24" customHeight="1">
      <c r="A171" s="5" t="str">
        <f t="shared" si="2"/>
        <v/>
      </c>
      <c r="B171" s="18"/>
      <c r="C171" s="9"/>
      <c r="D171" s="9"/>
    </row>
    <row r="172" spans="1:4" ht="24" customHeight="1">
      <c r="A172" s="5" t="str">
        <f t="shared" si="2"/>
        <v/>
      </c>
      <c r="B172" s="18"/>
      <c r="C172" s="9"/>
      <c r="D172" s="9"/>
    </row>
    <row r="173" spans="1:4" ht="24" customHeight="1">
      <c r="A173" s="5" t="str">
        <f t="shared" si="2"/>
        <v/>
      </c>
      <c r="B173" s="18"/>
      <c r="C173" s="9"/>
      <c r="D173" s="9"/>
    </row>
    <row r="174" spans="1:4" ht="24" customHeight="1">
      <c r="A174" s="5" t="str">
        <f t="shared" si="2"/>
        <v/>
      </c>
      <c r="B174" s="18"/>
      <c r="C174" s="9"/>
      <c r="D174" s="9"/>
    </row>
    <row r="175" spans="1:4" ht="24" customHeight="1">
      <c r="A175" s="5" t="str">
        <f t="shared" si="2"/>
        <v/>
      </c>
      <c r="B175" s="18"/>
      <c r="C175" s="9"/>
      <c r="D175" s="9"/>
    </row>
    <row r="176" spans="1:4" ht="24" customHeight="1">
      <c r="A176" s="5" t="str">
        <f t="shared" si="2"/>
        <v/>
      </c>
      <c r="B176" s="18"/>
      <c r="C176" s="9"/>
      <c r="D176" s="9"/>
    </row>
    <row r="177" spans="1:4" ht="24" customHeight="1">
      <c r="A177" s="5" t="str">
        <f t="shared" si="2"/>
        <v/>
      </c>
      <c r="B177" s="18"/>
      <c r="C177" s="9"/>
      <c r="D177" s="9"/>
    </row>
    <row r="178" spans="1:4" ht="24" customHeight="1">
      <c r="A178" s="5" t="str">
        <f t="shared" si="2"/>
        <v/>
      </c>
      <c r="B178" s="18"/>
      <c r="C178" s="9"/>
      <c r="D178" s="9"/>
    </row>
    <row r="179" spans="1:4" ht="24" customHeight="1">
      <c r="A179" s="5" t="str">
        <f t="shared" si="2"/>
        <v/>
      </c>
      <c r="B179" s="18"/>
      <c r="C179" s="9"/>
      <c r="D179" s="9"/>
    </row>
    <row r="180" spans="1:4" ht="24" customHeight="1">
      <c r="A180" s="5" t="str">
        <f t="shared" si="2"/>
        <v/>
      </c>
      <c r="B180" s="18"/>
      <c r="C180" s="9"/>
      <c r="D180" s="9"/>
    </row>
    <row r="181" spans="1:4" ht="24" customHeight="1">
      <c r="A181" s="5" t="str">
        <f t="shared" si="2"/>
        <v/>
      </c>
      <c r="B181" s="18"/>
      <c r="C181" s="9"/>
      <c r="D181" s="9"/>
    </row>
    <row r="182" spans="1:4" ht="24" customHeight="1">
      <c r="A182" s="5" t="str">
        <f t="shared" si="2"/>
        <v/>
      </c>
      <c r="B182" s="18"/>
      <c r="C182" s="9"/>
      <c r="D182" s="9"/>
    </row>
    <row r="183" spans="1:4" ht="24" customHeight="1">
      <c r="A183" s="5" t="str">
        <f t="shared" si="2"/>
        <v/>
      </c>
      <c r="B183" s="18"/>
      <c r="C183" s="9"/>
      <c r="D183" s="9"/>
    </row>
    <row r="184" spans="1:4" ht="24" customHeight="1">
      <c r="A184" s="5" t="str">
        <f t="shared" si="2"/>
        <v/>
      </c>
      <c r="B184" s="18"/>
      <c r="C184" s="9"/>
      <c r="D184" s="9"/>
    </row>
    <row r="185" spans="1:4" ht="24" customHeight="1">
      <c r="A185" s="5" t="str">
        <f t="shared" si="2"/>
        <v/>
      </c>
      <c r="B185" s="18"/>
      <c r="C185" s="9"/>
      <c r="D185" s="9"/>
    </row>
    <row r="186" spans="1:4" ht="24" customHeight="1">
      <c r="A186" s="5" t="str">
        <f t="shared" si="2"/>
        <v/>
      </c>
      <c r="B186" s="18"/>
      <c r="C186" s="9"/>
      <c r="D186" s="9"/>
    </row>
    <row r="187" spans="1:4" ht="24" customHeight="1">
      <c r="A187" s="5" t="str">
        <f t="shared" si="2"/>
        <v/>
      </c>
      <c r="B187" s="18"/>
      <c r="C187" s="9"/>
      <c r="D187" s="9"/>
    </row>
    <row r="188" spans="1:4" ht="24" customHeight="1">
      <c r="A188" s="5" t="str">
        <f t="shared" si="2"/>
        <v/>
      </c>
      <c r="B188" s="18"/>
      <c r="C188" s="9"/>
      <c r="D188" s="9"/>
    </row>
    <row r="189" spans="1:4" ht="24" customHeight="1">
      <c r="A189" s="5" t="str">
        <f t="shared" si="2"/>
        <v/>
      </c>
      <c r="B189" s="18"/>
      <c r="C189" s="9"/>
      <c r="D189" s="9"/>
    </row>
    <row r="190" spans="1:4" ht="24" customHeight="1">
      <c r="A190" s="5" t="str">
        <f t="shared" si="2"/>
        <v/>
      </c>
      <c r="B190" s="18"/>
      <c r="C190" s="9"/>
      <c r="D190" s="9"/>
    </row>
    <row r="191" spans="1:4" ht="24" customHeight="1">
      <c r="A191" s="5" t="str">
        <f t="shared" si="2"/>
        <v/>
      </c>
      <c r="B191" s="18"/>
      <c r="C191" s="9"/>
      <c r="D191" s="9"/>
    </row>
    <row r="192" spans="1:4" ht="24" customHeight="1">
      <c r="A192" s="5" t="str">
        <f t="shared" si="2"/>
        <v/>
      </c>
      <c r="B192" s="18"/>
      <c r="C192" s="9"/>
      <c r="D192" s="9"/>
    </row>
    <row r="193" spans="1:4" ht="24" customHeight="1">
      <c r="A193" s="5" t="str">
        <f t="shared" si="2"/>
        <v/>
      </c>
      <c r="B193" s="18"/>
      <c r="C193" s="9"/>
      <c r="D193" s="9"/>
    </row>
    <row r="194" spans="1:4" ht="24" customHeight="1">
      <c r="A194" s="5" t="str">
        <f t="shared" ref="A194:A257" si="3">IF(C194="","",ROW()-1)</f>
        <v/>
      </c>
      <c r="B194" s="18"/>
      <c r="C194" s="9"/>
      <c r="D194" s="9"/>
    </row>
    <row r="195" spans="1:4" ht="24" customHeight="1">
      <c r="A195" s="5" t="str">
        <f t="shared" si="3"/>
        <v/>
      </c>
      <c r="B195" s="18"/>
      <c r="C195" s="9"/>
      <c r="D195" s="9"/>
    </row>
    <row r="196" spans="1:4" ht="24" customHeight="1">
      <c r="A196" s="5" t="str">
        <f t="shared" si="3"/>
        <v/>
      </c>
      <c r="B196" s="18"/>
      <c r="C196" s="9"/>
      <c r="D196" s="9"/>
    </row>
    <row r="197" spans="1:4" ht="24" customHeight="1">
      <c r="A197" s="5" t="str">
        <f t="shared" si="3"/>
        <v/>
      </c>
      <c r="B197" s="18"/>
      <c r="C197" s="9"/>
      <c r="D197" s="9"/>
    </row>
    <row r="198" spans="1:4" ht="24" customHeight="1">
      <c r="A198" s="5" t="str">
        <f t="shared" si="3"/>
        <v/>
      </c>
      <c r="B198" s="18"/>
      <c r="C198" s="9"/>
      <c r="D198" s="9"/>
    </row>
    <row r="199" spans="1:4" ht="24" customHeight="1">
      <c r="A199" s="5" t="str">
        <f t="shared" si="3"/>
        <v/>
      </c>
      <c r="B199" s="18"/>
      <c r="C199" s="9"/>
      <c r="D199" s="9"/>
    </row>
    <row r="200" spans="1:4" ht="24" customHeight="1">
      <c r="A200" s="5" t="str">
        <f t="shared" si="3"/>
        <v/>
      </c>
      <c r="B200" s="18"/>
      <c r="C200" s="9"/>
      <c r="D200" s="9"/>
    </row>
    <row r="201" spans="1:4" ht="24" customHeight="1">
      <c r="A201" s="5" t="str">
        <f t="shared" si="3"/>
        <v/>
      </c>
      <c r="B201" s="18"/>
      <c r="C201" s="9"/>
      <c r="D201" s="9"/>
    </row>
    <row r="202" spans="1:4" ht="24" customHeight="1">
      <c r="A202" s="5" t="str">
        <f t="shared" si="3"/>
        <v/>
      </c>
      <c r="B202" s="18"/>
      <c r="C202" s="9"/>
      <c r="D202" s="9"/>
    </row>
    <row r="203" spans="1:4" ht="24" customHeight="1">
      <c r="A203" s="5" t="str">
        <f t="shared" si="3"/>
        <v/>
      </c>
      <c r="B203" s="18"/>
      <c r="C203" s="9"/>
      <c r="D203" s="9"/>
    </row>
    <row r="204" spans="1:4" ht="24" customHeight="1">
      <c r="A204" s="5" t="str">
        <f t="shared" si="3"/>
        <v/>
      </c>
      <c r="B204" s="18"/>
      <c r="C204" s="9"/>
      <c r="D204" s="9"/>
    </row>
    <row r="205" spans="1:4" ht="24" customHeight="1">
      <c r="A205" s="5" t="str">
        <f t="shared" si="3"/>
        <v/>
      </c>
      <c r="B205" s="18"/>
      <c r="C205" s="9"/>
      <c r="D205" s="9"/>
    </row>
    <row r="206" spans="1:4" ht="24" customHeight="1">
      <c r="A206" s="5" t="str">
        <f t="shared" si="3"/>
        <v/>
      </c>
      <c r="B206" s="18"/>
      <c r="C206" s="9"/>
      <c r="D206" s="9"/>
    </row>
    <row r="207" spans="1:4" ht="24" customHeight="1">
      <c r="A207" s="5" t="str">
        <f t="shared" si="3"/>
        <v/>
      </c>
      <c r="B207" s="18"/>
      <c r="C207" s="9"/>
      <c r="D207" s="9"/>
    </row>
    <row r="208" spans="1:4" ht="24" customHeight="1">
      <c r="A208" s="5" t="str">
        <f t="shared" si="3"/>
        <v/>
      </c>
      <c r="B208" s="18"/>
      <c r="C208" s="9"/>
      <c r="D208" s="9"/>
    </row>
    <row r="209" spans="1:4" ht="24" customHeight="1">
      <c r="A209" s="5" t="str">
        <f t="shared" si="3"/>
        <v/>
      </c>
      <c r="B209" s="18"/>
      <c r="C209" s="9"/>
      <c r="D209" s="9"/>
    </row>
    <row r="210" spans="1:4" ht="24" customHeight="1">
      <c r="A210" s="5" t="str">
        <f t="shared" si="3"/>
        <v/>
      </c>
      <c r="B210" s="18"/>
      <c r="C210" s="9"/>
      <c r="D210" s="9"/>
    </row>
    <row r="211" spans="1:4" ht="24" customHeight="1">
      <c r="A211" s="5" t="str">
        <f t="shared" si="3"/>
        <v/>
      </c>
      <c r="B211" s="18"/>
      <c r="C211" s="9"/>
      <c r="D211" s="9"/>
    </row>
    <row r="212" spans="1:4" ht="24" customHeight="1">
      <c r="A212" s="5" t="str">
        <f t="shared" si="3"/>
        <v/>
      </c>
      <c r="B212" s="18"/>
      <c r="C212" s="9"/>
      <c r="D212" s="9"/>
    </row>
    <row r="213" spans="1:4" ht="24" customHeight="1">
      <c r="A213" s="5" t="str">
        <f t="shared" si="3"/>
        <v/>
      </c>
      <c r="B213" s="18"/>
      <c r="C213" s="9"/>
      <c r="D213" s="9"/>
    </row>
    <row r="214" spans="1:4" ht="24" customHeight="1">
      <c r="A214" s="5" t="str">
        <f t="shared" si="3"/>
        <v/>
      </c>
      <c r="B214" s="18"/>
      <c r="C214" s="9"/>
      <c r="D214" s="9"/>
    </row>
    <row r="215" spans="1:4" ht="24" customHeight="1">
      <c r="A215" s="5" t="str">
        <f t="shared" si="3"/>
        <v/>
      </c>
      <c r="B215" s="18"/>
      <c r="C215" s="9"/>
      <c r="D215" s="9"/>
    </row>
    <row r="216" spans="1:4" ht="24" customHeight="1">
      <c r="A216" s="5" t="str">
        <f t="shared" si="3"/>
        <v/>
      </c>
      <c r="B216" s="18"/>
      <c r="C216" s="9"/>
      <c r="D216" s="9"/>
    </row>
    <row r="217" spans="1:4" ht="24" customHeight="1">
      <c r="A217" s="5" t="str">
        <f t="shared" si="3"/>
        <v/>
      </c>
      <c r="B217" s="18"/>
      <c r="C217" s="9"/>
      <c r="D217" s="9"/>
    </row>
    <row r="218" spans="1:4" ht="24" customHeight="1">
      <c r="A218" s="5" t="str">
        <f t="shared" si="3"/>
        <v/>
      </c>
      <c r="B218" s="18"/>
      <c r="C218" s="9"/>
      <c r="D218" s="9"/>
    </row>
    <row r="219" spans="1:4" ht="24" customHeight="1">
      <c r="A219" s="5" t="str">
        <f t="shared" si="3"/>
        <v/>
      </c>
      <c r="B219" s="18"/>
      <c r="C219" s="9"/>
      <c r="D219" s="9"/>
    </row>
    <row r="220" spans="1:4" ht="24" customHeight="1">
      <c r="A220" s="5" t="str">
        <f t="shared" si="3"/>
        <v/>
      </c>
      <c r="B220" s="18"/>
      <c r="C220" s="9"/>
      <c r="D220" s="9"/>
    </row>
    <row r="221" spans="1:4" ht="24" customHeight="1">
      <c r="A221" s="5" t="str">
        <f t="shared" si="3"/>
        <v/>
      </c>
      <c r="B221" s="18"/>
      <c r="C221" s="9"/>
      <c r="D221" s="9"/>
    </row>
    <row r="222" spans="1:4" ht="24" customHeight="1">
      <c r="A222" s="5" t="str">
        <f t="shared" si="3"/>
        <v/>
      </c>
      <c r="B222" s="18"/>
      <c r="C222" s="9"/>
      <c r="D222" s="9"/>
    </row>
    <row r="223" spans="1:4" ht="24" customHeight="1">
      <c r="A223" s="5" t="str">
        <f t="shared" si="3"/>
        <v/>
      </c>
      <c r="B223" s="18"/>
      <c r="C223" s="9"/>
      <c r="D223" s="9"/>
    </row>
    <row r="224" spans="1:4" ht="24" customHeight="1">
      <c r="A224" s="5" t="str">
        <f t="shared" si="3"/>
        <v/>
      </c>
      <c r="B224" s="18"/>
      <c r="C224" s="9"/>
      <c r="D224" s="9"/>
    </row>
    <row r="225" spans="1:4" ht="24" customHeight="1">
      <c r="A225" s="5" t="str">
        <f t="shared" si="3"/>
        <v/>
      </c>
      <c r="B225" s="18"/>
      <c r="C225" s="9"/>
      <c r="D225" s="9"/>
    </row>
    <row r="226" spans="1:4" ht="24" customHeight="1">
      <c r="A226" s="5" t="str">
        <f t="shared" si="3"/>
        <v/>
      </c>
      <c r="B226" s="18"/>
      <c r="C226" s="9"/>
      <c r="D226" s="9"/>
    </row>
    <row r="227" spans="1:4" ht="24" customHeight="1">
      <c r="A227" s="5" t="str">
        <f t="shared" si="3"/>
        <v/>
      </c>
      <c r="B227" s="18"/>
      <c r="C227" s="9"/>
      <c r="D227" s="9"/>
    </row>
    <row r="228" spans="1:4" ht="24" customHeight="1">
      <c r="A228" s="5" t="str">
        <f t="shared" si="3"/>
        <v/>
      </c>
      <c r="B228" s="18"/>
      <c r="C228" s="9"/>
      <c r="D228" s="9"/>
    </row>
    <row r="229" spans="1:4" ht="24" customHeight="1">
      <c r="A229" s="5" t="str">
        <f t="shared" si="3"/>
        <v/>
      </c>
      <c r="B229" s="18"/>
      <c r="C229" s="9"/>
      <c r="D229" s="9"/>
    </row>
    <row r="230" spans="1:4" ht="24" customHeight="1">
      <c r="A230" s="5" t="str">
        <f t="shared" si="3"/>
        <v/>
      </c>
      <c r="B230" s="18"/>
      <c r="C230" s="9"/>
      <c r="D230" s="9"/>
    </row>
    <row r="231" spans="1:4" ht="24" customHeight="1">
      <c r="A231" s="5" t="str">
        <f t="shared" si="3"/>
        <v/>
      </c>
      <c r="B231" s="18"/>
      <c r="C231" s="9"/>
      <c r="D231" s="9"/>
    </row>
    <row r="232" spans="1:4" ht="24" customHeight="1">
      <c r="A232" s="5" t="str">
        <f t="shared" si="3"/>
        <v/>
      </c>
      <c r="B232" s="18"/>
      <c r="C232" s="9"/>
      <c r="D232" s="9"/>
    </row>
    <row r="233" spans="1:4" ht="24" customHeight="1">
      <c r="A233" s="5" t="str">
        <f t="shared" si="3"/>
        <v/>
      </c>
      <c r="B233" s="18"/>
      <c r="C233" s="9"/>
      <c r="D233" s="9"/>
    </row>
    <row r="234" spans="1:4" ht="24" customHeight="1">
      <c r="A234" s="5" t="str">
        <f t="shared" si="3"/>
        <v/>
      </c>
      <c r="B234" s="18"/>
      <c r="C234" s="9"/>
      <c r="D234" s="9"/>
    </row>
    <row r="235" spans="1:4" ht="24" customHeight="1">
      <c r="A235" s="5" t="str">
        <f t="shared" si="3"/>
        <v/>
      </c>
      <c r="B235" s="18"/>
      <c r="C235" s="9"/>
      <c r="D235" s="9"/>
    </row>
    <row r="236" spans="1:4" ht="24" customHeight="1">
      <c r="A236" s="5" t="str">
        <f t="shared" si="3"/>
        <v/>
      </c>
      <c r="B236" s="18"/>
      <c r="C236" s="9"/>
      <c r="D236" s="9"/>
    </row>
    <row r="237" spans="1:4" ht="24" customHeight="1">
      <c r="A237" s="5" t="str">
        <f t="shared" si="3"/>
        <v/>
      </c>
      <c r="B237" s="18"/>
      <c r="C237" s="9"/>
      <c r="D237" s="9"/>
    </row>
    <row r="238" spans="1:4" ht="24" customHeight="1">
      <c r="A238" s="5" t="str">
        <f t="shared" si="3"/>
        <v/>
      </c>
      <c r="B238" s="18"/>
      <c r="C238" s="9"/>
      <c r="D238" s="9"/>
    </row>
    <row r="239" spans="1:4" ht="24" customHeight="1">
      <c r="A239" s="5" t="str">
        <f t="shared" si="3"/>
        <v/>
      </c>
      <c r="B239" s="18"/>
      <c r="C239" s="9"/>
      <c r="D239" s="9"/>
    </row>
    <row r="240" spans="1:4" ht="24" customHeight="1">
      <c r="A240" s="5" t="str">
        <f t="shared" si="3"/>
        <v/>
      </c>
      <c r="B240" s="18"/>
      <c r="C240" s="9"/>
      <c r="D240" s="9"/>
    </row>
    <row r="241" spans="1:4" ht="24" customHeight="1">
      <c r="A241" s="5" t="str">
        <f t="shared" si="3"/>
        <v/>
      </c>
      <c r="B241" s="18"/>
      <c r="C241" s="9"/>
      <c r="D241" s="9"/>
    </row>
    <row r="242" spans="1:4" ht="24" customHeight="1">
      <c r="A242" s="5" t="str">
        <f t="shared" si="3"/>
        <v/>
      </c>
      <c r="B242" s="18"/>
      <c r="C242" s="9"/>
      <c r="D242" s="9"/>
    </row>
    <row r="243" spans="1:4" ht="24" customHeight="1">
      <c r="A243" s="5" t="str">
        <f t="shared" si="3"/>
        <v/>
      </c>
      <c r="B243" s="18"/>
      <c r="C243" s="9"/>
      <c r="D243" s="9"/>
    </row>
    <row r="244" spans="1:4" ht="24" customHeight="1">
      <c r="A244" s="5" t="str">
        <f t="shared" si="3"/>
        <v/>
      </c>
      <c r="B244" s="18"/>
      <c r="C244" s="9"/>
      <c r="D244" s="9"/>
    </row>
    <row r="245" spans="1:4" ht="24" customHeight="1">
      <c r="A245" s="5" t="str">
        <f t="shared" si="3"/>
        <v/>
      </c>
      <c r="B245" s="18"/>
      <c r="C245" s="9"/>
      <c r="D245" s="9"/>
    </row>
    <row r="246" spans="1:4" ht="24" customHeight="1">
      <c r="A246" s="5" t="str">
        <f t="shared" si="3"/>
        <v/>
      </c>
      <c r="B246" s="18"/>
      <c r="C246" s="9"/>
      <c r="D246" s="9"/>
    </row>
    <row r="247" spans="1:4" ht="24" customHeight="1">
      <c r="A247" s="5" t="str">
        <f t="shared" si="3"/>
        <v/>
      </c>
      <c r="B247" s="18"/>
      <c r="C247" s="9"/>
      <c r="D247" s="9"/>
    </row>
    <row r="248" spans="1:4" ht="24" customHeight="1">
      <c r="A248" s="5" t="str">
        <f t="shared" si="3"/>
        <v/>
      </c>
      <c r="B248" s="18"/>
      <c r="C248" s="9"/>
      <c r="D248" s="9"/>
    </row>
    <row r="249" spans="1:4" ht="24" customHeight="1">
      <c r="A249" s="5" t="str">
        <f t="shared" si="3"/>
        <v/>
      </c>
      <c r="B249" s="18"/>
      <c r="C249" s="9"/>
      <c r="D249" s="9"/>
    </row>
    <row r="250" spans="1:4" ht="24" customHeight="1">
      <c r="A250" s="5" t="str">
        <f t="shared" si="3"/>
        <v/>
      </c>
      <c r="B250" s="18"/>
      <c r="C250" s="9"/>
      <c r="D250" s="9"/>
    </row>
    <row r="251" spans="1:4" ht="24" customHeight="1">
      <c r="A251" s="5" t="str">
        <f t="shared" si="3"/>
        <v/>
      </c>
      <c r="B251" s="18"/>
      <c r="C251" s="9"/>
      <c r="D251" s="9"/>
    </row>
    <row r="252" spans="1:4" ht="24" customHeight="1">
      <c r="A252" s="5" t="str">
        <f t="shared" si="3"/>
        <v/>
      </c>
      <c r="B252" s="18"/>
      <c r="C252" s="9"/>
      <c r="D252" s="9"/>
    </row>
    <row r="253" spans="1:4" ht="24" customHeight="1">
      <c r="A253" s="5" t="str">
        <f t="shared" si="3"/>
        <v/>
      </c>
      <c r="B253" s="18"/>
      <c r="C253" s="9"/>
      <c r="D253" s="9"/>
    </row>
    <row r="254" spans="1:4" ht="24" customHeight="1">
      <c r="A254" s="5" t="str">
        <f t="shared" si="3"/>
        <v/>
      </c>
      <c r="B254" s="18"/>
      <c r="C254" s="9"/>
      <c r="D254" s="9"/>
    </row>
    <row r="255" spans="1:4" ht="24" customHeight="1">
      <c r="A255" s="5" t="str">
        <f t="shared" si="3"/>
        <v/>
      </c>
      <c r="B255" s="18"/>
      <c r="C255" s="9"/>
      <c r="D255" s="9"/>
    </row>
    <row r="256" spans="1:4" ht="24" customHeight="1">
      <c r="A256" s="5" t="str">
        <f t="shared" si="3"/>
        <v/>
      </c>
      <c r="B256" s="18"/>
      <c r="C256" s="9"/>
      <c r="D256" s="9"/>
    </row>
    <row r="257" spans="1:4" ht="24" customHeight="1">
      <c r="A257" s="5" t="str">
        <f t="shared" si="3"/>
        <v/>
      </c>
      <c r="B257" s="18"/>
      <c r="C257" s="9"/>
      <c r="D257" s="9"/>
    </row>
    <row r="258" spans="1:4" ht="24" customHeight="1">
      <c r="A258" s="5" t="str">
        <f t="shared" ref="A258:A321" si="4">IF(C258="","",ROW()-1)</f>
        <v/>
      </c>
      <c r="B258" s="18"/>
      <c r="C258" s="9"/>
      <c r="D258" s="9"/>
    </row>
    <row r="259" spans="1:4" ht="24" customHeight="1">
      <c r="A259" s="5" t="str">
        <f t="shared" si="4"/>
        <v/>
      </c>
      <c r="B259" s="18"/>
      <c r="C259" s="9"/>
      <c r="D259" s="9"/>
    </row>
    <row r="260" spans="1:4" ht="24" customHeight="1">
      <c r="A260" s="5" t="str">
        <f t="shared" si="4"/>
        <v/>
      </c>
      <c r="B260" s="18"/>
      <c r="C260" s="9"/>
      <c r="D260" s="9"/>
    </row>
    <row r="261" spans="1:4" ht="24" customHeight="1">
      <c r="A261" s="5" t="str">
        <f t="shared" si="4"/>
        <v/>
      </c>
      <c r="B261" s="18"/>
      <c r="C261" s="9"/>
      <c r="D261" s="9"/>
    </row>
    <row r="262" spans="1:4" ht="24" customHeight="1">
      <c r="A262" s="5" t="str">
        <f t="shared" si="4"/>
        <v/>
      </c>
      <c r="B262" s="18"/>
      <c r="C262" s="9"/>
      <c r="D262" s="9"/>
    </row>
    <row r="263" spans="1:4" ht="24" customHeight="1">
      <c r="A263" s="5" t="str">
        <f t="shared" si="4"/>
        <v/>
      </c>
      <c r="B263" s="18"/>
      <c r="C263" s="9"/>
      <c r="D263" s="9"/>
    </row>
    <row r="264" spans="1:4" ht="24" customHeight="1">
      <c r="A264" s="5" t="str">
        <f t="shared" si="4"/>
        <v/>
      </c>
      <c r="B264" s="18"/>
      <c r="C264" s="9"/>
      <c r="D264" s="9"/>
    </row>
    <row r="265" spans="1:4" ht="24" customHeight="1">
      <c r="A265" s="5" t="str">
        <f t="shared" si="4"/>
        <v/>
      </c>
      <c r="B265" s="18"/>
      <c r="C265" s="9"/>
      <c r="D265" s="9"/>
    </row>
    <row r="266" spans="1:4" ht="24" customHeight="1">
      <c r="A266" s="5" t="str">
        <f t="shared" si="4"/>
        <v/>
      </c>
      <c r="B266" s="18"/>
      <c r="C266" s="9"/>
      <c r="D266" s="9"/>
    </row>
    <row r="267" spans="1:4" ht="24" customHeight="1">
      <c r="A267" s="5" t="str">
        <f t="shared" si="4"/>
        <v/>
      </c>
      <c r="B267" s="18"/>
      <c r="C267" s="9"/>
      <c r="D267" s="9"/>
    </row>
    <row r="268" spans="1:4" ht="24" customHeight="1">
      <c r="A268" s="5" t="str">
        <f t="shared" si="4"/>
        <v/>
      </c>
      <c r="B268" s="18"/>
      <c r="C268" s="9"/>
      <c r="D268" s="9"/>
    </row>
    <row r="269" spans="1:4" ht="24" customHeight="1">
      <c r="A269" s="5" t="str">
        <f t="shared" si="4"/>
        <v/>
      </c>
      <c r="B269" s="18"/>
      <c r="C269" s="9"/>
      <c r="D269" s="9"/>
    </row>
    <row r="270" spans="1:4" ht="24" customHeight="1">
      <c r="A270" s="5" t="str">
        <f t="shared" si="4"/>
        <v/>
      </c>
      <c r="B270" s="18"/>
      <c r="C270" s="9"/>
      <c r="D270" s="9"/>
    </row>
    <row r="271" spans="1:4" ht="24" customHeight="1">
      <c r="A271" s="5" t="str">
        <f t="shared" si="4"/>
        <v/>
      </c>
      <c r="B271" s="18"/>
      <c r="C271" s="9"/>
      <c r="D271" s="9"/>
    </row>
    <row r="272" spans="1:4" ht="24" customHeight="1">
      <c r="A272" s="5" t="str">
        <f t="shared" si="4"/>
        <v/>
      </c>
      <c r="B272" s="18"/>
      <c r="C272" s="9"/>
      <c r="D272" s="9"/>
    </row>
    <row r="273" spans="1:4" ht="24" customHeight="1">
      <c r="A273" s="5" t="str">
        <f t="shared" si="4"/>
        <v/>
      </c>
      <c r="B273" s="18"/>
      <c r="C273" s="9"/>
      <c r="D273" s="9"/>
    </row>
    <row r="274" spans="1:4" ht="24" customHeight="1">
      <c r="A274" s="5" t="str">
        <f t="shared" si="4"/>
        <v/>
      </c>
      <c r="B274" s="18"/>
      <c r="C274" s="9"/>
      <c r="D274" s="9"/>
    </row>
    <row r="275" spans="1:4" ht="24" customHeight="1">
      <c r="A275" s="5" t="str">
        <f t="shared" si="4"/>
        <v/>
      </c>
      <c r="B275" s="18"/>
      <c r="C275" s="9"/>
      <c r="D275" s="9"/>
    </row>
    <row r="276" spans="1:4" ht="24" customHeight="1">
      <c r="A276" s="5" t="str">
        <f t="shared" si="4"/>
        <v/>
      </c>
      <c r="B276" s="18"/>
      <c r="C276" s="9"/>
      <c r="D276" s="9"/>
    </row>
    <row r="277" spans="1:4" ht="24" customHeight="1">
      <c r="A277" s="5" t="str">
        <f t="shared" si="4"/>
        <v/>
      </c>
      <c r="B277" s="18"/>
      <c r="C277" s="9"/>
      <c r="D277" s="9"/>
    </row>
    <row r="278" spans="1:4" ht="24" customHeight="1">
      <c r="A278" s="5" t="str">
        <f t="shared" si="4"/>
        <v/>
      </c>
      <c r="B278" s="18"/>
      <c r="C278" s="9"/>
      <c r="D278" s="9"/>
    </row>
    <row r="279" spans="1:4" ht="24" customHeight="1">
      <c r="A279" s="5" t="str">
        <f t="shared" si="4"/>
        <v/>
      </c>
      <c r="B279" s="18"/>
      <c r="C279" s="9"/>
      <c r="D279" s="9"/>
    </row>
    <row r="280" spans="1:4" ht="24" customHeight="1">
      <c r="A280" s="5" t="str">
        <f t="shared" si="4"/>
        <v/>
      </c>
      <c r="B280" s="18"/>
      <c r="C280" s="9"/>
      <c r="D280" s="9"/>
    </row>
    <row r="281" spans="1:4" ht="24" customHeight="1">
      <c r="A281" s="5" t="str">
        <f t="shared" si="4"/>
        <v/>
      </c>
      <c r="B281" s="18"/>
      <c r="C281" s="9"/>
      <c r="D281" s="9"/>
    </row>
    <row r="282" spans="1:4" ht="24" customHeight="1">
      <c r="A282" s="5" t="str">
        <f t="shared" si="4"/>
        <v/>
      </c>
      <c r="B282" s="18"/>
      <c r="C282" s="9"/>
      <c r="D282" s="9"/>
    </row>
    <row r="283" spans="1:4" ht="24" customHeight="1">
      <c r="A283" s="5" t="str">
        <f t="shared" si="4"/>
        <v/>
      </c>
      <c r="B283" s="18"/>
      <c r="C283" s="9"/>
      <c r="D283" s="9"/>
    </row>
    <row r="284" spans="1:4" ht="24" customHeight="1">
      <c r="A284" s="5" t="str">
        <f t="shared" si="4"/>
        <v/>
      </c>
      <c r="B284" s="18"/>
      <c r="C284" s="9"/>
      <c r="D284" s="9"/>
    </row>
    <row r="285" spans="1:4" ht="24" customHeight="1">
      <c r="A285" s="5" t="str">
        <f t="shared" si="4"/>
        <v/>
      </c>
      <c r="B285" s="18"/>
      <c r="C285" s="9"/>
      <c r="D285" s="9"/>
    </row>
    <row r="286" spans="1:4" ht="24" customHeight="1">
      <c r="A286" s="5" t="str">
        <f t="shared" si="4"/>
        <v/>
      </c>
      <c r="B286" s="18"/>
      <c r="C286" s="9"/>
      <c r="D286" s="9"/>
    </row>
    <row r="287" spans="1:4" ht="24" customHeight="1">
      <c r="A287" s="5" t="str">
        <f t="shared" si="4"/>
        <v/>
      </c>
      <c r="B287" s="18"/>
      <c r="C287" s="9"/>
      <c r="D287" s="9"/>
    </row>
    <row r="288" spans="1:4" ht="24" customHeight="1">
      <c r="A288" s="5" t="str">
        <f t="shared" si="4"/>
        <v/>
      </c>
      <c r="B288" s="18"/>
      <c r="C288" s="9"/>
      <c r="D288" s="9"/>
    </row>
    <row r="289" spans="1:4" ht="24" customHeight="1">
      <c r="A289" s="5" t="str">
        <f t="shared" si="4"/>
        <v/>
      </c>
      <c r="B289" s="18"/>
      <c r="C289" s="9"/>
      <c r="D289" s="9"/>
    </row>
    <row r="290" spans="1:4" ht="24" customHeight="1">
      <c r="A290" s="5" t="str">
        <f t="shared" si="4"/>
        <v/>
      </c>
      <c r="B290" s="18"/>
      <c r="C290" s="9"/>
      <c r="D290" s="9"/>
    </row>
    <row r="291" spans="1:4" ht="24" customHeight="1">
      <c r="A291" s="5" t="str">
        <f t="shared" si="4"/>
        <v/>
      </c>
      <c r="B291" s="18"/>
      <c r="C291" s="9"/>
      <c r="D291" s="9"/>
    </row>
    <row r="292" spans="1:4" ht="24" customHeight="1">
      <c r="A292" s="5" t="str">
        <f t="shared" si="4"/>
        <v/>
      </c>
      <c r="B292" s="18"/>
      <c r="C292" s="9"/>
      <c r="D292" s="9"/>
    </row>
    <row r="293" spans="1:4" ht="24" customHeight="1">
      <c r="A293" s="5" t="str">
        <f t="shared" si="4"/>
        <v/>
      </c>
      <c r="B293" s="18"/>
      <c r="C293" s="9"/>
      <c r="D293" s="9"/>
    </row>
    <row r="294" spans="1:4" ht="24" customHeight="1">
      <c r="A294" s="5" t="str">
        <f t="shared" si="4"/>
        <v/>
      </c>
      <c r="B294" s="18"/>
      <c r="C294" s="9"/>
      <c r="D294" s="9"/>
    </row>
    <row r="295" spans="1:4" ht="24" customHeight="1">
      <c r="A295" s="5" t="str">
        <f t="shared" si="4"/>
        <v/>
      </c>
      <c r="B295" s="18"/>
      <c r="C295" s="9"/>
      <c r="D295" s="9"/>
    </row>
    <row r="296" spans="1:4" ht="24" customHeight="1">
      <c r="A296" s="5" t="str">
        <f t="shared" si="4"/>
        <v/>
      </c>
      <c r="B296" s="18"/>
      <c r="C296" s="9"/>
      <c r="D296" s="9"/>
    </row>
    <row r="297" spans="1:4" ht="24" customHeight="1">
      <c r="A297" s="5" t="str">
        <f t="shared" si="4"/>
        <v/>
      </c>
      <c r="B297" s="18"/>
      <c r="C297" s="9"/>
      <c r="D297" s="9"/>
    </row>
    <row r="298" spans="1:4" ht="24" customHeight="1">
      <c r="A298" s="5" t="str">
        <f t="shared" si="4"/>
        <v/>
      </c>
      <c r="B298" s="18"/>
      <c r="C298" s="9"/>
      <c r="D298" s="9"/>
    </row>
    <row r="299" spans="1:4" ht="24" customHeight="1">
      <c r="A299" s="5" t="str">
        <f t="shared" si="4"/>
        <v/>
      </c>
      <c r="B299" s="18"/>
      <c r="C299" s="9"/>
      <c r="D299" s="9"/>
    </row>
    <row r="300" spans="1:4" ht="24" customHeight="1">
      <c r="A300" s="5" t="str">
        <f t="shared" si="4"/>
        <v/>
      </c>
      <c r="B300" s="18"/>
      <c r="C300" s="9"/>
      <c r="D300" s="9"/>
    </row>
    <row r="301" spans="1:4" ht="24" customHeight="1">
      <c r="A301" s="5" t="str">
        <f t="shared" si="4"/>
        <v/>
      </c>
      <c r="B301" s="18"/>
      <c r="C301" s="9"/>
      <c r="D301" s="9"/>
    </row>
    <row r="302" spans="1:4" ht="24" customHeight="1">
      <c r="A302" s="5" t="str">
        <f t="shared" si="4"/>
        <v/>
      </c>
      <c r="B302" s="18"/>
      <c r="C302" s="9"/>
      <c r="D302" s="9"/>
    </row>
    <row r="303" spans="1:4" ht="24" customHeight="1">
      <c r="A303" s="5" t="str">
        <f t="shared" si="4"/>
        <v/>
      </c>
      <c r="B303" s="18"/>
      <c r="C303" s="9"/>
      <c r="D303" s="9"/>
    </row>
    <row r="304" spans="1:4" ht="24" customHeight="1">
      <c r="A304" s="5" t="str">
        <f t="shared" si="4"/>
        <v/>
      </c>
      <c r="B304" s="18"/>
      <c r="C304" s="9"/>
      <c r="D304" s="9"/>
    </row>
    <row r="305" spans="1:4" ht="24" customHeight="1">
      <c r="A305" s="5" t="str">
        <f t="shared" si="4"/>
        <v/>
      </c>
      <c r="B305" s="18"/>
      <c r="C305" s="9"/>
      <c r="D305" s="9"/>
    </row>
    <row r="306" spans="1:4" ht="24" customHeight="1">
      <c r="A306" s="5" t="str">
        <f t="shared" si="4"/>
        <v/>
      </c>
      <c r="B306" s="18"/>
      <c r="C306" s="9"/>
      <c r="D306" s="9"/>
    </row>
    <row r="307" spans="1:4" ht="24" customHeight="1">
      <c r="A307" s="5" t="str">
        <f t="shared" si="4"/>
        <v/>
      </c>
      <c r="B307" s="18"/>
      <c r="C307" s="9"/>
      <c r="D307" s="9"/>
    </row>
    <row r="308" spans="1:4" ht="24" customHeight="1">
      <c r="A308" s="5" t="str">
        <f t="shared" si="4"/>
        <v/>
      </c>
      <c r="B308" s="18"/>
      <c r="C308" s="9"/>
      <c r="D308" s="9"/>
    </row>
    <row r="309" spans="1:4" ht="24" customHeight="1">
      <c r="A309" s="5" t="str">
        <f t="shared" si="4"/>
        <v/>
      </c>
      <c r="B309" s="18"/>
      <c r="C309" s="9"/>
      <c r="D309" s="9"/>
    </row>
    <row r="310" spans="1:4" ht="24" customHeight="1">
      <c r="A310" s="5" t="str">
        <f t="shared" si="4"/>
        <v/>
      </c>
      <c r="B310" s="18"/>
      <c r="C310" s="9"/>
      <c r="D310" s="9"/>
    </row>
    <row r="311" spans="1:4" ht="24" customHeight="1">
      <c r="A311" s="5" t="str">
        <f t="shared" si="4"/>
        <v/>
      </c>
      <c r="B311" s="18"/>
      <c r="C311" s="9"/>
      <c r="D311" s="9"/>
    </row>
    <row r="312" spans="1:4" ht="24" customHeight="1">
      <c r="A312" s="5" t="str">
        <f t="shared" si="4"/>
        <v/>
      </c>
      <c r="B312" s="18"/>
      <c r="C312" s="9"/>
      <c r="D312" s="9"/>
    </row>
    <row r="313" spans="1:4" ht="24" customHeight="1">
      <c r="A313" s="5" t="str">
        <f t="shared" si="4"/>
        <v/>
      </c>
      <c r="B313" s="18"/>
      <c r="C313" s="9"/>
      <c r="D313" s="9"/>
    </row>
    <row r="314" spans="1:4" ht="24" customHeight="1">
      <c r="A314" s="5" t="str">
        <f t="shared" si="4"/>
        <v/>
      </c>
      <c r="B314" s="18"/>
      <c r="C314" s="9"/>
      <c r="D314" s="9"/>
    </row>
    <row r="315" spans="1:4" ht="24" customHeight="1">
      <c r="A315" s="5" t="str">
        <f t="shared" si="4"/>
        <v/>
      </c>
      <c r="B315" s="18"/>
      <c r="C315" s="9"/>
      <c r="D315" s="9"/>
    </row>
    <row r="316" spans="1:4" ht="24" customHeight="1">
      <c r="A316" s="5" t="str">
        <f t="shared" si="4"/>
        <v/>
      </c>
      <c r="B316" s="18"/>
      <c r="C316" s="9"/>
      <c r="D316" s="9"/>
    </row>
    <row r="317" spans="1:4" ht="24" customHeight="1">
      <c r="A317" s="5" t="str">
        <f t="shared" si="4"/>
        <v/>
      </c>
      <c r="B317" s="18"/>
      <c r="C317" s="9"/>
      <c r="D317" s="9"/>
    </row>
    <row r="318" spans="1:4" ht="24" customHeight="1">
      <c r="A318" s="5" t="str">
        <f t="shared" si="4"/>
        <v/>
      </c>
      <c r="B318" s="18"/>
      <c r="C318" s="9"/>
      <c r="D318" s="9"/>
    </row>
    <row r="319" spans="1:4" ht="24" customHeight="1">
      <c r="A319" s="5" t="str">
        <f t="shared" si="4"/>
        <v/>
      </c>
      <c r="B319" s="18"/>
      <c r="C319" s="9"/>
      <c r="D319" s="9"/>
    </row>
    <row r="320" spans="1:4" ht="24" customHeight="1">
      <c r="A320" s="5" t="str">
        <f t="shared" si="4"/>
        <v/>
      </c>
      <c r="B320" s="18"/>
      <c r="C320" s="9"/>
      <c r="D320" s="9"/>
    </row>
    <row r="321" spans="1:4" ht="24" customHeight="1">
      <c r="A321" s="5" t="str">
        <f t="shared" si="4"/>
        <v/>
      </c>
      <c r="B321" s="18"/>
      <c r="C321" s="9"/>
      <c r="D321" s="9"/>
    </row>
    <row r="322" spans="1:4" ht="24" customHeight="1">
      <c r="A322" s="5" t="str">
        <f t="shared" ref="A322:A385" si="5">IF(C322="","",ROW()-1)</f>
        <v/>
      </c>
      <c r="B322" s="18"/>
      <c r="C322" s="9"/>
      <c r="D322" s="9"/>
    </row>
    <row r="323" spans="1:4" ht="24" customHeight="1">
      <c r="A323" s="5" t="str">
        <f t="shared" si="5"/>
        <v/>
      </c>
      <c r="B323" s="18"/>
      <c r="C323" s="9"/>
      <c r="D323" s="9"/>
    </row>
    <row r="324" spans="1:4" ht="24" customHeight="1">
      <c r="A324" s="5" t="str">
        <f t="shared" si="5"/>
        <v/>
      </c>
      <c r="B324" s="18"/>
      <c r="C324" s="9"/>
      <c r="D324" s="9"/>
    </row>
    <row r="325" spans="1:4" ht="24" customHeight="1">
      <c r="A325" s="5" t="str">
        <f t="shared" si="5"/>
        <v/>
      </c>
      <c r="B325" s="18"/>
      <c r="C325" s="9"/>
      <c r="D325" s="9"/>
    </row>
    <row r="326" spans="1:4" ht="24" customHeight="1">
      <c r="A326" s="5" t="str">
        <f t="shared" si="5"/>
        <v/>
      </c>
      <c r="B326" s="18"/>
      <c r="C326" s="9"/>
      <c r="D326" s="9"/>
    </row>
    <row r="327" spans="1:4" ht="24" customHeight="1">
      <c r="A327" s="5" t="str">
        <f t="shared" si="5"/>
        <v/>
      </c>
      <c r="B327" s="18"/>
      <c r="C327" s="9"/>
      <c r="D327" s="9"/>
    </row>
    <row r="328" spans="1:4" ht="24" customHeight="1">
      <c r="A328" s="5" t="str">
        <f t="shared" si="5"/>
        <v/>
      </c>
      <c r="B328" s="18"/>
      <c r="C328" s="9"/>
      <c r="D328" s="9"/>
    </row>
    <row r="329" spans="1:4" ht="24" customHeight="1">
      <c r="A329" s="5" t="str">
        <f t="shared" si="5"/>
        <v/>
      </c>
      <c r="B329" s="18"/>
      <c r="C329" s="9"/>
      <c r="D329" s="9"/>
    </row>
    <row r="330" spans="1:4" ht="24" customHeight="1">
      <c r="A330" s="5" t="str">
        <f t="shared" si="5"/>
        <v/>
      </c>
      <c r="B330" s="18"/>
      <c r="C330" s="9"/>
      <c r="D330" s="9"/>
    </row>
    <row r="331" spans="1:4" ht="24" customHeight="1">
      <c r="A331" s="5" t="str">
        <f t="shared" si="5"/>
        <v/>
      </c>
      <c r="B331" s="18"/>
      <c r="C331" s="9"/>
      <c r="D331" s="9"/>
    </row>
    <row r="332" spans="1:4" ht="24" customHeight="1">
      <c r="A332" s="5" t="str">
        <f t="shared" si="5"/>
        <v/>
      </c>
      <c r="B332" s="18"/>
      <c r="C332" s="9"/>
      <c r="D332" s="9"/>
    </row>
    <row r="333" spans="1:4" ht="24" customHeight="1">
      <c r="A333" s="5" t="str">
        <f t="shared" si="5"/>
        <v/>
      </c>
      <c r="B333" s="18"/>
      <c r="C333" s="9"/>
      <c r="D333" s="9"/>
    </row>
    <row r="334" spans="1:4" ht="24" customHeight="1">
      <c r="A334" s="5" t="str">
        <f t="shared" si="5"/>
        <v/>
      </c>
      <c r="B334" s="18"/>
      <c r="C334" s="9"/>
      <c r="D334" s="9"/>
    </row>
    <row r="335" spans="1:4" ht="24" customHeight="1">
      <c r="A335" s="5" t="str">
        <f t="shared" si="5"/>
        <v/>
      </c>
      <c r="B335" s="18"/>
      <c r="C335" s="9"/>
      <c r="D335" s="9"/>
    </row>
    <row r="336" spans="1:4" ht="24" customHeight="1">
      <c r="A336" s="5" t="str">
        <f t="shared" si="5"/>
        <v/>
      </c>
      <c r="B336" s="18"/>
      <c r="C336" s="9"/>
      <c r="D336" s="9"/>
    </row>
    <row r="337" spans="1:4" ht="24" customHeight="1">
      <c r="A337" s="5" t="str">
        <f t="shared" si="5"/>
        <v/>
      </c>
      <c r="B337" s="18"/>
      <c r="C337" s="9"/>
      <c r="D337" s="9"/>
    </row>
    <row r="338" spans="1:4" ht="24" customHeight="1">
      <c r="A338" s="5" t="str">
        <f t="shared" si="5"/>
        <v/>
      </c>
      <c r="B338" s="18"/>
      <c r="C338" s="9"/>
      <c r="D338" s="9"/>
    </row>
    <row r="339" spans="1:4" ht="24" customHeight="1">
      <c r="A339" s="5" t="str">
        <f t="shared" si="5"/>
        <v/>
      </c>
      <c r="B339" s="18"/>
      <c r="C339" s="9"/>
      <c r="D339" s="9"/>
    </row>
    <row r="340" spans="1:4" ht="24" customHeight="1">
      <c r="A340" s="5" t="str">
        <f t="shared" si="5"/>
        <v/>
      </c>
      <c r="B340" s="18"/>
      <c r="C340" s="9"/>
      <c r="D340" s="9"/>
    </row>
    <row r="341" spans="1:4" ht="24" customHeight="1">
      <c r="A341" s="5" t="str">
        <f t="shared" si="5"/>
        <v/>
      </c>
      <c r="B341" s="18"/>
      <c r="C341" s="9"/>
      <c r="D341" s="9"/>
    </row>
    <row r="342" spans="1:4" ht="24" customHeight="1">
      <c r="A342" s="5" t="str">
        <f t="shared" si="5"/>
        <v/>
      </c>
      <c r="B342" s="18"/>
      <c r="C342" s="9"/>
      <c r="D342" s="9"/>
    </row>
    <row r="343" spans="1:4" ht="24" customHeight="1">
      <c r="A343" s="5" t="str">
        <f t="shared" si="5"/>
        <v/>
      </c>
      <c r="B343" s="18"/>
      <c r="C343" s="9"/>
      <c r="D343" s="9"/>
    </row>
    <row r="344" spans="1:4" ht="24" customHeight="1">
      <c r="A344" s="5" t="str">
        <f t="shared" si="5"/>
        <v/>
      </c>
      <c r="B344" s="18"/>
      <c r="C344" s="9"/>
      <c r="D344" s="9"/>
    </row>
    <row r="345" spans="1:4" ht="24" customHeight="1">
      <c r="A345" s="5" t="str">
        <f t="shared" si="5"/>
        <v/>
      </c>
      <c r="B345" s="18"/>
      <c r="C345" s="9"/>
      <c r="D345" s="9"/>
    </row>
    <row r="346" spans="1:4" ht="24" customHeight="1">
      <c r="A346" s="5" t="str">
        <f t="shared" si="5"/>
        <v/>
      </c>
      <c r="B346" s="18"/>
      <c r="C346" s="9"/>
      <c r="D346" s="9"/>
    </row>
    <row r="347" spans="1:4" ht="24" customHeight="1">
      <c r="A347" s="5" t="str">
        <f t="shared" si="5"/>
        <v/>
      </c>
      <c r="B347" s="18"/>
      <c r="C347" s="9"/>
      <c r="D347" s="9"/>
    </row>
    <row r="348" spans="1:4" ht="24" customHeight="1">
      <c r="A348" s="5" t="str">
        <f t="shared" si="5"/>
        <v/>
      </c>
      <c r="B348" s="18"/>
      <c r="C348" s="9"/>
      <c r="D348" s="9"/>
    </row>
    <row r="349" spans="1:4" ht="24" customHeight="1">
      <c r="A349" s="5" t="str">
        <f t="shared" si="5"/>
        <v/>
      </c>
      <c r="B349" s="18"/>
      <c r="C349" s="9"/>
      <c r="D349" s="9"/>
    </row>
    <row r="350" spans="1:4" ht="24" customHeight="1">
      <c r="A350" s="5" t="str">
        <f t="shared" si="5"/>
        <v/>
      </c>
      <c r="B350" s="18"/>
      <c r="C350" s="9"/>
      <c r="D350" s="9"/>
    </row>
    <row r="351" spans="1:4" ht="24" customHeight="1">
      <c r="A351" s="5" t="str">
        <f t="shared" si="5"/>
        <v/>
      </c>
      <c r="B351" s="18"/>
      <c r="C351" s="9"/>
      <c r="D351" s="9"/>
    </row>
    <row r="352" spans="1:4" ht="24" customHeight="1">
      <c r="A352" s="5" t="str">
        <f t="shared" si="5"/>
        <v/>
      </c>
      <c r="B352" s="18"/>
      <c r="C352" s="9"/>
      <c r="D352" s="9"/>
    </row>
    <row r="353" spans="1:4" ht="24" customHeight="1">
      <c r="A353" s="5" t="str">
        <f t="shared" si="5"/>
        <v/>
      </c>
      <c r="B353" s="18"/>
      <c r="C353" s="9"/>
      <c r="D353" s="9"/>
    </row>
    <row r="354" spans="1:4" ht="24" customHeight="1">
      <c r="A354" s="5" t="str">
        <f t="shared" si="5"/>
        <v/>
      </c>
      <c r="B354" s="18"/>
      <c r="C354" s="9"/>
      <c r="D354" s="9"/>
    </row>
    <row r="355" spans="1:4" ht="24" customHeight="1">
      <c r="A355" s="5" t="str">
        <f t="shared" si="5"/>
        <v/>
      </c>
      <c r="B355" s="18"/>
      <c r="C355" s="9"/>
      <c r="D355" s="9"/>
    </row>
    <row r="356" spans="1:4" ht="24" customHeight="1">
      <c r="A356" s="5" t="str">
        <f t="shared" si="5"/>
        <v/>
      </c>
      <c r="B356" s="18"/>
      <c r="C356" s="9"/>
      <c r="D356" s="9"/>
    </row>
    <row r="357" spans="1:4" ht="24" customHeight="1">
      <c r="A357" s="5" t="str">
        <f t="shared" si="5"/>
        <v/>
      </c>
      <c r="B357" s="18"/>
      <c r="C357" s="9"/>
      <c r="D357" s="9"/>
    </row>
    <row r="358" spans="1:4" ht="24" customHeight="1">
      <c r="A358" s="5" t="str">
        <f t="shared" si="5"/>
        <v/>
      </c>
      <c r="B358" s="18"/>
      <c r="C358" s="9"/>
      <c r="D358" s="9"/>
    </row>
    <row r="359" spans="1:4" ht="24" customHeight="1">
      <c r="A359" s="5" t="str">
        <f t="shared" si="5"/>
        <v/>
      </c>
      <c r="B359" s="18"/>
      <c r="C359" s="9"/>
      <c r="D359" s="9"/>
    </row>
    <row r="360" spans="1:4" ht="24" customHeight="1">
      <c r="A360" s="5" t="str">
        <f t="shared" si="5"/>
        <v/>
      </c>
      <c r="B360" s="18"/>
      <c r="C360" s="9"/>
      <c r="D360" s="9"/>
    </row>
    <row r="361" spans="1:4" ht="24" customHeight="1">
      <c r="A361" s="5" t="str">
        <f t="shared" si="5"/>
        <v/>
      </c>
      <c r="B361" s="18"/>
      <c r="C361" s="9"/>
      <c r="D361" s="9"/>
    </row>
    <row r="362" spans="1:4" ht="24" customHeight="1">
      <c r="A362" s="5" t="str">
        <f t="shared" si="5"/>
        <v/>
      </c>
      <c r="B362" s="18"/>
      <c r="C362" s="9"/>
      <c r="D362" s="9"/>
    </row>
    <row r="363" spans="1:4" ht="24" customHeight="1">
      <c r="A363" s="5" t="str">
        <f t="shared" si="5"/>
        <v/>
      </c>
      <c r="B363" s="18"/>
      <c r="C363" s="9"/>
      <c r="D363" s="9"/>
    </row>
    <row r="364" spans="1:4" ht="24" customHeight="1">
      <c r="A364" s="5" t="str">
        <f t="shared" si="5"/>
        <v/>
      </c>
      <c r="B364" s="18"/>
      <c r="C364" s="9"/>
      <c r="D364" s="9"/>
    </row>
    <row r="365" spans="1:4" ht="24" customHeight="1">
      <c r="A365" s="5" t="str">
        <f t="shared" si="5"/>
        <v/>
      </c>
      <c r="B365" s="18"/>
      <c r="C365" s="9"/>
      <c r="D365" s="9"/>
    </row>
    <row r="366" spans="1:4" ht="24" customHeight="1">
      <c r="A366" s="5" t="str">
        <f t="shared" si="5"/>
        <v/>
      </c>
      <c r="B366" s="18"/>
      <c r="C366" s="9"/>
      <c r="D366" s="9"/>
    </row>
    <row r="367" spans="1:4" ht="24" customHeight="1">
      <c r="A367" s="5" t="str">
        <f t="shared" si="5"/>
        <v/>
      </c>
      <c r="B367" s="18"/>
      <c r="C367" s="9"/>
      <c r="D367" s="9"/>
    </row>
    <row r="368" spans="1:4" ht="24" customHeight="1">
      <c r="A368" s="5" t="str">
        <f t="shared" si="5"/>
        <v/>
      </c>
      <c r="B368" s="18"/>
      <c r="C368" s="9"/>
      <c r="D368" s="9"/>
    </row>
    <row r="369" spans="1:4" ht="24" customHeight="1">
      <c r="A369" s="5" t="str">
        <f t="shared" si="5"/>
        <v/>
      </c>
      <c r="B369" s="18"/>
      <c r="C369" s="9"/>
      <c r="D369" s="9"/>
    </row>
    <row r="370" spans="1:4" ht="24" customHeight="1">
      <c r="A370" s="5" t="str">
        <f t="shared" si="5"/>
        <v/>
      </c>
      <c r="B370" s="18"/>
      <c r="C370" s="9"/>
      <c r="D370" s="9"/>
    </row>
    <row r="371" spans="1:4" ht="24" customHeight="1">
      <c r="A371" s="5" t="str">
        <f t="shared" si="5"/>
        <v/>
      </c>
      <c r="B371" s="18"/>
      <c r="C371" s="9"/>
      <c r="D371" s="9"/>
    </row>
    <row r="372" spans="1:4" ht="24" customHeight="1">
      <c r="A372" s="5" t="str">
        <f t="shared" si="5"/>
        <v/>
      </c>
      <c r="B372" s="18"/>
      <c r="C372" s="9"/>
      <c r="D372" s="9"/>
    </row>
    <row r="373" spans="1:4" ht="24" customHeight="1">
      <c r="A373" s="5" t="str">
        <f t="shared" si="5"/>
        <v/>
      </c>
      <c r="B373" s="18"/>
      <c r="C373" s="9"/>
      <c r="D373" s="9"/>
    </row>
    <row r="374" spans="1:4" ht="24" customHeight="1">
      <c r="A374" s="5" t="str">
        <f t="shared" si="5"/>
        <v/>
      </c>
      <c r="B374" s="18"/>
      <c r="C374" s="9"/>
      <c r="D374" s="9"/>
    </row>
    <row r="375" spans="1:4" ht="24" customHeight="1">
      <c r="A375" s="5" t="str">
        <f t="shared" si="5"/>
        <v/>
      </c>
      <c r="B375" s="18"/>
      <c r="C375" s="9"/>
      <c r="D375" s="9"/>
    </row>
    <row r="376" spans="1:4" ht="24" customHeight="1">
      <c r="A376" s="5" t="str">
        <f t="shared" si="5"/>
        <v/>
      </c>
      <c r="B376" s="18"/>
      <c r="C376" s="9"/>
      <c r="D376" s="9"/>
    </row>
    <row r="377" spans="1:4" ht="24" customHeight="1">
      <c r="A377" s="5" t="str">
        <f t="shared" si="5"/>
        <v/>
      </c>
      <c r="B377" s="18"/>
      <c r="C377" s="9"/>
      <c r="D377" s="9"/>
    </row>
    <row r="378" spans="1:4" ht="24" customHeight="1">
      <c r="A378" s="5" t="str">
        <f t="shared" si="5"/>
        <v/>
      </c>
      <c r="B378" s="18"/>
      <c r="C378" s="9"/>
      <c r="D378" s="9"/>
    </row>
    <row r="379" spans="1:4" ht="24" customHeight="1">
      <c r="A379" s="5" t="str">
        <f t="shared" si="5"/>
        <v/>
      </c>
      <c r="B379" s="18"/>
      <c r="C379" s="9"/>
      <c r="D379" s="9"/>
    </row>
    <row r="380" spans="1:4" ht="24" customHeight="1">
      <c r="A380" s="5" t="str">
        <f t="shared" si="5"/>
        <v/>
      </c>
      <c r="B380" s="18"/>
      <c r="C380" s="9"/>
      <c r="D380" s="9"/>
    </row>
    <row r="381" spans="1:4" ht="24" customHeight="1">
      <c r="A381" s="5" t="str">
        <f t="shared" si="5"/>
        <v/>
      </c>
      <c r="B381" s="18"/>
      <c r="C381" s="9"/>
      <c r="D381" s="9"/>
    </row>
    <row r="382" spans="1:4" ht="24" customHeight="1">
      <c r="A382" s="5" t="str">
        <f t="shared" si="5"/>
        <v/>
      </c>
      <c r="B382" s="18"/>
      <c r="C382" s="9"/>
      <c r="D382" s="9"/>
    </row>
    <row r="383" spans="1:4" ht="24" customHeight="1">
      <c r="A383" s="5" t="str">
        <f t="shared" si="5"/>
        <v/>
      </c>
      <c r="B383" s="18"/>
      <c r="C383" s="9"/>
      <c r="D383" s="9"/>
    </row>
    <row r="384" spans="1:4" ht="24" customHeight="1">
      <c r="A384" s="5" t="str">
        <f t="shared" si="5"/>
        <v/>
      </c>
      <c r="B384" s="18"/>
      <c r="C384" s="9"/>
      <c r="D384" s="9"/>
    </row>
    <row r="385" spans="1:4" ht="24" customHeight="1">
      <c r="A385" s="5" t="str">
        <f t="shared" si="5"/>
        <v/>
      </c>
      <c r="B385" s="18"/>
      <c r="C385" s="9"/>
      <c r="D385" s="9"/>
    </row>
    <row r="386" spans="1:4" ht="24" customHeight="1">
      <c r="A386" s="5" t="str">
        <f t="shared" ref="A386:A449" si="6">IF(C386="","",ROW()-1)</f>
        <v/>
      </c>
      <c r="B386" s="18"/>
      <c r="C386" s="9"/>
      <c r="D386" s="9"/>
    </row>
    <row r="387" spans="1:4" ht="24" customHeight="1">
      <c r="A387" s="5" t="str">
        <f t="shared" si="6"/>
        <v/>
      </c>
      <c r="B387" s="18"/>
      <c r="C387" s="9"/>
      <c r="D387" s="9"/>
    </row>
    <row r="388" spans="1:4" ht="24" customHeight="1">
      <c r="A388" s="5" t="str">
        <f t="shared" si="6"/>
        <v/>
      </c>
      <c r="B388" s="18"/>
      <c r="C388" s="9"/>
      <c r="D388" s="9"/>
    </row>
    <row r="389" spans="1:4" ht="24" customHeight="1">
      <c r="A389" s="5" t="str">
        <f t="shared" si="6"/>
        <v/>
      </c>
      <c r="B389" s="18"/>
      <c r="C389" s="9"/>
      <c r="D389" s="9"/>
    </row>
    <row r="390" spans="1:4" ht="24" customHeight="1">
      <c r="A390" s="5" t="str">
        <f t="shared" si="6"/>
        <v/>
      </c>
      <c r="B390" s="18"/>
      <c r="C390" s="9"/>
      <c r="D390" s="9"/>
    </row>
    <row r="391" spans="1:4" ht="24" customHeight="1">
      <c r="A391" s="5" t="str">
        <f t="shared" si="6"/>
        <v/>
      </c>
      <c r="B391" s="18"/>
      <c r="C391" s="9"/>
      <c r="D391" s="9"/>
    </row>
    <row r="392" spans="1:4" ht="24" customHeight="1">
      <c r="A392" s="5" t="str">
        <f t="shared" si="6"/>
        <v/>
      </c>
      <c r="B392" s="18"/>
      <c r="C392" s="9"/>
      <c r="D392" s="9"/>
    </row>
    <row r="393" spans="1:4" ht="24" customHeight="1">
      <c r="A393" s="5" t="str">
        <f t="shared" si="6"/>
        <v/>
      </c>
      <c r="B393" s="18"/>
      <c r="C393" s="9"/>
      <c r="D393" s="9"/>
    </row>
    <row r="394" spans="1:4" ht="24" customHeight="1">
      <c r="A394" s="5" t="str">
        <f t="shared" si="6"/>
        <v/>
      </c>
      <c r="B394" s="18"/>
      <c r="C394" s="9"/>
      <c r="D394" s="9"/>
    </row>
    <row r="395" spans="1:4" ht="24" customHeight="1">
      <c r="A395" s="5" t="str">
        <f t="shared" si="6"/>
        <v/>
      </c>
      <c r="B395" s="18"/>
      <c r="C395" s="9"/>
      <c r="D395" s="9"/>
    </row>
    <row r="396" spans="1:4" ht="24" customHeight="1">
      <c r="A396" s="5" t="str">
        <f t="shared" si="6"/>
        <v/>
      </c>
      <c r="B396" s="18"/>
      <c r="C396" s="9"/>
      <c r="D396" s="9"/>
    </row>
    <row r="397" spans="1:4" ht="24" customHeight="1">
      <c r="A397" s="5" t="str">
        <f t="shared" si="6"/>
        <v/>
      </c>
      <c r="B397" s="18"/>
      <c r="C397" s="9"/>
      <c r="D397" s="9"/>
    </row>
    <row r="398" spans="1:4" ht="24" customHeight="1">
      <c r="A398" s="5" t="str">
        <f t="shared" si="6"/>
        <v/>
      </c>
      <c r="B398" s="18"/>
      <c r="C398" s="9"/>
      <c r="D398" s="9"/>
    </row>
    <row r="399" spans="1:4" ht="24" customHeight="1">
      <c r="A399" s="5" t="str">
        <f t="shared" si="6"/>
        <v/>
      </c>
      <c r="B399" s="18"/>
      <c r="C399" s="9"/>
      <c r="D399" s="9"/>
    </row>
    <row r="400" spans="1:4" ht="24" customHeight="1">
      <c r="A400" s="5" t="str">
        <f t="shared" si="6"/>
        <v/>
      </c>
      <c r="B400" s="18"/>
      <c r="C400" s="9"/>
      <c r="D400" s="9"/>
    </row>
    <row r="401" spans="1:4" ht="24" customHeight="1">
      <c r="A401" s="5" t="str">
        <f t="shared" si="6"/>
        <v/>
      </c>
      <c r="B401" s="18"/>
      <c r="C401" s="9"/>
      <c r="D401" s="9"/>
    </row>
    <row r="402" spans="1:4" ht="24" customHeight="1">
      <c r="A402" s="5" t="str">
        <f t="shared" si="6"/>
        <v/>
      </c>
      <c r="B402" s="18"/>
      <c r="C402" s="9"/>
      <c r="D402" s="9"/>
    </row>
    <row r="403" spans="1:4" ht="24" customHeight="1">
      <c r="A403" s="5" t="str">
        <f t="shared" si="6"/>
        <v/>
      </c>
      <c r="B403" s="18"/>
      <c r="C403" s="9"/>
      <c r="D403" s="9"/>
    </row>
    <row r="404" spans="1:4" ht="24" customHeight="1">
      <c r="A404" s="5" t="str">
        <f t="shared" si="6"/>
        <v/>
      </c>
      <c r="B404" s="18"/>
      <c r="C404" s="9"/>
      <c r="D404" s="9"/>
    </row>
    <row r="405" spans="1:4" ht="24" customHeight="1">
      <c r="A405" s="5" t="str">
        <f t="shared" si="6"/>
        <v/>
      </c>
      <c r="B405" s="18"/>
      <c r="C405" s="9"/>
      <c r="D405" s="9"/>
    </row>
    <row r="406" spans="1:4" ht="24" customHeight="1">
      <c r="A406" s="5" t="str">
        <f t="shared" si="6"/>
        <v/>
      </c>
      <c r="B406" s="18"/>
      <c r="C406" s="9"/>
      <c r="D406" s="9"/>
    </row>
    <row r="407" spans="1:4" ht="24" customHeight="1">
      <c r="A407" s="5" t="str">
        <f t="shared" si="6"/>
        <v/>
      </c>
      <c r="B407" s="18"/>
      <c r="C407" s="9"/>
      <c r="D407" s="9"/>
    </row>
    <row r="408" spans="1:4" ht="24" customHeight="1">
      <c r="A408" s="5" t="str">
        <f t="shared" si="6"/>
        <v/>
      </c>
      <c r="B408" s="18"/>
      <c r="C408" s="9"/>
      <c r="D408" s="9"/>
    </row>
    <row r="409" spans="1:4" ht="24" customHeight="1">
      <c r="A409" s="5" t="str">
        <f t="shared" si="6"/>
        <v/>
      </c>
      <c r="B409" s="18"/>
      <c r="C409" s="9"/>
      <c r="D409" s="9"/>
    </row>
    <row r="410" spans="1:4" ht="24" customHeight="1">
      <c r="A410" s="5" t="str">
        <f t="shared" si="6"/>
        <v/>
      </c>
      <c r="B410" s="18"/>
      <c r="C410" s="9"/>
      <c r="D410" s="9"/>
    </row>
    <row r="411" spans="1:4" ht="24" customHeight="1">
      <c r="A411" s="5" t="str">
        <f t="shared" si="6"/>
        <v/>
      </c>
      <c r="B411" s="18"/>
      <c r="C411" s="9"/>
      <c r="D411" s="9"/>
    </row>
    <row r="412" spans="1:4" ht="24" customHeight="1">
      <c r="A412" s="5" t="str">
        <f t="shared" si="6"/>
        <v/>
      </c>
      <c r="B412" s="18"/>
      <c r="C412" s="9"/>
      <c r="D412" s="9"/>
    </row>
    <row r="413" spans="1:4" ht="24" customHeight="1">
      <c r="A413" s="5" t="str">
        <f t="shared" si="6"/>
        <v/>
      </c>
      <c r="B413" s="18"/>
      <c r="C413" s="9"/>
      <c r="D413" s="9"/>
    </row>
    <row r="414" spans="1:4" ht="24" customHeight="1">
      <c r="A414" s="5" t="str">
        <f t="shared" si="6"/>
        <v/>
      </c>
      <c r="B414" s="18"/>
      <c r="C414" s="9"/>
      <c r="D414" s="9"/>
    </row>
    <row r="415" spans="1:4" ht="24" customHeight="1">
      <c r="A415" s="5" t="str">
        <f t="shared" si="6"/>
        <v/>
      </c>
      <c r="B415" s="18"/>
      <c r="C415" s="9"/>
      <c r="D415" s="9"/>
    </row>
    <row r="416" spans="1:4" ht="24" customHeight="1">
      <c r="A416" s="5" t="str">
        <f t="shared" si="6"/>
        <v/>
      </c>
      <c r="B416" s="18"/>
      <c r="C416" s="9"/>
      <c r="D416" s="9"/>
    </row>
    <row r="417" spans="1:4" ht="24" customHeight="1">
      <c r="A417" s="5" t="str">
        <f t="shared" si="6"/>
        <v/>
      </c>
      <c r="B417" s="18"/>
      <c r="C417" s="9"/>
      <c r="D417" s="9"/>
    </row>
    <row r="418" spans="1:4" ht="24" customHeight="1">
      <c r="A418" s="5" t="str">
        <f t="shared" si="6"/>
        <v/>
      </c>
      <c r="B418" s="18"/>
      <c r="C418" s="9"/>
      <c r="D418" s="9"/>
    </row>
    <row r="419" spans="1:4" ht="24" customHeight="1">
      <c r="A419" s="5" t="str">
        <f t="shared" si="6"/>
        <v/>
      </c>
      <c r="B419" s="18"/>
      <c r="C419" s="9"/>
      <c r="D419" s="9"/>
    </row>
    <row r="420" spans="1:4" ht="24" customHeight="1">
      <c r="A420" s="5" t="str">
        <f t="shared" si="6"/>
        <v/>
      </c>
      <c r="B420" s="18"/>
      <c r="C420" s="9"/>
      <c r="D420" s="9"/>
    </row>
    <row r="421" spans="1:4" ht="24" customHeight="1">
      <c r="A421" s="5" t="str">
        <f t="shared" si="6"/>
        <v/>
      </c>
      <c r="B421" s="18"/>
      <c r="C421" s="9"/>
      <c r="D421" s="9"/>
    </row>
    <row r="422" spans="1:4" ht="24" customHeight="1">
      <c r="A422" s="5" t="str">
        <f t="shared" si="6"/>
        <v/>
      </c>
      <c r="B422" s="18"/>
      <c r="C422" s="9"/>
      <c r="D422" s="9"/>
    </row>
    <row r="423" spans="1:4" ht="24" customHeight="1">
      <c r="A423" s="5" t="str">
        <f t="shared" si="6"/>
        <v/>
      </c>
      <c r="B423" s="18"/>
      <c r="C423" s="9"/>
      <c r="D423" s="9"/>
    </row>
    <row r="424" spans="1:4" ht="24" customHeight="1">
      <c r="A424" s="5" t="str">
        <f t="shared" si="6"/>
        <v/>
      </c>
      <c r="B424" s="18"/>
      <c r="C424" s="9"/>
      <c r="D424" s="9"/>
    </row>
    <row r="425" spans="1:4" ht="24" customHeight="1">
      <c r="A425" s="5" t="str">
        <f t="shared" si="6"/>
        <v/>
      </c>
      <c r="B425" s="18"/>
      <c r="C425" s="9"/>
      <c r="D425" s="9"/>
    </row>
    <row r="426" spans="1:4" ht="24" customHeight="1">
      <c r="A426" s="5" t="str">
        <f t="shared" si="6"/>
        <v/>
      </c>
      <c r="B426" s="18"/>
      <c r="C426" s="9"/>
      <c r="D426" s="9"/>
    </row>
    <row r="427" spans="1:4" ht="24" customHeight="1">
      <c r="A427" s="5" t="str">
        <f t="shared" si="6"/>
        <v/>
      </c>
      <c r="B427" s="18"/>
      <c r="C427" s="9"/>
      <c r="D427" s="9"/>
    </row>
    <row r="428" spans="1:4" ht="24" customHeight="1">
      <c r="A428" s="5" t="str">
        <f t="shared" si="6"/>
        <v/>
      </c>
      <c r="B428" s="18"/>
      <c r="C428" s="9"/>
      <c r="D428" s="9"/>
    </row>
    <row r="429" spans="1:4" ht="24" customHeight="1">
      <c r="A429" s="5" t="str">
        <f t="shared" si="6"/>
        <v/>
      </c>
      <c r="B429" s="18"/>
      <c r="C429" s="9"/>
      <c r="D429" s="9"/>
    </row>
    <row r="430" spans="1:4" ht="24" customHeight="1">
      <c r="A430" s="5" t="str">
        <f t="shared" si="6"/>
        <v/>
      </c>
      <c r="B430" s="18"/>
      <c r="C430" s="9"/>
      <c r="D430" s="9"/>
    </row>
    <row r="431" spans="1:4" ht="24" customHeight="1">
      <c r="A431" s="5" t="str">
        <f t="shared" si="6"/>
        <v/>
      </c>
      <c r="B431" s="18"/>
      <c r="C431" s="9"/>
      <c r="D431" s="9"/>
    </row>
    <row r="432" spans="1:4" ht="24" customHeight="1">
      <c r="A432" s="5" t="str">
        <f t="shared" si="6"/>
        <v/>
      </c>
      <c r="B432" s="18"/>
      <c r="C432" s="9"/>
      <c r="D432" s="9"/>
    </row>
    <row r="433" spans="1:4" ht="24" customHeight="1">
      <c r="A433" s="5" t="str">
        <f t="shared" si="6"/>
        <v/>
      </c>
      <c r="B433" s="18"/>
      <c r="C433" s="9"/>
      <c r="D433" s="9"/>
    </row>
    <row r="434" spans="1:4" ht="24" customHeight="1">
      <c r="A434" s="5" t="str">
        <f t="shared" si="6"/>
        <v/>
      </c>
      <c r="B434" s="18"/>
      <c r="C434" s="9"/>
      <c r="D434" s="9"/>
    </row>
    <row r="435" spans="1:4" ht="24" customHeight="1">
      <c r="A435" s="5" t="str">
        <f t="shared" si="6"/>
        <v/>
      </c>
      <c r="B435" s="18"/>
      <c r="C435" s="9"/>
      <c r="D435" s="9"/>
    </row>
    <row r="436" spans="1:4" ht="24" customHeight="1">
      <c r="A436" s="5" t="str">
        <f t="shared" si="6"/>
        <v/>
      </c>
      <c r="B436" s="18"/>
      <c r="C436" s="9"/>
      <c r="D436" s="9"/>
    </row>
    <row r="437" spans="1:4" ht="24" customHeight="1">
      <c r="A437" s="5" t="str">
        <f t="shared" si="6"/>
        <v/>
      </c>
      <c r="B437" s="18"/>
      <c r="C437" s="9"/>
      <c r="D437" s="9"/>
    </row>
    <row r="438" spans="1:4" ht="24" customHeight="1">
      <c r="A438" s="5" t="str">
        <f t="shared" si="6"/>
        <v/>
      </c>
      <c r="B438" s="18"/>
      <c r="C438" s="9"/>
      <c r="D438" s="9"/>
    </row>
    <row r="439" spans="1:4" ht="24" customHeight="1">
      <c r="A439" s="5" t="str">
        <f t="shared" si="6"/>
        <v/>
      </c>
      <c r="B439" s="18"/>
      <c r="C439" s="9"/>
      <c r="D439" s="9"/>
    </row>
    <row r="440" spans="1:4" ht="24" customHeight="1">
      <c r="A440" s="5" t="str">
        <f t="shared" si="6"/>
        <v/>
      </c>
      <c r="B440" s="18"/>
      <c r="C440" s="9"/>
      <c r="D440" s="9"/>
    </row>
    <row r="441" spans="1:4" ht="24" customHeight="1">
      <c r="A441" s="5" t="str">
        <f t="shared" si="6"/>
        <v/>
      </c>
      <c r="B441" s="18"/>
      <c r="C441" s="9"/>
      <c r="D441" s="9"/>
    </row>
    <row r="442" spans="1:4" ht="24" customHeight="1">
      <c r="A442" s="5" t="str">
        <f t="shared" si="6"/>
        <v/>
      </c>
      <c r="B442" s="18"/>
      <c r="C442" s="9"/>
      <c r="D442" s="9"/>
    </row>
    <row r="443" spans="1:4" ht="24" customHeight="1">
      <c r="A443" s="5" t="str">
        <f t="shared" si="6"/>
        <v/>
      </c>
      <c r="B443" s="18"/>
      <c r="C443" s="9"/>
      <c r="D443" s="9"/>
    </row>
    <row r="444" spans="1:4" ht="24" customHeight="1">
      <c r="A444" s="5" t="str">
        <f t="shared" si="6"/>
        <v/>
      </c>
      <c r="B444" s="18"/>
      <c r="C444" s="9"/>
      <c r="D444" s="9"/>
    </row>
    <row r="445" spans="1:4" ht="24" customHeight="1">
      <c r="A445" s="5" t="str">
        <f t="shared" si="6"/>
        <v/>
      </c>
      <c r="B445" s="18"/>
      <c r="C445" s="9"/>
      <c r="D445" s="9"/>
    </row>
    <row r="446" spans="1:4" ht="24" customHeight="1">
      <c r="A446" s="5" t="str">
        <f t="shared" si="6"/>
        <v/>
      </c>
      <c r="B446" s="18"/>
      <c r="C446" s="9"/>
      <c r="D446" s="9"/>
    </row>
    <row r="447" spans="1:4" ht="24" customHeight="1">
      <c r="A447" s="5" t="str">
        <f t="shared" si="6"/>
        <v/>
      </c>
      <c r="B447" s="18"/>
      <c r="C447" s="9"/>
      <c r="D447" s="9"/>
    </row>
    <row r="448" spans="1:4" ht="24" customHeight="1">
      <c r="A448" s="5" t="str">
        <f t="shared" si="6"/>
        <v/>
      </c>
      <c r="B448" s="18"/>
      <c r="C448" s="9"/>
      <c r="D448" s="9"/>
    </row>
    <row r="449" spans="1:4" ht="24" customHeight="1">
      <c r="A449" s="5" t="str">
        <f t="shared" si="6"/>
        <v/>
      </c>
      <c r="B449" s="18"/>
      <c r="C449" s="9"/>
      <c r="D449" s="9"/>
    </row>
    <row r="450" spans="1:4" ht="24" customHeight="1">
      <c r="A450" s="5" t="str">
        <f t="shared" ref="A450:A501" si="7">IF(C450="","",ROW()-1)</f>
        <v/>
      </c>
      <c r="B450" s="18"/>
      <c r="C450" s="9"/>
      <c r="D450" s="9"/>
    </row>
    <row r="451" spans="1:4" ht="24" customHeight="1">
      <c r="A451" s="5" t="str">
        <f t="shared" si="7"/>
        <v/>
      </c>
      <c r="B451" s="18"/>
      <c r="C451" s="9"/>
      <c r="D451" s="9"/>
    </row>
    <row r="452" spans="1:4" ht="24" customHeight="1">
      <c r="A452" s="5" t="str">
        <f t="shared" si="7"/>
        <v/>
      </c>
      <c r="B452" s="18"/>
      <c r="C452" s="9"/>
      <c r="D452" s="9"/>
    </row>
    <row r="453" spans="1:4" ht="24" customHeight="1">
      <c r="A453" s="5" t="str">
        <f t="shared" si="7"/>
        <v/>
      </c>
      <c r="B453" s="18"/>
      <c r="C453" s="9"/>
      <c r="D453" s="9"/>
    </row>
    <row r="454" spans="1:4" ht="24" customHeight="1">
      <c r="A454" s="5" t="str">
        <f t="shared" si="7"/>
        <v/>
      </c>
      <c r="B454" s="18"/>
      <c r="C454" s="9"/>
      <c r="D454" s="9"/>
    </row>
    <row r="455" spans="1:4" ht="24" customHeight="1">
      <c r="A455" s="5" t="str">
        <f t="shared" si="7"/>
        <v/>
      </c>
      <c r="B455" s="18"/>
      <c r="C455" s="9"/>
      <c r="D455" s="9"/>
    </row>
    <row r="456" spans="1:4" ht="24" customHeight="1">
      <c r="A456" s="5" t="str">
        <f t="shared" si="7"/>
        <v/>
      </c>
      <c r="B456" s="18"/>
      <c r="C456" s="9"/>
      <c r="D456" s="9"/>
    </row>
    <row r="457" spans="1:4" ht="24" customHeight="1">
      <c r="A457" s="5" t="str">
        <f t="shared" si="7"/>
        <v/>
      </c>
      <c r="B457" s="18"/>
      <c r="C457" s="9"/>
      <c r="D457" s="9"/>
    </row>
    <row r="458" spans="1:4" ht="24" customHeight="1">
      <c r="A458" s="5" t="str">
        <f t="shared" si="7"/>
        <v/>
      </c>
      <c r="B458" s="18"/>
      <c r="C458" s="9"/>
      <c r="D458" s="9"/>
    </row>
    <row r="459" spans="1:4" ht="24" customHeight="1">
      <c r="A459" s="5" t="str">
        <f t="shared" si="7"/>
        <v/>
      </c>
      <c r="B459" s="18"/>
      <c r="C459" s="9"/>
      <c r="D459" s="9"/>
    </row>
    <row r="460" spans="1:4" ht="24" customHeight="1">
      <c r="A460" s="5" t="str">
        <f t="shared" si="7"/>
        <v/>
      </c>
      <c r="B460" s="18"/>
      <c r="C460" s="9"/>
      <c r="D460" s="9"/>
    </row>
    <row r="461" spans="1:4" ht="24" customHeight="1">
      <c r="A461" s="5" t="str">
        <f t="shared" si="7"/>
        <v/>
      </c>
      <c r="B461" s="18"/>
      <c r="C461" s="9"/>
      <c r="D461" s="9"/>
    </row>
    <row r="462" spans="1:4" ht="24" customHeight="1">
      <c r="A462" s="5" t="str">
        <f t="shared" si="7"/>
        <v/>
      </c>
      <c r="B462" s="18"/>
      <c r="C462" s="9"/>
      <c r="D462" s="9"/>
    </row>
    <row r="463" spans="1:4" ht="24" customHeight="1">
      <c r="A463" s="5" t="str">
        <f t="shared" si="7"/>
        <v/>
      </c>
      <c r="B463" s="18"/>
      <c r="C463" s="9"/>
      <c r="D463" s="9"/>
    </row>
    <row r="464" spans="1:4" ht="24" customHeight="1">
      <c r="A464" s="5" t="str">
        <f t="shared" si="7"/>
        <v/>
      </c>
      <c r="B464" s="18"/>
      <c r="C464" s="9"/>
      <c r="D464" s="9"/>
    </row>
    <row r="465" spans="1:4" ht="24" customHeight="1">
      <c r="A465" s="5" t="str">
        <f t="shared" si="7"/>
        <v/>
      </c>
      <c r="B465" s="18"/>
      <c r="C465" s="9"/>
      <c r="D465" s="9"/>
    </row>
    <row r="466" spans="1:4" ht="24" customHeight="1">
      <c r="A466" s="5" t="str">
        <f t="shared" si="7"/>
        <v/>
      </c>
      <c r="B466" s="18"/>
      <c r="C466" s="9"/>
      <c r="D466" s="9"/>
    </row>
    <row r="467" spans="1:4" ht="24" customHeight="1">
      <c r="A467" s="5" t="str">
        <f t="shared" si="7"/>
        <v/>
      </c>
      <c r="B467" s="18"/>
      <c r="C467" s="9"/>
      <c r="D467" s="9"/>
    </row>
    <row r="468" spans="1:4" ht="24" customHeight="1">
      <c r="A468" s="5" t="str">
        <f t="shared" si="7"/>
        <v/>
      </c>
      <c r="B468" s="18"/>
      <c r="C468" s="9"/>
      <c r="D468" s="9"/>
    </row>
    <row r="469" spans="1:4" ht="24" customHeight="1">
      <c r="A469" s="5" t="str">
        <f t="shared" si="7"/>
        <v/>
      </c>
      <c r="B469" s="18"/>
      <c r="C469" s="9"/>
      <c r="D469" s="9"/>
    </row>
    <row r="470" spans="1:4" ht="24" customHeight="1">
      <c r="A470" s="5" t="str">
        <f t="shared" si="7"/>
        <v/>
      </c>
      <c r="B470" s="18"/>
      <c r="C470" s="9"/>
      <c r="D470" s="9"/>
    </row>
    <row r="471" spans="1:4" ht="24" customHeight="1">
      <c r="A471" s="5" t="str">
        <f t="shared" si="7"/>
        <v/>
      </c>
      <c r="B471" s="18"/>
      <c r="C471" s="9"/>
      <c r="D471" s="9"/>
    </row>
    <row r="472" spans="1:4" ht="24" customHeight="1">
      <c r="A472" s="5" t="str">
        <f t="shared" si="7"/>
        <v/>
      </c>
      <c r="B472" s="18"/>
      <c r="C472" s="9"/>
      <c r="D472" s="9"/>
    </row>
    <row r="473" spans="1:4" ht="24" customHeight="1">
      <c r="A473" s="5" t="str">
        <f t="shared" si="7"/>
        <v/>
      </c>
      <c r="B473" s="18"/>
      <c r="C473" s="9"/>
      <c r="D473" s="9"/>
    </row>
    <row r="474" spans="1:4" ht="24" customHeight="1">
      <c r="A474" s="5" t="str">
        <f t="shared" si="7"/>
        <v/>
      </c>
      <c r="B474" s="18"/>
      <c r="C474" s="9"/>
      <c r="D474" s="9"/>
    </row>
    <row r="475" spans="1:4" ht="24" customHeight="1">
      <c r="A475" s="5" t="str">
        <f t="shared" si="7"/>
        <v/>
      </c>
      <c r="B475" s="18"/>
      <c r="C475" s="9"/>
      <c r="D475" s="9"/>
    </row>
    <row r="476" spans="1:4" ht="24" customHeight="1">
      <c r="A476" s="5" t="str">
        <f t="shared" si="7"/>
        <v/>
      </c>
      <c r="B476" s="18"/>
      <c r="C476" s="9"/>
      <c r="D476" s="9"/>
    </row>
    <row r="477" spans="1:4" ht="24" customHeight="1">
      <c r="A477" s="5" t="str">
        <f t="shared" si="7"/>
        <v/>
      </c>
      <c r="B477" s="18"/>
      <c r="C477" s="9"/>
      <c r="D477" s="9"/>
    </row>
    <row r="478" spans="1:4" ht="24" customHeight="1">
      <c r="A478" s="5" t="str">
        <f t="shared" si="7"/>
        <v/>
      </c>
      <c r="B478" s="18"/>
      <c r="C478" s="9"/>
      <c r="D478" s="9"/>
    </row>
    <row r="479" spans="1:4" ht="24" customHeight="1">
      <c r="A479" s="5" t="str">
        <f t="shared" si="7"/>
        <v/>
      </c>
      <c r="B479" s="18"/>
      <c r="C479" s="9"/>
      <c r="D479" s="9"/>
    </row>
    <row r="480" spans="1:4" ht="24" customHeight="1">
      <c r="A480" s="5" t="str">
        <f t="shared" si="7"/>
        <v/>
      </c>
      <c r="B480" s="18"/>
      <c r="C480" s="9"/>
      <c r="D480" s="9"/>
    </row>
    <row r="481" spans="1:4" ht="24" customHeight="1">
      <c r="A481" s="5" t="str">
        <f t="shared" si="7"/>
        <v/>
      </c>
      <c r="B481" s="18"/>
      <c r="C481" s="9"/>
      <c r="D481" s="9"/>
    </row>
    <row r="482" spans="1:4" ht="24" customHeight="1">
      <c r="A482" s="5" t="str">
        <f t="shared" si="7"/>
        <v/>
      </c>
      <c r="B482" s="18"/>
      <c r="C482" s="9"/>
      <c r="D482" s="9"/>
    </row>
    <row r="483" spans="1:4" ht="24" customHeight="1">
      <c r="A483" s="5" t="str">
        <f t="shared" si="7"/>
        <v/>
      </c>
      <c r="B483" s="18"/>
      <c r="C483" s="9"/>
      <c r="D483" s="9"/>
    </row>
    <row r="484" spans="1:4" ht="24" customHeight="1">
      <c r="A484" s="5" t="str">
        <f t="shared" si="7"/>
        <v/>
      </c>
      <c r="B484" s="18"/>
      <c r="C484" s="9"/>
      <c r="D484" s="9"/>
    </row>
    <row r="485" spans="1:4" ht="24" customHeight="1">
      <c r="A485" s="5" t="str">
        <f t="shared" si="7"/>
        <v/>
      </c>
      <c r="B485" s="18"/>
      <c r="C485" s="9"/>
      <c r="D485" s="9"/>
    </row>
    <row r="486" spans="1:4" ht="24" customHeight="1">
      <c r="A486" s="5" t="str">
        <f t="shared" si="7"/>
        <v/>
      </c>
      <c r="B486" s="18"/>
      <c r="C486" s="9"/>
      <c r="D486" s="9"/>
    </row>
    <row r="487" spans="1:4" ht="24" customHeight="1">
      <c r="A487" s="5" t="str">
        <f t="shared" si="7"/>
        <v/>
      </c>
      <c r="B487" s="18"/>
      <c r="C487" s="9"/>
      <c r="D487" s="9"/>
    </row>
    <row r="488" spans="1:4" ht="24" customHeight="1">
      <c r="A488" s="5" t="str">
        <f t="shared" si="7"/>
        <v/>
      </c>
      <c r="B488" s="18"/>
      <c r="C488" s="9"/>
      <c r="D488" s="9"/>
    </row>
    <row r="489" spans="1:4" ht="24" customHeight="1">
      <c r="A489" s="5" t="str">
        <f t="shared" si="7"/>
        <v/>
      </c>
      <c r="B489" s="18"/>
      <c r="C489" s="9"/>
      <c r="D489" s="9"/>
    </row>
    <row r="490" spans="1:4" ht="24" customHeight="1">
      <c r="A490" s="5" t="str">
        <f t="shared" si="7"/>
        <v/>
      </c>
      <c r="B490" s="18"/>
      <c r="C490" s="9"/>
      <c r="D490" s="9"/>
    </row>
    <row r="491" spans="1:4" ht="24" customHeight="1">
      <c r="A491" s="5" t="str">
        <f t="shared" si="7"/>
        <v/>
      </c>
      <c r="B491" s="18"/>
      <c r="C491" s="9"/>
      <c r="D491" s="9"/>
    </row>
    <row r="492" spans="1:4" ht="24" customHeight="1">
      <c r="A492" s="5" t="str">
        <f t="shared" si="7"/>
        <v/>
      </c>
      <c r="B492" s="18"/>
      <c r="C492" s="9"/>
      <c r="D492" s="9"/>
    </row>
    <row r="493" spans="1:4" ht="24" customHeight="1">
      <c r="A493" s="5" t="str">
        <f t="shared" si="7"/>
        <v/>
      </c>
      <c r="B493" s="18"/>
      <c r="C493" s="9"/>
      <c r="D493" s="9"/>
    </row>
    <row r="494" spans="1:4" ht="24" customHeight="1">
      <c r="A494" s="5" t="str">
        <f t="shared" si="7"/>
        <v/>
      </c>
      <c r="B494" s="18"/>
      <c r="C494" s="9"/>
      <c r="D494" s="9"/>
    </row>
    <row r="495" spans="1:4" ht="24" customHeight="1">
      <c r="A495" s="5" t="str">
        <f t="shared" si="7"/>
        <v/>
      </c>
      <c r="B495" s="18"/>
      <c r="C495" s="9"/>
      <c r="D495" s="9"/>
    </row>
    <row r="496" spans="1:4" ht="24" customHeight="1">
      <c r="A496" s="5" t="str">
        <f t="shared" si="7"/>
        <v/>
      </c>
      <c r="B496" s="18"/>
      <c r="C496" s="9"/>
      <c r="D496" s="9"/>
    </row>
    <row r="497" spans="1:4" ht="24" customHeight="1">
      <c r="A497" s="5" t="str">
        <f t="shared" si="7"/>
        <v/>
      </c>
      <c r="B497" s="18"/>
      <c r="C497" s="9"/>
      <c r="D497" s="9"/>
    </row>
    <row r="498" spans="1:4" ht="24" customHeight="1">
      <c r="A498" s="5" t="str">
        <f t="shared" si="7"/>
        <v/>
      </c>
      <c r="B498" s="18"/>
      <c r="C498" s="9"/>
      <c r="D498" s="9"/>
    </row>
    <row r="499" spans="1:4" ht="24" customHeight="1">
      <c r="A499" s="5" t="str">
        <f t="shared" si="7"/>
        <v/>
      </c>
      <c r="B499" s="18"/>
      <c r="C499" s="9"/>
      <c r="D499" s="9"/>
    </row>
    <row r="500" spans="1:4" ht="24" customHeight="1">
      <c r="A500" s="5" t="str">
        <f t="shared" si="7"/>
        <v/>
      </c>
      <c r="B500" s="18"/>
      <c r="C500" s="9"/>
      <c r="D500" s="9"/>
    </row>
    <row r="501" spans="1:4" ht="24" customHeight="1">
      <c r="A501" s="5" t="str">
        <f t="shared" si="7"/>
        <v/>
      </c>
      <c r="B501" s="18"/>
      <c r="C501" s="9"/>
      <c r="D501" s="9"/>
    </row>
  </sheetData>
  <autoFilter ref="A1:D501" xr:uid="{00000000-0009-0000-0000-000004000000}"/>
  <conditionalFormatting sqref="A2:D501">
    <cfRule type="expression" dxfId="15" priority="1">
      <formula>AND(OR($C2&lt;&gt;"",$B2&lt;&gt;""),OR($C2="",$B2=""))</formula>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expression" priority="2" id="{00000000-000E-0000-0400-000002000000}">
            <xm:f>AND($C2&lt;&gt;"",COUNTIF(قوائم!$B$2:$B$150,$C2)=0)</xm:f>
            <x14:dxf>
              <fill>
                <patternFill patternType="solid">
                  <fgColor rgb="FFFCE4E4"/>
                </patternFill>
              </fill>
            </x14:dxf>
          </x14:cfRule>
          <xm:sqref>A2:D501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ErrorMessage="1" errorTitle="طبخة غير موجودة" error="اختر اسم طبخة موجود في صفحة الطبخات" xr:uid="{00000000-0002-0000-0400-000000000000}">
          <x14:formula1>
            <xm:f>قوائم!$B$2:$B$150</xm:f>
          </x14:formula1>
          <xm:sqref>C2:C501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F501"/>
  <sheetViews>
    <sheetView rightToLeft="1" workbookViewId="0">
      <pane ySplit="1" topLeftCell="A2" activePane="bottomLeft" state="frozen"/>
      <selection pane="bottomLeft" activeCell="F4" sqref="F4"/>
    </sheetView>
  </sheetViews>
  <sheetFormatPr defaultRowHeight="14.25"/>
  <cols>
    <col min="1" max="1" width="10" customWidth="1"/>
    <col min="2" max="2" width="14" customWidth="1"/>
    <col min="3" max="3" width="26" customWidth="1"/>
    <col min="4" max="4" width="12" customWidth="1"/>
    <col min="5" max="5" width="24" customWidth="1"/>
    <col min="6" max="6" width="34" customWidth="1"/>
  </cols>
  <sheetData>
    <row r="1" spans="1:6" ht="26.1" customHeight="1">
      <c r="A1" s="2" t="s">
        <v>168</v>
      </c>
      <c r="B1" s="2" t="s">
        <v>20</v>
      </c>
      <c r="C1" s="2" t="s">
        <v>21</v>
      </c>
      <c r="D1" s="2" t="s">
        <v>22</v>
      </c>
      <c r="E1" s="2" t="s">
        <v>172</v>
      </c>
      <c r="F1" s="2" t="s">
        <v>26</v>
      </c>
    </row>
    <row r="2" spans="1:6" ht="24" customHeight="1">
      <c r="A2" s="5">
        <f t="shared" ref="A2:A65" si="0">IF(C2="","",ROW()-1)</f>
        <v>1</v>
      </c>
      <c r="B2" s="18">
        <v>46211</v>
      </c>
      <c r="C2" s="9" t="s">
        <v>35</v>
      </c>
      <c r="D2" s="15">
        <v>3</v>
      </c>
      <c r="E2" s="9" t="s">
        <v>173</v>
      </c>
      <c r="F2" s="9" t="s">
        <v>171</v>
      </c>
    </row>
    <row r="3" spans="1:6" ht="24" customHeight="1">
      <c r="A3" s="5">
        <f t="shared" si="0"/>
        <v>2</v>
      </c>
      <c r="B3" s="18">
        <v>46219</v>
      </c>
      <c r="C3" s="9" t="s">
        <v>46</v>
      </c>
      <c r="D3" s="15">
        <v>20</v>
      </c>
      <c r="E3" s="9" t="s">
        <v>257</v>
      </c>
      <c r="F3" s="9" t="s">
        <v>258</v>
      </c>
    </row>
    <row r="4" spans="1:6" ht="24" customHeight="1">
      <c r="A4" s="5" t="str">
        <f t="shared" si="0"/>
        <v/>
      </c>
      <c r="B4" s="18"/>
      <c r="C4" s="9"/>
      <c r="D4" s="15"/>
      <c r="E4" s="9"/>
      <c r="F4" s="9"/>
    </row>
    <row r="5" spans="1:6" ht="24" customHeight="1">
      <c r="A5" s="5" t="str">
        <f t="shared" si="0"/>
        <v/>
      </c>
      <c r="B5" s="18"/>
      <c r="C5" s="9"/>
      <c r="D5" s="15"/>
      <c r="E5" s="9"/>
      <c r="F5" s="9"/>
    </row>
    <row r="6" spans="1:6" ht="24" customHeight="1">
      <c r="A6" s="5" t="str">
        <f t="shared" si="0"/>
        <v/>
      </c>
      <c r="B6" s="18"/>
      <c r="C6" s="9"/>
      <c r="D6" s="15"/>
      <c r="E6" s="9"/>
      <c r="F6" s="9"/>
    </row>
    <row r="7" spans="1:6" ht="24" customHeight="1">
      <c r="A7" s="5" t="str">
        <f t="shared" si="0"/>
        <v/>
      </c>
      <c r="B7" s="18"/>
      <c r="C7" s="9"/>
      <c r="D7" s="15"/>
      <c r="E7" s="9"/>
      <c r="F7" s="9"/>
    </row>
    <row r="8" spans="1:6" ht="24" customHeight="1">
      <c r="A8" s="5" t="str">
        <f t="shared" si="0"/>
        <v/>
      </c>
      <c r="B8" s="18"/>
      <c r="C8" s="9"/>
      <c r="D8" s="15"/>
      <c r="E8" s="9"/>
      <c r="F8" s="9"/>
    </row>
    <row r="9" spans="1:6" ht="24" customHeight="1">
      <c r="A9" s="5" t="str">
        <f t="shared" si="0"/>
        <v/>
      </c>
      <c r="B9" s="18"/>
      <c r="C9" s="9"/>
      <c r="D9" s="15"/>
      <c r="E9" s="9"/>
      <c r="F9" s="9"/>
    </row>
    <row r="10" spans="1:6" ht="24" customHeight="1">
      <c r="A10" s="5" t="str">
        <f t="shared" si="0"/>
        <v/>
      </c>
      <c r="B10" s="18"/>
      <c r="C10" s="9"/>
      <c r="D10" s="15"/>
      <c r="E10" s="9"/>
      <c r="F10" s="9"/>
    </row>
    <row r="11" spans="1:6" ht="24" customHeight="1">
      <c r="A11" s="5" t="str">
        <f t="shared" si="0"/>
        <v/>
      </c>
      <c r="B11" s="18"/>
      <c r="C11" s="9"/>
      <c r="D11" s="15"/>
      <c r="E11" s="9"/>
      <c r="F11" s="9"/>
    </row>
    <row r="12" spans="1:6" ht="24" customHeight="1">
      <c r="A12" s="5" t="str">
        <f t="shared" si="0"/>
        <v/>
      </c>
      <c r="B12" s="18"/>
      <c r="C12" s="9"/>
      <c r="D12" s="15"/>
      <c r="E12" s="9"/>
      <c r="F12" s="9"/>
    </row>
    <row r="13" spans="1:6" ht="24" customHeight="1">
      <c r="A13" s="5" t="str">
        <f t="shared" si="0"/>
        <v/>
      </c>
      <c r="B13" s="18"/>
      <c r="C13" s="9"/>
      <c r="D13" s="15"/>
      <c r="E13" s="9"/>
      <c r="F13" s="9"/>
    </row>
    <row r="14" spans="1:6" ht="24" customHeight="1">
      <c r="A14" s="5" t="str">
        <f t="shared" si="0"/>
        <v/>
      </c>
      <c r="B14" s="18"/>
      <c r="C14" s="9"/>
      <c r="D14" s="15"/>
      <c r="E14" s="9"/>
      <c r="F14" s="9"/>
    </row>
    <row r="15" spans="1:6" ht="24" customHeight="1">
      <c r="A15" s="5" t="str">
        <f t="shared" si="0"/>
        <v/>
      </c>
      <c r="B15" s="18"/>
      <c r="C15" s="9"/>
      <c r="D15" s="15"/>
      <c r="E15" s="9"/>
      <c r="F15" s="9"/>
    </row>
    <row r="16" spans="1:6" ht="24" customHeight="1">
      <c r="A16" s="5" t="str">
        <f t="shared" si="0"/>
        <v/>
      </c>
      <c r="B16" s="18"/>
      <c r="C16" s="9"/>
      <c r="D16" s="15"/>
      <c r="E16" s="9"/>
      <c r="F16" s="9"/>
    </row>
    <row r="17" spans="1:6" ht="24" customHeight="1">
      <c r="A17" s="5" t="str">
        <f t="shared" si="0"/>
        <v/>
      </c>
      <c r="B17" s="18"/>
      <c r="C17" s="9"/>
      <c r="D17" s="15"/>
      <c r="E17" s="9"/>
      <c r="F17" s="9"/>
    </row>
    <row r="18" spans="1:6" ht="24" customHeight="1">
      <c r="A18" s="5" t="str">
        <f t="shared" si="0"/>
        <v/>
      </c>
      <c r="B18" s="18"/>
      <c r="C18" s="9"/>
      <c r="D18" s="15"/>
      <c r="E18" s="9"/>
      <c r="F18" s="9"/>
    </row>
    <row r="19" spans="1:6" ht="24" customHeight="1">
      <c r="A19" s="5" t="str">
        <f t="shared" si="0"/>
        <v/>
      </c>
      <c r="B19" s="18"/>
      <c r="C19" s="9"/>
      <c r="D19" s="15"/>
      <c r="E19" s="9"/>
      <c r="F19" s="9"/>
    </row>
    <row r="20" spans="1:6" ht="24" customHeight="1">
      <c r="A20" s="5" t="str">
        <f t="shared" si="0"/>
        <v/>
      </c>
      <c r="B20" s="18"/>
      <c r="C20" s="9"/>
      <c r="D20" s="15"/>
      <c r="E20" s="9"/>
      <c r="F20" s="9"/>
    </row>
    <row r="21" spans="1:6" ht="24" customHeight="1">
      <c r="A21" s="5" t="str">
        <f t="shared" si="0"/>
        <v/>
      </c>
      <c r="B21" s="18"/>
      <c r="C21" s="9"/>
      <c r="D21" s="15"/>
      <c r="E21" s="9"/>
      <c r="F21" s="9"/>
    </row>
    <row r="22" spans="1:6" ht="24" customHeight="1">
      <c r="A22" s="5" t="str">
        <f t="shared" si="0"/>
        <v/>
      </c>
      <c r="B22" s="18"/>
      <c r="C22" s="9"/>
      <c r="D22" s="15"/>
      <c r="E22" s="9"/>
      <c r="F22" s="9"/>
    </row>
    <row r="23" spans="1:6" ht="24" customHeight="1">
      <c r="A23" s="5" t="str">
        <f t="shared" si="0"/>
        <v/>
      </c>
      <c r="B23" s="18"/>
      <c r="C23" s="9"/>
      <c r="D23" s="15"/>
      <c r="E23" s="9"/>
      <c r="F23" s="9"/>
    </row>
    <row r="24" spans="1:6" ht="24" customHeight="1">
      <c r="A24" s="5" t="str">
        <f t="shared" si="0"/>
        <v/>
      </c>
      <c r="B24" s="18"/>
      <c r="C24" s="9"/>
      <c r="D24" s="15"/>
      <c r="E24" s="9"/>
      <c r="F24" s="9"/>
    </row>
    <row r="25" spans="1:6" ht="24" customHeight="1">
      <c r="A25" s="5" t="str">
        <f t="shared" si="0"/>
        <v/>
      </c>
      <c r="B25" s="18"/>
      <c r="C25" s="9"/>
      <c r="D25" s="15"/>
      <c r="E25" s="9"/>
      <c r="F25" s="9"/>
    </row>
    <row r="26" spans="1:6" ht="24" customHeight="1">
      <c r="A26" s="5" t="str">
        <f t="shared" si="0"/>
        <v/>
      </c>
      <c r="B26" s="18"/>
      <c r="C26" s="9"/>
      <c r="D26" s="15"/>
      <c r="E26" s="9"/>
      <c r="F26" s="9"/>
    </row>
    <row r="27" spans="1:6" ht="24" customHeight="1">
      <c r="A27" s="5" t="str">
        <f t="shared" si="0"/>
        <v/>
      </c>
      <c r="B27" s="18"/>
      <c r="C27" s="9"/>
      <c r="D27" s="15"/>
      <c r="E27" s="9"/>
      <c r="F27" s="9"/>
    </row>
    <row r="28" spans="1:6" ht="24" customHeight="1">
      <c r="A28" s="5" t="str">
        <f t="shared" si="0"/>
        <v/>
      </c>
      <c r="B28" s="18"/>
      <c r="C28" s="9"/>
      <c r="D28" s="15"/>
      <c r="E28" s="9"/>
      <c r="F28" s="9"/>
    </row>
    <row r="29" spans="1:6" ht="24" customHeight="1">
      <c r="A29" s="5" t="str">
        <f t="shared" si="0"/>
        <v/>
      </c>
      <c r="B29" s="18"/>
      <c r="C29" s="9"/>
      <c r="D29" s="15"/>
      <c r="E29" s="9"/>
      <c r="F29" s="9"/>
    </row>
    <row r="30" spans="1:6" ht="24" customHeight="1">
      <c r="A30" s="5" t="str">
        <f t="shared" si="0"/>
        <v/>
      </c>
      <c r="B30" s="18"/>
      <c r="C30" s="9"/>
      <c r="D30" s="15"/>
      <c r="E30" s="9"/>
      <c r="F30" s="9"/>
    </row>
    <row r="31" spans="1:6" ht="24" customHeight="1">
      <c r="A31" s="5" t="str">
        <f t="shared" si="0"/>
        <v/>
      </c>
      <c r="B31" s="18"/>
      <c r="C31" s="9"/>
      <c r="D31" s="15"/>
      <c r="E31" s="9"/>
      <c r="F31" s="9"/>
    </row>
    <row r="32" spans="1:6" ht="24" customHeight="1">
      <c r="A32" s="5" t="str">
        <f t="shared" si="0"/>
        <v/>
      </c>
      <c r="B32" s="18"/>
      <c r="C32" s="9"/>
      <c r="D32" s="15"/>
      <c r="E32" s="9"/>
      <c r="F32" s="9"/>
    </row>
    <row r="33" spans="1:6" ht="24" customHeight="1">
      <c r="A33" s="5" t="str">
        <f t="shared" si="0"/>
        <v/>
      </c>
      <c r="B33" s="18"/>
      <c r="C33" s="9"/>
      <c r="D33" s="15"/>
      <c r="E33" s="9"/>
      <c r="F33" s="9"/>
    </row>
    <row r="34" spans="1:6" ht="24" customHeight="1">
      <c r="A34" s="5" t="str">
        <f t="shared" si="0"/>
        <v/>
      </c>
      <c r="B34" s="18"/>
      <c r="C34" s="9"/>
      <c r="D34" s="15"/>
      <c r="E34" s="9"/>
      <c r="F34" s="9"/>
    </row>
    <row r="35" spans="1:6" ht="24" customHeight="1">
      <c r="A35" s="5" t="str">
        <f t="shared" si="0"/>
        <v/>
      </c>
      <c r="B35" s="18"/>
      <c r="C35" s="9"/>
      <c r="D35" s="15"/>
      <c r="E35" s="9"/>
      <c r="F35" s="9"/>
    </row>
    <row r="36" spans="1:6" ht="24" customHeight="1">
      <c r="A36" s="5" t="str">
        <f t="shared" si="0"/>
        <v/>
      </c>
      <c r="B36" s="18"/>
      <c r="C36" s="9"/>
      <c r="D36" s="15"/>
      <c r="E36" s="9"/>
      <c r="F36" s="9"/>
    </row>
    <row r="37" spans="1:6" ht="24" customHeight="1">
      <c r="A37" s="5" t="str">
        <f t="shared" si="0"/>
        <v/>
      </c>
      <c r="B37" s="18"/>
      <c r="C37" s="9"/>
      <c r="D37" s="15"/>
      <c r="E37" s="9"/>
      <c r="F37" s="9"/>
    </row>
    <row r="38" spans="1:6" ht="24" customHeight="1">
      <c r="A38" s="5" t="str">
        <f t="shared" si="0"/>
        <v/>
      </c>
      <c r="B38" s="18"/>
      <c r="C38" s="9"/>
      <c r="D38" s="15"/>
      <c r="E38" s="9"/>
      <c r="F38" s="9"/>
    </row>
    <row r="39" spans="1:6" ht="24" customHeight="1">
      <c r="A39" s="5" t="str">
        <f t="shared" si="0"/>
        <v/>
      </c>
      <c r="B39" s="18"/>
      <c r="C39" s="9"/>
      <c r="D39" s="15"/>
      <c r="E39" s="9"/>
      <c r="F39" s="9"/>
    </row>
    <row r="40" spans="1:6" ht="24" customHeight="1">
      <c r="A40" s="5" t="str">
        <f t="shared" si="0"/>
        <v/>
      </c>
      <c r="B40" s="18"/>
      <c r="C40" s="9"/>
      <c r="D40" s="15"/>
      <c r="E40" s="9"/>
      <c r="F40" s="9"/>
    </row>
    <row r="41" spans="1:6" ht="24" customHeight="1">
      <c r="A41" s="5" t="str">
        <f t="shared" si="0"/>
        <v/>
      </c>
      <c r="B41" s="18"/>
      <c r="C41" s="9"/>
      <c r="D41" s="15"/>
      <c r="E41" s="9"/>
      <c r="F41" s="9"/>
    </row>
    <row r="42" spans="1:6" ht="24" customHeight="1">
      <c r="A42" s="5" t="str">
        <f t="shared" si="0"/>
        <v/>
      </c>
      <c r="B42" s="18"/>
      <c r="C42" s="9"/>
      <c r="D42" s="15"/>
      <c r="E42" s="9"/>
      <c r="F42" s="9"/>
    </row>
    <row r="43" spans="1:6" ht="24" customHeight="1">
      <c r="A43" s="5" t="str">
        <f t="shared" si="0"/>
        <v/>
      </c>
      <c r="B43" s="18"/>
      <c r="C43" s="9"/>
      <c r="D43" s="15"/>
      <c r="E43" s="9"/>
      <c r="F43" s="9"/>
    </row>
    <row r="44" spans="1:6" ht="24" customHeight="1">
      <c r="A44" s="5" t="str">
        <f t="shared" si="0"/>
        <v/>
      </c>
      <c r="B44" s="18"/>
      <c r="C44" s="9"/>
      <c r="D44" s="15"/>
      <c r="E44" s="9"/>
      <c r="F44" s="9"/>
    </row>
    <row r="45" spans="1:6" ht="24" customHeight="1">
      <c r="A45" s="5" t="str">
        <f t="shared" si="0"/>
        <v/>
      </c>
      <c r="B45" s="18"/>
      <c r="C45" s="9"/>
      <c r="D45" s="15"/>
      <c r="E45" s="9"/>
      <c r="F45" s="9"/>
    </row>
    <row r="46" spans="1:6" ht="24" customHeight="1">
      <c r="A46" s="5" t="str">
        <f t="shared" si="0"/>
        <v/>
      </c>
      <c r="B46" s="18"/>
      <c r="C46" s="9"/>
      <c r="D46" s="15"/>
      <c r="E46" s="9"/>
      <c r="F46" s="9"/>
    </row>
    <row r="47" spans="1:6" ht="24" customHeight="1">
      <c r="A47" s="5" t="str">
        <f t="shared" si="0"/>
        <v/>
      </c>
      <c r="B47" s="18"/>
      <c r="C47" s="9"/>
      <c r="D47" s="15"/>
      <c r="E47" s="9"/>
      <c r="F47" s="9"/>
    </row>
    <row r="48" spans="1:6" ht="24" customHeight="1">
      <c r="A48" s="5" t="str">
        <f t="shared" si="0"/>
        <v/>
      </c>
      <c r="B48" s="18"/>
      <c r="C48" s="9"/>
      <c r="D48" s="15"/>
      <c r="E48" s="9"/>
      <c r="F48" s="9"/>
    </row>
    <row r="49" spans="1:6" ht="24" customHeight="1">
      <c r="A49" s="5" t="str">
        <f t="shared" si="0"/>
        <v/>
      </c>
      <c r="B49" s="18"/>
      <c r="C49" s="9"/>
      <c r="D49" s="15"/>
      <c r="E49" s="9"/>
      <c r="F49" s="9"/>
    </row>
    <row r="50" spans="1:6" ht="24" customHeight="1">
      <c r="A50" s="5" t="str">
        <f t="shared" si="0"/>
        <v/>
      </c>
      <c r="B50" s="18"/>
      <c r="C50" s="9"/>
      <c r="D50" s="15"/>
      <c r="E50" s="9"/>
      <c r="F50" s="9"/>
    </row>
    <row r="51" spans="1:6" ht="24" customHeight="1">
      <c r="A51" s="5" t="str">
        <f t="shared" si="0"/>
        <v/>
      </c>
      <c r="B51" s="18"/>
      <c r="C51" s="9"/>
      <c r="D51" s="15"/>
      <c r="E51" s="9"/>
      <c r="F51" s="9"/>
    </row>
    <row r="52" spans="1:6" ht="24" customHeight="1">
      <c r="A52" s="5" t="str">
        <f t="shared" si="0"/>
        <v/>
      </c>
      <c r="B52" s="18"/>
      <c r="C52" s="9"/>
      <c r="D52" s="15"/>
      <c r="E52" s="9"/>
      <c r="F52" s="9"/>
    </row>
    <row r="53" spans="1:6" ht="24" customHeight="1">
      <c r="A53" s="5" t="str">
        <f t="shared" si="0"/>
        <v/>
      </c>
      <c r="B53" s="18"/>
      <c r="C53" s="9"/>
      <c r="D53" s="15"/>
      <c r="E53" s="9"/>
      <c r="F53" s="9"/>
    </row>
    <row r="54" spans="1:6" ht="24" customHeight="1">
      <c r="A54" s="5" t="str">
        <f t="shared" si="0"/>
        <v/>
      </c>
      <c r="B54" s="18"/>
      <c r="C54" s="9"/>
      <c r="D54" s="15"/>
      <c r="E54" s="9"/>
      <c r="F54" s="9"/>
    </row>
    <row r="55" spans="1:6" ht="24" customHeight="1">
      <c r="A55" s="5" t="str">
        <f t="shared" si="0"/>
        <v/>
      </c>
      <c r="B55" s="18"/>
      <c r="C55" s="9"/>
      <c r="D55" s="15"/>
      <c r="E55" s="9"/>
      <c r="F55" s="9"/>
    </row>
    <row r="56" spans="1:6" ht="24" customHeight="1">
      <c r="A56" s="5" t="str">
        <f t="shared" si="0"/>
        <v/>
      </c>
      <c r="B56" s="18"/>
      <c r="C56" s="9"/>
      <c r="D56" s="15"/>
      <c r="E56" s="9"/>
      <c r="F56" s="9"/>
    </row>
    <row r="57" spans="1:6" ht="24" customHeight="1">
      <c r="A57" s="5" t="str">
        <f t="shared" si="0"/>
        <v/>
      </c>
      <c r="B57" s="18"/>
      <c r="C57" s="9"/>
      <c r="D57" s="15"/>
      <c r="E57" s="9"/>
      <c r="F57" s="9"/>
    </row>
    <row r="58" spans="1:6" ht="24" customHeight="1">
      <c r="A58" s="5" t="str">
        <f t="shared" si="0"/>
        <v/>
      </c>
      <c r="B58" s="18"/>
      <c r="C58" s="9"/>
      <c r="D58" s="15"/>
      <c r="E58" s="9"/>
      <c r="F58" s="9"/>
    </row>
    <row r="59" spans="1:6" ht="24" customHeight="1">
      <c r="A59" s="5" t="str">
        <f t="shared" si="0"/>
        <v/>
      </c>
      <c r="B59" s="18"/>
      <c r="C59" s="9"/>
      <c r="D59" s="15"/>
      <c r="E59" s="9"/>
      <c r="F59" s="9"/>
    </row>
    <row r="60" spans="1:6" ht="24" customHeight="1">
      <c r="A60" s="5" t="str">
        <f t="shared" si="0"/>
        <v/>
      </c>
      <c r="B60" s="18"/>
      <c r="C60" s="9"/>
      <c r="D60" s="15"/>
      <c r="E60" s="9"/>
      <c r="F60" s="9"/>
    </row>
    <row r="61" spans="1:6" ht="24" customHeight="1">
      <c r="A61" s="5" t="str">
        <f t="shared" si="0"/>
        <v/>
      </c>
      <c r="B61" s="18"/>
      <c r="C61" s="9"/>
      <c r="D61" s="15"/>
      <c r="E61" s="9"/>
      <c r="F61" s="9"/>
    </row>
    <row r="62" spans="1:6" ht="24" customHeight="1">
      <c r="A62" s="5" t="str">
        <f t="shared" si="0"/>
        <v/>
      </c>
      <c r="B62" s="18"/>
      <c r="C62" s="9"/>
      <c r="D62" s="15"/>
      <c r="E62" s="9"/>
      <c r="F62" s="9"/>
    </row>
    <row r="63" spans="1:6" ht="24" customHeight="1">
      <c r="A63" s="5" t="str">
        <f t="shared" si="0"/>
        <v/>
      </c>
      <c r="B63" s="18"/>
      <c r="C63" s="9"/>
      <c r="D63" s="15"/>
      <c r="E63" s="9"/>
      <c r="F63" s="9"/>
    </row>
    <row r="64" spans="1:6" ht="24" customHeight="1">
      <c r="A64" s="5" t="str">
        <f t="shared" si="0"/>
        <v/>
      </c>
      <c r="B64" s="18"/>
      <c r="C64" s="9"/>
      <c r="D64" s="15"/>
      <c r="E64" s="9"/>
      <c r="F64" s="9"/>
    </row>
    <row r="65" spans="1:6" ht="24" customHeight="1">
      <c r="A65" s="5" t="str">
        <f t="shared" si="0"/>
        <v/>
      </c>
      <c r="B65" s="18"/>
      <c r="C65" s="9"/>
      <c r="D65" s="15"/>
      <c r="E65" s="9"/>
      <c r="F65" s="9"/>
    </row>
    <row r="66" spans="1:6" ht="24" customHeight="1">
      <c r="A66" s="5" t="str">
        <f t="shared" ref="A66:A129" si="1">IF(C66="","",ROW()-1)</f>
        <v/>
      </c>
      <c r="B66" s="18"/>
      <c r="C66" s="9"/>
      <c r="D66" s="15"/>
      <c r="E66" s="9"/>
      <c r="F66" s="9"/>
    </row>
    <row r="67" spans="1:6" ht="24" customHeight="1">
      <c r="A67" s="5" t="str">
        <f t="shared" si="1"/>
        <v/>
      </c>
      <c r="B67" s="18"/>
      <c r="C67" s="9"/>
      <c r="D67" s="15"/>
      <c r="E67" s="9"/>
      <c r="F67" s="9"/>
    </row>
    <row r="68" spans="1:6" ht="24" customHeight="1">
      <c r="A68" s="5" t="str">
        <f t="shared" si="1"/>
        <v/>
      </c>
      <c r="B68" s="18"/>
      <c r="C68" s="9"/>
      <c r="D68" s="15"/>
      <c r="E68" s="9"/>
      <c r="F68" s="9"/>
    </row>
    <row r="69" spans="1:6" ht="24" customHeight="1">
      <c r="A69" s="5" t="str">
        <f t="shared" si="1"/>
        <v/>
      </c>
      <c r="B69" s="18"/>
      <c r="C69" s="9"/>
      <c r="D69" s="15"/>
      <c r="E69" s="9"/>
      <c r="F69" s="9"/>
    </row>
    <row r="70" spans="1:6" ht="24" customHeight="1">
      <c r="A70" s="5" t="str">
        <f t="shared" si="1"/>
        <v/>
      </c>
      <c r="B70" s="18"/>
      <c r="C70" s="9"/>
      <c r="D70" s="15"/>
      <c r="E70" s="9"/>
      <c r="F70" s="9"/>
    </row>
    <row r="71" spans="1:6" ht="24" customHeight="1">
      <c r="A71" s="5" t="str">
        <f t="shared" si="1"/>
        <v/>
      </c>
      <c r="B71" s="18"/>
      <c r="C71" s="9"/>
      <c r="D71" s="15"/>
      <c r="E71" s="9"/>
      <c r="F71" s="9"/>
    </row>
    <row r="72" spans="1:6" ht="24" customHeight="1">
      <c r="A72" s="5" t="str">
        <f t="shared" si="1"/>
        <v/>
      </c>
      <c r="B72" s="18"/>
      <c r="C72" s="9"/>
      <c r="D72" s="15"/>
      <c r="E72" s="9"/>
      <c r="F72" s="9"/>
    </row>
    <row r="73" spans="1:6" ht="24" customHeight="1">
      <c r="A73" s="5" t="str">
        <f t="shared" si="1"/>
        <v/>
      </c>
      <c r="B73" s="18"/>
      <c r="C73" s="9"/>
      <c r="D73" s="15"/>
      <c r="E73" s="9"/>
      <c r="F73" s="9"/>
    </row>
    <row r="74" spans="1:6" ht="24" customHeight="1">
      <c r="A74" s="5" t="str">
        <f t="shared" si="1"/>
        <v/>
      </c>
      <c r="B74" s="18"/>
      <c r="C74" s="9"/>
      <c r="D74" s="15"/>
      <c r="E74" s="9"/>
      <c r="F74" s="9"/>
    </row>
    <row r="75" spans="1:6" ht="24" customHeight="1">
      <c r="A75" s="5" t="str">
        <f t="shared" si="1"/>
        <v/>
      </c>
      <c r="B75" s="18"/>
      <c r="C75" s="9"/>
      <c r="D75" s="15"/>
      <c r="E75" s="9"/>
      <c r="F75" s="9"/>
    </row>
    <row r="76" spans="1:6" ht="24" customHeight="1">
      <c r="A76" s="5" t="str">
        <f t="shared" si="1"/>
        <v/>
      </c>
      <c r="B76" s="18"/>
      <c r="C76" s="9"/>
      <c r="D76" s="15"/>
      <c r="E76" s="9"/>
      <c r="F76" s="9"/>
    </row>
    <row r="77" spans="1:6" ht="24" customHeight="1">
      <c r="A77" s="5" t="str">
        <f t="shared" si="1"/>
        <v/>
      </c>
      <c r="B77" s="18"/>
      <c r="C77" s="9"/>
      <c r="D77" s="15"/>
      <c r="E77" s="9"/>
      <c r="F77" s="9"/>
    </row>
    <row r="78" spans="1:6" ht="24" customHeight="1">
      <c r="A78" s="5" t="str">
        <f t="shared" si="1"/>
        <v/>
      </c>
      <c r="B78" s="18"/>
      <c r="C78" s="9"/>
      <c r="D78" s="15"/>
      <c r="E78" s="9"/>
      <c r="F78" s="9"/>
    </row>
    <row r="79" spans="1:6" ht="24" customHeight="1">
      <c r="A79" s="5" t="str">
        <f t="shared" si="1"/>
        <v/>
      </c>
      <c r="B79" s="18"/>
      <c r="C79" s="9"/>
      <c r="D79" s="15"/>
      <c r="E79" s="9"/>
      <c r="F79" s="9"/>
    </row>
    <row r="80" spans="1:6" ht="24" customHeight="1">
      <c r="A80" s="5" t="str">
        <f t="shared" si="1"/>
        <v/>
      </c>
      <c r="B80" s="18"/>
      <c r="C80" s="9"/>
      <c r="D80" s="15"/>
      <c r="E80" s="9"/>
      <c r="F80" s="9"/>
    </row>
    <row r="81" spans="1:6" ht="24" customHeight="1">
      <c r="A81" s="5" t="str">
        <f t="shared" si="1"/>
        <v/>
      </c>
      <c r="B81" s="18"/>
      <c r="C81" s="9"/>
      <c r="D81" s="15"/>
      <c r="E81" s="9"/>
      <c r="F81" s="9"/>
    </row>
    <row r="82" spans="1:6" ht="24" customHeight="1">
      <c r="A82" s="5" t="str">
        <f t="shared" si="1"/>
        <v/>
      </c>
      <c r="B82" s="18"/>
      <c r="C82" s="9"/>
      <c r="D82" s="15"/>
      <c r="E82" s="9"/>
      <c r="F82" s="9"/>
    </row>
    <row r="83" spans="1:6" ht="24" customHeight="1">
      <c r="A83" s="5" t="str">
        <f t="shared" si="1"/>
        <v/>
      </c>
      <c r="B83" s="18"/>
      <c r="C83" s="9"/>
      <c r="D83" s="15"/>
      <c r="E83" s="9"/>
      <c r="F83" s="9"/>
    </row>
    <row r="84" spans="1:6" ht="24" customHeight="1">
      <c r="A84" s="5" t="str">
        <f t="shared" si="1"/>
        <v/>
      </c>
      <c r="B84" s="18"/>
      <c r="C84" s="9"/>
      <c r="D84" s="15"/>
      <c r="E84" s="9"/>
      <c r="F84" s="9"/>
    </row>
    <row r="85" spans="1:6" ht="24" customHeight="1">
      <c r="A85" s="5" t="str">
        <f t="shared" si="1"/>
        <v/>
      </c>
      <c r="B85" s="18"/>
      <c r="C85" s="9"/>
      <c r="D85" s="15"/>
      <c r="E85" s="9"/>
      <c r="F85" s="9"/>
    </row>
    <row r="86" spans="1:6" ht="24" customHeight="1">
      <c r="A86" s="5" t="str">
        <f t="shared" si="1"/>
        <v/>
      </c>
      <c r="B86" s="18"/>
      <c r="C86" s="9"/>
      <c r="D86" s="15"/>
      <c r="E86" s="9"/>
      <c r="F86" s="9"/>
    </row>
    <row r="87" spans="1:6" ht="24" customHeight="1">
      <c r="A87" s="5" t="str">
        <f t="shared" si="1"/>
        <v/>
      </c>
      <c r="B87" s="18"/>
      <c r="C87" s="9"/>
      <c r="D87" s="15"/>
      <c r="E87" s="9"/>
      <c r="F87" s="9"/>
    </row>
    <row r="88" spans="1:6" ht="24" customHeight="1">
      <c r="A88" s="5" t="str">
        <f t="shared" si="1"/>
        <v/>
      </c>
      <c r="B88" s="18"/>
      <c r="C88" s="9"/>
      <c r="D88" s="15"/>
      <c r="E88" s="9"/>
      <c r="F88" s="9"/>
    </row>
    <row r="89" spans="1:6" ht="24" customHeight="1">
      <c r="A89" s="5" t="str">
        <f t="shared" si="1"/>
        <v/>
      </c>
      <c r="B89" s="18"/>
      <c r="C89" s="9"/>
      <c r="D89" s="15"/>
      <c r="E89" s="9"/>
      <c r="F89" s="9"/>
    </row>
    <row r="90" spans="1:6" ht="24" customHeight="1">
      <c r="A90" s="5" t="str">
        <f t="shared" si="1"/>
        <v/>
      </c>
      <c r="B90" s="18"/>
      <c r="C90" s="9"/>
      <c r="D90" s="15"/>
      <c r="E90" s="9"/>
      <c r="F90" s="9"/>
    </row>
    <row r="91" spans="1:6" ht="24" customHeight="1">
      <c r="A91" s="5" t="str">
        <f t="shared" si="1"/>
        <v/>
      </c>
      <c r="B91" s="18"/>
      <c r="C91" s="9"/>
      <c r="D91" s="15"/>
      <c r="E91" s="9"/>
      <c r="F91" s="9"/>
    </row>
    <row r="92" spans="1:6" ht="24" customHeight="1">
      <c r="A92" s="5" t="str">
        <f t="shared" si="1"/>
        <v/>
      </c>
      <c r="B92" s="18"/>
      <c r="C92" s="9"/>
      <c r="D92" s="15"/>
      <c r="E92" s="9"/>
      <c r="F92" s="9"/>
    </row>
    <row r="93" spans="1:6" ht="24" customHeight="1">
      <c r="A93" s="5" t="str">
        <f t="shared" si="1"/>
        <v/>
      </c>
      <c r="B93" s="18"/>
      <c r="C93" s="9"/>
      <c r="D93" s="15"/>
      <c r="E93" s="9"/>
      <c r="F93" s="9"/>
    </row>
    <row r="94" spans="1:6" ht="24" customHeight="1">
      <c r="A94" s="5" t="str">
        <f t="shared" si="1"/>
        <v/>
      </c>
      <c r="B94" s="18"/>
      <c r="C94" s="9"/>
      <c r="D94" s="15"/>
      <c r="E94" s="9"/>
      <c r="F94" s="9"/>
    </row>
    <row r="95" spans="1:6" ht="24" customHeight="1">
      <c r="A95" s="5" t="str">
        <f t="shared" si="1"/>
        <v/>
      </c>
      <c r="B95" s="18"/>
      <c r="C95" s="9"/>
      <c r="D95" s="15"/>
      <c r="E95" s="9"/>
      <c r="F95" s="9"/>
    </row>
    <row r="96" spans="1:6" ht="24" customHeight="1">
      <c r="A96" s="5" t="str">
        <f t="shared" si="1"/>
        <v/>
      </c>
      <c r="B96" s="18"/>
      <c r="C96" s="9"/>
      <c r="D96" s="15"/>
      <c r="E96" s="9"/>
      <c r="F96" s="9"/>
    </row>
    <row r="97" spans="1:6" ht="24" customHeight="1">
      <c r="A97" s="5" t="str">
        <f t="shared" si="1"/>
        <v/>
      </c>
      <c r="B97" s="18"/>
      <c r="C97" s="9"/>
      <c r="D97" s="15"/>
      <c r="E97" s="9"/>
      <c r="F97" s="9"/>
    </row>
    <row r="98" spans="1:6" ht="24" customHeight="1">
      <c r="A98" s="5" t="str">
        <f t="shared" si="1"/>
        <v/>
      </c>
      <c r="B98" s="18"/>
      <c r="C98" s="9"/>
      <c r="D98" s="15"/>
      <c r="E98" s="9"/>
      <c r="F98" s="9"/>
    </row>
    <row r="99" spans="1:6" ht="24" customHeight="1">
      <c r="A99" s="5" t="str">
        <f t="shared" si="1"/>
        <v/>
      </c>
      <c r="B99" s="18"/>
      <c r="C99" s="9"/>
      <c r="D99" s="15"/>
      <c r="E99" s="9"/>
      <c r="F99" s="9"/>
    </row>
    <row r="100" spans="1:6" ht="24" customHeight="1">
      <c r="A100" s="5" t="str">
        <f t="shared" si="1"/>
        <v/>
      </c>
      <c r="B100" s="18"/>
      <c r="C100" s="9"/>
      <c r="D100" s="15"/>
      <c r="E100" s="9"/>
      <c r="F100" s="9"/>
    </row>
    <row r="101" spans="1:6" ht="24" customHeight="1">
      <c r="A101" s="5" t="str">
        <f t="shared" si="1"/>
        <v/>
      </c>
      <c r="B101" s="18"/>
      <c r="C101" s="9"/>
      <c r="D101" s="15"/>
      <c r="E101" s="9"/>
      <c r="F101" s="9"/>
    </row>
    <row r="102" spans="1:6" ht="24" customHeight="1">
      <c r="A102" s="5" t="str">
        <f t="shared" si="1"/>
        <v/>
      </c>
      <c r="B102" s="18"/>
      <c r="C102" s="9"/>
      <c r="D102" s="15"/>
      <c r="E102" s="9"/>
      <c r="F102" s="9"/>
    </row>
    <row r="103" spans="1:6" ht="24" customHeight="1">
      <c r="A103" s="5" t="str">
        <f t="shared" si="1"/>
        <v/>
      </c>
      <c r="B103" s="18"/>
      <c r="C103" s="9"/>
      <c r="D103" s="15"/>
      <c r="E103" s="9"/>
      <c r="F103" s="9"/>
    </row>
    <row r="104" spans="1:6" ht="24" customHeight="1">
      <c r="A104" s="5" t="str">
        <f t="shared" si="1"/>
        <v/>
      </c>
      <c r="B104" s="18"/>
      <c r="C104" s="9"/>
      <c r="D104" s="15"/>
      <c r="E104" s="9"/>
      <c r="F104" s="9"/>
    </row>
    <row r="105" spans="1:6" ht="24" customHeight="1">
      <c r="A105" s="5" t="str">
        <f t="shared" si="1"/>
        <v/>
      </c>
      <c r="B105" s="18"/>
      <c r="C105" s="9"/>
      <c r="D105" s="15"/>
      <c r="E105" s="9"/>
      <c r="F105" s="9"/>
    </row>
    <row r="106" spans="1:6" ht="24" customHeight="1">
      <c r="A106" s="5" t="str">
        <f t="shared" si="1"/>
        <v/>
      </c>
      <c r="B106" s="18"/>
      <c r="C106" s="9"/>
      <c r="D106" s="15"/>
      <c r="E106" s="9"/>
      <c r="F106" s="9"/>
    </row>
    <row r="107" spans="1:6" ht="24" customHeight="1">
      <c r="A107" s="5" t="str">
        <f t="shared" si="1"/>
        <v/>
      </c>
      <c r="B107" s="18"/>
      <c r="C107" s="9"/>
      <c r="D107" s="15"/>
      <c r="E107" s="9"/>
      <c r="F107" s="9"/>
    </row>
    <row r="108" spans="1:6" ht="24" customHeight="1">
      <c r="A108" s="5" t="str">
        <f t="shared" si="1"/>
        <v/>
      </c>
      <c r="B108" s="18"/>
      <c r="C108" s="9"/>
      <c r="D108" s="15"/>
      <c r="E108" s="9"/>
      <c r="F108" s="9"/>
    </row>
    <row r="109" spans="1:6" ht="24" customHeight="1">
      <c r="A109" s="5" t="str">
        <f t="shared" si="1"/>
        <v/>
      </c>
      <c r="B109" s="18"/>
      <c r="C109" s="9"/>
      <c r="D109" s="15"/>
      <c r="E109" s="9"/>
      <c r="F109" s="9"/>
    </row>
    <row r="110" spans="1:6" ht="24" customHeight="1">
      <c r="A110" s="5" t="str">
        <f t="shared" si="1"/>
        <v/>
      </c>
      <c r="B110" s="18"/>
      <c r="C110" s="9"/>
      <c r="D110" s="15"/>
      <c r="E110" s="9"/>
      <c r="F110" s="9"/>
    </row>
    <row r="111" spans="1:6" ht="24" customHeight="1">
      <c r="A111" s="5" t="str">
        <f t="shared" si="1"/>
        <v/>
      </c>
      <c r="B111" s="18"/>
      <c r="C111" s="9"/>
      <c r="D111" s="15"/>
      <c r="E111" s="9"/>
      <c r="F111" s="9"/>
    </row>
    <row r="112" spans="1:6" ht="24" customHeight="1">
      <c r="A112" s="5" t="str">
        <f t="shared" si="1"/>
        <v/>
      </c>
      <c r="B112" s="18"/>
      <c r="C112" s="9"/>
      <c r="D112" s="15"/>
      <c r="E112" s="9"/>
      <c r="F112" s="9"/>
    </row>
    <row r="113" spans="1:6" ht="24" customHeight="1">
      <c r="A113" s="5" t="str">
        <f t="shared" si="1"/>
        <v/>
      </c>
      <c r="B113" s="18"/>
      <c r="C113" s="9"/>
      <c r="D113" s="15"/>
      <c r="E113" s="9"/>
      <c r="F113" s="9"/>
    </row>
    <row r="114" spans="1:6" ht="24" customHeight="1">
      <c r="A114" s="5" t="str">
        <f t="shared" si="1"/>
        <v/>
      </c>
      <c r="B114" s="18"/>
      <c r="C114" s="9"/>
      <c r="D114" s="15"/>
      <c r="E114" s="9"/>
      <c r="F114" s="9"/>
    </row>
    <row r="115" spans="1:6" ht="24" customHeight="1">
      <c r="A115" s="5" t="str">
        <f t="shared" si="1"/>
        <v/>
      </c>
      <c r="B115" s="18"/>
      <c r="C115" s="9"/>
      <c r="D115" s="15"/>
      <c r="E115" s="9"/>
      <c r="F115" s="9"/>
    </row>
    <row r="116" spans="1:6" ht="24" customHeight="1">
      <c r="A116" s="5" t="str">
        <f t="shared" si="1"/>
        <v/>
      </c>
      <c r="B116" s="18"/>
      <c r="C116" s="9"/>
      <c r="D116" s="15"/>
      <c r="E116" s="9"/>
      <c r="F116" s="9"/>
    </row>
    <row r="117" spans="1:6" ht="24" customHeight="1">
      <c r="A117" s="5" t="str">
        <f t="shared" si="1"/>
        <v/>
      </c>
      <c r="B117" s="18"/>
      <c r="C117" s="9"/>
      <c r="D117" s="15"/>
      <c r="E117" s="9"/>
      <c r="F117" s="9"/>
    </row>
    <row r="118" spans="1:6" ht="24" customHeight="1">
      <c r="A118" s="5" t="str">
        <f t="shared" si="1"/>
        <v/>
      </c>
      <c r="B118" s="18"/>
      <c r="C118" s="9"/>
      <c r="D118" s="15"/>
      <c r="E118" s="9"/>
      <c r="F118" s="9"/>
    </row>
    <row r="119" spans="1:6" ht="24" customHeight="1">
      <c r="A119" s="5" t="str">
        <f t="shared" si="1"/>
        <v/>
      </c>
      <c r="B119" s="18"/>
      <c r="C119" s="9"/>
      <c r="D119" s="15"/>
      <c r="E119" s="9"/>
      <c r="F119" s="9"/>
    </row>
    <row r="120" spans="1:6" ht="24" customHeight="1">
      <c r="A120" s="5" t="str">
        <f t="shared" si="1"/>
        <v/>
      </c>
      <c r="B120" s="18"/>
      <c r="C120" s="9"/>
      <c r="D120" s="15"/>
      <c r="E120" s="9"/>
      <c r="F120" s="9"/>
    </row>
    <row r="121" spans="1:6" ht="24" customHeight="1">
      <c r="A121" s="5" t="str">
        <f t="shared" si="1"/>
        <v/>
      </c>
      <c r="B121" s="18"/>
      <c r="C121" s="9"/>
      <c r="D121" s="15"/>
      <c r="E121" s="9"/>
      <c r="F121" s="9"/>
    </row>
    <row r="122" spans="1:6" ht="24" customHeight="1">
      <c r="A122" s="5" t="str">
        <f t="shared" si="1"/>
        <v/>
      </c>
      <c r="B122" s="18"/>
      <c r="C122" s="9"/>
      <c r="D122" s="15"/>
      <c r="E122" s="9"/>
      <c r="F122" s="9"/>
    </row>
    <row r="123" spans="1:6" ht="24" customHeight="1">
      <c r="A123" s="5" t="str">
        <f t="shared" si="1"/>
        <v/>
      </c>
      <c r="B123" s="18"/>
      <c r="C123" s="9"/>
      <c r="D123" s="15"/>
      <c r="E123" s="9"/>
      <c r="F123" s="9"/>
    </row>
    <row r="124" spans="1:6" ht="24" customHeight="1">
      <c r="A124" s="5" t="str">
        <f t="shared" si="1"/>
        <v/>
      </c>
      <c r="B124" s="18"/>
      <c r="C124" s="9"/>
      <c r="D124" s="15"/>
      <c r="E124" s="9"/>
      <c r="F124" s="9"/>
    </row>
    <row r="125" spans="1:6" ht="24" customHeight="1">
      <c r="A125" s="5" t="str">
        <f t="shared" si="1"/>
        <v/>
      </c>
      <c r="B125" s="18"/>
      <c r="C125" s="9"/>
      <c r="D125" s="15"/>
      <c r="E125" s="9"/>
      <c r="F125" s="9"/>
    </row>
    <row r="126" spans="1:6" ht="24" customHeight="1">
      <c r="A126" s="5" t="str">
        <f t="shared" si="1"/>
        <v/>
      </c>
      <c r="B126" s="18"/>
      <c r="C126" s="9"/>
      <c r="D126" s="15"/>
      <c r="E126" s="9"/>
      <c r="F126" s="9"/>
    </row>
    <row r="127" spans="1:6" ht="24" customHeight="1">
      <c r="A127" s="5" t="str">
        <f t="shared" si="1"/>
        <v/>
      </c>
      <c r="B127" s="18"/>
      <c r="C127" s="9"/>
      <c r="D127" s="15"/>
      <c r="E127" s="9"/>
      <c r="F127" s="9"/>
    </row>
    <row r="128" spans="1:6" ht="24" customHeight="1">
      <c r="A128" s="5" t="str">
        <f t="shared" si="1"/>
        <v/>
      </c>
      <c r="B128" s="18"/>
      <c r="C128" s="9"/>
      <c r="D128" s="15"/>
      <c r="E128" s="9"/>
      <c r="F128" s="9"/>
    </row>
    <row r="129" spans="1:6" ht="24" customHeight="1">
      <c r="A129" s="5" t="str">
        <f t="shared" si="1"/>
        <v/>
      </c>
      <c r="B129" s="18"/>
      <c r="C129" s="9"/>
      <c r="D129" s="15"/>
      <c r="E129" s="9"/>
      <c r="F129" s="9"/>
    </row>
    <row r="130" spans="1:6" ht="24" customHeight="1">
      <c r="A130" s="5" t="str">
        <f t="shared" ref="A130:A193" si="2">IF(C130="","",ROW()-1)</f>
        <v/>
      </c>
      <c r="B130" s="18"/>
      <c r="C130" s="9"/>
      <c r="D130" s="15"/>
      <c r="E130" s="9"/>
      <c r="F130" s="9"/>
    </row>
    <row r="131" spans="1:6" ht="24" customHeight="1">
      <c r="A131" s="5" t="str">
        <f t="shared" si="2"/>
        <v/>
      </c>
      <c r="B131" s="18"/>
      <c r="C131" s="9"/>
      <c r="D131" s="15"/>
      <c r="E131" s="9"/>
      <c r="F131" s="9"/>
    </row>
    <row r="132" spans="1:6" ht="24" customHeight="1">
      <c r="A132" s="5" t="str">
        <f t="shared" si="2"/>
        <v/>
      </c>
      <c r="B132" s="18"/>
      <c r="C132" s="9"/>
      <c r="D132" s="15"/>
      <c r="E132" s="9"/>
      <c r="F132" s="9"/>
    </row>
    <row r="133" spans="1:6" ht="24" customHeight="1">
      <c r="A133" s="5" t="str">
        <f t="shared" si="2"/>
        <v/>
      </c>
      <c r="B133" s="18"/>
      <c r="C133" s="9"/>
      <c r="D133" s="15"/>
      <c r="E133" s="9"/>
      <c r="F133" s="9"/>
    </row>
    <row r="134" spans="1:6" ht="24" customHeight="1">
      <c r="A134" s="5" t="str">
        <f t="shared" si="2"/>
        <v/>
      </c>
      <c r="B134" s="18"/>
      <c r="C134" s="9"/>
      <c r="D134" s="15"/>
      <c r="E134" s="9"/>
      <c r="F134" s="9"/>
    </row>
    <row r="135" spans="1:6" ht="24" customHeight="1">
      <c r="A135" s="5" t="str">
        <f t="shared" si="2"/>
        <v/>
      </c>
      <c r="B135" s="18"/>
      <c r="C135" s="9"/>
      <c r="D135" s="15"/>
      <c r="E135" s="9"/>
      <c r="F135" s="9"/>
    </row>
    <row r="136" spans="1:6" ht="24" customHeight="1">
      <c r="A136" s="5" t="str">
        <f t="shared" si="2"/>
        <v/>
      </c>
      <c r="B136" s="18"/>
      <c r="C136" s="9"/>
      <c r="D136" s="15"/>
      <c r="E136" s="9"/>
      <c r="F136" s="9"/>
    </row>
    <row r="137" spans="1:6" ht="24" customHeight="1">
      <c r="A137" s="5" t="str">
        <f t="shared" si="2"/>
        <v/>
      </c>
      <c r="B137" s="18"/>
      <c r="C137" s="9"/>
      <c r="D137" s="15"/>
      <c r="E137" s="9"/>
      <c r="F137" s="9"/>
    </row>
    <row r="138" spans="1:6" ht="24" customHeight="1">
      <c r="A138" s="5" t="str">
        <f t="shared" si="2"/>
        <v/>
      </c>
      <c r="B138" s="18"/>
      <c r="C138" s="9"/>
      <c r="D138" s="15"/>
      <c r="E138" s="9"/>
      <c r="F138" s="9"/>
    </row>
    <row r="139" spans="1:6" ht="24" customHeight="1">
      <c r="A139" s="5" t="str">
        <f t="shared" si="2"/>
        <v/>
      </c>
      <c r="B139" s="18"/>
      <c r="C139" s="9"/>
      <c r="D139" s="15"/>
      <c r="E139" s="9"/>
      <c r="F139" s="9"/>
    </row>
    <row r="140" spans="1:6" ht="24" customHeight="1">
      <c r="A140" s="5" t="str">
        <f t="shared" si="2"/>
        <v/>
      </c>
      <c r="B140" s="18"/>
      <c r="C140" s="9"/>
      <c r="D140" s="15"/>
      <c r="E140" s="9"/>
      <c r="F140" s="9"/>
    </row>
    <row r="141" spans="1:6" ht="24" customHeight="1">
      <c r="A141" s="5" t="str">
        <f t="shared" si="2"/>
        <v/>
      </c>
      <c r="B141" s="18"/>
      <c r="C141" s="9"/>
      <c r="D141" s="15"/>
      <c r="E141" s="9"/>
      <c r="F141" s="9"/>
    </row>
    <row r="142" spans="1:6" ht="24" customHeight="1">
      <c r="A142" s="5" t="str">
        <f t="shared" si="2"/>
        <v/>
      </c>
      <c r="B142" s="18"/>
      <c r="C142" s="9"/>
      <c r="D142" s="15"/>
      <c r="E142" s="9"/>
      <c r="F142" s="9"/>
    </row>
    <row r="143" spans="1:6" ht="24" customHeight="1">
      <c r="A143" s="5" t="str">
        <f t="shared" si="2"/>
        <v/>
      </c>
      <c r="B143" s="18"/>
      <c r="C143" s="9"/>
      <c r="D143" s="15"/>
      <c r="E143" s="9"/>
      <c r="F143" s="9"/>
    </row>
    <row r="144" spans="1:6" ht="24" customHeight="1">
      <c r="A144" s="5" t="str">
        <f t="shared" si="2"/>
        <v/>
      </c>
      <c r="B144" s="18"/>
      <c r="C144" s="9"/>
      <c r="D144" s="15"/>
      <c r="E144" s="9"/>
      <c r="F144" s="9"/>
    </row>
    <row r="145" spans="1:6" ht="24" customHeight="1">
      <c r="A145" s="5" t="str">
        <f t="shared" si="2"/>
        <v/>
      </c>
      <c r="B145" s="18"/>
      <c r="C145" s="9"/>
      <c r="D145" s="15"/>
      <c r="E145" s="9"/>
      <c r="F145" s="9"/>
    </row>
    <row r="146" spans="1:6" ht="24" customHeight="1">
      <c r="A146" s="5" t="str">
        <f t="shared" si="2"/>
        <v/>
      </c>
      <c r="B146" s="18"/>
      <c r="C146" s="9"/>
      <c r="D146" s="15"/>
      <c r="E146" s="9"/>
      <c r="F146" s="9"/>
    </row>
    <row r="147" spans="1:6" ht="24" customHeight="1">
      <c r="A147" s="5" t="str">
        <f t="shared" si="2"/>
        <v/>
      </c>
      <c r="B147" s="18"/>
      <c r="C147" s="9"/>
      <c r="D147" s="15"/>
      <c r="E147" s="9"/>
      <c r="F147" s="9"/>
    </row>
    <row r="148" spans="1:6" ht="24" customHeight="1">
      <c r="A148" s="5" t="str">
        <f t="shared" si="2"/>
        <v/>
      </c>
      <c r="B148" s="18"/>
      <c r="C148" s="9"/>
      <c r="D148" s="15"/>
      <c r="E148" s="9"/>
      <c r="F148" s="9"/>
    </row>
    <row r="149" spans="1:6" ht="24" customHeight="1">
      <c r="A149" s="5" t="str">
        <f t="shared" si="2"/>
        <v/>
      </c>
      <c r="B149" s="18"/>
      <c r="C149" s="9"/>
      <c r="D149" s="15"/>
      <c r="E149" s="9"/>
      <c r="F149" s="9"/>
    </row>
    <row r="150" spans="1:6" ht="24" customHeight="1">
      <c r="A150" s="5" t="str">
        <f t="shared" si="2"/>
        <v/>
      </c>
      <c r="B150" s="18"/>
      <c r="C150" s="9"/>
      <c r="D150" s="15"/>
      <c r="E150" s="9"/>
      <c r="F150" s="9"/>
    </row>
    <row r="151" spans="1:6" ht="24" customHeight="1">
      <c r="A151" s="5" t="str">
        <f t="shared" si="2"/>
        <v/>
      </c>
      <c r="B151" s="18"/>
      <c r="C151" s="9"/>
      <c r="D151" s="15"/>
      <c r="E151" s="9"/>
      <c r="F151" s="9"/>
    </row>
    <row r="152" spans="1:6" ht="24" customHeight="1">
      <c r="A152" s="5" t="str">
        <f t="shared" si="2"/>
        <v/>
      </c>
      <c r="B152" s="18"/>
      <c r="C152" s="9"/>
      <c r="D152" s="15"/>
      <c r="E152" s="9"/>
      <c r="F152" s="9"/>
    </row>
    <row r="153" spans="1:6" ht="24" customHeight="1">
      <c r="A153" s="5" t="str">
        <f t="shared" si="2"/>
        <v/>
      </c>
      <c r="B153" s="18"/>
      <c r="C153" s="9"/>
      <c r="D153" s="15"/>
      <c r="E153" s="9"/>
      <c r="F153" s="9"/>
    </row>
    <row r="154" spans="1:6" ht="24" customHeight="1">
      <c r="A154" s="5" t="str">
        <f t="shared" si="2"/>
        <v/>
      </c>
      <c r="B154" s="18"/>
      <c r="C154" s="9"/>
      <c r="D154" s="15"/>
      <c r="E154" s="9"/>
      <c r="F154" s="9"/>
    </row>
    <row r="155" spans="1:6" ht="24" customHeight="1">
      <c r="A155" s="5" t="str">
        <f t="shared" si="2"/>
        <v/>
      </c>
      <c r="B155" s="18"/>
      <c r="C155" s="9"/>
      <c r="D155" s="15"/>
      <c r="E155" s="9"/>
      <c r="F155" s="9"/>
    </row>
    <row r="156" spans="1:6" ht="24" customHeight="1">
      <c r="A156" s="5" t="str">
        <f t="shared" si="2"/>
        <v/>
      </c>
      <c r="B156" s="18"/>
      <c r="C156" s="9"/>
      <c r="D156" s="15"/>
      <c r="E156" s="9"/>
      <c r="F156" s="9"/>
    </row>
    <row r="157" spans="1:6" ht="24" customHeight="1">
      <c r="A157" s="5" t="str">
        <f t="shared" si="2"/>
        <v/>
      </c>
      <c r="B157" s="18"/>
      <c r="C157" s="9"/>
      <c r="D157" s="15"/>
      <c r="E157" s="9"/>
      <c r="F157" s="9"/>
    </row>
    <row r="158" spans="1:6" ht="24" customHeight="1">
      <c r="A158" s="5" t="str">
        <f t="shared" si="2"/>
        <v/>
      </c>
      <c r="B158" s="18"/>
      <c r="C158" s="9"/>
      <c r="D158" s="15"/>
      <c r="E158" s="9"/>
      <c r="F158" s="9"/>
    </row>
    <row r="159" spans="1:6" ht="24" customHeight="1">
      <c r="A159" s="5" t="str">
        <f t="shared" si="2"/>
        <v/>
      </c>
      <c r="B159" s="18"/>
      <c r="C159" s="9"/>
      <c r="D159" s="15"/>
      <c r="E159" s="9"/>
      <c r="F159" s="9"/>
    </row>
    <row r="160" spans="1:6" ht="24" customHeight="1">
      <c r="A160" s="5" t="str">
        <f t="shared" si="2"/>
        <v/>
      </c>
      <c r="B160" s="18"/>
      <c r="C160" s="9"/>
      <c r="D160" s="15"/>
      <c r="E160" s="9"/>
      <c r="F160" s="9"/>
    </row>
    <row r="161" spans="1:6" ht="24" customHeight="1">
      <c r="A161" s="5" t="str">
        <f t="shared" si="2"/>
        <v/>
      </c>
      <c r="B161" s="18"/>
      <c r="C161" s="9"/>
      <c r="D161" s="15"/>
      <c r="E161" s="9"/>
      <c r="F161" s="9"/>
    </row>
    <row r="162" spans="1:6" ht="24" customHeight="1">
      <c r="A162" s="5" t="str">
        <f t="shared" si="2"/>
        <v/>
      </c>
      <c r="B162" s="18"/>
      <c r="C162" s="9"/>
      <c r="D162" s="15"/>
      <c r="E162" s="9"/>
      <c r="F162" s="9"/>
    </row>
    <row r="163" spans="1:6" ht="24" customHeight="1">
      <c r="A163" s="5" t="str">
        <f t="shared" si="2"/>
        <v/>
      </c>
      <c r="B163" s="18"/>
      <c r="C163" s="9"/>
      <c r="D163" s="15"/>
      <c r="E163" s="9"/>
      <c r="F163" s="9"/>
    </row>
    <row r="164" spans="1:6" ht="24" customHeight="1">
      <c r="A164" s="5" t="str">
        <f t="shared" si="2"/>
        <v/>
      </c>
      <c r="B164" s="18"/>
      <c r="C164" s="9"/>
      <c r="D164" s="15"/>
      <c r="E164" s="9"/>
      <c r="F164" s="9"/>
    </row>
    <row r="165" spans="1:6" ht="24" customHeight="1">
      <c r="A165" s="5" t="str">
        <f t="shared" si="2"/>
        <v/>
      </c>
      <c r="B165" s="18"/>
      <c r="C165" s="9"/>
      <c r="D165" s="15"/>
      <c r="E165" s="9"/>
      <c r="F165" s="9"/>
    </row>
    <row r="166" spans="1:6" ht="24" customHeight="1">
      <c r="A166" s="5" t="str">
        <f t="shared" si="2"/>
        <v/>
      </c>
      <c r="B166" s="18"/>
      <c r="C166" s="9"/>
      <c r="D166" s="15"/>
      <c r="E166" s="9"/>
      <c r="F166" s="9"/>
    </row>
    <row r="167" spans="1:6" ht="24" customHeight="1">
      <c r="A167" s="5" t="str">
        <f t="shared" si="2"/>
        <v/>
      </c>
      <c r="B167" s="18"/>
      <c r="C167" s="9"/>
      <c r="D167" s="15"/>
      <c r="E167" s="9"/>
      <c r="F167" s="9"/>
    </row>
    <row r="168" spans="1:6" ht="24" customHeight="1">
      <c r="A168" s="5" t="str">
        <f t="shared" si="2"/>
        <v/>
      </c>
      <c r="B168" s="18"/>
      <c r="C168" s="9"/>
      <c r="D168" s="15"/>
      <c r="E168" s="9"/>
      <c r="F168" s="9"/>
    </row>
    <row r="169" spans="1:6" ht="24" customHeight="1">
      <c r="A169" s="5" t="str">
        <f t="shared" si="2"/>
        <v/>
      </c>
      <c r="B169" s="18"/>
      <c r="C169" s="9"/>
      <c r="D169" s="15"/>
      <c r="E169" s="9"/>
      <c r="F169" s="9"/>
    </row>
    <row r="170" spans="1:6" ht="24" customHeight="1">
      <c r="A170" s="5" t="str">
        <f t="shared" si="2"/>
        <v/>
      </c>
      <c r="B170" s="18"/>
      <c r="C170" s="9"/>
      <c r="D170" s="15"/>
      <c r="E170" s="9"/>
      <c r="F170" s="9"/>
    </row>
    <row r="171" spans="1:6" ht="24" customHeight="1">
      <c r="A171" s="5" t="str">
        <f t="shared" si="2"/>
        <v/>
      </c>
      <c r="B171" s="18"/>
      <c r="C171" s="9"/>
      <c r="D171" s="15"/>
      <c r="E171" s="9"/>
      <c r="F171" s="9"/>
    </row>
    <row r="172" spans="1:6" ht="24" customHeight="1">
      <c r="A172" s="5" t="str">
        <f t="shared" si="2"/>
        <v/>
      </c>
      <c r="B172" s="18"/>
      <c r="C172" s="9"/>
      <c r="D172" s="15"/>
      <c r="E172" s="9"/>
      <c r="F172" s="9"/>
    </row>
    <row r="173" spans="1:6" ht="24" customHeight="1">
      <c r="A173" s="5" t="str">
        <f t="shared" si="2"/>
        <v/>
      </c>
      <c r="B173" s="18"/>
      <c r="C173" s="9"/>
      <c r="D173" s="15"/>
      <c r="E173" s="9"/>
      <c r="F173" s="9"/>
    </row>
    <row r="174" spans="1:6" ht="24" customHeight="1">
      <c r="A174" s="5" t="str">
        <f t="shared" si="2"/>
        <v/>
      </c>
      <c r="B174" s="18"/>
      <c r="C174" s="9"/>
      <c r="D174" s="15"/>
      <c r="E174" s="9"/>
      <c r="F174" s="9"/>
    </row>
    <row r="175" spans="1:6" ht="24" customHeight="1">
      <c r="A175" s="5" t="str">
        <f t="shared" si="2"/>
        <v/>
      </c>
      <c r="B175" s="18"/>
      <c r="C175" s="9"/>
      <c r="D175" s="15"/>
      <c r="E175" s="9"/>
      <c r="F175" s="9"/>
    </row>
    <row r="176" spans="1:6" ht="24" customHeight="1">
      <c r="A176" s="5" t="str">
        <f t="shared" si="2"/>
        <v/>
      </c>
      <c r="B176" s="18"/>
      <c r="C176" s="9"/>
      <c r="D176" s="15"/>
      <c r="E176" s="9"/>
      <c r="F176" s="9"/>
    </row>
    <row r="177" spans="1:6" ht="24" customHeight="1">
      <c r="A177" s="5" t="str">
        <f t="shared" si="2"/>
        <v/>
      </c>
      <c r="B177" s="18"/>
      <c r="C177" s="9"/>
      <c r="D177" s="15"/>
      <c r="E177" s="9"/>
      <c r="F177" s="9"/>
    </row>
    <row r="178" spans="1:6" ht="24" customHeight="1">
      <c r="A178" s="5" t="str">
        <f t="shared" si="2"/>
        <v/>
      </c>
      <c r="B178" s="18"/>
      <c r="C178" s="9"/>
      <c r="D178" s="15"/>
      <c r="E178" s="9"/>
      <c r="F178" s="9"/>
    </row>
    <row r="179" spans="1:6" ht="24" customHeight="1">
      <c r="A179" s="5" t="str">
        <f t="shared" si="2"/>
        <v/>
      </c>
      <c r="B179" s="18"/>
      <c r="C179" s="9"/>
      <c r="D179" s="15"/>
      <c r="E179" s="9"/>
      <c r="F179" s="9"/>
    </row>
    <row r="180" spans="1:6" ht="24" customHeight="1">
      <c r="A180" s="5" t="str">
        <f t="shared" si="2"/>
        <v/>
      </c>
      <c r="B180" s="18"/>
      <c r="C180" s="9"/>
      <c r="D180" s="15"/>
      <c r="E180" s="9"/>
      <c r="F180" s="9"/>
    </row>
    <row r="181" spans="1:6" ht="24" customHeight="1">
      <c r="A181" s="5" t="str">
        <f t="shared" si="2"/>
        <v/>
      </c>
      <c r="B181" s="18"/>
      <c r="C181" s="9"/>
      <c r="D181" s="15"/>
      <c r="E181" s="9"/>
      <c r="F181" s="9"/>
    </row>
    <row r="182" spans="1:6" ht="24" customHeight="1">
      <c r="A182" s="5" t="str">
        <f t="shared" si="2"/>
        <v/>
      </c>
      <c r="B182" s="18"/>
      <c r="C182" s="9"/>
      <c r="D182" s="15"/>
      <c r="E182" s="9"/>
      <c r="F182" s="9"/>
    </row>
    <row r="183" spans="1:6" ht="24" customHeight="1">
      <c r="A183" s="5" t="str">
        <f t="shared" si="2"/>
        <v/>
      </c>
      <c r="B183" s="18"/>
      <c r="C183" s="9"/>
      <c r="D183" s="15"/>
      <c r="E183" s="9"/>
      <c r="F183" s="9"/>
    </row>
    <row r="184" spans="1:6" ht="24" customHeight="1">
      <c r="A184" s="5" t="str">
        <f t="shared" si="2"/>
        <v/>
      </c>
      <c r="B184" s="18"/>
      <c r="C184" s="9"/>
      <c r="D184" s="15"/>
      <c r="E184" s="9"/>
      <c r="F184" s="9"/>
    </row>
    <row r="185" spans="1:6" ht="24" customHeight="1">
      <c r="A185" s="5" t="str">
        <f t="shared" si="2"/>
        <v/>
      </c>
      <c r="B185" s="18"/>
      <c r="C185" s="9"/>
      <c r="D185" s="15"/>
      <c r="E185" s="9"/>
      <c r="F185" s="9"/>
    </row>
    <row r="186" spans="1:6" ht="24" customHeight="1">
      <c r="A186" s="5" t="str">
        <f t="shared" si="2"/>
        <v/>
      </c>
      <c r="B186" s="18"/>
      <c r="C186" s="9"/>
      <c r="D186" s="15"/>
      <c r="E186" s="9"/>
      <c r="F186" s="9"/>
    </row>
    <row r="187" spans="1:6" ht="24" customHeight="1">
      <c r="A187" s="5" t="str">
        <f t="shared" si="2"/>
        <v/>
      </c>
      <c r="B187" s="18"/>
      <c r="C187" s="9"/>
      <c r="D187" s="15"/>
      <c r="E187" s="9"/>
      <c r="F187" s="9"/>
    </row>
    <row r="188" spans="1:6" ht="24" customHeight="1">
      <c r="A188" s="5" t="str">
        <f t="shared" si="2"/>
        <v/>
      </c>
      <c r="B188" s="18"/>
      <c r="C188" s="9"/>
      <c r="D188" s="15"/>
      <c r="E188" s="9"/>
      <c r="F188" s="9"/>
    </row>
    <row r="189" spans="1:6" ht="24" customHeight="1">
      <c r="A189" s="5" t="str">
        <f t="shared" si="2"/>
        <v/>
      </c>
      <c r="B189" s="18"/>
      <c r="C189" s="9"/>
      <c r="D189" s="15"/>
      <c r="E189" s="9"/>
      <c r="F189" s="9"/>
    </row>
    <row r="190" spans="1:6" ht="24" customHeight="1">
      <c r="A190" s="5" t="str">
        <f t="shared" si="2"/>
        <v/>
      </c>
      <c r="B190" s="18"/>
      <c r="C190" s="9"/>
      <c r="D190" s="15"/>
      <c r="E190" s="9"/>
      <c r="F190" s="9"/>
    </row>
    <row r="191" spans="1:6" ht="24" customHeight="1">
      <c r="A191" s="5" t="str">
        <f t="shared" si="2"/>
        <v/>
      </c>
      <c r="B191" s="18"/>
      <c r="C191" s="9"/>
      <c r="D191" s="15"/>
      <c r="E191" s="9"/>
      <c r="F191" s="9"/>
    </row>
    <row r="192" spans="1:6" ht="24" customHeight="1">
      <c r="A192" s="5" t="str">
        <f t="shared" si="2"/>
        <v/>
      </c>
      <c r="B192" s="18"/>
      <c r="C192" s="9"/>
      <c r="D192" s="15"/>
      <c r="E192" s="9"/>
      <c r="F192" s="9"/>
    </row>
    <row r="193" spans="1:6" ht="24" customHeight="1">
      <c r="A193" s="5" t="str">
        <f t="shared" si="2"/>
        <v/>
      </c>
      <c r="B193" s="18"/>
      <c r="C193" s="9"/>
      <c r="D193" s="15"/>
      <c r="E193" s="9"/>
      <c r="F193" s="9"/>
    </row>
    <row r="194" spans="1:6" ht="24" customHeight="1">
      <c r="A194" s="5" t="str">
        <f t="shared" ref="A194:A257" si="3">IF(C194="","",ROW()-1)</f>
        <v/>
      </c>
      <c r="B194" s="18"/>
      <c r="C194" s="9"/>
      <c r="D194" s="15"/>
      <c r="E194" s="9"/>
      <c r="F194" s="9"/>
    </row>
    <row r="195" spans="1:6" ht="24" customHeight="1">
      <c r="A195" s="5" t="str">
        <f t="shared" si="3"/>
        <v/>
      </c>
      <c r="B195" s="18"/>
      <c r="C195" s="9"/>
      <c r="D195" s="15"/>
      <c r="E195" s="9"/>
      <c r="F195" s="9"/>
    </row>
    <row r="196" spans="1:6" ht="24" customHeight="1">
      <c r="A196" s="5" t="str">
        <f t="shared" si="3"/>
        <v/>
      </c>
      <c r="B196" s="18"/>
      <c r="C196" s="9"/>
      <c r="D196" s="15"/>
      <c r="E196" s="9"/>
      <c r="F196" s="9"/>
    </row>
    <row r="197" spans="1:6" ht="24" customHeight="1">
      <c r="A197" s="5" t="str">
        <f t="shared" si="3"/>
        <v/>
      </c>
      <c r="B197" s="18"/>
      <c r="C197" s="9"/>
      <c r="D197" s="15"/>
      <c r="E197" s="9"/>
      <c r="F197" s="9"/>
    </row>
    <row r="198" spans="1:6" ht="24" customHeight="1">
      <c r="A198" s="5" t="str">
        <f t="shared" si="3"/>
        <v/>
      </c>
      <c r="B198" s="18"/>
      <c r="C198" s="9"/>
      <c r="D198" s="15"/>
      <c r="E198" s="9"/>
      <c r="F198" s="9"/>
    </row>
    <row r="199" spans="1:6" ht="24" customHeight="1">
      <c r="A199" s="5" t="str">
        <f t="shared" si="3"/>
        <v/>
      </c>
      <c r="B199" s="18"/>
      <c r="C199" s="9"/>
      <c r="D199" s="15"/>
      <c r="E199" s="9"/>
      <c r="F199" s="9"/>
    </row>
    <row r="200" spans="1:6" ht="24" customHeight="1">
      <c r="A200" s="5" t="str">
        <f t="shared" si="3"/>
        <v/>
      </c>
      <c r="B200" s="18"/>
      <c r="C200" s="9"/>
      <c r="D200" s="15"/>
      <c r="E200" s="9"/>
      <c r="F200" s="9"/>
    </row>
    <row r="201" spans="1:6" ht="24" customHeight="1">
      <c r="A201" s="5" t="str">
        <f t="shared" si="3"/>
        <v/>
      </c>
      <c r="B201" s="18"/>
      <c r="C201" s="9"/>
      <c r="D201" s="15"/>
      <c r="E201" s="9"/>
      <c r="F201" s="9"/>
    </row>
    <row r="202" spans="1:6" ht="24" customHeight="1">
      <c r="A202" s="5" t="str">
        <f t="shared" si="3"/>
        <v/>
      </c>
      <c r="B202" s="18"/>
      <c r="C202" s="9"/>
      <c r="D202" s="15"/>
      <c r="E202" s="9"/>
      <c r="F202" s="9"/>
    </row>
    <row r="203" spans="1:6" ht="24" customHeight="1">
      <c r="A203" s="5" t="str">
        <f t="shared" si="3"/>
        <v/>
      </c>
      <c r="B203" s="18"/>
      <c r="C203" s="9"/>
      <c r="D203" s="15"/>
      <c r="E203" s="9"/>
      <c r="F203" s="9"/>
    </row>
    <row r="204" spans="1:6" ht="24" customHeight="1">
      <c r="A204" s="5" t="str">
        <f t="shared" si="3"/>
        <v/>
      </c>
      <c r="B204" s="18"/>
      <c r="C204" s="9"/>
      <c r="D204" s="15"/>
      <c r="E204" s="9"/>
      <c r="F204" s="9"/>
    </row>
    <row r="205" spans="1:6" ht="24" customHeight="1">
      <c r="A205" s="5" t="str">
        <f t="shared" si="3"/>
        <v/>
      </c>
      <c r="B205" s="18"/>
      <c r="C205" s="9"/>
      <c r="D205" s="15"/>
      <c r="E205" s="9"/>
      <c r="F205" s="9"/>
    </row>
    <row r="206" spans="1:6" ht="24" customHeight="1">
      <c r="A206" s="5" t="str">
        <f t="shared" si="3"/>
        <v/>
      </c>
      <c r="B206" s="18"/>
      <c r="C206" s="9"/>
      <c r="D206" s="15"/>
      <c r="E206" s="9"/>
      <c r="F206" s="9"/>
    </row>
    <row r="207" spans="1:6" ht="24" customHeight="1">
      <c r="A207" s="5" t="str">
        <f t="shared" si="3"/>
        <v/>
      </c>
      <c r="B207" s="18"/>
      <c r="C207" s="9"/>
      <c r="D207" s="15"/>
      <c r="E207" s="9"/>
      <c r="F207" s="9"/>
    </row>
    <row r="208" spans="1:6" ht="24" customHeight="1">
      <c r="A208" s="5" t="str">
        <f t="shared" si="3"/>
        <v/>
      </c>
      <c r="B208" s="18"/>
      <c r="C208" s="9"/>
      <c r="D208" s="15"/>
      <c r="E208" s="9"/>
      <c r="F208" s="9"/>
    </row>
    <row r="209" spans="1:6" ht="24" customHeight="1">
      <c r="A209" s="5" t="str">
        <f t="shared" si="3"/>
        <v/>
      </c>
      <c r="B209" s="18"/>
      <c r="C209" s="9"/>
      <c r="D209" s="15"/>
      <c r="E209" s="9"/>
      <c r="F209" s="9"/>
    </row>
    <row r="210" spans="1:6" ht="24" customHeight="1">
      <c r="A210" s="5" t="str">
        <f t="shared" si="3"/>
        <v/>
      </c>
      <c r="B210" s="18"/>
      <c r="C210" s="9"/>
      <c r="D210" s="15"/>
      <c r="E210" s="9"/>
      <c r="F210" s="9"/>
    </row>
    <row r="211" spans="1:6" ht="24" customHeight="1">
      <c r="A211" s="5" t="str">
        <f t="shared" si="3"/>
        <v/>
      </c>
      <c r="B211" s="18"/>
      <c r="C211" s="9"/>
      <c r="D211" s="15"/>
      <c r="E211" s="9"/>
      <c r="F211" s="9"/>
    </row>
    <row r="212" spans="1:6" ht="24" customHeight="1">
      <c r="A212" s="5" t="str">
        <f t="shared" si="3"/>
        <v/>
      </c>
      <c r="B212" s="18"/>
      <c r="C212" s="9"/>
      <c r="D212" s="15"/>
      <c r="E212" s="9"/>
      <c r="F212" s="9"/>
    </row>
    <row r="213" spans="1:6" ht="24" customHeight="1">
      <c r="A213" s="5" t="str">
        <f t="shared" si="3"/>
        <v/>
      </c>
      <c r="B213" s="18"/>
      <c r="C213" s="9"/>
      <c r="D213" s="15"/>
      <c r="E213" s="9"/>
      <c r="F213" s="9"/>
    </row>
    <row r="214" spans="1:6" ht="24" customHeight="1">
      <c r="A214" s="5" t="str">
        <f t="shared" si="3"/>
        <v/>
      </c>
      <c r="B214" s="18"/>
      <c r="C214" s="9"/>
      <c r="D214" s="15"/>
      <c r="E214" s="9"/>
      <c r="F214" s="9"/>
    </row>
    <row r="215" spans="1:6" ht="24" customHeight="1">
      <c r="A215" s="5" t="str">
        <f t="shared" si="3"/>
        <v/>
      </c>
      <c r="B215" s="18"/>
      <c r="C215" s="9"/>
      <c r="D215" s="15"/>
      <c r="E215" s="9"/>
      <c r="F215" s="9"/>
    </row>
    <row r="216" spans="1:6" ht="24" customHeight="1">
      <c r="A216" s="5" t="str">
        <f t="shared" si="3"/>
        <v/>
      </c>
      <c r="B216" s="18"/>
      <c r="C216" s="9"/>
      <c r="D216" s="15"/>
      <c r="E216" s="9"/>
      <c r="F216" s="9"/>
    </row>
    <row r="217" spans="1:6" ht="24" customHeight="1">
      <c r="A217" s="5" t="str">
        <f t="shared" si="3"/>
        <v/>
      </c>
      <c r="B217" s="18"/>
      <c r="C217" s="9"/>
      <c r="D217" s="15"/>
      <c r="E217" s="9"/>
      <c r="F217" s="9"/>
    </row>
    <row r="218" spans="1:6" ht="24" customHeight="1">
      <c r="A218" s="5" t="str">
        <f t="shared" si="3"/>
        <v/>
      </c>
      <c r="B218" s="18"/>
      <c r="C218" s="9"/>
      <c r="D218" s="15"/>
      <c r="E218" s="9"/>
      <c r="F218" s="9"/>
    </row>
    <row r="219" spans="1:6" ht="24" customHeight="1">
      <c r="A219" s="5" t="str">
        <f t="shared" si="3"/>
        <v/>
      </c>
      <c r="B219" s="18"/>
      <c r="C219" s="9"/>
      <c r="D219" s="15"/>
      <c r="E219" s="9"/>
      <c r="F219" s="9"/>
    </row>
    <row r="220" spans="1:6" ht="24" customHeight="1">
      <c r="A220" s="5" t="str">
        <f t="shared" si="3"/>
        <v/>
      </c>
      <c r="B220" s="18"/>
      <c r="C220" s="9"/>
      <c r="D220" s="15"/>
      <c r="E220" s="9"/>
      <c r="F220" s="9"/>
    </row>
    <row r="221" spans="1:6" ht="24" customHeight="1">
      <c r="A221" s="5" t="str">
        <f t="shared" si="3"/>
        <v/>
      </c>
      <c r="B221" s="18"/>
      <c r="C221" s="9"/>
      <c r="D221" s="15"/>
      <c r="E221" s="9"/>
      <c r="F221" s="9"/>
    </row>
    <row r="222" spans="1:6" ht="24" customHeight="1">
      <c r="A222" s="5" t="str">
        <f t="shared" si="3"/>
        <v/>
      </c>
      <c r="B222" s="18"/>
      <c r="C222" s="9"/>
      <c r="D222" s="15"/>
      <c r="E222" s="9"/>
      <c r="F222" s="9"/>
    </row>
    <row r="223" spans="1:6" ht="24" customHeight="1">
      <c r="A223" s="5" t="str">
        <f t="shared" si="3"/>
        <v/>
      </c>
      <c r="B223" s="18"/>
      <c r="C223" s="9"/>
      <c r="D223" s="15"/>
      <c r="E223" s="9"/>
      <c r="F223" s="9"/>
    </row>
    <row r="224" spans="1:6" ht="24" customHeight="1">
      <c r="A224" s="5" t="str">
        <f t="shared" si="3"/>
        <v/>
      </c>
      <c r="B224" s="18"/>
      <c r="C224" s="9"/>
      <c r="D224" s="15"/>
      <c r="E224" s="9"/>
      <c r="F224" s="9"/>
    </row>
    <row r="225" spans="1:6" ht="24" customHeight="1">
      <c r="A225" s="5" t="str">
        <f t="shared" si="3"/>
        <v/>
      </c>
      <c r="B225" s="18"/>
      <c r="C225" s="9"/>
      <c r="D225" s="15"/>
      <c r="E225" s="9"/>
      <c r="F225" s="9"/>
    </row>
    <row r="226" spans="1:6" ht="24" customHeight="1">
      <c r="A226" s="5" t="str">
        <f t="shared" si="3"/>
        <v/>
      </c>
      <c r="B226" s="18"/>
      <c r="C226" s="9"/>
      <c r="D226" s="15"/>
      <c r="E226" s="9"/>
      <c r="F226" s="9"/>
    </row>
    <row r="227" spans="1:6" ht="24" customHeight="1">
      <c r="A227" s="5" t="str">
        <f t="shared" si="3"/>
        <v/>
      </c>
      <c r="B227" s="18"/>
      <c r="C227" s="9"/>
      <c r="D227" s="15"/>
      <c r="E227" s="9"/>
      <c r="F227" s="9"/>
    </row>
    <row r="228" spans="1:6" ht="24" customHeight="1">
      <c r="A228" s="5" t="str">
        <f t="shared" si="3"/>
        <v/>
      </c>
      <c r="B228" s="18"/>
      <c r="C228" s="9"/>
      <c r="D228" s="15"/>
      <c r="E228" s="9"/>
      <c r="F228" s="9"/>
    </row>
    <row r="229" spans="1:6" ht="24" customHeight="1">
      <c r="A229" s="5" t="str">
        <f t="shared" si="3"/>
        <v/>
      </c>
      <c r="B229" s="18"/>
      <c r="C229" s="9"/>
      <c r="D229" s="15"/>
      <c r="E229" s="9"/>
      <c r="F229" s="9"/>
    </row>
    <row r="230" spans="1:6" ht="24" customHeight="1">
      <c r="A230" s="5" t="str">
        <f t="shared" si="3"/>
        <v/>
      </c>
      <c r="B230" s="18"/>
      <c r="C230" s="9"/>
      <c r="D230" s="15"/>
      <c r="E230" s="9"/>
      <c r="F230" s="9"/>
    </row>
    <row r="231" spans="1:6" ht="24" customHeight="1">
      <c r="A231" s="5" t="str">
        <f t="shared" si="3"/>
        <v/>
      </c>
      <c r="B231" s="18"/>
      <c r="C231" s="9"/>
      <c r="D231" s="15"/>
      <c r="E231" s="9"/>
      <c r="F231" s="9"/>
    </row>
    <row r="232" spans="1:6" ht="24" customHeight="1">
      <c r="A232" s="5" t="str">
        <f t="shared" si="3"/>
        <v/>
      </c>
      <c r="B232" s="18"/>
      <c r="C232" s="9"/>
      <c r="D232" s="15"/>
      <c r="E232" s="9"/>
      <c r="F232" s="9"/>
    </row>
    <row r="233" spans="1:6" ht="24" customHeight="1">
      <c r="A233" s="5" t="str">
        <f t="shared" si="3"/>
        <v/>
      </c>
      <c r="B233" s="18"/>
      <c r="C233" s="9"/>
      <c r="D233" s="15"/>
      <c r="E233" s="9"/>
      <c r="F233" s="9"/>
    </row>
    <row r="234" spans="1:6" ht="24" customHeight="1">
      <c r="A234" s="5" t="str">
        <f t="shared" si="3"/>
        <v/>
      </c>
      <c r="B234" s="18"/>
      <c r="C234" s="9"/>
      <c r="D234" s="15"/>
      <c r="E234" s="9"/>
      <c r="F234" s="9"/>
    </row>
    <row r="235" spans="1:6" ht="24" customHeight="1">
      <c r="A235" s="5" t="str">
        <f t="shared" si="3"/>
        <v/>
      </c>
      <c r="B235" s="18"/>
      <c r="C235" s="9"/>
      <c r="D235" s="15"/>
      <c r="E235" s="9"/>
      <c r="F235" s="9"/>
    </row>
    <row r="236" spans="1:6" ht="24" customHeight="1">
      <c r="A236" s="5" t="str">
        <f t="shared" si="3"/>
        <v/>
      </c>
      <c r="B236" s="18"/>
      <c r="C236" s="9"/>
      <c r="D236" s="15"/>
      <c r="E236" s="9"/>
      <c r="F236" s="9"/>
    </row>
    <row r="237" spans="1:6" ht="24" customHeight="1">
      <c r="A237" s="5" t="str">
        <f t="shared" si="3"/>
        <v/>
      </c>
      <c r="B237" s="18"/>
      <c r="C237" s="9"/>
      <c r="D237" s="15"/>
      <c r="E237" s="9"/>
      <c r="F237" s="9"/>
    </row>
    <row r="238" spans="1:6" ht="24" customHeight="1">
      <c r="A238" s="5" t="str">
        <f t="shared" si="3"/>
        <v/>
      </c>
      <c r="B238" s="18"/>
      <c r="C238" s="9"/>
      <c r="D238" s="15"/>
      <c r="E238" s="9"/>
      <c r="F238" s="9"/>
    </row>
    <row r="239" spans="1:6" ht="24" customHeight="1">
      <c r="A239" s="5" t="str">
        <f t="shared" si="3"/>
        <v/>
      </c>
      <c r="B239" s="18"/>
      <c r="C239" s="9"/>
      <c r="D239" s="15"/>
      <c r="E239" s="9"/>
      <c r="F239" s="9"/>
    </row>
    <row r="240" spans="1:6" ht="24" customHeight="1">
      <c r="A240" s="5" t="str">
        <f t="shared" si="3"/>
        <v/>
      </c>
      <c r="B240" s="18"/>
      <c r="C240" s="9"/>
      <c r="D240" s="15"/>
      <c r="E240" s="9"/>
      <c r="F240" s="9"/>
    </row>
    <row r="241" spans="1:6" ht="24" customHeight="1">
      <c r="A241" s="5" t="str">
        <f t="shared" si="3"/>
        <v/>
      </c>
      <c r="B241" s="18"/>
      <c r="C241" s="9"/>
      <c r="D241" s="15"/>
      <c r="E241" s="9"/>
      <c r="F241" s="9"/>
    </row>
    <row r="242" spans="1:6" ht="24" customHeight="1">
      <c r="A242" s="5" t="str">
        <f t="shared" si="3"/>
        <v/>
      </c>
      <c r="B242" s="18"/>
      <c r="C242" s="9"/>
      <c r="D242" s="15"/>
      <c r="E242" s="9"/>
      <c r="F242" s="9"/>
    </row>
    <row r="243" spans="1:6" ht="24" customHeight="1">
      <c r="A243" s="5" t="str">
        <f t="shared" si="3"/>
        <v/>
      </c>
      <c r="B243" s="18"/>
      <c r="C243" s="9"/>
      <c r="D243" s="15"/>
      <c r="E243" s="9"/>
      <c r="F243" s="9"/>
    </row>
    <row r="244" spans="1:6" ht="24" customHeight="1">
      <c r="A244" s="5" t="str">
        <f t="shared" si="3"/>
        <v/>
      </c>
      <c r="B244" s="18"/>
      <c r="C244" s="9"/>
      <c r="D244" s="15"/>
      <c r="E244" s="9"/>
      <c r="F244" s="9"/>
    </row>
    <row r="245" spans="1:6" ht="24" customHeight="1">
      <c r="A245" s="5" t="str">
        <f t="shared" si="3"/>
        <v/>
      </c>
      <c r="B245" s="18"/>
      <c r="C245" s="9"/>
      <c r="D245" s="15"/>
      <c r="E245" s="9"/>
      <c r="F245" s="9"/>
    </row>
    <row r="246" spans="1:6" ht="24" customHeight="1">
      <c r="A246" s="5" t="str">
        <f t="shared" si="3"/>
        <v/>
      </c>
      <c r="B246" s="18"/>
      <c r="C246" s="9"/>
      <c r="D246" s="15"/>
      <c r="E246" s="9"/>
      <c r="F246" s="9"/>
    </row>
    <row r="247" spans="1:6" ht="24" customHeight="1">
      <c r="A247" s="5" t="str">
        <f t="shared" si="3"/>
        <v/>
      </c>
      <c r="B247" s="18"/>
      <c r="C247" s="9"/>
      <c r="D247" s="15"/>
      <c r="E247" s="9"/>
      <c r="F247" s="9"/>
    </row>
    <row r="248" spans="1:6" ht="24" customHeight="1">
      <c r="A248" s="5" t="str">
        <f t="shared" si="3"/>
        <v/>
      </c>
      <c r="B248" s="18"/>
      <c r="C248" s="9"/>
      <c r="D248" s="15"/>
      <c r="E248" s="9"/>
      <c r="F248" s="9"/>
    </row>
    <row r="249" spans="1:6" ht="24" customHeight="1">
      <c r="A249" s="5" t="str">
        <f t="shared" si="3"/>
        <v/>
      </c>
      <c r="B249" s="18"/>
      <c r="C249" s="9"/>
      <c r="D249" s="15"/>
      <c r="E249" s="9"/>
      <c r="F249" s="9"/>
    </row>
    <row r="250" spans="1:6" ht="24" customHeight="1">
      <c r="A250" s="5" t="str">
        <f t="shared" si="3"/>
        <v/>
      </c>
      <c r="B250" s="18"/>
      <c r="C250" s="9"/>
      <c r="D250" s="15"/>
      <c r="E250" s="9"/>
      <c r="F250" s="9"/>
    </row>
    <row r="251" spans="1:6" ht="24" customHeight="1">
      <c r="A251" s="5" t="str">
        <f t="shared" si="3"/>
        <v/>
      </c>
      <c r="B251" s="18"/>
      <c r="C251" s="9"/>
      <c r="D251" s="15"/>
      <c r="E251" s="9"/>
      <c r="F251" s="9"/>
    </row>
    <row r="252" spans="1:6" ht="24" customHeight="1">
      <c r="A252" s="5" t="str">
        <f t="shared" si="3"/>
        <v/>
      </c>
      <c r="B252" s="18"/>
      <c r="C252" s="9"/>
      <c r="D252" s="15"/>
      <c r="E252" s="9"/>
      <c r="F252" s="9"/>
    </row>
    <row r="253" spans="1:6" ht="24" customHeight="1">
      <c r="A253" s="5" t="str">
        <f t="shared" si="3"/>
        <v/>
      </c>
      <c r="B253" s="18"/>
      <c r="C253" s="9"/>
      <c r="D253" s="15"/>
      <c r="E253" s="9"/>
      <c r="F253" s="9"/>
    </row>
    <row r="254" spans="1:6" ht="24" customHeight="1">
      <c r="A254" s="5" t="str">
        <f t="shared" si="3"/>
        <v/>
      </c>
      <c r="B254" s="18"/>
      <c r="C254" s="9"/>
      <c r="D254" s="15"/>
      <c r="E254" s="9"/>
      <c r="F254" s="9"/>
    </row>
    <row r="255" spans="1:6" ht="24" customHeight="1">
      <c r="A255" s="5" t="str">
        <f t="shared" si="3"/>
        <v/>
      </c>
      <c r="B255" s="18"/>
      <c r="C255" s="9"/>
      <c r="D255" s="15"/>
      <c r="E255" s="9"/>
      <c r="F255" s="9"/>
    </row>
    <row r="256" spans="1:6" ht="24" customHeight="1">
      <c r="A256" s="5" t="str">
        <f t="shared" si="3"/>
        <v/>
      </c>
      <c r="B256" s="18"/>
      <c r="C256" s="9"/>
      <c r="D256" s="15"/>
      <c r="E256" s="9"/>
      <c r="F256" s="9"/>
    </row>
    <row r="257" spans="1:6" ht="24" customHeight="1">
      <c r="A257" s="5" t="str">
        <f t="shared" si="3"/>
        <v/>
      </c>
      <c r="B257" s="18"/>
      <c r="C257" s="9"/>
      <c r="D257" s="15"/>
      <c r="E257" s="9"/>
      <c r="F257" s="9"/>
    </row>
    <row r="258" spans="1:6" ht="24" customHeight="1">
      <c r="A258" s="5" t="str">
        <f t="shared" ref="A258:A321" si="4">IF(C258="","",ROW()-1)</f>
        <v/>
      </c>
      <c r="B258" s="18"/>
      <c r="C258" s="9"/>
      <c r="D258" s="15"/>
      <c r="E258" s="9"/>
      <c r="F258" s="9"/>
    </row>
    <row r="259" spans="1:6" ht="24" customHeight="1">
      <c r="A259" s="5" t="str">
        <f t="shared" si="4"/>
        <v/>
      </c>
      <c r="B259" s="18"/>
      <c r="C259" s="9"/>
      <c r="D259" s="15"/>
      <c r="E259" s="9"/>
      <c r="F259" s="9"/>
    </row>
    <row r="260" spans="1:6" ht="24" customHeight="1">
      <c r="A260" s="5" t="str">
        <f t="shared" si="4"/>
        <v/>
      </c>
      <c r="B260" s="18"/>
      <c r="C260" s="9"/>
      <c r="D260" s="15"/>
      <c r="E260" s="9"/>
      <c r="F260" s="9"/>
    </row>
    <row r="261" spans="1:6" ht="24" customHeight="1">
      <c r="A261" s="5" t="str">
        <f t="shared" si="4"/>
        <v/>
      </c>
      <c r="B261" s="18"/>
      <c r="C261" s="9"/>
      <c r="D261" s="15"/>
      <c r="E261" s="9"/>
      <c r="F261" s="9"/>
    </row>
    <row r="262" spans="1:6" ht="24" customHeight="1">
      <c r="A262" s="5" t="str">
        <f t="shared" si="4"/>
        <v/>
      </c>
      <c r="B262" s="18"/>
      <c r="C262" s="9"/>
      <c r="D262" s="15"/>
      <c r="E262" s="9"/>
      <c r="F262" s="9"/>
    </row>
    <row r="263" spans="1:6" ht="24" customHeight="1">
      <c r="A263" s="5" t="str">
        <f t="shared" si="4"/>
        <v/>
      </c>
      <c r="B263" s="18"/>
      <c r="C263" s="9"/>
      <c r="D263" s="15"/>
      <c r="E263" s="9"/>
      <c r="F263" s="9"/>
    </row>
    <row r="264" spans="1:6" ht="24" customHeight="1">
      <c r="A264" s="5" t="str">
        <f t="shared" si="4"/>
        <v/>
      </c>
      <c r="B264" s="18"/>
      <c r="C264" s="9"/>
      <c r="D264" s="15"/>
      <c r="E264" s="9"/>
      <c r="F264" s="9"/>
    </row>
    <row r="265" spans="1:6" ht="24" customHeight="1">
      <c r="A265" s="5" t="str">
        <f t="shared" si="4"/>
        <v/>
      </c>
      <c r="B265" s="18"/>
      <c r="C265" s="9"/>
      <c r="D265" s="15"/>
      <c r="E265" s="9"/>
      <c r="F265" s="9"/>
    </row>
    <row r="266" spans="1:6" ht="24" customHeight="1">
      <c r="A266" s="5" t="str">
        <f t="shared" si="4"/>
        <v/>
      </c>
      <c r="B266" s="18"/>
      <c r="C266" s="9"/>
      <c r="D266" s="15"/>
      <c r="E266" s="9"/>
      <c r="F266" s="9"/>
    </row>
    <row r="267" spans="1:6" ht="24" customHeight="1">
      <c r="A267" s="5" t="str">
        <f t="shared" si="4"/>
        <v/>
      </c>
      <c r="B267" s="18"/>
      <c r="C267" s="9"/>
      <c r="D267" s="15"/>
      <c r="E267" s="9"/>
      <c r="F267" s="9"/>
    </row>
    <row r="268" spans="1:6" ht="24" customHeight="1">
      <c r="A268" s="5" t="str">
        <f t="shared" si="4"/>
        <v/>
      </c>
      <c r="B268" s="18"/>
      <c r="C268" s="9"/>
      <c r="D268" s="15"/>
      <c r="E268" s="9"/>
      <c r="F268" s="9"/>
    </row>
    <row r="269" spans="1:6" ht="24" customHeight="1">
      <c r="A269" s="5" t="str">
        <f t="shared" si="4"/>
        <v/>
      </c>
      <c r="B269" s="18"/>
      <c r="C269" s="9"/>
      <c r="D269" s="15"/>
      <c r="E269" s="9"/>
      <c r="F269" s="9"/>
    </row>
    <row r="270" spans="1:6" ht="24" customHeight="1">
      <c r="A270" s="5" t="str">
        <f t="shared" si="4"/>
        <v/>
      </c>
      <c r="B270" s="18"/>
      <c r="C270" s="9"/>
      <c r="D270" s="15"/>
      <c r="E270" s="9"/>
      <c r="F270" s="9"/>
    </row>
    <row r="271" spans="1:6" ht="24" customHeight="1">
      <c r="A271" s="5" t="str">
        <f t="shared" si="4"/>
        <v/>
      </c>
      <c r="B271" s="18"/>
      <c r="C271" s="9"/>
      <c r="D271" s="15"/>
      <c r="E271" s="9"/>
      <c r="F271" s="9"/>
    </row>
    <row r="272" spans="1:6" ht="24" customHeight="1">
      <c r="A272" s="5" t="str">
        <f t="shared" si="4"/>
        <v/>
      </c>
      <c r="B272" s="18"/>
      <c r="C272" s="9"/>
      <c r="D272" s="15"/>
      <c r="E272" s="9"/>
      <c r="F272" s="9"/>
    </row>
    <row r="273" spans="1:6" ht="24" customHeight="1">
      <c r="A273" s="5" t="str">
        <f t="shared" si="4"/>
        <v/>
      </c>
      <c r="B273" s="18"/>
      <c r="C273" s="9"/>
      <c r="D273" s="15"/>
      <c r="E273" s="9"/>
      <c r="F273" s="9"/>
    </row>
    <row r="274" spans="1:6" ht="24" customHeight="1">
      <c r="A274" s="5" t="str">
        <f t="shared" si="4"/>
        <v/>
      </c>
      <c r="B274" s="18"/>
      <c r="C274" s="9"/>
      <c r="D274" s="15"/>
      <c r="E274" s="9"/>
      <c r="F274" s="9"/>
    </row>
    <row r="275" spans="1:6" ht="24" customHeight="1">
      <c r="A275" s="5" t="str">
        <f t="shared" si="4"/>
        <v/>
      </c>
      <c r="B275" s="18"/>
      <c r="C275" s="9"/>
      <c r="D275" s="15"/>
      <c r="E275" s="9"/>
      <c r="F275" s="9"/>
    </row>
    <row r="276" spans="1:6" ht="24" customHeight="1">
      <c r="A276" s="5" t="str">
        <f t="shared" si="4"/>
        <v/>
      </c>
      <c r="B276" s="18"/>
      <c r="C276" s="9"/>
      <c r="D276" s="15"/>
      <c r="E276" s="9"/>
      <c r="F276" s="9"/>
    </row>
    <row r="277" spans="1:6" ht="24" customHeight="1">
      <c r="A277" s="5" t="str">
        <f t="shared" si="4"/>
        <v/>
      </c>
      <c r="B277" s="18"/>
      <c r="C277" s="9"/>
      <c r="D277" s="15"/>
      <c r="E277" s="9"/>
      <c r="F277" s="9"/>
    </row>
    <row r="278" spans="1:6" ht="24" customHeight="1">
      <c r="A278" s="5" t="str">
        <f t="shared" si="4"/>
        <v/>
      </c>
      <c r="B278" s="18"/>
      <c r="C278" s="9"/>
      <c r="D278" s="15"/>
      <c r="E278" s="9"/>
      <c r="F278" s="9"/>
    </row>
    <row r="279" spans="1:6" ht="24" customHeight="1">
      <c r="A279" s="5" t="str">
        <f t="shared" si="4"/>
        <v/>
      </c>
      <c r="B279" s="18"/>
      <c r="C279" s="9"/>
      <c r="D279" s="15"/>
      <c r="E279" s="9"/>
      <c r="F279" s="9"/>
    </row>
    <row r="280" spans="1:6" ht="24" customHeight="1">
      <c r="A280" s="5" t="str">
        <f t="shared" si="4"/>
        <v/>
      </c>
      <c r="B280" s="18"/>
      <c r="C280" s="9"/>
      <c r="D280" s="15"/>
      <c r="E280" s="9"/>
      <c r="F280" s="9"/>
    </row>
    <row r="281" spans="1:6" ht="24" customHeight="1">
      <c r="A281" s="5" t="str">
        <f t="shared" si="4"/>
        <v/>
      </c>
      <c r="B281" s="18"/>
      <c r="C281" s="9"/>
      <c r="D281" s="15"/>
      <c r="E281" s="9"/>
      <c r="F281" s="9"/>
    </row>
    <row r="282" spans="1:6" ht="24" customHeight="1">
      <c r="A282" s="5" t="str">
        <f t="shared" si="4"/>
        <v/>
      </c>
      <c r="B282" s="18"/>
      <c r="C282" s="9"/>
      <c r="D282" s="15"/>
      <c r="E282" s="9"/>
      <c r="F282" s="9"/>
    </row>
    <row r="283" spans="1:6" ht="24" customHeight="1">
      <c r="A283" s="5" t="str">
        <f t="shared" si="4"/>
        <v/>
      </c>
      <c r="B283" s="18"/>
      <c r="C283" s="9"/>
      <c r="D283" s="15"/>
      <c r="E283" s="9"/>
      <c r="F283" s="9"/>
    </row>
    <row r="284" spans="1:6" ht="24" customHeight="1">
      <c r="A284" s="5" t="str">
        <f t="shared" si="4"/>
        <v/>
      </c>
      <c r="B284" s="18"/>
      <c r="C284" s="9"/>
      <c r="D284" s="15"/>
      <c r="E284" s="9"/>
      <c r="F284" s="9"/>
    </row>
    <row r="285" spans="1:6" ht="24" customHeight="1">
      <c r="A285" s="5" t="str">
        <f t="shared" si="4"/>
        <v/>
      </c>
      <c r="B285" s="18"/>
      <c r="C285" s="9"/>
      <c r="D285" s="15"/>
      <c r="E285" s="9"/>
      <c r="F285" s="9"/>
    </row>
    <row r="286" spans="1:6" ht="24" customHeight="1">
      <c r="A286" s="5" t="str">
        <f t="shared" si="4"/>
        <v/>
      </c>
      <c r="B286" s="18"/>
      <c r="C286" s="9"/>
      <c r="D286" s="15"/>
      <c r="E286" s="9"/>
      <c r="F286" s="9"/>
    </row>
    <row r="287" spans="1:6" ht="24" customHeight="1">
      <c r="A287" s="5" t="str">
        <f t="shared" si="4"/>
        <v/>
      </c>
      <c r="B287" s="18"/>
      <c r="C287" s="9"/>
      <c r="D287" s="15"/>
      <c r="E287" s="9"/>
      <c r="F287" s="9"/>
    </row>
    <row r="288" spans="1:6" ht="24" customHeight="1">
      <c r="A288" s="5" t="str">
        <f t="shared" si="4"/>
        <v/>
      </c>
      <c r="B288" s="18"/>
      <c r="C288" s="9"/>
      <c r="D288" s="15"/>
      <c r="E288" s="9"/>
      <c r="F288" s="9"/>
    </row>
    <row r="289" spans="1:6" ht="24" customHeight="1">
      <c r="A289" s="5" t="str">
        <f t="shared" si="4"/>
        <v/>
      </c>
      <c r="B289" s="18"/>
      <c r="C289" s="9"/>
      <c r="D289" s="15"/>
      <c r="E289" s="9"/>
      <c r="F289" s="9"/>
    </row>
    <row r="290" spans="1:6" ht="24" customHeight="1">
      <c r="A290" s="5" t="str">
        <f t="shared" si="4"/>
        <v/>
      </c>
      <c r="B290" s="18"/>
      <c r="C290" s="9"/>
      <c r="D290" s="15"/>
      <c r="E290" s="9"/>
      <c r="F290" s="9"/>
    </row>
    <row r="291" spans="1:6" ht="24" customHeight="1">
      <c r="A291" s="5" t="str">
        <f t="shared" si="4"/>
        <v/>
      </c>
      <c r="B291" s="18"/>
      <c r="C291" s="9"/>
      <c r="D291" s="15"/>
      <c r="E291" s="9"/>
      <c r="F291" s="9"/>
    </row>
    <row r="292" spans="1:6" ht="24" customHeight="1">
      <c r="A292" s="5" t="str">
        <f t="shared" si="4"/>
        <v/>
      </c>
      <c r="B292" s="18"/>
      <c r="C292" s="9"/>
      <c r="D292" s="15"/>
      <c r="E292" s="9"/>
      <c r="F292" s="9"/>
    </row>
    <row r="293" spans="1:6" ht="24" customHeight="1">
      <c r="A293" s="5" t="str">
        <f t="shared" si="4"/>
        <v/>
      </c>
      <c r="B293" s="18"/>
      <c r="C293" s="9"/>
      <c r="D293" s="15"/>
      <c r="E293" s="9"/>
      <c r="F293" s="9"/>
    </row>
    <row r="294" spans="1:6" ht="24" customHeight="1">
      <c r="A294" s="5" t="str">
        <f t="shared" si="4"/>
        <v/>
      </c>
      <c r="B294" s="18"/>
      <c r="C294" s="9"/>
      <c r="D294" s="15"/>
      <c r="E294" s="9"/>
      <c r="F294" s="9"/>
    </row>
    <row r="295" spans="1:6" ht="24" customHeight="1">
      <c r="A295" s="5" t="str">
        <f t="shared" si="4"/>
        <v/>
      </c>
      <c r="B295" s="18"/>
      <c r="C295" s="9"/>
      <c r="D295" s="15"/>
      <c r="E295" s="9"/>
      <c r="F295" s="9"/>
    </row>
    <row r="296" spans="1:6" ht="24" customHeight="1">
      <c r="A296" s="5" t="str">
        <f t="shared" si="4"/>
        <v/>
      </c>
      <c r="B296" s="18"/>
      <c r="C296" s="9"/>
      <c r="D296" s="15"/>
      <c r="E296" s="9"/>
      <c r="F296" s="9"/>
    </row>
    <row r="297" spans="1:6" ht="24" customHeight="1">
      <c r="A297" s="5" t="str">
        <f t="shared" si="4"/>
        <v/>
      </c>
      <c r="B297" s="18"/>
      <c r="C297" s="9"/>
      <c r="D297" s="15"/>
      <c r="E297" s="9"/>
      <c r="F297" s="9"/>
    </row>
    <row r="298" spans="1:6" ht="24" customHeight="1">
      <c r="A298" s="5" t="str">
        <f t="shared" si="4"/>
        <v/>
      </c>
      <c r="B298" s="18"/>
      <c r="C298" s="9"/>
      <c r="D298" s="15"/>
      <c r="E298" s="9"/>
      <c r="F298" s="9"/>
    </row>
    <row r="299" spans="1:6" ht="24" customHeight="1">
      <c r="A299" s="5" t="str">
        <f t="shared" si="4"/>
        <v/>
      </c>
      <c r="B299" s="18"/>
      <c r="C299" s="9"/>
      <c r="D299" s="15"/>
      <c r="E299" s="9"/>
      <c r="F299" s="9"/>
    </row>
    <row r="300" spans="1:6" ht="24" customHeight="1">
      <c r="A300" s="5" t="str">
        <f t="shared" si="4"/>
        <v/>
      </c>
      <c r="B300" s="18"/>
      <c r="C300" s="9"/>
      <c r="D300" s="15"/>
      <c r="E300" s="9"/>
      <c r="F300" s="9"/>
    </row>
    <row r="301" spans="1:6" ht="24" customHeight="1">
      <c r="A301" s="5" t="str">
        <f t="shared" si="4"/>
        <v/>
      </c>
      <c r="B301" s="18"/>
      <c r="C301" s="9"/>
      <c r="D301" s="15"/>
      <c r="E301" s="9"/>
      <c r="F301" s="9"/>
    </row>
    <row r="302" spans="1:6" ht="24" customHeight="1">
      <c r="A302" s="5" t="str">
        <f t="shared" si="4"/>
        <v/>
      </c>
      <c r="B302" s="18"/>
      <c r="C302" s="9"/>
      <c r="D302" s="15"/>
      <c r="E302" s="9"/>
      <c r="F302" s="9"/>
    </row>
    <row r="303" spans="1:6" ht="24" customHeight="1">
      <c r="A303" s="5" t="str">
        <f t="shared" si="4"/>
        <v/>
      </c>
      <c r="B303" s="18"/>
      <c r="C303" s="9"/>
      <c r="D303" s="15"/>
      <c r="E303" s="9"/>
      <c r="F303" s="9"/>
    </row>
    <row r="304" spans="1:6" ht="24" customHeight="1">
      <c r="A304" s="5" t="str">
        <f t="shared" si="4"/>
        <v/>
      </c>
      <c r="B304" s="18"/>
      <c r="C304" s="9"/>
      <c r="D304" s="15"/>
      <c r="E304" s="9"/>
      <c r="F304" s="9"/>
    </row>
    <row r="305" spans="1:6" ht="24" customHeight="1">
      <c r="A305" s="5" t="str">
        <f t="shared" si="4"/>
        <v/>
      </c>
      <c r="B305" s="18"/>
      <c r="C305" s="9"/>
      <c r="D305" s="15"/>
      <c r="E305" s="9"/>
      <c r="F305" s="9"/>
    </row>
    <row r="306" spans="1:6" ht="24" customHeight="1">
      <c r="A306" s="5" t="str">
        <f t="shared" si="4"/>
        <v/>
      </c>
      <c r="B306" s="18"/>
      <c r="C306" s="9"/>
      <c r="D306" s="15"/>
      <c r="E306" s="9"/>
      <c r="F306" s="9"/>
    </row>
    <row r="307" spans="1:6" ht="24" customHeight="1">
      <c r="A307" s="5" t="str">
        <f t="shared" si="4"/>
        <v/>
      </c>
      <c r="B307" s="18"/>
      <c r="C307" s="9"/>
      <c r="D307" s="15"/>
      <c r="E307" s="9"/>
      <c r="F307" s="9"/>
    </row>
    <row r="308" spans="1:6" ht="24" customHeight="1">
      <c r="A308" s="5" t="str">
        <f t="shared" si="4"/>
        <v/>
      </c>
      <c r="B308" s="18"/>
      <c r="C308" s="9"/>
      <c r="D308" s="15"/>
      <c r="E308" s="9"/>
      <c r="F308" s="9"/>
    </row>
    <row r="309" spans="1:6" ht="24" customHeight="1">
      <c r="A309" s="5" t="str">
        <f t="shared" si="4"/>
        <v/>
      </c>
      <c r="B309" s="18"/>
      <c r="C309" s="9"/>
      <c r="D309" s="15"/>
      <c r="E309" s="9"/>
      <c r="F309" s="9"/>
    </row>
    <row r="310" spans="1:6" ht="24" customHeight="1">
      <c r="A310" s="5" t="str">
        <f t="shared" si="4"/>
        <v/>
      </c>
      <c r="B310" s="18"/>
      <c r="C310" s="9"/>
      <c r="D310" s="15"/>
      <c r="E310" s="9"/>
      <c r="F310" s="9"/>
    </row>
    <row r="311" spans="1:6" ht="24" customHeight="1">
      <c r="A311" s="5" t="str">
        <f t="shared" si="4"/>
        <v/>
      </c>
      <c r="B311" s="18"/>
      <c r="C311" s="9"/>
      <c r="D311" s="15"/>
      <c r="E311" s="9"/>
      <c r="F311" s="9"/>
    </row>
    <row r="312" spans="1:6" ht="24" customHeight="1">
      <c r="A312" s="5" t="str">
        <f t="shared" si="4"/>
        <v/>
      </c>
      <c r="B312" s="18"/>
      <c r="C312" s="9"/>
      <c r="D312" s="15"/>
      <c r="E312" s="9"/>
      <c r="F312" s="9"/>
    </row>
    <row r="313" spans="1:6" ht="24" customHeight="1">
      <c r="A313" s="5" t="str">
        <f t="shared" si="4"/>
        <v/>
      </c>
      <c r="B313" s="18"/>
      <c r="C313" s="9"/>
      <c r="D313" s="15"/>
      <c r="E313" s="9"/>
      <c r="F313" s="9"/>
    </row>
    <row r="314" spans="1:6" ht="24" customHeight="1">
      <c r="A314" s="5" t="str">
        <f t="shared" si="4"/>
        <v/>
      </c>
      <c r="B314" s="18"/>
      <c r="C314" s="9"/>
      <c r="D314" s="15"/>
      <c r="E314" s="9"/>
      <c r="F314" s="9"/>
    </row>
    <row r="315" spans="1:6" ht="24" customHeight="1">
      <c r="A315" s="5" t="str">
        <f t="shared" si="4"/>
        <v/>
      </c>
      <c r="B315" s="18"/>
      <c r="C315" s="9"/>
      <c r="D315" s="15"/>
      <c r="E315" s="9"/>
      <c r="F315" s="9"/>
    </row>
    <row r="316" spans="1:6" ht="24" customHeight="1">
      <c r="A316" s="5" t="str">
        <f t="shared" si="4"/>
        <v/>
      </c>
      <c r="B316" s="18"/>
      <c r="C316" s="9"/>
      <c r="D316" s="15"/>
      <c r="E316" s="9"/>
      <c r="F316" s="9"/>
    </row>
    <row r="317" spans="1:6" ht="24" customHeight="1">
      <c r="A317" s="5" t="str">
        <f t="shared" si="4"/>
        <v/>
      </c>
      <c r="B317" s="18"/>
      <c r="C317" s="9"/>
      <c r="D317" s="15"/>
      <c r="E317" s="9"/>
      <c r="F317" s="9"/>
    </row>
    <row r="318" spans="1:6" ht="24" customHeight="1">
      <c r="A318" s="5" t="str">
        <f t="shared" si="4"/>
        <v/>
      </c>
      <c r="B318" s="18"/>
      <c r="C318" s="9"/>
      <c r="D318" s="15"/>
      <c r="E318" s="9"/>
      <c r="F318" s="9"/>
    </row>
    <row r="319" spans="1:6" ht="24" customHeight="1">
      <c r="A319" s="5" t="str">
        <f t="shared" si="4"/>
        <v/>
      </c>
      <c r="B319" s="18"/>
      <c r="C319" s="9"/>
      <c r="D319" s="15"/>
      <c r="E319" s="9"/>
      <c r="F319" s="9"/>
    </row>
    <row r="320" spans="1:6" ht="24" customHeight="1">
      <c r="A320" s="5" t="str">
        <f t="shared" si="4"/>
        <v/>
      </c>
      <c r="B320" s="18"/>
      <c r="C320" s="9"/>
      <c r="D320" s="15"/>
      <c r="E320" s="9"/>
      <c r="F320" s="9"/>
    </row>
    <row r="321" spans="1:6" ht="24" customHeight="1">
      <c r="A321" s="5" t="str">
        <f t="shared" si="4"/>
        <v/>
      </c>
      <c r="B321" s="18"/>
      <c r="C321" s="9"/>
      <c r="D321" s="15"/>
      <c r="E321" s="9"/>
      <c r="F321" s="9"/>
    </row>
    <row r="322" spans="1:6" ht="24" customHeight="1">
      <c r="A322" s="5" t="str">
        <f t="shared" ref="A322:A385" si="5">IF(C322="","",ROW()-1)</f>
        <v/>
      </c>
      <c r="B322" s="18"/>
      <c r="C322" s="9"/>
      <c r="D322" s="15"/>
      <c r="E322" s="9"/>
      <c r="F322" s="9"/>
    </row>
    <row r="323" spans="1:6" ht="24" customHeight="1">
      <c r="A323" s="5" t="str">
        <f t="shared" si="5"/>
        <v/>
      </c>
      <c r="B323" s="18"/>
      <c r="C323" s="9"/>
      <c r="D323" s="15"/>
      <c r="E323" s="9"/>
      <c r="F323" s="9"/>
    </row>
    <row r="324" spans="1:6" ht="24" customHeight="1">
      <c r="A324" s="5" t="str">
        <f t="shared" si="5"/>
        <v/>
      </c>
      <c r="B324" s="18"/>
      <c r="C324" s="9"/>
      <c r="D324" s="15"/>
      <c r="E324" s="9"/>
      <c r="F324" s="9"/>
    </row>
    <row r="325" spans="1:6" ht="24" customHeight="1">
      <c r="A325" s="5" t="str">
        <f t="shared" si="5"/>
        <v/>
      </c>
      <c r="B325" s="18"/>
      <c r="C325" s="9"/>
      <c r="D325" s="15"/>
      <c r="E325" s="9"/>
      <c r="F325" s="9"/>
    </row>
    <row r="326" spans="1:6" ht="24" customHeight="1">
      <c r="A326" s="5" t="str">
        <f t="shared" si="5"/>
        <v/>
      </c>
      <c r="B326" s="18"/>
      <c r="C326" s="9"/>
      <c r="D326" s="15"/>
      <c r="E326" s="9"/>
      <c r="F326" s="9"/>
    </row>
    <row r="327" spans="1:6" ht="24" customHeight="1">
      <c r="A327" s="5" t="str">
        <f t="shared" si="5"/>
        <v/>
      </c>
      <c r="B327" s="18"/>
      <c r="C327" s="9"/>
      <c r="D327" s="15"/>
      <c r="E327" s="9"/>
      <c r="F327" s="9"/>
    </row>
    <row r="328" spans="1:6" ht="24" customHeight="1">
      <c r="A328" s="5" t="str">
        <f t="shared" si="5"/>
        <v/>
      </c>
      <c r="B328" s="18"/>
      <c r="C328" s="9"/>
      <c r="D328" s="15"/>
      <c r="E328" s="9"/>
      <c r="F328" s="9"/>
    </row>
    <row r="329" spans="1:6" ht="24" customHeight="1">
      <c r="A329" s="5" t="str">
        <f t="shared" si="5"/>
        <v/>
      </c>
      <c r="B329" s="18"/>
      <c r="C329" s="9"/>
      <c r="D329" s="15"/>
      <c r="E329" s="9"/>
      <c r="F329" s="9"/>
    </row>
    <row r="330" spans="1:6" ht="24" customHeight="1">
      <c r="A330" s="5" t="str">
        <f t="shared" si="5"/>
        <v/>
      </c>
      <c r="B330" s="18"/>
      <c r="C330" s="9"/>
      <c r="D330" s="15"/>
      <c r="E330" s="9"/>
      <c r="F330" s="9"/>
    </row>
    <row r="331" spans="1:6" ht="24" customHeight="1">
      <c r="A331" s="5" t="str">
        <f t="shared" si="5"/>
        <v/>
      </c>
      <c r="B331" s="18"/>
      <c r="C331" s="9"/>
      <c r="D331" s="15"/>
      <c r="E331" s="9"/>
      <c r="F331" s="9"/>
    </row>
    <row r="332" spans="1:6" ht="24" customHeight="1">
      <c r="A332" s="5" t="str">
        <f t="shared" si="5"/>
        <v/>
      </c>
      <c r="B332" s="18"/>
      <c r="C332" s="9"/>
      <c r="D332" s="15"/>
      <c r="E332" s="9"/>
      <c r="F332" s="9"/>
    </row>
    <row r="333" spans="1:6" ht="24" customHeight="1">
      <c r="A333" s="5" t="str">
        <f t="shared" si="5"/>
        <v/>
      </c>
      <c r="B333" s="18"/>
      <c r="C333" s="9"/>
      <c r="D333" s="15"/>
      <c r="E333" s="9"/>
      <c r="F333" s="9"/>
    </row>
    <row r="334" spans="1:6" ht="24" customHeight="1">
      <c r="A334" s="5" t="str">
        <f t="shared" si="5"/>
        <v/>
      </c>
      <c r="B334" s="18"/>
      <c r="C334" s="9"/>
      <c r="D334" s="15"/>
      <c r="E334" s="9"/>
      <c r="F334" s="9"/>
    </row>
    <row r="335" spans="1:6" ht="24" customHeight="1">
      <c r="A335" s="5" t="str">
        <f t="shared" si="5"/>
        <v/>
      </c>
      <c r="B335" s="18"/>
      <c r="C335" s="9"/>
      <c r="D335" s="15"/>
      <c r="E335" s="9"/>
      <c r="F335" s="9"/>
    </row>
    <row r="336" spans="1:6" ht="24" customHeight="1">
      <c r="A336" s="5" t="str">
        <f t="shared" si="5"/>
        <v/>
      </c>
      <c r="B336" s="18"/>
      <c r="C336" s="9"/>
      <c r="D336" s="15"/>
      <c r="E336" s="9"/>
      <c r="F336" s="9"/>
    </row>
    <row r="337" spans="1:6" ht="24" customHeight="1">
      <c r="A337" s="5" t="str">
        <f t="shared" si="5"/>
        <v/>
      </c>
      <c r="B337" s="18"/>
      <c r="C337" s="9"/>
      <c r="D337" s="15"/>
      <c r="E337" s="9"/>
      <c r="F337" s="9"/>
    </row>
    <row r="338" spans="1:6" ht="24" customHeight="1">
      <c r="A338" s="5" t="str">
        <f t="shared" si="5"/>
        <v/>
      </c>
      <c r="B338" s="18"/>
      <c r="C338" s="9"/>
      <c r="D338" s="15"/>
      <c r="E338" s="9"/>
      <c r="F338" s="9"/>
    </row>
    <row r="339" spans="1:6" ht="24" customHeight="1">
      <c r="A339" s="5" t="str">
        <f t="shared" si="5"/>
        <v/>
      </c>
      <c r="B339" s="18"/>
      <c r="C339" s="9"/>
      <c r="D339" s="15"/>
      <c r="E339" s="9"/>
      <c r="F339" s="9"/>
    </row>
    <row r="340" spans="1:6" ht="24" customHeight="1">
      <c r="A340" s="5" t="str">
        <f t="shared" si="5"/>
        <v/>
      </c>
      <c r="B340" s="18"/>
      <c r="C340" s="9"/>
      <c r="D340" s="15"/>
      <c r="E340" s="9"/>
      <c r="F340" s="9"/>
    </row>
    <row r="341" spans="1:6" ht="24" customHeight="1">
      <c r="A341" s="5" t="str">
        <f t="shared" si="5"/>
        <v/>
      </c>
      <c r="B341" s="18"/>
      <c r="C341" s="9"/>
      <c r="D341" s="15"/>
      <c r="E341" s="9"/>
      <c r="F341" s="9"/>
    </row>
    <row r="342" spans="1:6" ht="24" customHeight="1">
      <c r="A342" s="5" t="str">
        <f t="shared" si="5"/>
        <v/>
      </c>
      <c r="B342" s="18"/>
      <c r="C342" s="9"/>
      <c r="D342" s="15"/>
      <c r="E342" s="9"/>
      <c r="F342" s="9"/>
    </row>
    <row r="343" spans="1:6" ht="24" customHeight="1">
      <c r="A343" s="5" t="str">
        <f t="shared" si="5"/>
        <v/>
      </c>
      <c r="B343" s="18"/>
      <c r="C343" s="9"/>
      <c r="D343" s="15"/>
      <c r="E343" s="9"/>
      <c r="F343" s="9"/>
    </row>
    <row r="344" spans="1:6" ht="24" customHeight="1">
      <c r="A344" s="5" t="str">
        <f t="shared" si="5"/>
        <v/>
      </c>
      <c r="B344" s="18"/>
      <c r="C344" s="9"/>
      <c r="D344" s="15"/>
      <c r="E344" s="9"/>
      <c r="F344" s="9"/>
    </row>
    <row r="345" spans="1:6" ht="24" customHeight="1">
      <c r="A345" s="5" t="str">
        <f t="shared" si="5"/>
        <v/>
      </c>
      <c r="B345" s="18"/>
      <c r="C345" s="9"/>
      <c r="D345" s="15"/>
      <c r="E345" s="9"/>
      <c r="F345" s="9"/>
    </row>
    <row r="346" spans="1:6" ht="24" customHeight="1">
      <c r="A346" s="5" t="str">
        <f t="shared" si="5"/>
        <v/>
      </c>
      <c r="B346" s="18"/>
      <c r="C346" s="9"/>
      <c r="D346" s="15"/>
      <c r="E346" s="9"/>
      <c r="F346" s="9"/>
    </row>
    <row r="347" spans="1:6" ht="24" customHeight="1">
      <c r="A347" s="5" t="str">
        <f t="shared" si="5"/>
        <v/>
      </c>
      <c r="B347" s="18"/>
      <c r="C347" s="9"/>
      <c r="D347" s="15"/>
      <c r="E347" s="9"/>
      <c r="F347" s="9"/>
    </row>
    <row r="348" spans="1:6" ht="24" customHeight="1">
      <c r="A348" s="5" t="str">
        <f t="shared" si="5"/>
        <v/>
      </c>
      <c r="B348" s="18"/>
      <c r="C348" s="9"/>
      <c r="D348" s="15"/>
      <c r="E348" s="9"/>
      <c r="F348" s="9"/>
    </row>
    <row r="349" spans="1:6" ht="24" customHeight="1">
      <c r="A349" s="5" t="str">
        <f t="shared" si="5"/>
        <v/>
      </c>
      <c r="B349" s="18"/>
      <c r="C349" s="9"/>
      <c r="D349" s="15"/>
      <c r="E349" s="9"/>
      <c r="F349" s="9"/>
    </row>
    <row r="350" spans="1:6" ht="24" customHeight="1">
      <c r="A350" s="5" t="str">
        <f t="shared" si="5"/>
        <v/>
      </c>
      <c r="B350" s="18"/>
      <c r="C350" s="9"/>
      <c r="D350" s="15"/>
      <c r="E350" s="9"/>
      <c r="F350" s="9"/>
    </row>
    <row r="351" spans="1:6" ht="24" customHeight="1">
      <c r="A351" s="5" t="str">
        <f t="shared" si="5"/>
        <v/>
      </c>
      <c r="B351" s="18"/>
      <c r="C351" s="9"/>
      <c r="D351" s="15"/>
      <c r="E351" s="9"/>
      <c r="F351" s="9"/>
    </row>
    <row r="352" spans="1:6" ht="24" customHeight="1">
      <c r="A352" s="5" t="str">
        <f t="shared" si="5"/>
        <v/>
      </c>
      <c r="B352" s="18"/>
      <c r="C352" s="9"/>
      <c r="D352" s="15"/>
      <c r="E352" s="9"/>
      <c r="F352" s="9"/>
    </row>
    <row r="353" spans="1:6" ht="24" customHeight="1">
      <c r="A353" s="5" t="str">
        <f t="shared" si="5"/>
        <v/>
      </c>
      <c r="B353" s="18"/>
      <c r="C353" s="9"/>
      <c r="D353" s="15"/>
      <c r="E353" s="9"/>
      <c r="F353" s="9"/>
    </row>
    <row r="354" spans="1:6" ht="24" customHeight="1">
      <c r="A354" s="5" t="str">
        <f t="shared" si="5"/>
        <v/>
      </c>
      <c r="B354" s="18"/>
      <c r="C354" s="9"/>
      <c r="D354" s="15"/>
      <c r="E354" s="9"/>
      <c r="F354" s="9"/>
    </row>
    <row r="355" spans="1:6" ht="24" customHeight="1">
      <c r="A355" s="5" t="str">
        <f t="shared" si="5"/>
        <v/>
      </c>
      <c r="B355" s="18"/>
      <c r="C355" s="9"/>
      <c r="D355" s="15"/>
      <c r="E355" s="9"/>
      <c r="F355" s="9"/>
    </row>
    <row r="356" spans="1:6" ht="24" customHeight="1">
      <c r="A356" s="5" t="str">
        <f t="shared" si="5"/>
        <v/>
      </c>
      <c r="B356" s="18"/>
      <c r="C356" s="9"/>
      <c r="D356" s="15"/>
      <c r="E356" s="9"/>
      <c r="F356" s="9"/>
    </row>
    <row r="357" spans="1:6" ht="24" customHeight="1">
      <c r="A357" s="5" t="str">
        <f t="shared" si="5"/>
        <v/>
      </c>
      <c r="B357" s="18"/>
      <c r="C357" s="9"/>
      <c r="D357" s="15"/>
      <c r="E357" s="9"/>
      <c r="F357" s="9"/>
    </row>
    <row r="358" spans="1:6" ht="24" customHeight="1">
      <c r="A358" s="5" t="str">
        <f t="shared" si="5"/>
        <v/>
      </c>
      <c r="B358" s="18"/>
      <c r="C358" s="9"/>
      <c r="D358" s="15"/>
      <c r="E358" s="9"/>
      <c r="F358" s="9"/>
    </row>
    <row r="359" spans="1:6" ht="24" customHeight="1">
      <c r="A359" s="5" t="str">
        <f t="shared" si="5"/>
        <v/>
      </c>
      <c r="B359" s="18"/>
      <c r="C359" s="9"/>
      <c r="D359" s="15"/>
      <c r="E359" s="9"/>
      <c r="F359" s="9"/>
    </row>
    <row r="360" spans="1:6" ht="24" customHeight="1">
      <c r="A360" s="5" t="str">
        <f t="shared" si="5"/>
        <v/>
      </c>
      <c r="B360" s="18"/>
      <c r="C360" s="9"/>
      <c r="D360" s="15"/>
      <c r="E360" s="9"/>
      <c r="F360" s="9"/>
    </row>
    <row r="361" spans="1:6" ht="24" customHeight="1">
      <c r="A361" s="5" t="str">
        <f t="shared" si="5"/>
        <v/>
      </c>
      <c r="B361" s="18"/>
      <c r="C361" s="9"/>
      <c r="D361" s="15"/>
      <c r="E361" s="9"/>
      <c r="F361" s="9"/>
    </row>
    <row r="362" spans="1:6" ht="24" customHeight="1">
      <c r="A362" s="5" t="str">
        <f t="shared" si="5"/>
        <v/>
      </c>
      <c r="B362" s="18"/>
      <c r="C362" s="9"/>
      <c r="D362" s="15"/>
      <c r="E362" s="9"/>
      <c r="F362" s="9"/>
    </row>
    <row r="363" spans="1:6" ht="24" customHeight="1">
      <c r="A363" s="5" t="str">
        <f t="shared" si="5"/>
        <v/>
      </c>
      <c r="B363" s="18"/>
      <c r="C363" s="9"/>
      <c r="D363" s="15"/>
      <c r="E363" s="9"/>
      <c r="F363" s="9"/>
    </row>
    <row r="364" spans="1:6" ht="24" customHeight="1">
      <c r="A364" s="5" t="str">
        <f t="shared" si="5"/>
        <v/>
      </c>
      <c r="B364" s="18"/>
      <c r="C364" s="9"/>
      <c r="D364" s="15"/>
      <c r="E364" s="9"/>
      <c r="F364" s="9"/>
    </row>
    <row r="365" spans="1:6" ht="24" customHeight="1">
      <c r="A365" s="5" t="str">
        <f t="shared" si="5"/>
        <v/>
      </c>
      <c r="B365" s="18"/>
      <c r="C365" s="9"/>
      <c r="D365" s="15"/>
      <c r="E365" s="9"/>
      <c r="F365" s="9"/>
    </row>
    <row r="366" spans="1:6" ht="24" customHeight="1">
      <c r="A366" s="5" t="str">
        <f t="shared" si="5"/>
        <v/>
      </c>
      <c r="B366" s="18"/>
      <c r="C366" s="9"/>
      <c r="D366" s="15"/>
      <c r="E366" s="9"/>
      <c r="F366" s="9"/>
    </row>
    <row r="367" spans="1:6" ht="24" customHeight="1">
      <c r="A367" s="5" t="str">
        <f t="shared" si="5"/>
        <v/>
      </c>
      <c r="B367" s="18"/>
      <c r="C367" s="9"/>
      <c r="D367" s="15"/>
      <c r="E367" s="9"/>
      <c r="F367" s="9"/>
    </row>
    <row r="368" spans="1:6" ht="24" customHeight="1">
      <c r="A368" s="5" t="str">
        <f t="shared" si="5"/>
        <v/>
      </c>
      <c r="B368" s="18"/>
      <c r="C368" s="9"/>
      <c r="D368" s="15"/>
      <c r="E368" s="9"/>
      <c r="F368" s="9"/>
    </row>
    <row r="369" spans="1:6" ht="24" customHeight="1">
      <c r="A369" s="5" t="str">
        <f t="shared" si="5"/>
        <v/>
      </c>
      <c r="B369" s="18"/>
      <c r="C369" s="9"/>
      <c r="D369" s="15"/>
      <c r="E369" s="9"/>
      <c r="F369" s="9"/>
    </row>
    <row r="370" spans="1:6" ht="24" customHeight="1">
      <c r="A370" s="5" t="str">
        <f t="shared" si="5"/>
        <v/>
      </c>
      <c r="B370" s="18"/>
      <c r="C370" s="9"/>
      <c r="D370" s="15"/>
      <c r="E370" s="9"/>
      <c r="F370" s="9"/>
    </row>
    <row r="371" spans="1:6" ht="24" customHeight="1">
      <c r="A371" s="5" t="str">
        <f t="shared" si="5"/>
        <v/>
      </c>
      <c r="B371" s="18"/>
      <c r="C371" s="9"/>
      <c r="D371" s="15"/>
      <c r="E371" s="9"/>
      <c r="F371" s="9"/>
    </row>
    <row r="372" spans="1:6" ht="24" customHeight="1">
      <c r="A372" s="5" t="str">
        <f t="shared" si="5"/>
        <v/>
      </c>
      <c r="B372" s="18"/>
      <c r="C372" s="9"/>
      <c r="D372" s="15"/>
      <c r="E372" s="9"/>
      <c r="F372" s="9"/>
    </row>
    <row r="373" spans="1:6" ht="24" customHeight="1">
      <c r="A373" s="5" t="str">
        <f t="shared" si="5"/>
        <v/>
      </c>
      <c r="B373" s="18"/>
      <c r="C373" s="9"/>
      <c r="D373" s="15"/>
      <c r="E373" s="9"/>
      <c r="F373" s="9"/>
    </row>
    <row r="374" spans="1:6" ht="24" customHeight="1">
      <c r="A374" s="5" t="str">
        <f t="shared" si="5"/>
        <v/>
      </c>
      <c r="B374" s="18"/>
      <c r="C374" s="9"/>
      <c r="D374" s="15"/>
      <c r="E374" s="9"/>
      <c r="F374" s="9"/>
    </row>
    <row r="375" spans="1:6" ht="24" customHeight="1">
      <c r="A375" s="5" t="str">
        <f t="shared" si="5"/>
        <v/>
      </c>
      <c r="B375" s="18"/>
      <c r="C375" s="9"/>
      <c r="D375" s="15"/>
      <c r="E375" s="9"/>
      <c r="F375" s="9"/>
    </row>
    <row r="376" spans="1:6" ht="24" customHeight="1">
      <c r="A376" s="5" t="str">
        <f t="shared" si="5"/>
        <v/>
      </c>
      <c r="B376" s="18"/>
      <c r="C376" s="9"/>
      <c r="D376" s="15"/>
      <c r="E376" s="9"/>
      <c r="F376" s="9"/>
    </row>
    <row r="377" spans="1:6" ht="24" customHeight="1">
      <c r="A377" s="5" t="str">
        <f t="shared" si="5"/>
        <v/>
      </c>
      <c r="B377" s="18"/>
      <c r="C377" s="9"/>
      <c r="D377" s="15"/>
      <c r="E377" s="9"/>
      <c r="F377" s="9"/>
    </row>
    <row r="378" spans="1:6" ht="24" customHeight="1">
      <c r="A378" s="5" t="str">
        <f t="shared" si="5"/>
        <v/>
      </c>
      <c r="B378" s="18"/>
      <c r="C378" s="9"/>
      <c r="D378" s="15"/>
      <c r="E378" s="9"/>
      <c r="F378" s="9"/>
    </row>
    <row r="379" spans="1:6" ht="24" customHeight="1">
      <c r="A379" s="5" t="str">
        <f t="shared" si="5"/>
        <v/>
      </c>
      <c r="B379" s="18"/>
      <c r="C379" s="9"/>
      <c r="D379" s="15"/>
      <c r="E379" s="9"/>
      <c r="F379" s="9"/>
    </row>
    <row r="380" spans="1:6" ht="24" customHeight="1">
      <c r="A380" s="5" t="str">
        <f t="shared" si="5"/>
        <v/>
      </c>
      <c r="B380" s="18"/>
      <c r="C380" s="9"/>
      <c r="D380" s="15"/>
      <c r="E380" s="9"/>
      <c r="F380" s="9"/>
    </row>
    <row r="381" spans="1:6" ht="24" customHeight="1">
      <c r="A381" s="5" t="str">
        <f t="shared" si="5"/>
        <v/>
      </c>
      <c r="B381" s="18"/>
      <c r="C381" s="9"/>
      <c r="D381" s="15"/>
      <c r="E381" s="9"/>
      <c r="F381" s="9"/>
    </row>
    <row r="382" spans="1:6" ht="24" customHeight="1">
      <c r="A382" s="5" t="str">
        <f t="shared" si="5"/>
        <v/>
      </c>
      <c r="B382" s="18"/>
      <c r="C382" s="9"/>
      <c r="D382" s="15"/>
      <c r="E382" s="9"/>
      <c r="F382" s="9"/>
    </row>
    <row r="383" spans="1:6" ht="24" customHeight="1">
      <c r="A383" s="5" t="str">
        <f t="shared" si="5"/>
        <v/>
      </c>
      <c r="B383" s="18"/>
      <c r="C383" s="9"/>
      <c r="D383" s="15"/>
      <c r="E383" s="9"/>
      <c r="F383" s="9"/>
    </row>
    <row r="384" spans="1:6" ht="24" customHeight="1">
      <c r="A384" s="5" t="str">
        <f t="shared" si="5"/>
        <v/>
      </c>
      <c r="B384" s="18"/>
      <c r="C384" s="9"/>
      <c r="D384" s="15"/>
      <c r="E384" s="9"/>
      <c r="F384" s="9"/>
    </row>
    <row r="385" spans="1:6" ht="24" customHeight="1">
      <c r="A385" s="5" t="str">
        <f t="shared" si="5"/>
        <v/>
      </c>
      <c r="B385" s="18"/>
      <c r="C385" s="9"/>
      <c r="D385" s="15"/>
      <c r="E385" s="9"/>
      <c r="F385" s="9"/>
    </row>
    <row r="386" spans="1:6" ht="24" customHeight="1">
      <c r="A386" s="5" t="str">
        <f t="shared" ref="A386:A449" si="6">IF(C386="","",ROW()-1)</f>
        <v/>
      </c>
      <c r="B386" s="18"/>
      <c r="C386" s="9"/>
      <c r="D386" s="15"/>
      <c r="E386" s="9"/>
      <c r="F386" s="9"/>
    </row>
    <row r="387" spans="1:6" ht="24" customHeight="1">
      <c r="A387" s="5" t="str">
        <f t="shared" si="6"/>
        <v/>
      </c>
      <c r="B387" s="18"/>
      <c r="C387" s="9"/>
      <c r="D387" s="15"/>
      <c r="E387" s="9"/>
      <c r="F387" s="9"/>
    </row>
    <row r="388" spans="1:6" ht="24" customHeight="1">
      <c r="A388" s="5" t="str">
        <f t="shared" si="6"/>
        <v/>
      </c>
      <c r="B388" s="18"/>
      <c r="C388" s="9"/>
      <c r="D388" s="15"/>
      <c r="E388" s="9"/>
      <c r="F388" s="9"/>
    </row>
    <row r="389" spans="1:6" ht="24" customHeight="1">
      <c r="A389" s="5" t="str">
        <f t="shared" si="6"/>
        <v/>
      </c>
      <c r="B389" s="18"/>
      <c r="C389" s="9"/>
      <c r="D389" s="15"/>
      <c r="E389" s="9"/>
      <c r="F389" s="9"/>
    </row>
    <row r="390" spans="1:6" ht="24" customHeight="1">
      <c r="A390" s="5" t="str">
        <f t="shared" si="6"/>
        <v/>
      </c>
      <c r="B390" s="18"/>
      <c r="C390" s="9"/>
      <c r="D390" s="15"/>
      <c r="E390" s="9"/>
      <c r="F390" s="9"/>
    </row>
    <row r="391" spans="1:6" ht="24" customHeight="1">
      <c r="A391" s="5" t="str">
        <f t="shared" si="6"/>
        <v/>
      </c>
      <c r="B391" s="18"/>
      <c r="C391" s="9"/>
      <c r="D391" s="15"/>
      <c r="E391" s="9"/>
      <c r="F391" s="9"/>
    </row>
    <row r="392" spans="1:6" ht="24" customHeight="1">
      <c r="A392" s="5" t="str">
        <f t="shared" si="6"/>
        <v/>
      </c>
      <c r="B392" s="18"/>
      <c r="C392" s="9"/>
      <c r="D392" s="15"/>
      <c r="E392" s="9"/>
      <c r="F392" s="9"/>
    </row>
    <row r="393" spans="1:6" ht="24" customHeight="1">
      <c r="A393" s="5" t="str">
        <f t="shared" si="6"/>
        <v/>
      </c>
      <c r="B393" s="18"/>
      <c r="C393" s="9"/>
      <c r="D393" s="15"/>
      <c r="E393" s="9"/>
      <c r="F393" s="9"/>
    </row>
    <row r="394" spans="1:6" ht="24" customHeight="1">
      <c r="A394" s="5" t="str">
        <f t="shared" si="6"/>
        <v/>
      </c>
      <c r="B394" s="18"/>
      <c r="C394" s="9"/>
      <c r="D394" s="15"/>
      <c r="E394" s="9"/>
      <c r="F394" s="9"/>
    </row>
    <row r="395" spans="1:6" ht="24" customHeight="1">
      <c r="A395" s="5" t="str">
        <f t="shared" si="6"/>
        <v/>
      </c>
      <c r="B395" s="18"/>
      <c r="C395" s="9"/>
      <c r="D395" s="15"/>
      <c r="E395" s="9"/>
      <c r="F395" s="9"/>
    </row>
    <row r="396" spans="1:6" ht="24" customHeight="1">
      <c r="A396" s="5" t="str">
        <f t="shared" si="6"/>
        <v/>
      </c>
      <c r="B396" s="18"/>
      <c r="C396" s="9"/>
      <c r="D396" s="15"/>
      <c r="E396" s="9"/>
      <c r="F396" s="9"/>
    </row>
    <row r="397" spans="1:6" ht="24" customHeight="1">
      <c r="A397" s="5" t="str">
        <f t="shared" si="6"/>
        <v/>
      </c>
      <c r="B397" s="18"/>
      <c r="C397" s="9"/>
      <c r="D397" s="15"/>
      <c r="E397" s="9"/>
      <c r="F397" s="9"/>
    </row>
    <row r="398" spans="1:6" ht="24" customHeight="1">
      <c r="A398" s="5" t="str">
        <f t="shared" si="6"/>
        <v/>
      </c>
      <c r="B398" s="18"/>
      <c r="C398" s="9"/>
      <c r="D398" s="15"/>
      <c r="E398" s="9"/>
      <c r="F398" s="9"/>
    </row>
    <row r="399" spans="1:6" ht="24" customHeight="1">
      <c r="A399" s="5" t="str">
        <f t="shared" si="6"/>
        <v/>
      </c>
      <c r="B399" s="18"/>
      <c r="C399" s="9"/>
      <c r="D399" s="15"/>
      <c r="E399" s="9"/>
      <c r="F399" s="9"/>
    </row>
    <row r="400" spans="1:6" ht="24" customHeight="1">
      <c r="A400" s="5" t="str">
        <f t="shared" si="6"/>
        <v/>
      </c>
      <c r="B400" s="18"/>
      <c r="C400" s="9"/>
      <c r="D400" s="15"/>
      <c r="E400" s="9"/>
      <c r="F400" s="9"/>
    </row>
    <row r="401" spans="1:6" ht="24" customHeight="1">
      <c r="A401" s="5" t="str">
        <f t="shared" si="6"/>
        <v/>
      </c>
      <c r="B401" s="18"/>
      <c r="C401" s="9"/>
      <c r="D401" s="15"/>
      <c r="E401" s="9"/>
      <c r="F401" s="9"/>
    </row>
    <row r="402" spans="1:6" ht="24" customHeight="1">
      <c r="A402" s="5" t="str">
        <f t="shared" si="6"/>
        <v/>
      </c>
      <c r="B402" s="18"/>
      <c r="C402" s="9"/>
      <c r="D402" s="15"/>
      <c r="E402" s="9"/>
      <c r="F402" s="9"/>
    </row>
    <row r="403" spans="1:6" ht="24" customHeight="1">
      <c r="A403" s="5" t="str">
        <f t="shared" si="6"/>
        <v/>
      </c>
      <c r="B403" s="18"/>
      <c r="C403" s="9"/>
      <c r="D403" s="15"/>
      <c r="E403" s="9"/>
      <c r="F403" s="9"/>
    </row>
    <row r="404" spans="1:6" ht="24" customHeight="1">
      <c r="A404" s="5" t="str">
        <f t="shared" si="6"/>
        <v/>
      </c>
      <c r="B404" s="18"/>
      <c r="C404" s="9"/>
      <c r="D404" s="15"/>
      <c r="E404" s="9"/>
      <c r="F404" s="9"/>
    </row>
    <row r="405" spans="1:6" ht="24" customHeight="1">
      <c r="A405" s="5" t="str">
        <f t="shared" si="6"/>
        <v/>
      </c>
      <c r="B405" s="18"/>
      <c r="C405" s="9"/>
      <c r="D405" s="15"/>
      <c r="E405" s="9"/>
      <c r="F405" s="9"/>
    </row>
    <row r="406" spans="1:6" ht="24" customHeight="1">
      <c r="A406" s="5" t="str">
        <f t="shared" si="6"/>
        <v/>
      </c>
      <c r="B406" s="18"/>
      <c r="C406" s="9"/>
      <c r="D406" s="15"/>
      <c r="E406" s="9"/>
      <c r="F406" s="9"/>
    </row>
    <row r="407" spans="1:6" ht="24" customHeight="1">
      <c r="A407" s="5" t="str">
        <f t="shared" si="6"/>
        <v/>
      </c>
      <c r="B407" s="18"/>
      <c r="C407" s="9"/>
      <c r="D407" s="15"/>
      <c r="E407" s="9"/>
      <c r="F407" s="9"/>
    </row>
    <row r="408" spans="1:6" ht="24" customHeight="1">
      <c r="A408" s="5" t="str">
        <f t="shared" si="6"/>
        <v/>
      </c>
      <c r="B408" s="18"/>
      <c r="C408" s="9"/>
      <c r="D408" s="15"/>
      <c r="E408" s="9"/>
      <c r="F408" s="9"/>
    </row>
    <row r="409" spans="1:6" ht="24" customHeight="1">
      <c r="A409" s="5" t="str">
        <f t="shared" si="6"/>
        <v/>
      </c>
      <c r="B409" s="18"/>
      <c r="C409" s="9"/>
      <c r="D409" s="15"/>
      <c r="E409" s="9"/>
      <c r="F409" s="9"/>
    </row>
    <row r="410" spans="1:6" ht="24" customHeight="1">
      <c r="A410" s="5" t="str">
        <f t="shared" si="6"/>
        <v/>
      </c>
      <c r="B410" s="18"/>
      <c r="C410" s="9"/>
      <c r="D410" s="15"/>
      <c r="E410" s="9"/>
      <c r="F410" s="9"/>
    </row>
    <row r="411" spans="1:6" ht="24" customHeight="1">
      <c r="A411" s="5" t="str">
        <f t="shared" si="6"/>
        <v/>
      </c>
      <c r="B411" s="18"/>
      <c r="C411" s="9"/>
      <c r="D411" s="15"/>
      <c r="E411" s="9"/>
      <c r="F411" s="9"/>
    </row>
    <row r="412" spans="1:6" ht="24" customHeight="1">
      <c r="A412" s="5" t="str">
        <f t="shared" si="6"/>
        <v/>
      </c>
      <c r="B412" s="18"/>
      <c r="C412" s="9"/>
      <c r="D412" s="15"/>
      <c r="E412" s="9"/>
      <c r="F412" s="9"/>
    </row>
    <row r="413" spans="1:6" ht="24" customHeight="1">
      <c r="A413" s="5" t="str">
        <f t="shared" si="6"/>
        <v/>
      </c>
      <c r="B413" s="18"/>
      <c r="C413" s="9"/>
      <c r="D413" s="15"/>
      <c r="E413" s="9"/>
      <c r="F413" s="9"/>
    </row>
    <row r="414" spans="1:6" ht="24" customHeight="1">
      <c r="A414" s="5" t="str">
        <f t="shared" si="6"/>
        <v/>
      </c>
      <c r="B414" s="18"/>
      <c r="C414" s="9"/>
      <c r="D414" s="15"/>
      <c r="E414" s="9"/>
      <c r="F414" s="9"/>
    </row>
    <row r="415" spans="1:6" ht="24" customHeight="1">
      <c r="A415" s="5" t="str">
        <f t="shared" si="6"/>
        <v/>
      </c>
      <c r="B415" s="18"/>
      <c r="C415" s="9"/>
      <c r="D415" s="15"/>
      <c r="E415" s="9"/>
      <c r="F415" s="9"/>
    </row>
    <row r="416" spans="1:6" ht="24" customHeight="1">
      <c r="A416" s="5" t="str">
        <f t="shared" si="6"/>
        <v/>
      </c>
      <c r="B416" s="18"/>
      <c r="C416" s="9"/>
      <c r="D416" s="15"/>
      <c r="E416" s="9"/>
      <c r="F416" s="9"/>
    </row>
    <row r="417" spans="1:6" ht="24" customHeight="1">
      <c r="A417" s="5" t="str">
        <f t="shared" si="6"/>
        <v/>
      </c>
      <c r="B417" s="18"/>
      <c r="C417" s="9"/>
      <c r="D417" s="15"/>
      <c r="E417" s="9"/>
      <c r="F417" s="9"/>
    </row>
    <row r="418" spans="1:6" ht="24" customHeight="1">
      <c r="A418" s="5" t="str">
        <f t="shared" si="6"/>
        <v/>
      </c>
      <c r="B418" s="18"/>
      <c r="C418" s="9"/>
      <c r="D418" s="15"/>
      <c r="E418" s="9"/>
      <c r="F418" s="9"/>
    </row>
    <row r="419" spans="1:6" ht="24" customHeight="1">
      <c r="A419" s="5" t="str">
        <f t="shared" si="6"/>
        <v/>
      </c>
      <c r="B419" s="18"/>
      <c r="C419" s="9"/>
      <c r="D419" s="15"/>
      <c r="E419" s="9"/>
      <c r="F419" s="9"/>
    </row>
    <row r="420" spans="1:6" ht="24" customHeight="1">
      <c r="A420" s="5" t="str">
        <f t="shared" si="6"/>
        <v/>
      </c>
      <c r="B420" s="18"/>
      <c r="C420" s="9"/>
      <c r="D420" s="15"/>
      <c r="E420" s="9"/>
      <c r="F420" s="9"/>
    </row>
    <row r="421" spans="1:6" ht="24" customHeight="1">
      <c r="A421" s="5" t="str">
        <f t="shared" si="6"/>
        <v/>
      </c>
      <c r="B421" s="18"/>
      <c r="C421" s="9"/>
      <c r="D421" s="15"/>
      <c r="E421" s="9"/>
      <c r="F421" s="9"/>
    </row>
    <row r="422" spans="1:6" ht="24" customHeight="1">
      <c r="A422" s="5" t="str">
        <f t="shared" si="6"/>
        <v/>
      </c>
      <c r="B422" s="18"/>
      <c r="C422" s="9"/>
      <c r="D422" s="15"/>
      <c r="E422" s="9"/>
      <c r="F422" s="9"/>
    </row>
    <row r="423" spans="1:6" ht="24" customHeight="1">
      <c r="A423" s="5" t="str">
        <f t="shared" si="6"/>
        <v/>
      </c>
      <c r="B423" s="18"/>
      <c r="C423" s="9"/>
      <c r="D423" s="15"/>
      <c r="E423" s="9"/>
      <c r="F423" s="9"/>
    </row>
    <row r="424" spans="1:6" ht="24" customHeight="1">
      <c r="A424" s="5" t="str">
        <f t="shared" si="6"/>
        <v/>
      </c>
      <c r="B424" s="18"/>
      <c r="C424" s="9"/>
      <c r="D424" s="15"/>
      <c r="E424" s="9"/>
      <c r="F424" s="9"/>
    </row>
    <row r="425" spans="1:6" ht="24" customHeight="1">
      <c r="A425" s="5" t="str">
        <f t="shared" si="6"/>
        <v/>
      </c>
      <c r="B425" s="18"/>
      <c r="C425" s="9"/>
      <c r="D425" s="15"/>
      <c r="E425" s="9"/>
      <c r="F425" s="9"/>
    </row>
    <row r="426" spans="1:6" ht="24" customHeight="1">
      <c r="A426" s="5" t="str">
        <f t="shared" si="6"/>
        <v/>
      </c>
      <c r="B426" s="18"/>
      <c r="C426" s="9"/>
      <c r="D426" s="15"/>
      <c r="E426" s="9"/>
      <c r="F426" s="9"/>
    </row>
    <row r="427" spans="1:6" ht="24" customHeight="1">
      <c r="A427" s="5" t="str">
        <f t="shared" si="6"/>
        <v/>
      </c>
      <c r="B427" s="18"/>
      <c r="C427" s="9"/>
      <c r="D427" s="15"/>
      <c r="E427" s="9"/>
      <c r="F427" s="9"/>
    </row>
    <row r="428" spans="1:6" ht="24" customHeight="1">
      <c r="A428" s="5" t="str">
        <f t="shared" si="6"/>
        <v/>
      </c>
      <c r="B428" s="18"/>
      <c r="C428" s="9"/>
      <c r="D428" s="15"/>
      <c r="E428" s="9"/>
      <c r="F428" s="9"/>
    </row>
    <row r="429" spans="1:6" ht="24" customHeight="1">
      <c r="A429" s="5" t="str">
        <f t="shared" si="6"/>
        <v/>
      </c>
      <c r="B429" s="18"/>
      <c r="C429" s="9"/>
      <c r="D429" s="15"/>
      <c r="E429" s="9"/>
      <c r="F429" s="9"/>
    </row>
    <row r="430" spans="1:6" ht="24" customHeight="1">
      <c r="A430" s="5" t="str">
        <f t="shared" si="6"/>
        <v/>
      </c>
      <c r="B430" s="18"/>
      <c r="C430" s="9"/>
      <c r="D430" s="15"/>
      <c r="E430" s="9"/>
      <c r="F430" s="9"/>
    </row>
    <row r="431" spans="1:6" ht="24" customHeight="1">
      <c r="A431" s="5" t="str">
        <f t="shared" si="6"/>
        <v/>
      </c>
      <c r="B431" s="18"/>
      <c r="C431" s="9"/>
      <c r="D431" s="15"/>
      <c r="E431" s="9"/>
      <c r="F431" s="9"/>
    </row>
    <row r="432" spans="1:6" ht="24" customHeight="1">
      <c r="A432" s="5" t="str">
        <f t="shared" si="6"/>
        <v/>
      </c>
      <c r="B432" s="18"/>
      <c r="C432" s="9"/>
      <c r="D432" s="15"/>
      <c r="E432" s="9"/>
      <c r="F432" s="9"/>
    </row>
    <row r="433" spans="1:6" ht="24" customHeight="1">
      <c r="A433" s="5" t="str">
        <f t="shared" si="6"/>
        <v/>
      </c>
      <c r="B433" s="18"/>
      <c r="C433" s="9"/>
      <c r="D433" s="15"/>
      <c r="E433" s="9"/>
      <c r="F433" s="9"/>
    </row>
    <row r="434" spans="1:6" ht="24" customHeight="1">
      <c r="A434" s="5" t="str">
        <f t="shared" si="6"/>
        <v/>
      </c>
      <c r="B434" s="18"/>
      <c r="C434" s="9"/>
      <c r="D434" s="15"/>
      <c r="E434" s="9"/>
      <c r="F434" s="9"/>
    </row>
    <row r="435" spans="1:6" ht="24" customHeight="1">
      <c r="A435" s="5" t="str">
        <f t="shared" si="6"/>
        <v/>
      </c>
      <c r="B435" s="18"/>
      <c r="C435" s="9"/>
      <c r="D435" s="15"/>
      <c r="E435" s="9"/>
      <c r="F435" s="9"/>
    </row>
    <row r="436" spans="1:6" ht="24" customHeight="1">
      <c r="A436" s="5" t="str">
        <f t="shared" si="6"/>
        <v/>
      </c>
      <c r="B436" s="18"/>
      <c r="C436" s="9"/>
      <c r="D436" s="15"/>
      <c r="E436" s="9"/>
      <c r="F436" s="9"/>
    </row>
    <row r="437" spans="1:6" ht="24" customHeight="1">
      <c r="A437" s="5" t="str">
        <f t="shared" si="6"/>
        <v/>
      </c>
      <c r="B437" s="18"/>
      <c r="C437" s="9"/>
      <c r="D437" s="15"/>
      <c r="E437" s="9"/>
      <c r="F437" s="9"/>
    </row>
    <row r="438" spans="1:6" ht="24" customHeight="1">
      <c r="A438" s="5" t="str">
        <f t="shared" si="6"/>
        <v/>
      </c>
      <c r="B438" s="18"/>
      <c r="C438" s="9"/>
      <c r="D438" s="15"/>
      <c r="E438" s="9"/>
      <c r="F438" s="9"/>
    </row>
    <row r="439" spans="1:6" ht="24" customHeight="1">
      <c r="A439" s="5" t="str">
        <f t="shared" si="6"/>
        <v/>
      </c>
      <c r="B439" s="18"/>
      <c r="C439" s="9"/>
      <c r="D439" s="15"/>
      <c r="E439" s="9"/>
      <c r="F439" s="9"/>
    </row>
    <row r="440" spans="1:6" ht="24" customHeight="1">
      <c r="A440" s="5" t="str">
        <f t="shared" si="6"/>
        <v/>
      </c>
      <c r="B440" s="18"/>
      <c r="C440" s="9"/>
      <c r="D440" s="15"/>
      <c r="E440" s="9"/>
      <c r="F440" s="9"/>
    </row>
    <row r="441" spans="1:6" ht="24" customHeight="1">
      <c r="A441" s="5" t="str">
        <f t="shared" si="6"/>
        <v/>
      </c>
      <c r="B441" s="18"/>
      <c r="C441" s="9"/>
      <c r="D441" s="15"/>
      <c r="E441" s="9"/>
      <c r="F441" s="9"/>
    </row>
    <row r="442" spans="1:6" ht="24" customHeight="1">
      <c r="A442" s="5" t="str">
        <f t="shared" si="6"/>
        <v/>
      </c>
      <c r="B442" s="18"/>
      <c r="C442" s="9"/>
      <c r="D442" s="15"/>
      <c r="E442" s="9"/>
      <c r="F442" s="9"/>
    </row>
    <row r="443" spans="1:6" ht="24" customHeight="1">
      <c r="A443" s="5" t="str">
        <f t="shared" si="6"/>
        <v/>
      </c>
      <c r="B443" s="18"/>
      <c r="C443" s="9"/>
      <c r="D443" s="15"/>
      <c r="E443" s="9"/>
      <c r="F443" s="9"/>
    </row>
    <row r="444" spans="1:6" ht="24" customHeight="1">
      <c r="A444" s="5" t="str">
        <f t="shared" si="6"/>
        <v/>
      </c>
      <c r="B444" s="18"/>
      <c r="C444" s="9"/>
      <c r="D444" s="15"/>
      <c r="E444" s="9"/>
      <c r="F444" s="9"/>
    </row>
    <row r="445" spans="1:6" ht="24" customHeight="1">
      <c r="A445" s="5" t="str">
        <f t="shared" si="6"/>
        <v/>
      </c>
      <c r="B445" s="18"/>
      <c r="C445" s="9"/>
      <c r="D445" s="15"/>
      <c r="E445" s="9"/>
      <c r="F445" s="9"/>
    </row>
    <row r="446" spans="1:6" ht="24" customHeight="1">
      <c r="A446" s="5" t="str">
        <f t="shared" si="6"/>
        <v/>
      </c>
      <c r="B446" s="18"/>
      <c r="C446" s="9"/>
      <c r="D446" s="15"/>
      <c r="E446" s="9"/>
      <c r="F446" s="9"/>
    </row>
    <row r="447" spans="1:6" ht="24" customHeight="1">
      <c r="A447" s="5" t="str">
        <f t="shared" si="6"/>
        <v/>
      </c>
      <c r="B447" s="18"/>
      <c r="C447" s="9"/>
      <c r="D447" s="15"/>
      <c r="E447" s="9"/>
      <c r="F447" s="9"/>
    </row>
    <row r="448" spans="1:6" ht="24" customHeight="1">
      <c r="A448" s="5" t="str">
        <f t="shared" si="6"/>
        <v/>
      </c>
      <c r="B448" s="18"/>
      <c r="C448" s="9"/>
      <c r="D448" s="15"/>
      <c r="E448" s="9"/>
      <c r="F448" s="9"/>
    </row>
    <row r="449" spans="1:6" ht="24" customHeight="1">
      <c r="A449" s="5" t="str">
        <f t="shared" si="6"/>
        <v/>
      </c>
      <c r="B449" s="18"/>
      <c r="C449" s="9"/>
      <c r="D449" s="15"/>
      <c r="E449" s="9"/>
      <c r="F449" s="9"/>
    </row>
    <row r="450" spans="1:6" ht="24" customHeight="1">
      <c r="A450" s="5" t="str">
        <f t="shared" ref="A450:A501" si="7">IF(C450="","",ROW()-1)</f>
        <v/>
      </c>
      <c r="B450" s="18"/>
      <c r="C450" s="9"/>
      <c r="D450" s="15"/>
      <c r="E450" s="9"/>
      <c r="F450" s="9"/>
    </row>
    <row r="451" spans="1:6" ht="24" customHeight="1">
      <c r="A451" s="5" t="str">
        <f t="shared" si="7"/>
        <v/>
      </c>
      <c r="B451" s="18"/>
      <c r="C451" s="9"/>
      <c r="D451" s="15"/>
      <c r="E451" s="9"/>
      <c r="F451" s="9"/>
    </row>
    <row r="452" spans="1:6" ht="24" customHeight="1">
      <c r="A452" s="5" t="str">
        <f t="shared" si="7"/>
        <v/>
      </c>
      <c r="B452" s="18"/>
      <c r="C452" s="9"/>
      <c r="D452" s="15"/>
      <c r="E452" s="9"/>
      <c r="F452" s="9"/>
    </row>
    <row r="453" spans="1:6" ht="24" customHeight="1">
      <c r="A453" s="5" t="str">
        <f t="shared" si="7"/>
        <v/>
      </c>
      <c r="B453" s="18"/>
      <c r="C453" s="9"/>
      <c r="D453" s="15"/>
      <c r="E453" s="9"/>
      <c r="F453" s="9"/>
    </row>
    <row r="454" spans="1:6" ht="24" customHeight="1">
      <c r="A454" s="5" t="str">
        <f t="shared" si="7"/>
        <v/>
      </c>
      <c r="B454" s="18"/>
      <c r="C454" s="9"/>
      <c r="D454" s="15"/>
      <c r="E454" s="9"/>
      <c r="F454" s="9"/>
    </row>
    <row r="455" spans="1:6" ht="24" customHeight="1">
      <c r="A455" s="5" t="str">
        <f t="shared" si="7"/>
        <v/>
      </c>
      <c r="B455" s="18"/>
      <c r="C455" s="9"/>
      <c r="D455" s="15"/>
      <c r="E455" s="9"/>
      <c r="F455" s="9"/>
    </row>
    <row r="456" spans="1:6" ht="24" customHeight="1">
      <c r="A456" s="5" t="str">
        <f t="shared" si="7"/>
        <v/>
      </c>
      <c r="B456" s="18"/>
      <c r="C456" s="9"/>
      <c r="D456" s="15"/>
      <c r="E456" s="9"/>
      <c r="F456" s="9"/>
    </row>
    <row r="457" spans="1:6" ht="24" customHeight="1">
      <c r="A457" s="5" t="str">
        <f t="shared" si="7"/>
        <v/>
      </c>
      <c r="B457" s="18"/>
      <c r="C457" s="9"/>
      <c r="D457" s="15"/>
      <c r="E457" s="9"/>
      <c r="F457" s="9"/>
    </row>
    <row r="458" spans="1:6" ht="24" customHeight="1">
      <c r="A458" s="5" t="str">
        <f t="shared" si="7"/>
        <v/>
      </c>
      <c r="B458" s="18"/>
      <c r="C458" s="9"/>
      <c r="D458" s="15"/>
      <c r="E458" s="9"/>
      <c r="F458" s="9"/>
    </row>
    <row r="459" spans="1:6" ht="24" customHeight="1">
      <c r="A459" s="5" t="str">
        <f t="shared" si="7"/>
        <v/>
      </c>
      <c r="B459" s="18"/>
      <c r="C459" s="9"/>
      <c r="D459" s="15"/>
      <c r="E459" s="9"/>
      <c r="F459" s="9"/>
    </row>
    <row r="460" spans="1:6" ht="24" customHeight="1">
      <c r="A460" s="5" t="str">
        <f t="shared" si="7"/>
        <v/>
      </c>
      <c r="B460" s="18"/>
      <c r="C460" s="9"/>
      <c r="D460" s="15"/>
      <c r="E460" s="9"/>
      <c r="F460" s="9"/>
    </row>
    <row r="461" spans="1:6" ht="24" customHeight="1">
      <c r="A461" s="5" t="str">
        <f t="shared" si="7"/>
        <v/>
      </c>
      <c r="B461" s="18"/>
      <c r="C461" s="9"/>
      <c r="D461" s="15"/>
      <c r="E461" s="9"/>
      <c r="F461" s="9"/>
    </row>
    <row r="462" spans="1:6" ht="24" customHeight="1">
      <c r="A462" s="5" t="str">
        <f t="shared" si="7"/>
        <v/>
      </c>
      <c r="B462" s="18"/>
      <c r="C462" s="9"/>
      <c r="D462" s="15"/>
      <c r="E462" s="9"/>
      <c r="F462" s="9"/>
    </row>
    <row r="463" spans="1:6" ht="24" customHeight="1">
      <c r="A463" s="5" t="str">
        <f t="shared" si="7"/>
        <v/>
      </c>
      <c r="B463" s="18"/>
      <c r="C463" s="9"/>
      <c r="D463" s="15"/>
      <c r="E463" s="9"/>
      <c r="F463" s="9"/>
    </row>
    <row r="464" spans="1:6" ht="24" customHeight="1">
      <c r="A464" s="5" t="str">
        <f t="shared" si="7"/>
        <v/>
      </c>
      <c r="B464" s="18"/>
      <c r="C464" s="9"/>
      <c r="D464" s="15"/>
      <c r="E464" s="9"/>
      <c r="F464" s="9"/>
    </row>
    <row r="465" spans="1:6" ht="24" customHeight="1">
      <c r="A465" s="5" t="str">
        <f t="shared" si="7"/>
        <v/>
      </c>
      <c r="B465" s="18"/>
      <c r="C465" s="9"/>
      <c r="D465" s="15"/>
      <c r="E465" s="9"/>
      <c r="F465" s="9"/>
    </row>
    <row r="466" spans="1:6" ht="24" customHeight="1">
      <c r="A466" s="5" t="str">
        <f t="shared" si="7"/>
        <v/>
      </c>
      <c r="B466" s="18"/>
      <c r="C466" s="9"/>
      <c r="D466" s="15"/>
      <c r="E466" s="9"/>
      <c r="F466" s="9"/>
    </row>
    <row r="467" spans="1:6" ht="24" customHeight="1">
      <c r="A467" s="5" t="str">
        <f t="shared" si="7"/>
        <v/>
      </c>
      <c r="B467" s="18"/>
      <c r="C467" s="9"/>
      <c r="D467" s="15"/>
      <c r="E467" s="9"/>
      <c r="F467" s="9"/>
    </row>
    <row r="468" spans="1:6" ht="24" customHeight="1">
      <c r="A468" s="5" t="str">
        <f t="shared" si="7"/>
        <v/>
      </c>
      <c r="B468" s="18"/>
      <c r="C468" s="9"/>
      <c r="D468" s="15"/>
      <c r="E468" s="9"/>
      <c r="F468" s="9"/>
    </row>
    <row r="469" spans="1:6" ht="24" customHeight="1">
      <c r="A469" s="5" t="str">
        <f t="shared" si="7"/>
        <v/>
      </c>
      <c r="B469" s="18"/>
      <c r="C469" s="9"/>
      <c r="D469" s="15"/>
      <c r="E469" s="9"/>
      <c r="F469" s="9"/>
    </row>
    <row r="470" spans="1:6" ht="24" customHeight="1">
      <c r="A470" s="5" t="str">
        <f t="shared" si="7"/>
        <v/>
      </c>
      <c r="B470" s="18"/>
      <c r="C470" s="9"/>
      <c r="D470" s="15"/>
      <c r="E470" s="9"/>
      <c r="F470" s="9"/>
    </row>
    <row r="471" spans="1:6" ht="24" customHeight="1">
      <c r="A471" s="5" t="str">
        <f t="shared" si="7"/>
        <v/>
      </c>
      <c r="B471" s="18"/>
      <c r="C471" s="9"/>
      <c r="D471" s="15"/>
      <c r="E471" s="9"/>
      <c r="F471" s="9"/>
    </row>
    <row r="472" spans="1:6" ht="24" customHeight="1">
      <c r="A472" s="5" t="str">
        <f t="shared" si="7"/>
        <v/>
      </c>
      <c r="B472" s="18"/>
      <c r="C472" s="9"/>
      <c r="D472" s="15"/>
      <c r="E472" s="9"/>
      <c r="F472" s="9"/>
    </row>
    <row r="473" spans="1:6" ht="24" customHeight="1">
      <c r="A473" s="5" t="str">
        <f t="shared" si="7"/>
        <v/>
      </c>
      <c r="B473" s="18"/>
      <c r="C473" s="9"/>
      <c r="D473" s="15"/>
      <c r="E473" s="9"/>
      <c r="F473" s="9"/>
    </row>
    <row r="474" spans="1:6" ht="24" customHeight="1">
      <c r="A474" s="5" t="str">
        <f t="shared" si="7"/>
        <v/>
      </c>
      <c r="B474" s="18"/>
      <c r="C474" s="9"/>
      <c r="D474" s="15"/>
      <c r="E474" s="9"/>
      <c r="F474" s="9"/>
    </row>
    <row r="475" spans="1:6" ht="24" customHeight="1">
      <c r="A475" s="5" t="str">
        <f t="shared" si="7"/>
        <v/>
      </c>
      <c r="B475" s="18"/>
      <c r="C475" s="9"/>
      <c r="D475" s="15"/>
      <c r="E475" s="9"/>
      <c r="F475" s="9"/>
    </row>
    <row r="476" spans="1:6" ht="24" customHeight="1">
      <c r="A476" s="5" t="str">
        <f t="shared" si="7"/>
        <v/>
      </c>
      <c r="B476" s="18"/>
      <c r="C476" s="9"/>
      <c r="D476" s="15"/>
      <c r="E476" s="9"/>
      <c r="F476" s="9"/>
    </row>
    <row r="477" spans="1:6" ht="24" customHeight="1">
      <c r="A477" s="5" t="str">
        <f t="shared" si="7"/>
        <v/>
      </c>
      <c r="B477" s="18"/>
      <c r="C477" s="9"/>
      <c r="D477" s="15"/>
      <c r="E477" s="9"/>
      <c r="F477" s="9"/>
    </row>
    <row r="478" spans="1:6" ht="24" customHeight="1">
      <c r="A478" s="5" t="str">
        <f t="shared" si="7"/>
        <v/>
      </c>
      <c r="B478" s="18"/>
      <c r="C478" s="9"/>
      <c r="D478" s="15"/>
      <c r="E478" s="9"/>
      <c r="F478" s="9"/>
    </row>
    <row r="479" spans="1:6" ht="24" customHeight="1">
      <c r="A479" s="5" t="str">
        <f t="shared" si="7"/>
        <v/>
      </c>
      <c r="B479" s="18"/>
      <c r="C479" s="9"/>
      <c r="D479" s="15"/>
      <c r="E479" s="9"/>
      <c r="F479" s="9"/>
    </row>
    <row r="480" spans="1:6" ht="24" customHeight="1">
      <c r="A480" s="5" t="str">
        <f t="shared" si="7"/>
        <v/>
      </c>
      <c r="B480" s="18"/>
      <c r="C480" s="9"/>
      <c r="D480" s="15"/>
      <c r="E480" s="9"/>
      <c r="F480" s="9"/>
    </row>
    <row r="481" spans="1:6" ht="24" customHeight="1">
      <c r="A481" s="5" t="str">
        <f t="shared" si="7"/>
        <v/>
      </c>
      <c r="B481" s="18"/>
      <c r="C481" s="9"/>
      <c r="D481" s="15"/>
      <c r="E481" s="9"/>
      <c r="F481" s="9"/>
    </row>
    <row r="482" spans="1:6" ht="24" customHeight="1">
      <c r="A482" s="5" t="str">
        <f t="shared" si="7"/>
        <v/>
      </c>
      <c r="B482" s="18"/>
      <c r="C482" s="9"/>
      <c r="D482" s="15"/>
      <c r="E482" s="9"/>
      <c r="F482" s="9"/>
    </row>
    <row r="483" spans="1:6" ht="24" customHeight="1">
      <c r="A483" s="5" t="str">
        <f t="shared" si="7"/>
        <v/>
      </c>
      <c r="B483" s="18"/>
      <c r="C483" s="9"/>
      <c r="D483" s="15"/>
      <c r="E483" s="9"/>
      <c r="F483" s="9"/>
    </row>
    <row r="484" spans="1:6" ht="24" customHeight="1">
      <c r="A484" s="5" t="str">
        <f t="shared" si="7"/>
        <v/>
      </c>
      <c r="B484" s="18"/>
      <c r="C484" s="9"/>
      <c r="D484" s="15"/>
      <c r="E484" s="9"/>
      <c r="F484" s="9"/>
    </row>
    <row r="485" spans="1:6" ht="24" customHeight="1">
      <c r="A485" s="5" t="str">
        <f t="shared" si="7"/>
        <v/>
      </c>
      <c r="B485" s="18"/>
      <c r="C485" s="9"/>
      <c r="D485" s="15"/>
      <c r="E485" s="9"/>
      <c r="F485" s="9"/>
    </row>
    <row r="486" spans="1:6" ht="24" customHeight="1">
      <c r="A486" s="5" t="str">
        <f t="shared" si="7"/>
        <v/>
      </c>
      <c r="B486" s="18"/>
      <c r="C486" s="9"/>
      <c r="D486" s="15"/>
      <c r="E486" s="9"/>
      <c r="F486" s="9"/>
    </row>
    <row r="487" spans="1:6" ht="24" customHeight="1">
      <c r="A487" s="5" t="str">
        <f t="shared" si="7"/>
        <v/>
      </c>
      <c r="B487" s="18"/>
      <c r="C487" s="9"/>
      <c r="D487" s="15"/>
      <c r="E487" s="9"/>
      <c r="F487" s="9"/>
    </row>
    <row r="488" spans="1:6" ht="24" customHeight="1">
      <c r="A488" s="5" t="str">
        <f t="shared" si="7"/>
        <v/>
      </c>
      <c r="B488" s="18"/>
      <c r="C488" s="9"/>
      <c r="D488" s="15"/>
      <c r="E488" s="9"/>
      <c r="F488" s="9"/>
    </row>
    <row r="489" spans="1:6" ht="24" customHeight="1">
      <c r="A489" s="5" t="str">
        <f t="shared" si="7"/>
        <v/>
      </c>
      <c r="B489" s="18"/>
      <c r="C489" s="9"/>
      <c r="D489" s="15"/>
      <c r="E489" s="9"/>
      <c r="F489" s="9"/>
    </row>
    <row r="490" spans="1:6" ht="24" customHeight="1">
      <c r="A490" s="5" t="str">
        <f t="shared" si="7"/>
        <v/>
      </c>
      <c r="B490" s="18"/>
      <c r="C490" s="9"/>
      <c r="D490" s="15"/>
      <c r="E490" s="9"/>
      <c r="F490" s="9"/>
    </row>
    <row r="491" spans="1:6" ht="24" customHeight="1">
      <c r="A491" s="5" t="str">
        <f t="shared" si="7"/>
        <v/>
      </c>
      <c r="B491" s="18"/>
      <c r="C491" s="9"/>
      <c r="D491" s="15"/>
      <c r="E491" s="9"/>
      <c r="F491" s="9"/>
    </row>
    <row r="492" spans="1:6" ht="24" customHeight="1">
      <c r="A492" s="5" t="str">
        <f t="shared" si="7"/>
        <v/>
      </c>
      <c r="B492" s="18"/>
      <c r="C492" s="9"/>
      <c r="D492" s="15"/>
      <c r="E492" s="9"/>
      <c r="F492" s="9"/>
    </row>
    <row r="493" spans="1:6" ht="24" customHeight="1">
      <c r="A493" s="5" t="str">
        <f t="shared" si="7"/>
        <v/>
      </c>
      <c r="B493" s="18"/>
      <c r="C493" s="9"/>
      <c r="D493" s="15"/>
      <c r="E493" s="9"/>
      <c r="F493" s="9"/>
    </row>
    <row r="494" spans="1:6" ht="24" customHeight="1">
      <c r="A494" s="5" t="str">
        <f t="shared" si="7"/>
        <v/>
      </c>
      <c r="B494" s="18"/>
      <c r="C494" s="9"/>
      <c r="D494" s="15"/>
      <c r="E494" s="9"/>
      <c r="F494" s="9"/>
    </row>
    <row r="495" spans="1:6" ht="24" customHeight="1">
      <c r="A495" s="5" t="str">
        <f t="shared" si="7"/>
        <v/>
      </c>
      <c r="B495" s="18"/>
      <c r="C495" s="9"/>
      <c r="D495" s="15"/>
      <c r="E495" s="9"/>
      <c r="F495" s="9"/>
    </row>
    <row r="496" spans="1:6" ht="24" customHeight="1">
      <c r="A496" s="5" t="str">
        <f t="shared" si="7"/>
        <v/>
      </c>
      <c r="B496" s="18"/>
      <c r="C496" s="9"/>
      <c r="D496" s="15"/>
      <c r="E496" s="9"/>
      <c r="F496" s="9"/>
    </row>
    <row r="497" spans="1:6" ht="24" customHeight="1">
      <c r="A497" s="5" t="str">
        <f t="shared" si="7"/>
        <v/>
      </c>
      <c r="B497" s="18"/>
      <c r="C497" s="9"/>
      <c r="D497" s="15"/>
      <c r="E497" s="9"/>
      <c r="F497" s="9"/>
    </row>
    <row r="498" spans="1:6" ht="24" customHeight="1">
      <c r="A498" s="5" t="str">
        <f t="shared" si="7"/>
        <v/>
      </c>
      <c r="B498" s="18"/>
      <c r="C498" s="9"/>
      <c r="D498" s="15"/>
      <c r="E498" s="9"/>
      <c r="F498" s="9"/>
    </row>
    <row r="499" spans="1:6" ht="24" customHeight="1">
      <c r="A499" s="5" t="str">
        <f t="shared" si="7"/>
        <v/>
      </c>
      <c r="B499" s="18"/>
      <c r="C499" s="9"/>
      <c r="D499" s="15"/>
      <c r="E499" s="9"/>
      <c r="F499" s="9"/>
    </row>
    <row r="500" spans="1:6" ht="24" customHeight="1">
      <c r="A500" s="5" t="str">
        <f t="shared" si="7"/>
        <v/>
      </c>
      <c r="B500" s="18"/>
      <c r="C500" s="9"/>
      <c r="D500" s="15"/>
      <c r="E500" s="9"/>
      <c r="F500" s="9"/>
    </row>
    <row r="501" spans="1:6" ht="24" customHeight="1">
      <c r="A501" s="5" t="str">
        <f t="shared" si="7"/>
        <v/>
      </c>
      <c r="B501" s="18"/>
      <c r="C501" s="9"/>
      <c r="D501" s="15"/>
      <c r="E501" s="9"/>
      <c r="F501" s="9"/>
    </row>
  </sheetData>
  <autoFilter ref="A1:F501" xr:uid="{00000000-0009-0000-0000-000005000000}"/>
  <conditionalFormatting sqref="A2:F501">
    <cfRule type="expression" dxfId="13" priority="1">
      <formula>AND(OR($C2&lt;&gt;"",$D2&lt;&gt;"",$B2&lt;&gt;""),OR($C2="",$D2="",$B2=""))</formula>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expression" priority="2" id="{00000000-000E-0000-0500-000002000000}">
            <xm:f>AND($C2&lt;&gt;"",COUNTIF(المواد!$A$2:$A$320,$C2)=0)</xm:f>
            <x14:dxf>
              <fill>
                <patternFill patternType="solid">
                  <fgColor rgb="FFFCE4E4"/>
                </patternFill>
              </fill>
            </x14:dxf>
          </x14:cfRule>
          <xm:sqref>A2:F501</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ErrorMessage="1" errorTitle="مادة غير موجودة" error="اختر مادة من صفحة المواد" xr:uid="{00000000-0002-0000-0500-000000000000}">
          <x14:formula1>
            <xm:f>المواد!$A$2:$A$320</xm:f>
          </x14:formula1>
          <xm:sqref>C2:C501</xm:sqref>
        </x14:dataValidation>
        <x14:dataValidation type="custom" allowBlank="1" showErrorMessage="1" errorTitle="كمية غير متاحة" error="الكمية المطلوبة أكبر من الرصيد المتوفر لهذه المادة، أو الكمية سالبة/صفر" xr:uid="{00000000-0002-0000-0500-000001000000}">
          <x14:formula1>
            <xm:f>AND($D2&gt;0,$D2&lt;=ROUND(SUMIFS(الإدخالات!$D$2:$D$501,الإدخالات!$C$2:$C$501,$C2)+SUMIFS('تعديل الجرد'!$F$2:$F$501,'تعديل الجرد'!$C$2:$C$501,$C2)-SUMPRODUCT((الطبخات!$B$2:$B$900=$C2)*الطبخات!$C$2:$C$900*COUNTIF('سجل الإنتاج'!$C$2:$C$501,الطبخات!$A$2:$A$900))-SUMIFS($D$1:D1,$C$1:C1,$C2),3))</xm:f>
          </x14:formula1>
          <xm:sqref>D2:D501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45F06"/>
  </sheetPr>
  <dimension ref="A1:H501"/>
  <sheetViews>
    <sheetView rightToLeft="1" workbookViewId="0">
      <pane ySplit="1" topLeftCell="A2" activePane="bottomLeft" state="frozen"/>
      <selection pane="bottomLeft"/>
    </sheetView>
  </sheetViews>
  <sheetFormatPr defaultRowHeight="14.25"/>
  <cols>
    <col min="1" max="1" width="10" customWidth="1"/>
    <col min="2" max="2" width="14" customWidth="1"/>
    <col min="3" max="3" width="26" customWidth="1"/>
    <col min="4" max="4" width="22" customWidth="1"/>
    <col min="5" max="5" width="18" customWidth="1"/>
    <col min="6" max="6" width="12" customWidth="1"/>
    <col min="7" max="7" width="24" customWidth="1"/>
    <col min="8" max="8" width="30" customWidth="1"/>
  </cols>
  <sheetData>
    <row r="1" spans="1:8" ht="26.1" customHeight="1">
      <c r="A1" s="2" t="s">
        <v>168</v>
      </c>
      <c r="B1" s="2" t="s">
        <v>20</v>
      </c>
      <c r="C1" s="2" t="s">
        <v>21</v>
      </c>
      <c r="D1" s="2" t="s">
        <v>174</v>
      </c>
      <c r="E1" s="2" t="s">
        <v>175</v>
      </c>
      <c r="F1" s="2" t="s">
        <v>176</v>
      </c>
      <c r="G1" s="2" t="s">
        <v>177</v>
      </c>
      <c r="H1" s="2" t="s">
        <v>26</v>
      </c>
    </row>
    <row r="2" spans="1:8" ht="24" customHeight="1">
      <c r="A2" s="5">
        <f t="shared" ref="A2:A65" si="0">IF(C2="","",ROW()-1)</f>
        <v>1</v>
      </c>
      <c r="B2" s="18">
        <v>46211</v>
      </c>
      <c r="C2" s="9" t="s">
        <v>46</v>
      </c>
      <c r="D2" s="10">
        <f>IF($C2="","",ROUND(SUMIFS(الإدخالات!$D$2:$D$501,الإدخالات!$C$2:$C$501,$C2)+SUMIFS($F$1:F1,$C$1:C1,$C2)-SUMIFS('الصرف المباشر'!$D$2:$D$501,'الصرف المباشر'!$C$2:$C$501,$C2)-SUMPRODUCT((الطبخات!$B$2:$B$900=$C2)*الطبخات!$C$2:$C$900*COUNTIF('سجل الإنتاج'!$C$2:$C$501,الطبخات!$A$2:$A$900)),3))</f>
        <v>496</v>
      </c>
      <c r="E2" s="15">
        <v>88</v>
      </c>
      <c r="F2" s="19">
        <f t="shared" ref="F2:F65" si="1">IF(OR($C2="",$E2=""),"",ROUND($E2-$D2,3))</f>
        <v>-408</v>
      </c>
      <c r="G2" s="9" t="s">
        <v>178</v>
      </c>
      <c r="H2" s="9" t="s">
        <v>171</v>
      </c>
    </row>
    <row r="3" spans="1:8" ht="24" customHeight="1">
      <c r="A3" s="5" t="str">
        <f t="shared" si="0"/>
        <v/>
      </c>
      <c r="B3" s="18"/>
      <c r="C3" s="9"/>
      <c r="D3" s="10" t="str">
        <f>IF($C3="","",ROUND(SUMIFS(الإدخالات!$D$2:$D$501,الإدخالات!$C$2:$C$501,$C3)+SUMIFS($F$1:F2,$C$1:C2,$C3)-SUMIFS('الصرف المباشر'!$D$2:$D$501,'الصرف المباشر'!$C$2:$C$501,$C3)-SUMPRODUCT((الطبخات!$B$2:$B$900=$C3)*الطبخات!$C$2:$C$900*COUNTIF('سجل الإنتاج'!$C$2:$C$501,الطبخات!$A$2:$A$900)),3))</f>
        <v/>
      </c>
      <c r="E3" s="15"/>
      <c r="F3" s="19" t="str">
        <f t="shared" si="1"/>
        <v/>
      </c>
      <c r="G3" s="9"/>
      <c r="H3" s="9"/>
    </row>
    <row r="4" spans="1:8" ht="24" customHeight="1">
      <c r="A4" s="5" t="str">
        <f t="shared" si="0"/>
        <v/>
      </c>
      <c r="B4" s="18"/>
      <c r="C4" s="9"/>
      <c r="D4" s="10" t="str">
        <f>IF($C4="","",ROUND(SUMIFS(الإدخالات!$D$2:$D$501,الإدخالات!$C$2:$C$501,$C4)+SUMIFS($F$1:F3,$C$1:C3,$C4)-SUMIFS('الصرف المباشر'!$D$2:$D$501,'الصرف المباشر'!$C$2:$C$501,$C4)-SUMPRODUCT((الطبخات!$B$2:$B$900=$C4)*الطبخات!$C$2:$C$900*COUNTIF('سجل الإنتاج'!$C$2:$C$501,الطبخات!$A$2:$A$900)),3))</f>
        <v/>
      </c>
      <c r="E4" s="15"/>
      <c r="F4" s="19" t="str">
        <f t="shared" si="1"/>
        <v/>
      </c>
      <c r="G4" s="9"/>
      <c r="H4" s="9"/>
    </row>
    <row r="5" spans="1:8" ht="24" customHeight="1">
      <c r="A5" s="5" t="str">
        <f t="shared" si="0"/>
        <v/>
      </c>
      <c r="B5" s="18"/>
      <c r="C5" s="9"/>
      <c r="D5" s="10" t="str">
        <f>IF($C5="","",ROUND(SUMIFS(الإدخالات!$D$2:$D$501,الإدخالات!$C$2:$C$501,$C5)+SUMIFS($F$1:F4,$C$1:C4,$C5)-SUMIFS('الصرف المباشر'!$D$2:$D$501,'الصرف المباشر'!$C$2:$C$501,$C5)-SUMPRODUCT((الطبخات!$B$2:$B$900=$C5)*الطبخات!$C$2:$C$900*COUNTIF('سجل الإنتاج'!$C$2:$C$501,الطبخات!$A$2:$A$900)),3))</f>
        <v/>
      </c>
      <c r="E5" s="15"/>
      <c r="F5" s="19" t="str">
        <f t="shared" si="1"/>
        <v/>
      </c>
      <c r="G5" s="9"/>
      <c r="H5" s="9"/>
    </row>
    <row r="6" spans="1:8" ht="24" customHeight="1">
      <c r="A6" s="5" t="str">
        <f t="shared" si="0"/>
        <v/>
      </c>
      <c r="B6" s="18"/>
      <c r="C6" s="9"/>
      <c r="D6" s="10" t="str">
        <f>IF($C6="","",ROUND(SUMIFS(الإدخالات!$D$2:$D$501,الإدخالات!$C$2:$C$501,$C6)+SUMIFS($F$1:F5,$C$1:C5,$C6)-SUMIFS('الصرف المباشر'!$D$2:$D$501,'الصرف المباشر'!$C$2:$C$501,$C6)-SUMPRODUCT((الطبخات!$B$2:$B$900=$C6)*الطبخات!$C$2:$C$900*COUNTIF('سجل الإنتاج'!$C$2:$C$501,الطبخات!$A$2:$A$900)),3))</f>
        <v/>
      </c>
      <c r="E6" s="15"/>
      <c r="F6" s="19" t="str">
        <f t="shared" si="1"/>
        <v/>
      </c>
      <c r="G6" s="9"/>
      <c r="H6" s="9"/>
    </row>
    <row r="7" spans="1:8" ht="24" customHeight="1">
      <c r="A7" s="5" t="str">
        <f t="shared" si="0"/>
        <v/>
      </c>
      <c r="B7" s="18"/>
      <c r="C7" s="9"/>
      <c r="D7" s="10" t="str">
        <f>IF($C7="","",ROUND(SUMIFS(الإدخالات!$D$2:$D$501,الإدخالات!$C$2:$C$501,$C7)+SUMIFS($F$1:F6,$C$1:C6,$C7)-SUMIFS('الصرف المباشر'!$D$2:$D$501,'الصرف المباشر'!$C$2:$C$501,$C7)-SUMPRODUCT((الطبخات!$B$2:$B$900=$C7)*الطبخات!$C$2:$C$900*COUNTIF('سجل الإنتاج'!$C$2:$C$501,الطبخات!$A$2:$A$900)),3))</f>
        <v/>
      </c>
      <c r="E7" s="15"/>
      <c r="F7" s="19" t="str">
        <f t="shared" si="1"/>
        <v/>
      </c>
      <c r="G7" s="9"/>
      <c r="H7" s="9"/>
    </row>
    <row r="8" spans="1:8" ht="24" customHeight="1">
      <c r="A8" s="5" t="str">
        <f t="shared" si="0"/>
        <v/>
      </c>
      <c r="B8" s="18"/>
      <c r="C8" s="9"/>
      <c r="D8" s="10" t="str">
        <f>IF($C8="","",ROUND(SUMIFS(الإدخالات!$D$2:$D$501,الإدخالات!$C$2:$C$501,$C8)+SUMIFS($F$1:F7,$C$1:C7,$C8)-SUMIFS('الصرف المباشر'!$D$2:$D$501,'الصرف المباشر'!$C$2:$C$501,$C8)-SUMPRODUCT((الطبخات!$B$2:$B$900=$C8)*الطبخات!$C$2:$C$900*COUNTIF('سجل الإنتاج'!$C$2:$C$501,الطبخات!$A$2:$A$900)),3))</f>
        <v/>
      </c>
      <c r="E8" s="15"/>
      <c r="F8" s="19" t="str">
        <f t="shared" si="1"/>
        <v/>
      </c>
      <c r="G8" s="9"/>
      <c r="H8" s="9"/>
    </row>
    <row r="9" spans="1:8" ht="24" customHeight="1">
      <c r="A9" s="5" t="str">
        <f t="shared" si="0"/>
        <v/>
      </c>
      <c r="B9" s="18"/>
      <c r="C9" s="9"/>
      <c r="D9" s="10" t="str">
        <f>IF($C9="","",ROUND(SUMIFS(الإدخالات!$D$2:$D$501,الإدخالات!$C$2:$C$501,$C9)+SUMIFS($F$1:F8,$C$1:C8,$C9)-SUMIFS('الصرف المباشر'!$D$2:$D$501,'الصرف المباشر'!$C$2:$C$501,$C9)-SUMPRODUCT((الطبخات!$B$2:$B$900=$C9)*الطبخات!$C$2:$C$900*COUNTIF('سجل الإنتاج'!$C$2:$C$501,الطبخات!$A$2:$A$900)),3))</f>
        <v/>
      </c>
      <c r="E9" s="15"/>
      <c r="F9" s="19" t="str">
        <f t="shared" si="1"/>
        <v/>
      </c>
      <c r="G9" s="9"/>
      <c r="H9" s="9"/>
    </row>
    <row r="10" spans="1:8" ht="24" customHeight="1">
      <c r="A10" s="5" t="str">
        <f t="shared" si="0"/>
        <v/>
      </c>
      <c r="B10" s="18"/>
      <c r="C10" s="9"/>
      <c r="D10" s="10" t="str">
        <f>IF($C10="","",ROUND(SUMIFS(الإدخالات!$D$2:$D$501,الإدخالات!$C$2:$C$501,$C10)+SUMIFS($F$1:F9,$C$1:C9,$C10)-SUMIFS('الصرف المباشر'!$D$2:$D$501,'الصرف المباشر'!$C$2:$C$501,$C10)-SUMPRODUCT((الطبخات!$B$2:$B$900=$C10)*الطبخات!$C$2:$C$900*COUNTIF('سجل الإنتاج'!$C$2:$C$501,الطبخات!$A$2:$A$900)),3))</f>
        <v/>
      </c>
      <c r="E10" s="15"/>
      <c r="F10" s="19" t="str">
        <f t="shared" si="1"/>
        <v/>
      </c>
      <c r="G10" s="9"/>
      <c r="H10" s="9"/>
    </row>
    <row r="11" spans="1:8" ht="24" customHeight="1">
      <c r="A11" s="5" t="str">
        <f t="shared" si="0"/>
        <v/>
      </c>
      <c r="B11" s="18"/>
      <c r="C11" s="9"/>
      <c r="D11" s="10" t="str">
        <f>IF($C11="","",ROUND(SUMIFS(الإدخالات!$D$2:$D$501,الإدخالات!$C$2:$C$501,$C11)+SUMIFS($F$1:F10,$C$1:C10,$C11)-SUMIFS('الصرف المباشر'!$D$2:$D$501,'الصرف المباشر'!$C$2:$C$501,$C11)-SUMPRODUCT((الطبخات!$B$2:$B$900=$C11)*الطبخات!$C$2:$C$900*COUNTIF('سجل الإنتاج'!$C$2:$C$501,الطبخات!$A$2:$A$900)),3))</f>
        <v/>
      </c>
      <c r="E11" s="15"/>
      <c r="F11" s="19" t="str">
        <f t="shared" si="1"/>
        <v/>
      </c>
      <c r="G11" s="9"/>
      <c r="H11" s="9"/>
    </row>
    <row r="12" spans="1:8" ht="24" customHeight="1">
      <c r="A12" s="5" t="str">
        <f t="shared" si="0"/>
        <v/>
      </c>
      <c r="B12" s="18"/>
      <c r="C12" s="9"/>
      <c r="D12" s="10" t="str">
        <f>IF($C12="","",ROUND(SUMIFS(الإدخالات!$D$2:$D$501,الإدخالات!$C$2:$C$501,$C12)+SUMIFS($F$1:F11,$C$1:C11,$C12)-SUMIFS('الصرف المباشر'!$D$2:$D$501,'الصرف المباشر'!$C$2:$C$501,$C12)-SUMPRODUCT((الطبخات!$B$2:$B$900=$C12)*الطبخات!$C$2:$C$900*COUNTIF('سجل الإنتاج'!$C$2:$C$501,الطبخات!$A$2:$A$900)),3))</f>
        <v/>
      </c>
      <c r="E12" s="15"/>
      <c r="F12" s="19" t="str">
        <f t="shared" si="1"/>
        <v/>
      </c>
      <c r="G12" s="9"/>
      <c r="H12" s="9"/>
    </row>
    <row r="13" spans="1:8" ht="24" customHeight="1">
      <c r="A13" s="5" t="str">
        <f t="shared" si="0"/>
        <v/>
      </c>
      <c r="B13" s="18"/>
      <c r="C13" s="9"/>
      <c r="D13" s="10" t="str">
        <f>IF($C13="","",ROUND(SUMIFS(الإدخالات!$D$2:$D$501,الإدخالات!$C$2:$C$501,$C13)+SUMIFS($F$1:F12,$C$1:C12,$C13)-SUMIFS('الصرف المباشر'!$D$2:$D$501,'الصرف المباشر'!$C$2:$C$501,$C13)-SUMPRODUCT((الطبخات!$B$2:$B$900=$C13)*الطبخات!$C$2:$C$900*COUNTIF('سجل الإنتاج'!$C$2:$C$501,الطبخات!$A$2:$A$900)),3))</f>
        <v/>
      </c>
      <c r="E13" s="15"/>
      <c r="F13" s="19" t="str">
        <f t="shared" si="1"/>
        <v/>
      </c>
      <c r="G13" s="9"/>
      <c r="H13" s="9"/>
    </row>
    <row r="14" spans="1:8" ht="24" customHeight="1">
      <c r="A14" s="5" t="str">
        <f t="shared" si="0"/>
        <v/>
      </c>
      <c r="B14" s="18"/>
      <c r="C14" s="9"/>
      <c r="D14" s="10" t="str">
        <f>IF($C14="","",ROUND(SUMIFS(الإدخالات!$D$2:$D$501,الإدخالات!$C$2:$C$501,$C14)+SUMIFS($F$1:F13,$C$1:C13,$C14)-SUMIFS('الصرف المباشر'!$D$2:$D$501,'الصرف المباشر'!$C$2:$C$501,$C14)-SUMPRODUCT((الطبخات!$B$2:$B$900=$C14)*الطبخات!$C$2:$C$900*COUNTIF('سجل الإنتاج'!$C$2:$C$501,الطبخات!$A$2:$A$900)),3))</f>
        <v/>
      </c>
      <c r="E14" s="15"/>
      <c r="F14" s="19" t="str">
        <f t="shared" si="1"/>
        <v/>
      </c>
      <c r="G14" s="9"/>
      <c r="H14" s="9"/>
    </row>
    <row r="15" spans="1:8" ht="24" customHeight="1">
      <c r="A15" s="5" t="str">
        <f t="shared" si="0"/>
        <v/>
      </c>
      <c r="B15" s="18"/>
      <c r="C15" s="9"/>
      <c r="D15" s="10" t="str">
        <f>IF($C15="","",ROUND(SUMIFS(الإدخالات!$D$2:$D$501,الإدخالات!$C$2:$C$501,$C15)+SUMIFS($F$1:F14,$C$1:C14,$C15)-SUMIFS('الصرف المباشر'!$D$2:$D$501,'الصرف المباشر'!$C$2:$C$501,$C15)-SUMPRODUCT((الطبخات!$B$2:$B$900=$C15)*الطبخات!$C$2:$C$900*COUNTIF('سجل الإنتاج'!$C$2:$C$501,الطبخات!$A$2:$A$900)),3))</f>
        <v/>
      </c>
      <c r="E15" s="15"/>
      <c r="F15" s="19" t="str">
        <f t="shared" si="1"/>
        <v/>
      </c>
      <c r="G15" s="9"/>
      <c r="H15" s="9"/>
    </row>
    <row r="16" spans="1:8" ht="24" customHeight="1">
      <c r="A16" s="5" t="str">
        <f t="shared" si="0"/>
        <v/>
      </c>
      <c r="B16" s="18"/>
      <c r="C16" s="9"/>
      <c r="D16" s="10" t="str">
        <f>IF($C16="","",ROUND(SUMIFS(الإدخالات!$D$2:$D$501,الإدخالات!$C$2:$C$501,$C16)+SUMIFS($F$1:F15,$C$1:C15,$C16)-SUMIFS('الصرف المباشر'!$D$2:$D$501,'الصرف المباشر'!$C$2:$C$501,$C16)-SUMPRODUCT((الطبخات!$B$2:$B$900=$C16)*الطبخات!$C$2:$C$900*COUNTIF('سجل الإنتاج'!$C$2:$C$501,الطبخات!$A$2:$A$900)),3))</f>
        <v/>
      </c>
      <c r="E16" s="15"/>
      <c r="F16" s="19" t="str">
        <f t="shared" si="1"/>
        <v/>
      </c>
      <c r="G16" s="9"/>
      <c r="H16" s="9"/>
    </row>
    <row r="17" spans="1:8" ht="24" customHeight="1">
      <c r="A17" s="5" t="str">
        <f t="shared" si="0"/>
        <v/>
      </c>
      <c r="B17" s="18"/>
      <c r="C17" s="9"/>
      <c r="D17" s="10" t="str">
        <f>IF($C17="","",ROUND(SUMIFS(الإدخالات!$D$2:$D$501,الإدخالات!$C$2:$C$501,$C17)+SUMIFS($F$1:F16,$C$1:C16,$C17)-SUMIFS('الصرف المباشر'!$D$2:$D$501,'الصرف المباشر'!$C$2:$C$501,$C17)-SUMPRODUCT((الطبخات!$B$2:$B$900=$C17)*الطبخات!$C$2:$C$900*COUNTIF('سجل الإنتاج'!$C$2:$C$501,الطبخات!$A$2:$A$900)),3))</f>
        <v/>
      </c>
      <c r="E17" s="15"/>
      <c r="F17" s="19" t="str">
        <f t="shared" si="1"/>
        <v/>
      </c>
      <c r="G17" s="9"/>
      <c r="H17" s="9"/>
    </row>
    <row r="18" spans="1:8" ht="24" customHeight="1">
      <c r="A18" s="5" t="str">
        <f t="shared" si="0"/>
        <v/>
      </c>
      <c r="B18" s="18"/>
      <c r="C18" s="9"/>
      <c r="D18" s="10" t="str">
        <f>IF($C18="","",ROUND(SUMIFS(الإدخالات!$D$2:$D$501,الإدخالات!$C$2:$C$501,$C18)+SUMIFS($F$1:F17,$C$1:C17,$C18)-SUMIFS('الصرف المباشر'!$D$2:$D$501,'الصرف المباشر'!$C$2:$C$501,$C18)-SUMPRODUCT((الطبخات!$B$2:$B$900=$C18)*الطبخات!$C$2:$C$900*COUNTIF('سجل الإنتاج'!$C$2:$C$501,الطبخات!$A$2:$A$900)),3))</f>
        <v/>
      </c>
      <c r="E18" s="15"/>
      <c r="F18" s="19" t="str">
        <f t="shared" si="1"/>
        <v/>
      </c>
      <c r="G18" s="9"/>
      <c r="H18" s="9"/>
    </row>
    <row r="19" spans="1:8" ht="24" customHeight="1">
      <c r="A19" s="5" t="str">
        <f t="shared" si="0"/>
        <v/>
      </c>
      <c r="B19" s="18"/>
      <c r="C19" s="9"/>
      <c r="D19" s="10" t="str">
        <f>IF($C19="","",ROUND(SUMIFS(الإدخالات!$D$2:$D$501,الإدخالات!$C$2:$C$501,$C19)+SUMIFS($F$1:F18,$C$1:C18,$C19)-SUMIFS('الصرف المباشر'!$D$2:$D$501,'الصرف المباشر'!$C$2:$C$501,$C19)-SUMPRODUCT((الطبخات!$B$2:$B$900=$C19)*الطبخات!$C$2:$C$900*COUNTIF('سجل الإنتاج'!$C$2:$C$501,الطبخات!$A$2:$A$900)),3))</f>
        <v/>
      </c>
      <c r="E19" s="15"/>
      <c r="F19" s="19" t="str">
        <f t="shared" si="1"/>
        <v/>
      </c>
      <c r="G19" s="9"/>
      <c r="H19" s="9"/>
    </row>
    <row r="20" spans="1:8" ht="24" customHeight="1">
      <c r="A20" s="5" t="str">
        <f t="shared" si="0"/>
        <v/>
      </c>
      <c r="B20" s="18"/>
      <c r="C20" s="9"/>
      <c r="D20" s="10" t="str">
        <f>IF($C20="","",ROUND(SUMIFS(الإدخالات!$D$2:$D$501,الإدخالات!$C$2:$C$501,$C20)+SUMIFS($F$1:F19,$C$1:C19,$C20)-SUMIFS('الصرف المباشر'!$D$2:$D$501,'الصرف المباشر'!$C$2:$C$501,$C20)-SUMPRODUCT((الطبخات!$B$2:$B$900=$C20)*الطبخات!$C$2:$C$900*COUNTIF('سجل الإنتاج'!$C$2:$C$501,الطبخات!$A$2:$A$900)),3))</f>
        <v/>
      </c>
      <c r="E20" s="15"/>
      <c r="F20" s="19" t="str">
        <f t="shared" si="1"/>
        <v/>
      </c>
      <c r="G20" s="9"/>
      <c r="H20" s="9"/>
    </row>
    <row r="21" spans="1:8" ht="24" customHeight="1">
      <c r="A21" s="5" t="str">
        <f t="shared" si="0"/>
        <v/>
      </c>
      <c r="B21" s="18"/>
      <c r="C21" s="9"/>
      <c r="D21" s="10" t="str">
        <f>IF($C21="","",ROUND(SUMIFS(الإدخالات!$D$2:$D$501,الإدخالات!$C$2:$C$501,$C21)+SUMIFS($F$1:F20,$C$1:C20,$C21)-SUMIFS('الصرف المباشر'!$D$2:$D$501,'الصرف المباشر'!$C$2:$C$501,$C21)-SUMPRODUCT((الطبخات!$B$2:$B$900=$C21)*الطبخات!$C$2:$C$900*COUNTIF('سجل الإنتاج'!$C$2:$C$501,الطبخات!$A$2:$A$900)),3))</f>
        <v/>
      </c>
      <c r="E21" s="15"/>
      <c r="F21" s="19" t="str">
        <f t="shared" si="1"/>
        <v/>
      </c>
      <c r="G21" s="9"/>
      <c r="H21" s="9"/>
    </row>
    <row r="22" spans="1:8" ht="24" customHeight="1">
      <c r="A22" s="5" t="str">
        <f t="shared" si="0"/>
        <v/>
      </c>
      <c r="B22" s="18"/>
      <c r="C22" s="9"/>
      <c r="D22" s="10" t="str">
        <f>IF($C22="","",ROUND(SUMIFS(الإدخالات!$D$2:$D$501,الإدخالات!$C$2:$C$501,$C22)+SUMIFS($F$1:F21,$C$1:C21,$C22)-SUMIFS('الصرف المباشر'!$D$2:$D$501,'الصرف المباشر'!$C$2:$C$501,$C22)-SUMPRODUCT((الطبخات!$B$2:$B$900=$C22)*الطبخات!$C$2:$C$900*COUNTIF('سجل الإنتاج'!$C$2:$C$501,الطبخات!$A$2:$A$900)),3))</f>
        <v/>
      </c>
      <c r="E22" s="15"/>
      <c r="F22" s="19" t="str">
        <f t="shared" si="1"/>
        <v/>
      </c>
      <c r="G22" s="9"/>
      <c r="H22" s="9"/>
    </row>
    <row r="23" spans="1:8" ht="24" customHeight="1">
      <c r="A23" s="5" t="str">
        <f t="shared" si="0"/>
        <v/>
      </c>
      <c r="B23" s="18"/>
      <c r="C23" s="9"/>
      <c r="D23" s="10" t="str">
        <f>IF($C23="","",ROUND(SUMIFS(الإدخالات!$D$2:$D$501,الإدخالات!$C$2:$C$501,$C23)+SUMIFS($F$1:F22,$C$1:C22,$C23)-SUMIFS('الصرف المباشر'!$D$2:$D$501,'الصرف المباشر'!$C$2:$C$501,$C23)-SUMPRODUCT((الطبخات!$B$2:$B$900=$C23)*الطبخات!$C$2:$C$900*COUNTIF('سجل الإنتاج'!$C$2:$C$501,الطبخات!$A$2:$A$900)),3))</f>
        <v/>
      </c>
      <c r="E23" s="15"/>
      <c r="F23" s="19" t="str">
        <f t="shared" si="1"/>
        <v/>
      </c>
      <c r="G23" s="9"/>
      <c r="H23" s="9"/>
    </row>
    <row r="24" spans="1:8" ht="24" customHeight="1">
      <c r="A24" s="5" t="str">
        <f t="shared" si="0"/>
        <v/>
      </c>
      <c r="B24" s="18"/>
      <c r="C24" s="9"/>
      <c r="D24" s="10" t="str">
        <f>IF($C24="","",ROUND(SUMIFS(الإدخالات!$D$2:$D$501,الإدخالات!$C$2:$C$501,$C24)+SUMIFS($F$1:F23,$C$1:C23,$C24)-SUMIFS('الصرف المباشر'!$D$2:$D$501,'الصرف المباشر'!$C$2:$C$501,$C24)-SUMPRODUCT((الطبخات!$B$2:$B$900=$C24)*الطبخات!$C$2:$C$900*COUNTIF('سجل الإنتاج'!$C$2:$C$501,الطبخات!$A$2:$A$900)),3))</f>
        <v/>
      </c>
      <c r="E24" s="15"/>
      <c r="F24" s="19" t="str">
        <f t="shared" si="1"/>
        <v/>
      </c>
      <c r="G24" s="9"/>
      <c r="H24" s="9"/>
    </row>
    <row r="25" spans="1:8" ht="24" customHeight="1">
      <c r="A25" s="5" t="str">
        <f t="shared" si="0"/>
        <v/>
      </c>
      <c r="B25" s="18"/>
      <c r="C25" s="9"/>
      <c r="D25" s="10" t="str">
        <f>IF($C25="","",ROUND(SUMIFS(الإدخالات!$D$2:$D$501,الإدخالات!$C$2:$C$501,$C25)+SUMIFS($F$1:F24,$C$1:C24,$C25)-SUMIFS('الصرف المباشر'!$D$2:$D$501,'الصرف المباشر'!$C$2:$C$501,$C25)-SUMPRODUCT((الطبخات!$B$2:$B$900=$C25)*الطبخات!$C$2:$C$900*COUNTIF('سجل الإنتاج'!$C$2:$C$501,الطبخات!$A$2:$A$900)),3))</f>
        <v/>
      </c>
      <c r="E25" s="15"/>
      <c r="F25" s="19" t="str">
        <f t="shared" si="1"/>
        <v/>
      </c>
      <c r="G25" s="9"/>
      <c r="H25" s="9"/>
    </row>
    <row r="26" spans="1:8" ht="24" customHeight="1">
      <c r="A26" s="5" t="str">
        <f t="shared" si="0"/>
        <v/>
      </c>
      <c r="B26" s="18"/>
      <c r="C26" s="9"/>
      <c r="D26" s="10" t="str">
        <f>IF($C26="","",ROUND(SUMIFS(الإدخالات!$D$2:$D$501,الإدخالات!$C$2:$C$501,$C26)+SUMIFS($F$1:F25,$C$1:C25,$C26)-SUMIFS('الصرف المباشر'!$D$2:$D$501,'الصرف المباشر'!$C$2:$C$501,$C26)-SUMPRODUCT((الطبخات!$B$2:$B$900=$C26)*الطبخات!$C$2:$C$900*COUNTIF('سجل الإنتاج'!$C$2:$C$501,الطبخات!$A$2:$A$900)),3))</f>
        <v/>
      </c>
      <c r="E26" s="15"/>
      <c r="F26" s="19" t="str">
        <f t="shared" si="1"/>
        <v/>
      </c>
      <c r="G26" s="9"/>
      <c r="H26" s="9"/>
    </row>
    <row r="27" spans="1:8" ht="24" customHeight="1">
      <c r="A27" s="5" t="str">
        <f t="shared" si="0"/>
        <v/>
      </c>
      <c r="B27" s="18"/>
      <c r="C27" s="9"/>
      <c r="D27" s="10" t="str">
        <f>IF($C27="","",ROUND(SUMIFS(الإدخالات!$D$2:$D$501,الإدخالات!$C$2:$C$501,$C27)+SUMIFS($F$1:F26,$C$1:C26,$C27)-SUMIFS('الصرف المباشر'!$D$2:$D$501,'الصرف المباشر'!$C$2:$C$501,$C27)-SUMPRODUCT((الطبخات!$B$2:$B$900=$C27)*الطبخات!$C$2:$C$900*COUNTIF('سجل الإنتاج'!$C$2:$C$501,الطبخات!$A$2:$A$900)),3))</f>
        <v/>
      </c>
      <c r="E27" s="15"/>
      <c r="F27" s="19" t="str">
        <f t="shared" si="1"/>
        <v/>
      </c>
      <c r="G27" s="9"/>
      <c r="H27" s="9"/>
    </row>
    <row r="28" spans="1:8" ht="24" customHeight="1">
      <c r="A28" s="5" t="str">
        <f t="shared" si="0"/>
        <v/>
      </c>
      <c r="B28" s="18"/>
      <c r="C28" s="9"/>
      <c r="D28" s="10" t="str">
        <f>IF($C28="","",ROUND(SUMIFS(الإدخالات!$D$2:$D$501,الإدخالات!$C$2:$C$501,$C28)+SUMIFS($F$1:F27,$C$1:C27,$C28)-SUMIFS('الصرف المباشر'!$D$2:$D$501,'الصرف المباشر'!$C$2:$C$501,$C28)-SUMPRODUCT((الطبخات!$B$2:$B$900=$C28)*الطبخات!$C$2:$C$900*COUNTIF('سجل الإنتاج'!$C$2:$C$501,الطبخات!$A$2:$A$900)),3))</f>
        <v/>
      </c>
      <c r="E28" s="15"/>
      <c r="F28" s="19" t="str">
        <f t="shared" si="1"/>
        <v/>
      </c>
      <c r="G28" s="9"/>
      <c r="H28" s="9"/>
    </row>
    <row r="29" spans="1:8" ht="24" customHeight="1">
      <c r="A29" s="5" t="str">
        <f t="shared" si="0"/>
        <v/>
      </c>
      <c r="B29" s="18"/>
      <c r="C29" s="9"/>
      <c r="D29" s="10" t="str">
        <f>IF($C29="","",ROUND(SUMIFS(الإدخالات!$D$2:$D$501,الإدخالات!$C$2:$C$501,$C29)+SUMIFS($F$1:F28,$C$1:C28,$C29)-SUMIFS('الصرف المباشر'!$D$2:$D$501,'الصرف المباشر'!$C$2:$C$501,$C29)-SUMPRODUCT((الطبخات!$B$2:$B$900=$C29)*الطبخات!$C$2:$C$900*COUNTIF('سجل الإنتاج'!$C$2:$C$501,الطبخات!$A$2:$A$900)),3))</f>
        <v/>
      </c>
      <c r="E29" s="15"/>
      <c r="F29" s="19" t="str">
        <f t="shared" si="1"/>
        <v/>
      </c>
      <c r="G29" s="9"/>
      <c r="H29" s="9"/>
    </row>
    <row r="30" spans="1:8" ht="24" customHeight="1">
      <c r="A30" s="5" t="str">
        <f t="shared" si="0"/>
        <v/>
      </c>
      <c r="B30" s="18"/>
      <c r="C30" s="9"/>
      <c r="D30" s="10" t="str">
        <f>IF($C30="","",ROUND(SUMIFS(الإدخالات!$D$2:$D$501,الإدخالات!$C$2:$C$501,$C30)+SUMIFS($F$1:F29,$C$1:C29,$C30)-SUMIFS('الصرف المباشر'!$D$2:$D$501,'الصرف المباشر'!$C$2:$C$501,$C30)-SUMPRODUCT((الطبخات!$B$2:$B$900=$C30)*الطبخات!$C$2:$C$900*COUNTIF('سجل الإنتاج'!$C$2:$C$501,الطبخات!$A$2:$A$900)),3))</f>
        <v/>
      </c>
      <c r="E30" s="15"/>
      <c r="F30" s="19" t="str">
        <f t="shared" si="1"/>
        <v/>
      </c>
      <c r="G30" s="9"/>
      <c r="H30" s="9"/>
    </row>
    <row r="31" spans="1:8" ht="24" customHeight="1">
      <c r="A31" s="5" t="str">
        <f t="shared" si="0"/>
        <v/>
      </c>
      <c r="B31" s="18"/>
      <c r="C31" s="9"/>
      <c r="D31" s="10" t="str">
        <f>IF($C31="","",ROUND(SUMIFS(الإدخالات!$D$2:$D$501,الإدخالات!$C$2:$C$501,$C31)+SUMIFS($F$1:F30,$C$1:C30,$C31)-SUMIFS('الصرف المباشر'!$D$2:$D$501,'الصرف المباشر'!$C$2:$C$501,$C31)-SUMPRODUCT((الطبخات!$B$2:$B$900=$C31)*الطبخات!$C$2:$C$900*COUNTIF('سجل الإنتاج'!$C$2:$C$501,الطبخات!$A$2:$A$900)),3))</f>
        <v/>
      </c>
      <c r="E31" s="15"/>
      <c r="F31" s="19" t="str">
        <f t="shared" si="1"/>
        <v/>
      </c>
      <c r="G31" s="9"/>
      <c r="H31" s="9"/>
    </row>
    <row r="32" spans="1:8" ht="24" customHeight="1">
      <c r="A32" s="5" t="str">
        <f t="shared" si="0"/>
        <v/>
      </c>
      <c r="B32" s="18"/>
      <c r="C32" s="9"/>
      <c r="D32" s="10" t="str">
        <f>IF($C32="","",ROUND(SUMIFS(الإدخالات!$D$2:$D$501,الإدخالات!$C$2:$C$501,$C32)+SUMIFS($F$1:F31,$C$1:C31,$C32)-SUMIFS('الصرف المباشر'!$D$2:$D$501,'الصرف المباشر'!$C$2:$C$501,$C32)-SUMPRODUCT((الطبخات!$B$2:$B$900=$C32)*الطبخات!$C$2:$C$900*COUNTIF('سجل الإنتاج'!$C$2:$C$501,الطبخات!$A$2:$A$900)),3))</f>
        <v/>
      </c>
      <c r="E32" s="15"/>
      <c r="F32" s="19" t="str">
        <f t="shared" si="1"/>
        <v/>
      </c>
      <c r="G32" s="9"/>
      <c r="H32" s="9"/>
    </row>
    <row r="33" spans="1:8" ht="24" customHeight="1">
      <c r="A33" s="5" t="str">
        <f t="shared" si="0"/>
        <v/>
      </c>
      <c r="B33" s="18"/>
      <c r="C33" s="9"/>
      <c r="D33" s="10" t="str">
        <f>IF($C33="","",ROUND(SUMIFS(الإدخالات!$D$2:$D$501,الإدخالات!$C$2:$C$501,$C33)+SUMIFS($F$1:F32,$C$1:C32,$C33)-SUMIFS('الصرف المباشر'!$D$2:$D$501,'الصرف المباشر'!$C$2:$C$501,$C33)-SUMPRODUCT((الطبخات!$B$2:$B$900=$C33)*الطبخات!$C$2:$C$900*COUNTIF('سجل الإنتاج'!$C$2:$C$501,الطبخات!$A$2:$A$900)),3))</f>
        <v/>
      </c>
      <c r="E33" s="15"/>
      <c r="F33" s="19" t="str">
        <f t="shared" si="1"/>
        <v/>
      </c>
      <c r="G33" s="9"/>
      <c r="H33" s="9"/>
    </row>
    <row r="34" spans="1:8" ht="24" customHeight="1">
      <c r="A34" s="5" t="str">
        <f t="shared" si="0"/>
        <v/>
      </c>
      <c r="B34" s="18"/>
      <c r="C34" s="9"/>
      <c r="D34" s="10" t="str">
        <f>IF($C34="","",ROUND(SUMIFS(الإدخالات!$D$2:$D$501,الإدخالات!$C$2:$C$501,$C34)+SUMIFS($F$1:F33,$C$1:C33,$C34)-SUMIFS('الصرف المباشر'!$D$2:$D$501,'الصرف المباشر'!$C$2:$C$501,$C34)-SUMPRODUCT((الطبخات!$B$2:$B$900=$C34)*الطبخات!$C$2:$C$900*COUNTIF('سجل الإنتاج'!$C$2:$C$501,الطبخات!$A$2:$A$900)),3))</f>
        <v/>
      </c>
      <c r="E34" s="15"/>
      <c r="F34" s="19" t="str">
        <f t="shared" si="1"/>
        <v/>
      </c>
      <c r="G34" s="9"/>
      <c r="H34" s="9"/>
    </row>
    <row r="35" spans="1:8" ht="24" customHeight="1">
      <c r="A35" s="5" t="str">
        <f t="shared" si="0"/>
        <v/>
      </c>
      <c r="B35" s="18"/>
      <c r="C35" s="9"/>
      <c r="D35" s="10" t="str">
        <f>IF($C35="","",ROUND(SUMIFS(الإدخالات!$D$2:$D$501,الإدخالات!$C$2:$C$501,$C35)+SUMIFS($F$1:F34,$C$1:C34,$C35)-SUMIFS('الصرف المباشر'!$D$2:$D$501,'الصرف المباشر'!$C$2:$C$501,$C35)-SUMPRODUCT((الطبخات!$B$2:$B$900=$C35)*الطبخات!$C$2:$C$900*COUNTIF('سجل الإنتاج'!$C$2:$C$501,الطبخات!$A$2:$A$900)),3))</f>
        <v/>
      </c>
      <c r="E35" s="15"/>
      <c r="F35" s="19" t="str">
        <f t="shared" si="1"/>
        <v/>
      </c>
      <c r="G35" s="9"/>
      <c r="H35" s="9"/>
    </row>
    <row r="36" spans="1:8" ht="24" customHeight="1">
      <c r="A36" s="5" t="str">
        <f t="shared" si="0"/>
        <v/>
      </c>
      <c r="B36" s="18"/>
      <c r="C36" s="9"/>
      <c r="D36" s="10" t="str">
        <f>IF($C36="","",ROUND(SUMIFS(الإدخالات!$D$2:$D$501,الإدخالات!$C$2:$C$501,$C36)+SUMIFS($F$1:F35,$C$1:C35,$C36)-SUMIFS('الصرف المباشر'!$D$2:$D$501,'الصرف المباشر'!$C$2:$C$501,$C36)-SUMPRODUCT((الطبخات!$B$2:$B$900=$C36)*الطبخات!$C$2:$C$900*COUNTIF('سجل الإنتاج'!$C$2:$C$501,الطبخات!$A$2:$A$900)),3))</f>
        <v/>
      </c>
      <c r="E36" s="15"/>
      <c r="F36" s="19" t="str">
        <f t="shared" si="1"/>
        <v/>
      </c>
      <c r="G36" s="9"/>
      <c r="H36" s="9"/>
    </row>
    <row r="37" spans="1:8" ht="24" customHeight="1">
      <c r="A37" s="5" t="str">
        <f t="shared" si="0"/>
        <v/>
      </c>
      <c r="B37" s="18"/>
      <c r="C37" s="9"/>
      <c r="D37" s="10" t="str">
        <f>IF($C37="","",ROUND(SUMIFS(الإدخالات!$D$2:$D$501,الإدخالات!$C$2:$C$501,$C37)+SUMIFS($F$1:F36,$C$1:C36,$C37)-SUMIFS('الصرف المباشر'!$D$2:$D$501,'الصرف المباشر'!$C$2:$C$501,$C37)-SUMPRODUCT((الطبخات!$B$2:$B$900=$C37)*الطبخات!$C$2:$C$900*COUNTIF('سجل الإنتاج'!$C$2:$C$501,الطبخات!$A$2:$A$900)),3))</f>
        <v/>
      </c>
      <c r="E37" s="15"/>
      <c r="F37" s="19" t="str">
        <f t="shared" si="1"/>
        <v/>
      </c>
      <c r="G37" s="9"/>
      <c r="H37" s="9"/>
    </row>
    <row r="38" spans="1:8" ht="24" customHeight="1">
      <c r="A38" s="5" t="str">
        <f t="shared" si="0"/>
        <v/>
      </c>
      <c r="B38" s="18"/>
      <c r="C38" s="9"/>
      <c r="D38" s="10" t="str">
        <f>IF($C38="","",ROUND(SUMIFS(الإدخالات!$D$2:$D$501,الإدخالات!$C$2:$C$501,$C38)+SUMIFS($F$1:F37,$C$1:C37,$C38)-SUMIFS('الصرف المباشر'!$D$2:$D$501,'الصرف المباشر'!$C$2:$C$501,$C38)-SUMPRODUCT((الطبخات!$B$2:$B$900=$C38)*الطبخات!$C$2:$C$900*COUNTIF('سجل الإنتاج'!$C$2:$C$501,الطبخات!$A$2:$A$900)),3))</f>
        <v/>
      </c>
      <c r="E38" s="15"/>
      <c r="F38" s="19" t="str">
        <f t="shared" si="1"/>
        <v/>
      </c>
      <c r="G38" s="9"/>
      <c r="H38" s="9"/>
    </row>
    <row r="39" spans="1:8" ht="24" customHeight="1">
      <c r="A39" s="5" t="str">
        <f t="shared" si="0"/>
        <v/>
      </c>
      <c r="B39" s="18"/>
      <c r="C39" s="9"/>
      <c r="D39" s="10" t="str">
        <f>IF($C39="","",ROUND(SUMIFS(الإدخالات!$D$2:$D$501,الإدخالات!$C$2:$C$501,$C39)+SUMIFS($F$1:F38,$C$1:C38,$C39)-SUMIFS('الصرف المباشر'!$D$2:$D$501,'الصرف المباشر'!$C$2:$C$501,$C39)-SUMPRODUCT((الطبخات!$B$2:$B$900=$C39)*الطبخات!$C$2:$C$900*COUNTIF('سجل الإنتاج'!$C$2:$C$501,الطبخات!$A$2:$A$900)),3))</f>
        <v/>
      </c>
      <c r="E39" s="15"/>
      <c r="F39" s="19" t="str">
        <f t="shared" si="1"/>
        <v/>
      </c>
      <c r="G39" s="9"/>
      <c r="H39" s="9"/>
    </row>
    <row r="40" spans="1:8" ht="24" customHeight="1">
      <c r="A40" s="5" t="str">
        <f t="shared" si="0"/>
        <v/>
      </c>
      <c r="B40" s="18"/>
      <c r="C40" s="9"/>
      <c r="D40" s="10" t="str">
        <f>IF($C40="","",ROUND(SUMIFS(الإدخالات!$D$2:$D$501,الإدخالات!$C$2:$C$501,$C40)+SUMIFS($F$1:F39,$C$1:C39,$C40)-SUMIFS('الصرف المباشر'!$D$2:$D$501,'الصرف المباشر'!$C$2:$C$501,$C40)-SUMPRODUCT((الطبخات!$B$2:$B$900=$C40)*الطبخات!$C$2:$C$900*COUNTIF('سجل الإنتاج'!$C$2:$C$501,الطبخات!$A$2:$A$900)),3))</f>
        <v/>
      </c>
      <c r="E40" s="15"/>
      <c r="F40" s="19" t="str">
        <f t="shared" si="1"/>
        <v/>
      </c>
      <c r="G40" s="9"/>
      <c r="H40" s="9"/>
    </row>
    <row r="41" spans="1:8" ht="24" customHeight="1">
      <c r="A41" s="5" t="str">
        <f t="shared" si="0"/>
        <v/>
      </c>
      <c r="B41" s="18"/>
      <c r="C41" s="9"/>
      <c r="D41" s="10" t="str">
        <f>IF($C41="","",ROUND(SUMIFS(الإدخالات!$D$2:$D$501,الإدخالات!$C$2:$C$501,$C41)+SUMIFS($F$1:F40,$C$1:C40,$C41)-SUMIFS('الصرف المباشر'!$D$2:$D$501,'الصرف المباشر'!$C$2:$C$501,$C41)-SUMPRODUCT((الطبخات!$B$2:$B$900=$C41)*الطبخات!$C$2:$C$900*COUNTIF('سجل الإنتاج'!$C$2:$C$501,الطبخات!$A$2:$A$900)),3))</f>
        <v/>
      </c>
      <c r="E41" s="15"/>
      <c r="F41" s="19" t="str">
        <f t="shared" si="1"/>
        <v/>
      </c>
      <c r="G41" s="9"/>
      <c r="H41" s="9"/>
    </row>
    <row r="42" spans="1:8" ht="24" customHeight="1">
      <c r="A42" s="5" t="str">
        <f t="shared" si="0"/>
        <v/>
      </c>
      <c r="B42" s="18"/>
      <c r="C42" s="9"/>
      <c r="D42" s="10" t="str">
        <f>IF($C42="","",ROUND(SUMIFS(الإدخالات!$D$2:$D$501,الإدخالات!$C$2:$C$501,$C42)+SUMIFS($F$1:F41,$C$1:C41,$C42)-SUMIFS('الصرف المباشر'!$D$2:$D$501,'الصرف المباشر'!$C$2:$C$501,$C42)-SUMPRODUCT((الطبخات!$B$2:$B$900=$C42)*الطبخات!$C$2:$C$900*COUNTIF('سجل الإنتاج'!$C$2:$C$501,الطبخات!$A$2:$A$900)),3))</f>
        <v/>
      </c>
      <c r="E42" s="15"/>
      <c r="F42" s="19" t="str">
        <f t="shared" si="1"/>
        <v/>
      </c>
      <c r="G42" s="9"/>
      <c r="H42" s="9"/>
    </row>
    <row r="43" spans="1:8" ht="24" customHeight="1">
      <c r="A43" s="5" t="str">
        <f t="shared" si="0"/>
        <v/>
      </c>
      <c r="B43" s="18"/>
      <c r="C43" s="9"/>
      <c r="D43" s="10" t="str">
        <f>IF($C43="","",ROUND(SUMIFS(الإدخالات!$D$2:$D$501,الإدخالات!$C$2:$C$501,$C43)+SUMIFS($F$1:F42,$C$1:C42,$C43)-SUMIFS('الصرف المباشر'!$D$2:$D$501,'الصرف المباشر'!$C$2:$C$501,$C43)-SUMPRODUCT((الطبخات!$B$2:$B$900=$C43)*الطبخات!$C$2:$C$900*COUNTIF('سجل الإنتاج'!$C$2:$C$501,الطبخات!$A$2:$A$900)),3))</f>
        <v/>
      </c>
      <c r="E43" s="15"/>
      <c r="F43" s="19" t="str">
        <f t="shared" si="1"/>
        <v/>
      </c>
      <c r="G43" s="9"/>
      <c r="H43" s="9"/>
    </row>
    <row r="44" spans="1:8" ht="24" customHeight="1">
      <c r="A44" s="5" t="str">
        <f t="shared" si="0"/>
        <v/>
      </c>
      <c r="B44" s="18"/>
      <c r="C44" s="9"/>
      <c r="D44" s="10" t="str">
        <f>IF($C44="","",ROUND(SUMIFS(الإدخالات!$D$2:$D$501,الإدخالات!$C$2:$C$501,$C44)+SUMIFS($F$1:F43,$C$1:C43,$C44)-SUMIFS('الصرف المباشر'!$D$2:$D$501,'الصرف المباشر'!$C$2:$C$501,$C44)-SUMPRODUCT((الطبخات!$B$2:$B$900=$C44)*الطبخات!$C$2:$C$900*COUNTIF('سجل الإنتاج'!$C$2:$C$501,الطبخات!$A$2:$A$900)),3))</f>
        <v/>
      </c>
      <c r="E44" s="15"/>
      <c r="F44" s="19" t="str">
        <f t="shared" si="1"/>
        <v/>
      </c>
      <c r="G44" s="9"/>
      <c r="H44" s="9"/>
    </row>
    <row r="45" spans="1:8" ht="24" customHeight="1">
      <c r="A45" s="5" t="str">
        <f t="shared" si="0"/>
        <v/>
      </c>
      <c r="B45" s="18"/>
      <c r="C45" s="9"/>
      <c r="D45" s="10" t="str">
        <f>IF($C45="","",ROUND(SUMIFS(الإدخالات!$D$2:$D$501,الإدخالات!$C$2:$C$501,$C45)+SUMIFS($F$1:F44,$C$1:C44,$C45)-SUMIFS('الصرف المباشر'!$D$2:$D$501,'الصرف المباشر'!$C$2:$C$501,$C45)-SUMPRODUCT((الطبخات!$B$2:$B$900=$C45)*الطبخات!$C$2:$C$900*COUNTIF('سجل الإنتاج'!$C$2:$C$501,الطبخات!$A$2:$A$900)),3))</f>
        <v/>
      </c>
      <c r="E45" s="15"/>
      <c r="F45" s="19" t="str">
        <f t="shared" si="1"/>
        <v/>
      </c>
      <c r="G45" s="9"/>
      <c r="H45" s="9"/>
    </row>
    <row r="46" spans="1:8" ht="24" customHeight="1">
      <c r="A46" s="5" t="str">
        <f t="shared" si="0"/>
        <v/>
      </c>
      <c r="B46" s="18"/>
      <c r="C46" s="9"/>
      <c r="D46" s="10" t="str">
        <f>IF($C46="","",ROUND(SUMIFS(الإدخالات!$D$2:$D$501,الإدخالات!$C$2:$C$501,$C46)+SUMIFS($F$1:F45,$C$1:C45,$C46)-SUMIFS('الصرف المباشر'!$D$2:$D$501,'الصرف المباشر'!$C$2:$C$501,$C46)-SUMPRODUCT((الطبخات!$B$2:$B$900=$C46)*الطبخات!$C$2:$C$900*COUNTIF('سجل الإنتاج'!$C$2:$C$501,الطبخات!$A$2:$A$900)),3))</f>
        <v/>
      </c>
      <c r="E46" s="15"/>
      <c r="F46" s="19" t="str">
        <f t="shared" si="1"/>
        <v/>
      </c>
      <c r="G46" s="9"/>
      <c r="H46" s="9"/>
    </row>
    <row r="47" spans="1:8" ht="24" customHeight="1">
      <c r="A47" s="5" t="str">
        <f t="shared" si="0"/>
        <v/>
      </c>
      <c r="B47" s="18"/>
      <c r="C47" s="9"/>
      <c r="D47" s="10" t="str">
        <f>IF($C47="","",ROUND(SUMIFS(الإدخالات!$D$2:$D$501,الإدخالات!$C$2:$C$501,$C47)+SUMIFS($F$1:F46,$C$1:C46,$C47)-SUMIFS('الصرف المباشر'!$D$2:$D$501,'الصرف المباشر'!$C$2:$C$501,$C47)-SUMPRODUCT((الطبخات!$B$2:$B$900=$C47)*الطبخات!$C$2:$C$900*COUNTIF('سجل الإنتاج'!$C$2:$C$501,الطبخات!$A$2:$A$900)),3))</f>
        <v/>
      </c>
      <c r="E47" s="15"/>
      <c r="F47" s="19" t="str">
        <f t="shared" si="1"/>
        <v/>
      </c>
      <c r="G47" s="9"/>
      <c r="H47" s="9"/>
    </row>
    <row r="48" spans="1:8" ht="24" customHeight="1">
      <c r="A48" s="5" t="str">
        <f t="shared" si="0"/>
        <v/>
      </c>
      <c r="B48" s="18"/>
      <c r="C48" s="9"/>
      <c r="D48" s="10" t="str">
        <f>IF($C48="","",ROUND(SUMIFS(الإدخالات!$D$2:$D$501,الإدخالات!$C$2:$C$501,$C48)+SUMIFS($F$1:F47,$C$1:C47,$C48)-SUMIFS('الصرف المباشر'!$D$2:$D$501,'الصرف المباشر'!$C$2:$C$501,$C48)-SUMPRODUCT((الطبخات!$B$2:$B$900=$C48)*الطبخات!$C$2:$C$900*COUNTIF('سجل الإنتاج'!$C$2:$C$501,الطبخات!$A$2:$A$900)),3))</f>
        <v/>
      </c>
      <c r="E48" s="15"/>
      <c r="F48" s="19" t="str">
        <f t="shared" si="1"/>
        <v/>
      </c>
      <c r="G48" s="9"/>
      <c r="H48" s="9"/>
    </row>
    <row r="49" spans="1:8" ht="24" customHeight="1">
      <c r="A49" s="5" t="str">
        <f t="shared" si="0"/>
        <v/>
      </c>
      <c r="B49" s="18"/>
      <c r="C49" s="9"/>
      <c r="D49" s="10" t="str">
        <f>IF($C49="","",ROUND(SUMIFS(الإدخالات!$D$2:$D$501,الإدخالات!$C$2:$C$501,$C49)+SUMIFS($F$1:F48,$C$1:C48,$C49)-SUMIFS('الصرف المباشر'!$D$2:$D$501,'الصرف المباشر'!$C$2:$C$501,$C49)-SUMPRODUCT((الطبخات!$B$2:$B$900=$C49)*الطبخات!$C$2:$C$900*COUNTIF('سجل الإنتاج'!$C$2:$C$501,الطبخات!$A$2:$A$900)),3))</f>
        <v/>
      </c>
      <c r="E49" s="15"/>
      <c r="F49" s="19" t="str">
        <f t="shared" si="1"/>
        <v/>
      </c>
      <c r="G49" s="9"/>
      <c r="H49" s="9"/>
    </row>
    <row r="50" spans="1:8" ht="24" customHeight="1">
      <c r="A50" s="5" t="str">
        <f t="shared" si="0"/>
        <v/>
      </c>
      <c r="B50" s="18"/>
      <c r="C50" s="9"/>
      <c r="D50" s="10" t="str">
        <f>IF($C50="","",ROUND(SUMIFS(الإدخالات!$D$2:$D$501,الإدخالات!$C$2:$C$501,$C50)+SUMIFS($F$1:F49,$C$1:C49,$C50)-SUMIFS('الصرف المباشر'!$D$2:$D$501,'الصرف المباشر'!$C$2:$C$501,$C50)-SUMPRODUCT((الطبخات!$B$2:$B$900=$C50)*الطبخات!$C$2:$C$900*COUNTIF('سجل الإنتاج'!$C$2:$C$501,الطبخات!$A$2:$A$900)),3))</f>
        <v/>
      </c>
      <c r="E50" s="15"/>
      <c r="F50" s="19" t="str">
        <f t="shared" si="1"/>
        <v/>
      </c>
      <c r="G50" s="9"/>
      <c r="H50" s="9"/>
    </row>
    <row r="51" spans="1:8" ht="24" customHeight="1">
      <c r="A51" s="5" t="str">
        <f t="shared" si="0"/>
        <v/>
      </c>
      <c r="B51" s="18"/>
      <c r="C51" s="9"/>
      <c r="D51" s="10" t="str">
        <f>IF($C51="","",ROUND(SUMIFS(الإدخالات!$D$2:$D$501,الإدخالات!$C$2:$C$501,$C51)+SUMIFS($F$1:F50,$C$1:C50,$C51)-SUMIFS('الصرف المباشر'!$D$2:$D$501,'الصرف المباشر'!$C$2:$C$501,$C51)-SUMPRODUCT((الطبخات!$B$2:$B$900=$C51)*الطبخات!$C$2:$C$900*COUNTIF('سجل الإنتاج'!$C$2:$C$501,الطبخات!$A$2:$A$900)),3))</f>
        <v/>
      </c>
      <c r="E51" s="15"/>
      <c r="F51" s="19" t="str">
        <f t="shared" si="1"/>
        <v/>
      </c>
      <c r="G51" s="9"/>
      <c r="H51" s="9"/>
    </row>
    <row r="52" spans="1:8" ht="24" customHeight="1">
      <c r="A52" s="5" t="str">
        <f t="shared" si="0"/>
        <v/>
      </c>
      <c r="B52" s="18"/>
      <c r="C52" s="9"/>
      <c r="D52" s="10" t="str">
        <f>IF($C52="","",ROUND(SUMIFS(الإدخالات!$D$2:$D$501,الإدخالات!$C$2:$C$501,$C52)+SUMIFS($F$1:F51,$C$1:C51,$C52)-SUMIFS('الصرف المباشر'!$D$2:$D$501,'الصرف المباشر'!$C$2:$C$501,$C52)-SUMPRODUCT((الطبخات!$B$2:$B$900=$C52)*الطبخات!$C$2:$C$900*COUNTIF('سجل الإنتاج'!$C$2:$C$501,الطبخات!$A$2:$A$900)),3))</f>
        <v/>
      </c>
      <c r="E52" s="15"/>
      <c r="F52" s="19" t="str">
        <f t="shared" si="1"/>
        <v/>
      </c>
      <c r="G52" s="9"/>
      <c r="H52" s="9"/>
    </row>
    <row r="53" spans="1:8" ht="24" customHeight="1">
      <c r="A53" s="5" t="str">
        <f t="shared" si="0"/>
        <v/>
      </c>
      <c r="B53" s="18"/>
      <c r="C53" s="9"/>
      <c r="D53" s="10" t="str">
        <f>IF($C53="","",ROUND(SUMIFS(الإدخالات!$D$2:$D$501,الإدخالات!$C$2:$C$501,$C53)+SUMIFS($F$1:F52,$C$1:C52,$C53)-SUMIFS('الصرف المباشر'!$D$2:$D$501,'الصرف المباشر'!$C$2:$C$501,$C53)-SUMPRODUCT((الطبخات!$B$2:$B$900=$C53)*الطبخات!$C$2:$C$900*COUNTIF('سجل الإنتاج'!$C$2:$C$501,الطبخات!$A$2:$A$900)),3))</f>
        <v/>
      </c>
      <c r="E53" s="15"/>
      <c r="F53" s="19" t="str">
        <f t="shared" si="1"/>
        <v/>
      </c>
      <c r="G53" s="9"/>
      <c r="H53" s="9"/>
    </row>
    <row r="54" spans="1:8" ht="24" customHeight="1">
      <c r="A54" s="5" t="str">
        <f t="shared" si="0"/>
        <v/>
      </c>
      <c r="B54" s="18"/>
      <c r="C54" s="9"/>
      <c r="D54" s="10" t="str">
        <f>IF($C54="","",ROUND(SUMIFS(الإدخالات!$D$2:$D$501,الإدخالات!$C$2:$C$501,$C54)+SUMIFS($F$1:F53,$C$1:C53,$C54)-SUMIFS('الصرف المباشر'!$D$2:$D$501,'الصرف المباشر'!$C$2:$C$501,$C54)-SUMPRODUCT((الطبخات!$B$2:$B$900=$C54)*الطبخات!$C$2:$C$900*COUNTIF('سجل الإنتاج'!$C$2:$C$501,الطبخات!$A$2:$A$900)),3))</f>
        <v/>
      </c>
      <c r="E54" s="15"/>
      <c r="F54" s="19" t="str">
        <f t="shared" si="1"/>
        <v/>
      </c>
      <c r="G54" s="9"/>
      <c r="H54" s="9"/>
    </row>
    <row r="55" spans="1:8" ht="24" customHeight="1">
      <c r="A55" s="5" t="str">
        <f t="shared" si="0"/>
        <v/>
      </c>
      <c r="B55" s="18"/>
      <c r="C55" s="9"/>
      <c r="D55" s="10" t="str">
        <f>IF($C55="","",ROUND(SUMIFS(الإدخالات!$D$2:$D$501,الإدخالات!$C$2:$C$501,$C55)+SUMIFS($F$1:F54,$C$1:C54,$C55)-SUMIFS('الصرف المباشر'!$D$2:$D$501,'الصرف المباشر'!$C$2:$C$501,$C55)-SUMPRODUCT((الطبخات!$B$2:$B$900=$C55)*الطبخات!$C$2:$C$900*COUNTIF('سجل الإنتاج'!$C$2:$C$501,الطبخات!$A$2:$A$900)),3))</f>
        <v/>
      </c>
      <c r="E55" s="15"/>
      <c r="F55" s="19" t="str">
        <f t="shared" si="1"/>
        <v/>
      </c>
      <c r="G55" s="9"/>
      <c r="H55" s="9"/>
    </row>
    <row r="56" spans="1:8" ht="24" customHeight="1">
      <c r="A56" s="5" t="str">
        <f t="shared" si="0"/>
        <v/>
      </c>
      <c r="B56" s="18"/>
      <c r="C56" s="9"/>
      <c r="D56" s="10" t="str">
        <f>IF($C56="","",ROUND(SUMIFS(الإدخالات!$D$2:$D$501,الإدخالات!$C$2:$C$501,$C56)+SUMIFS($F$1:F55,$C$1:C55,$C56)-SUMIFS('الصرف المباشر'!$D$2:$D$501,'الصرف المباشر'!$C$2:$C$501,$C56)-SUMPRODUCT((الطبخات!$B$2:$B$900=$C56)*الطبخات!$C$2:$C$900*COUNTIF('سجل الإنتاج'!$C$2:$C$501,الطبخات!$A$2:$A$900)),3))</f>
        <v/>
      </c>
      <c r="E56" s="15"/>
      <c r="F56" s="19" t="str">
        <f t="shared" si="1"/>
        <v/>
      </c>
      <c r="G56" s="9"/>
      <c r="H56" s="9"/>
    </row>
    <row r="57" spans="1:8" ht="24" customHeight="1">
      <c r="A57" s="5" t="str">
        <f t="shared" si="0"/>
        <v/>
      </c>
      <c r="B57" s="18"/>
      <c r="C57" s="9"/>
      <c r="D57" s="10" t="str">
        <f>IF($C57="","",ROUND(SUMIFS(الإدخالات!$D$2:$D$501,الإدخالات!$C$2:$C$501,$C57)+SUMIFS($F$1:F56,$C$1:C56,$C57)-SUMIFS('الصرف المباشر'!$D$2:$D$501,'الصرف المباشر'!$C$2:$C$501,$C57)-SUMPRODUCT((الطبخات!$B$2:$B$900=$C57)*الطبخات!$C$2:$C$900*COUNTIF('سجل الإنتاج'!$C$2:$C$501,الطبخات!$A$2:$A$900)),3))</f>
        <v/>
      </c>
      <c r="E57" s="15"/>
      <c r="F57" s="19" t="str">
        <f t="shared" si="1"/>
        <v/>
      </c>
      <c r="G57" s="9"/>
      <c r="H57" s="9"/>
    </row>
    <row r="58" spans="1:8" ht="24" customHeight="1">
      <c r="A58" s="5" t="str">
        <f t="shared" si="0"/>
        <v/>
      </c>
      <c r="B58" s="18"/>
      <c r="C58" s="9"/>
      <c r="D58" s="10" t="str">
        <f>IF($C58="","",ROUND(SUMIFS(الإدخالات!$D$2:$D$501,الإدخالات!$C$2:$C$501,$C58)+SUMIFS($F$1:F57,$C$1:C57,$C58)-SUMIFS('الصرف المباشر'!$D$2:$D$501,'الصرف المباشر'!$C$2:$C$501,$C58)-SUMPRODUCT((الطبخات!$B$2:$B$900=$C58)*الطبخات!$C$2:$C$900*COUNTIF('سجل الإنتاج'!$C$2:$C$501,الطبخات!$A$2:$A$900)),3))</f>
        <v/>
      </c>
      <c r="E58" s="15"/>
      <c r="F58" s="19" t="str">
        <f t="shared" si="1"/>
        <v/>
      </c>
      <c r="G58" s="9"/>
      <c r="H58" s="9"/>
    </row>
    <row r="59" spans="1:8" ht="24" customHeight="1">
      <c r="A59" s="5" t="str">
        <f t="shared" si="0"/>
        <v/>
      </c>
      <c r="B59" s="18"/>
      <c r="C59" s="9"/>
      <c r="D59" s="10" t="str">
        <f>IF($C59="","",ROUND(SUMIFS(الإدخالات!$D$2:$D$501,الإدخالات!$C$2:$C$501,$C59)+SUMIFS($F$1:F58,$C$1:C58,$C59)-SUMIFS('الصرف المباشر'!$D$2:$D$501,'الصرف المباشر'!$C$2:$C$501,$C59)-SUMPRODUCT((الطبخات!$B$2:$B$900=$C59)*الطبخات!$C$2:$C$900*COUNTIF('سجل الإنتاج'!$C$2:$C$501,الطبخات!$A$2:$A$900)),3))</f>
        <v/>
      </c>
      <c r="E59" s="15"/>
      <c r="F59" s="19" t="str">
        <f t="shared" si="1"/>
        <v/>
      </c>
      <c r="G59" s="9"/>
      <c r="H59" s="9"/>
    </row>
    <row r="60" spans="1:8" ht="24" customHeight="1">
      <c r="A60" s="5" t="str">
        <f t="shared" si="0"/>
        <v/>
      </c>
      <c r="B60" s="18"/>
      <c r="C60" s="9"/>
      <c r="D60" s="10" t="str">
        <f>IF($C60="","",ROUND(SUMIFS(الإدخالات!$D$2:$D$501,الإدخالات!$C$2:$C$501,$C60)+SUMIFS($F$1:F59,$C$1:C59,$C60)-SUMIFS('الصرف المباشر'!$D$2:$D$501,'الصرف المباشر'!$C$2:$C$501,$C60)-SUMPRODUCT((الطبخات!$B$2:$B$900=$C60)*الطبخات!$C$2:$C$900*COUNTIF('سجل الإنتاج'!$C$2:$C$501,الطبخات!$A$2:$A$900)),3))</f>
        <v/>
      </c>
      <c r="E60" s="15"/>
      <c r="F60" s="19" t="str">
        <f t="shared" si="1"/>
        <v/>
      </c>
      <c r="G60" s="9"/>
      <c r="H60" s="9"/>
    </row>
    <row r="61" spans="1:8" ht="24" customHeight="1">
      <c r="A61" s="5" t="str">
        <f t="shared" si="0"/>
        <v/>
      </c>
      <c r="B61" s="18"/>
      <c r="C61" s="9"/>
      <c r="D61" s="10" t="str">
        <f>IF($C61="","",ROUND(SUMIFS(الإدخالات!$D$2:$D$501,الإدخالات!$C$2:$C$501,$C61)+SUMIFS($F$1:F60,$C$1:C60,$C61)-SUMIFS('الصرف المباشر'!$D$2:$D$501,'الصرف المباشر'!$C$2:$C$501,$C61)-SUMPRODUCT((الطبخات!$B$2:$B$900=$C61)*الطبخات!$C$2:$C$900*COUNTIF('سجل الإنتاج'!$C$2:$C$501,الطبخات!$A$2:$A$900)),3))</f>
        <v/>
      </c>
      <c r="E61" s="15"/>
      <c r="F61" s="19" t="str">
        <f t="shared" si="1"/>
        <v/>
      </c>
      <c r="G61" s="9"/>
      <c r="H61" s="9"/>
    </row>
    <row r="62" spans="1:8" ht="24" customHeight="1">
      <c r="A62" s="5" t="str">
        <f t="shared" si="0"/>
        <v/>
      </c>
      <c r="B62" s="18"/>
      <c r="C62" s="9"/>
      <c r="D62" s="10" t="str">
        <f>IF($C62="","",ROUND(SUMIFS(الإدخالات!$D$2:$D$501,الإدخالات!$C$2:$C$501,$C62)+SUMIFS($F$1:F61,$C$1:C61,$C62)-SUMIFS('الصرف المباشر'!$D$2:$D$501,'الصرف المباشر'!$C$2:$C$501,$C62)-SUMPRODUCT((الطبخات!$B$2:$B$900=$C62)*الطبخات!$C$2:$C$900*COUNTIF('سجل الإنتاج'!$C$2:$C$501,الطبخات!$A$2:$A$900)),3))</f>
        <v/>
      </c>
      <c r="E62" s="15"/>
      <c r="F62" s="19" t="str">
        <f t="shared" si="1"/>
        <v/>
      </c>
      <c r="G62" s="9"/>
      <c r="H62" s="9"/>
    </row>
    <row r="63" spans="1:8" ht="24" customHeight="1">
      <c r="A63" s="5" t="str">
        <f t="shared" si="0"/>
        <v/>
      </c>
      <c r="B63" s="18"/>
      <c r="C63" s="9"/>
      <c r="D63" s="10" t="str">
        <f>IF($C63="","",ROUND(SUMIFS(الإدخالات!$D$2:$D$501,الإدخالات!$C$2:$C$501,$C63)+SUMIFS($F$1:F62,$C$1:C62,$C63)-SUMIFS('الصرف المباشر'!$D$2:$D$501,'الصرف المباشر'!$C$2:$C$501,$C63)-SUMPRODUCT((الطبخات!$B$2:$B$900=$C63)*الطبخات!$C$2:$C$900*COUNTIF('سجل الإنتاج'!$C$2:$C$501,الطبخات!$A$2:$A$900)),3))</f>
        <v/>
      </c>
      <c r="E63" s="15"/>
      <c r="F63" s="19" t="str">
        <f t="shared" si="1"/>
        <v/>
      </c>
      <c r="G63" s="9"/>
      <c r="H63" s="9"/>
    </row>
    <row r="64" spans="1:8" ht="24" customHeight="1">
      <c r="A64" s="5" t="str">
        <f t="shared" si="0"/>
        <v/>
      </c>
      <c r="B64" s="18"/>
      <c r="C64" s="9"/>
      <c r="D64" s="10" t="str">
        <f>IF($C64="","",ROUND(SUMIFS(الإدخالات!$D$2:$D$501,الإدخالات!$C$2:$C$501,$C64)+SUMIFS($F$1:F63,$C$1:C63,$C64)-SUMIFS('الصرف المباشر'!$D$2:$D$501,'الصرف المباشر'!$C$2:$C$501,$C64)-SUMPRODUCT((الطبخات!$B$2:$B$900=$C64)*الطبخات!$C$2:$C$900*COUNTIF('سجل الإنتاج'!$C$2:$C$501,الطبخات!$A$2:$A$900)),3))</f>
        <v/>
      </c>
      <c r="E64" s="15"/>
      <c r="F64" s="19" t="str">
        <f t="shared" si="1"/>
        <v/>
      </c>
      <c r="G64" s="9"/>
      <c r="H64" s="9"/>
    </row>
    <row r="65" spans="1:8" ht="24" customHeight="1">
      <c r="A65" s="5" t="str">
        <f t="shared" si="0"/>
        <v/>
      </c>
      <c r="B65" s="18"/>
      <c r="C65" s="9"/>
      <c r="D65" s="10" t="str">
        <f>IF($C65="","",ROUND(SUMIFS(الإدخالات!$D$2:$D$501,الإدخالات!$C$2:$C$501,$C65)+SUMIFS($F$1:F64,$C$1:C64,$C65)-SUMIFS('الصرف المباشر'!$D$2:$D$501,'الصرف المباشر'!$C$2:$C$501,$C65)-SUMPRODUCT((الطبخات!$B$2:$B$900=$C65)*الطبخات!$C$2:$C$900*COUNTIF('سجل الإنتاج'!$C$2:$C$501,الطبخات!$A$2:$A$900)),3))</f>
        <v/>
      </c>
      <c r="E65" s="15"/>
      <c r="F65" s="19" t="str">
        <f t="shared" si="1"/>
        <v/>
      </c>
      <c r="G65" s="9"/>
      <c r="H65" s="9"/>
    </row>
    <row r="66" spans="1:8" ht="24" customHeight="1">
      <c r="A66" s="5" t="str">
        <f t="shared" ref="A66:A129" si="2">IF(C66="","",ROW()-1)</f>
        <v/>
      </c>
      <c r="B66" s="18"/>
      <c r="C66" s="9"/>
      <c r="D66" s="10" t="str">
        <f>IF($C66="","",ROUND(SUMIFS(الإدخالات!$D$2:$D$501,الإدخالات!$C$2:$C$501,$C66)+SUMIFS($F$1:F65,$C$1:C65,$C66)-SUMIFS('الصرف المباشر'!$D$2:$D$501,'الصرف المباشر'!$C$2:$C$501,$C66)-SUMPRODUCT((الطبخات!$B$2:$B$900=$C66)*الطبخات!$C$2:$C$900*COUNTIF('سجل الإنتاج'!$C$2:$C$501,الطبخات!$A$2:$A$900)),3))</f>
        <v/>
      </c>
      <c r="E66" s="15"/>
      <c r="F66" s="19" t="str">
        <f t="shared" ref="F66:F129" si="3">IF(OR($C66="",$E66=""),"",ROUND($E66-$D66,3))</f>
        <v/>
      </c>
      <c r="G66" s="9"/>
      <c r="H66" s="9"/>
    </row>
    <row r="67" spans="1:8" ht="24" customHeight="1">
      <c r="A67" s="5" t="str">
        <f t="shared" si="2"/>
        <v/>
      </c>
      <c r="B67" s="18"/>
      <c r="C67" s="9"/>
      <c r="D67" s="10" t="str">
        <f>IF($C67="","",ROUND(SUMIFS(الإدخالات!$D$2:$D$501,الإدخالات!$C$2:$C$501,$C67)+SUMIFS($F$1:F66,$C$1:C66,$C67)-SUMIFS('الصرف المباشر'!$D$2:$D$501,'الصرف المباشر'!$C$2:$C$501,$C67)-SUMPRODUCT((الطبخات!$B$2:$B$900=$C67)*الطبخات!$C$2:$C$900*COUNTIF('سجل الإنتاج'!$C$2:$C$501,الطبخات!$A$2:$A$900)),3))</f>
        <v/>
      </c>
      <c r="E67" s="15"/>
      <c r="F67" s="19" t="str">
        <f t="shared" si="3"/>
        <v/>
      </c>
      <c r="G67" s="9"/>
      <c r="H67" s="9"/>
    </row>
    <row r="68" spans="1:8" ht="24" customHeight="1">
      <c r="A68" s="5" t="str">
        <f t="shared" si="2"/>
        <v/>
      </c>
      <c r="B68" s="18"/>
      <c r="C68" s="9"/>
      <c r="D68" s="10" t="str">
        <f>IF($C68="","",ROUND(SUMIFS(الإدخالات!$D$2:$D$501,الإدخالات!$C$2:$C$501,$C68)+SUMIFS($F$1:F67,$C$1:C67,$C68)-SUMIFS('الصرف المباشر'!$D$2:$D$501,'الصرف المباشر'!$C$2:$C$501,$C68)-SUMPRODUCT((الطبخات!$B$2:$B$900=$C68)*الطبخات!$C$2:$C$900*COUNTIF('سجل الإنتاج'!$C$2:$C$501,الطبخات!$A$2:$A$900)),3))</f>
        <v/>
      </c>
      <c r="E68" s="15"/>
      <c r="F68" s="19" t="str">
        <f t="shared" si="3"/>
        <v/>
      </c>
      <c r="G68" s="9"/>
      <c r="H68" s="9"/>
    </row>
    <row r="69" spans="1:8" ht="24" customHeight="1">
      <c r="A69" s="5" t="str">
        <f t="shared" si="2"/>
        <v/>
      </c>
      <c r="B69" s="18"/>
      <c r="C69" s="9"/>
      <c r="D69" s="10" t="str">
        <f>IF($C69="","",ROUND(SUMIFS(الإدخالات!$D$2:$D$501,الإدخالات!$C$2:$C$501,$C69)+SUMIFS($F$1:F68,$C$1:C68,$C69)-SUMIFS('الصرف المباشر'!$D$2:$D$501,'الصرف المباشر'!$C$2:$C$501,$C69)-SUMPRODUCT((الطبخات!$B$2:$B$900=$C69)*الطبخات!$C$2:$C$900*COUNTIF('سجل الإنتاج'!$C$2:$C$501,الطبخات!$A$2:$A$900)),3))</f>
        <v/>
      </c>
      <c r="E69" s="15"/>
      <c r="F69" s="19" t="str">
        <f t="shared" si="3"/>
        <v/>
      </c>
      <c r="G69" s="9"/>
      <c r="H69" s="9"/>
    </row>
    <row r="70" spans="1:8" ht="24" customHeight="1">
      <c r="A70" s="5" t="str">
        <f t="shared" si="2"/>
        <v/>
      </c>
      <c r="B70" s="18"/>
      <c r="C70" s="9"/>
      <c r="D70" s="10" t="str">
        <f>IF($C70="","",ROUND(SUMIFS(الإدخالات!$D$2:$D$501,الإدخالات!$C$2:$C$501,$C70)+SUMIFS($F$1:F69,$C$1:C69,$C70)-SUMIFS('الصرف المباشر'!$D$2:$D$501,'الصرف المباشر'!$C$2:$C$501,$C70)-SUMPRODUCT((الطبخات!$B$2:$B$900=$C70)*الطبخات!$C$2:$C$900*COUNTIF('سجل الإنتاج'!$C$2:$C$501,الطبخات!$A$2:$A$900)),3))</f>
        <v/>
      </c>
      <c r="E70" s="15"/>
      <c r="F70" s="19" t="str">
        <f t="shared" si="3"/>
        <v/>
      </c>
      <c r="G70" s="9"/>
      <c r="H70" s="9"/>
    </row>
    <row r="71" spans="1:8" ht="24" customHeight="1">
      <c r="A71" s="5" t="str">
        <f t="shared" si="2"/>
        <v/>
      </c>
      <c r="B71" s="18"/>
      <c r="C71" s="9"/>
      <c r="D71" s="10" t="str">
        <f>IF($C71="","",ROUND(SUMIFS(الإدخالات!$D$2:$D$501,الإدخالات!$C$2:$C$501,$C71)+SUMIFS($F$1:F70,$C$1:C70,$C71)-SUMIFS('الصرف المباشر'!$D$2:$D$501,'الصرف المباشر'!$C$2:$C$501,$C71)-SUMPRODUCT((الطبخات!$B$2:$B$900=$C71)*الطبخات!$C$2:$C$900*COUNTIF('سجل الإنتاج'!$C$2:$C$501,الطبخات!$A$2:$A$900)),3))</f>
        <v/>
      </c>
      <c r="E71" s="15"/>
      <c r="F71" s="19" t="str">
        <f t="shared" si="3"/>
        <v/>
      </c>
      <c r="G71" s="9"/>
      <c r="H71" s="9"/>
    </row>
    <row r="72" spans="1:8" ht="24" customHeight="1">
      <c r="A72" s="5" t="str">
        <f t="shared" si="2"/>
        <v/>
      </c>
      <c r="B72" s="18"/>
      <c r="C72" s="9"/>
      <c r="D72" s="10" t="str">
        <f>IF($C72="","",ROUND(SUMIFS(الإدخالات!$D$2:$D$501,الإدخالات!$C$2:$C$501,$C72)+SUMIFS($F$1:F71,$C$1:C71,$C72)-SUMIFS('الصرف المباشر'!$D$2:$D$501,'الصرف المباشر'!$C$2:$C$501,$C72)-SUMPRODUCT((الطبخات!$B$2:$B$900=$C72)*الطبخات!$C$2:$C$900*COUNTIF('سجل الإنتاج'!$C$2:$C$501,الطبخات!$A$2:$A$900)),3))</f>
        <v/>
      </c>
      <c r="E72" s="15"/>
      <c r="F72" s="19" t="str">
        <f t="shared" si="3"/>
        <v/>
      </c>
      <c r="G72" s="9"/>
      <c r="H72" s="9"/>
    </row>
    <row r="73" spans="1:8" ht="24" customHeight="1">
      <c r="A73" s="5" t="str">
        <f t="shared" si="2"/>
        <v/>
      </c>
      <c r="B73" s="18"/>
      <c r="C73" s="9"/>
      <c r="D73" s="10" t="str">
        <f>IF($C73="","",ROUND(SUMIFS(الإدخالات!$D$2:$D$501,الإدخالات!$C$2:$C$501,$C73)+SUMIFS($F$1:F72,$C$1:C72,$C73)-SUMIFS('الصرف المباشر'!$D$2:$D$501,'الصرف المباشر'!$C$2:$C$501,$C73)-SUMPRODUCT((الطبخات!$B$2:$B$900=$C73)*الطبخات!$C$2:$C$900*COUNTIF('سجل الإنتاج'!$C$2:$C$501,الطبخات!$A$2:$A$900)),3))</f>
        <v/>
      </c>
      <c r="E73" s="15"/>
      <c r="F73" s="19" t="str">
        <f t="shared" si="3"/>
        <v/>
      </c>
      <c r="G73" s="9"/>
      <c r="H73" s="9"/>
    </row>
    <row r="74" spans="1:8" ht="24" customHeight="1">
      <c r="A74" s="5" t="str">
        <f t="shared" si="2"/>
        <v/>
      </c>
      <c r="B74" s="18"/>
      <c r="C74" s="9"/>
      <c r="D74" s="10" t="str">
        <f>IF($C74="","",ROUND(SUMIFS(الإدخالات!$D$2:$D$501,الإدخالات!$C$2:$C$501,$C74)+SUMIFS($F$1:F73,$C$1:C73,$C74)-SUMIFS('الصرف المباشر'!$D$2:$D$501,'الصرف المباشر'!$C$2:$C$501,$C74)-SUMPRODUCT((الطبخات!$B$2:$B$900=$C74)*الطبخات!$C$2:$C$900*COUNTIF('سجل الإنتاج'!$C$2:$C$501,الطبخات!$A$2:$A$900)),3))</f>
        <v/>
      </c>
      <c r="E74" s="15"/>
      <c r="F74" s="19" t="str">
        <f t="shared" si="3"/>
        <v/>
      </c>
      <c r="G74" s="9"/>
      <c r="H74" s="9"/>
    </row>
    <row r="75" spans="1:8" ht="24" customHeight="1">
      <c r="A75" s="5" t="str">
        <f t="shared" si="2"/>
        <v/>
      </c>
      <c r="B75" s="18"/>
      <c r="C75" s="9"/>
      <c r="D75" s="10" t="str">
        <f>IF($C75="","",ROUND(SUMIFS(الإدخالات!$D$2:$D$501,الإدخالات!$C$2:$C$501,$C75)+SUMIFS($F$1:F74,$C$1:C74,$C75)-SUMIFS('الصرف المباشر'!$D$2:$D$501,'الصرف المباشر'!$C$2:$C$501,$C75)-SUMPRODUCT((الطبخات!$B$2:$B$900=$C75)*الطبخات!$C$2:$C$900*COUNTIF('سجل الإنتاج'!$C$2:$C$501,الطبخات!$A$2:$A$900)),3))</f>
        <v/>
      </c>
      <c r="E75" s="15"/>
      <c r="F75" s="19" t="str">
        <f t="shared" si="3"/>
        <v/>
      </c>
      <c r="G75" s="9"/>
      <c r="H75" s="9"/>
    </row>
    <row r="76" spans="1:8" ht="24" customHeight="1">
      <c r="A76" s="5" t="str">
        <f t="shared" si="2"/>
        <v/>
      </c>
      <c r="B76" s="18"/>
      <c r="C76" s="9"/>
      <c r="D76" s="10" t="str">
        <f>IF($C76="","",ROUND(SUMIFS(الإدخالات!$D$2:$D$501,الإدخالات!$C$2:$C$501,$C76)+SUMIFS($F$1:F75,$C$1:C75,$C76)-SUMIFS('الصرف المباشر'!$D$2:$D$501,'الصرف المباشر'!$C$2:$C$501,$C76)-SUMPRODUCT((الطبخات!$B$2:$B$900=$C76)*الطبخات!$C$2:$C$900*COUNTIF('سجل الإنتاج'!$C$2:$C$501,الطبخات!$A$2:$A$900)),3))</f>
        <v/>
      </c>
      <c r="E76" s="15"/>
      <c r="F76" s="19" t="str">
        <f t="shared" si="3"/>
        <v/>
      </c>
      <c r="G76" s="9"/>
      <c r="H76" s="9"/>
    </row>
    <row r="77" spans="1:8" ht="24" customHeight="1">
      <c r="A77" s="5" t="str">
        <f t="shared" si="2"/>
        <v/>
      </c>
      <c r="B77" s="18"/>
      <c r="C77" s="9"/>
      <c r="D77" s="10" t="str">
        <f>IF($C77="","",ROUND(SUMIFS(الإدخالات!$D$2:$D$501,الإدخالات!$C$2:$C$501,$C77)+SUMIFS($F$1:F76,$C$1:C76,$C77)-SUMIFS('الصرف المباشر'!$D$2:$D$501,'الصرف المباشر'!$C$2:$C$501,$C77)-SUMPRODUCT((الطبخات!$B$2:$B$900=$C77)*الطبخات!$C$2:$C$900*COUNTIF('سجل الإنتاج'!$C$2:$C$501,الطبخات!$A$2:$A$900)),3))</f>
        <v/>
      </c>
      <c r="E77" s="15"/>
      <c r="F77" s="19" t="str">
        <f t="shared" si="3"/>
        <v/>
      </c>
      <c r="G77" s="9"/>
      <c r="H77" s="9"/>
    </row>
    <row r="78" spans="1:8" ht="24" customHeight="1">
      <c r="A78" s="5" t="str">
        <f t="shared" si="2"/>
        <v/>
      </c>
      <c r="B78" s="18"/>
      <c r="C78" s="9"/>
      <c r="D78" s="10" t="str">
        <f>IF($C78="","",ROUND(SUMIFS(الإدخالات!$D$2:$D$501,الإدخالات!$C$2:$C$501,$C78)+SUMIFS($F$1:F77,$C$1:C77,$C78)-SUMIFS('الصرف المباشر'!$D$2:$D$501,'الصرف المباشر'!$C$2:$C$501,$C78)-SUMPRODUCT((الطبخات!$B$2:$B$900=$C78)*الطبخات!$C$2:$C$900*COUNTIF('سجل الإنتاج'!$C$2:$C$501,الطبخات!$A$2:$A$900)),3))</f>
        <v/>
      </c>
      <c r="E78" s="15"/>
      <c r="F78" s="19" t="str">
        <f t="shared" si="3"/>
        <v/>
      </c>
      <c r="G78" s="9"/>
      <c r="H78" s="9"/>
    </row>
    <row r="79" spans="1:8" ht="24" customHeight="1">
      <c r="A79" s="5" t="str">
        <f t="shared" si="2"/>
        <v/>
      </c>
      <c r="B79" s="18"/>
      <c r="C79" s="9"/>
      <c r="D79" s="10" t="str">
        <f>IF($C79="","",ROUND(SUMIFS(الإدخالات!$D$2:$D$501,الإدخالات!$C$2:$C$501,$C79)+SUMIFS($F$1:F78,$C$1:C78,$C79)-SUMIFS('الصرف المباشر'!$D$2:$D$501,'الصرف المباشر'!$C$2:$C$501,$C79)-SUMPRODUCT((الطبخات!$B$2:$B$900=$C79)*الطبخات!$C$2:$C$900*COUNTIF('سجل الإنتاج'!$C$2:$C$501,الطبخات!$A$2:$A$900)),3))</f>
        <v/>
      </c>
      <c r="E79" s="15"/>
      <c r="F79" s="19" t="str">
        <f t="shared" si="3"/>
        <v/>
      </c>
      <c r="G79" s="9"/>
      <c r="H79" s="9"/>
    </row>
    <row r="80" spans="1:8" ht="24" customHeight="1">
      <c r="A80" s="5" t="str">
        <f t="shared" si="2"/>
        <v/>
      </c>
      <c r="B80" s="18"/>
      <c r="C80" s="9"/>
      <c r="D80" s="10" t="str">
        <f>IF($C80="","",ROUND(SUMIFS(الإدخالات!$D$2:$D$501,الإدخالات!$C$2:$C$501,$C80)+SUMIFS($F$1:F79,$C$1:C79,$C80)-SUMIFS('الصرف المباشر'!$D$2:$D$501,'الصرف المباشر'!$C$2:$C$501,$C80)-SUMPRODUCT((الطبخات!$B$2:$B$900=$C80)*الطبخات!$C$2:$C$900*COUNTIF('سجل الإنتاج'!$C$2:$C$501,الطبخات!$A$2:$A$900)),3))</f>
        <v/>
      </c>
      <c r="E80" s="15"/>
      <c r="F80" s="19" t="str">
        <f t="shared" si="3"/>
        <v/>
      </c>
      <c r="G80" s="9"/>
      <c r="H80" s="9"/>
    </row>
    <row r="81" spans="1:8" ht="24" customHeight="1">
      <c r="A81" s="5" t="str">
        <f t="shared" si="2"/>
        <v/>
      </c>
      <c r="B81" s="18"/>
      <c r="C81" s="9"/>
      <c r="D81" s="10" t="str">
        <f>IF($C81="","",ROUND(SUMIFS(الإدخالات!$D$2:$D$501,الإدخالات!$C$2:$C$501,$C81)+SUMIFS($F$1:F80,$C$1:C80,$C81)-SUMIFS('الصرف المباشر'!$D$2:$D$501,'الصرف المباشر'!$C$2:$C$501,$C81)-SUMPRODUCT((الطبخات!$B$2:$B$900=$C81)*الطبخات!$C$2:$C$900*COUNTIF('سجل الإنتاج'!$C$2:$C$501,الطبخات!$A$2:$A$900)),3))</f>
        <v/>
      </c>
      <c r="E81" s="15"/>
      <c r="F81" s="19" t="str">
        <f t="shared" si="3"/>
        <v/>
      </c>
      <c r="G81" s="9"/>
      <c r="H81" s="9"/>
    </row>
    <row r="82" spans="1:8" ht="24" customHeight="1">
      <c r="A82" s="5" t="str">
        <f t="shared" si="2"/>
        <v/>
      </c>
      <c r="B82" s="18"/>
      <c r="C82" s="9"/>
      <c r="D82" s="10" t="str">
        <f>IF($C82="","",ROUND(SUMIFS(الإدخالات!$D$2:$D$501,الإدخالات!$C$2:$C$501,$C82)+SUMIFS($F$1:F81,$C$1:C81,$C82)-SUMIFS('الصرف المباشر'!$D$2:$D$501,'الصرف المباشر'!$C$2:$C$501,$C82)-SUMPRODUCT((الطبخات!$B$2:$B$900=$C82)*الطبخات!$C$2:$C$900*COUNTIF('سجل الإنتاج'!$C$2:$C$501,الطبخات!$A$2:$A$900)),3))</f>
        <v/>
      </c>
      <c r="E82" s="15"/>
      <c r="F82" s="19" t="str">
        <f t="shared" si="3"/>
        <v/>
      </c>
      <c r="G82" s="9"/>
      <c r="H82" s="9"/>
    </row>
    <row r="83" spans="1:8" ht="24" customHeight="1">
      <c r="A83" s="5" t="str">
        <f t="shared" si="2"/>
        <v/>
      </c>
      <c r="B83" s="18"/>
      <c r="C83" s="9"/>
      <c r="D83" s="10" t="str">
        <f>IF($C83="","",ROUND(SUMIFS(الإدخالات!$D$2:$D$501,الإدخالات!$C$2:$C$501,$C83)+SUMIFS($F$1:F82,$C$1:C82,$C83)-SUMIFS('الصرف المباشر'!$D$2:$D$501,'الصرف المباشر'!$C$2:$C$501,$C83)-SUMPRODUCT((الطبخات!$B$2:$B$900=$C83)*الطبخات!$C$2:$C$900*COUNTIF('سجل الإنتاج'!$C$2:$C$501,الطبخات!$A$2:$A$900)),3))</f>
        <v/>
      </c>
      <c r="E83" s="15"/>
      <c r="F83" s="19" t="str">
        <f t="shared" si="3"/>
        <v/>
      </c>
      <c r="G83" s="9"/>
      <c r="H83" s="9"/>
    </row>
    <row r="84" spans="1:8" ht="24" customHeight="1">
      <c r="A84" s="5" t="str">
        <f t="shared" si="2"/>
        <v/>
      </c>
      <c r="B84" s="18"/>
      <c r="C84" s="9"/>
      <c r="D84" s="10" t="str">
        <f>IF($C84="","",ROUND(SUMIFS(الإدخالات!$D$2:$D$501,الإدخالات!$C$2:$C$501,$C84)+SUMIFS($F$1:F83,$C$1:C83,$C84)-SUMIFS('الصرف المباشر'!$D$2:$D$501,'الصرف المباشر'!$C$2:$C$501,$C84)-SUMPRODUCT((الطبخات!$B$2:$B$900=$C84)*الطبخات!$C$2:$C$900*COUNTIF('سجل الإنتاج'!$C$2:$C$501,الطبخات!$A$2:$A$900)),3))</f>
        <v/>
      </c>
      <c r="E84" s="15"/>
      <c r="F84" s="19" t="str">
        <f t="shared" si="3"/>
        <v/>
      </c>
      <c r="G84" s="9"/>
      <c r="H84" s="9"/>
    </row>
    <row r="85" spans="1:8" ht="24" customHeight="1">
      <c r="A85" s="5" t="str">
        <f t="shared" si="2"/>
        <v/>
      </c>
      <c r="B85" s="18"/>
      <c r="C85" s="9"/>
      <c r="D85" s="10" t="str">
        <f>IF($C85="","",ROUND(SUMIFS(الإدخالات!$D$2:$D$501,الإدخالات!$C$2:$C$501,$C85)+SUMIFS($F$1:F84,$C$1:C84,$C85)-SUMIFS('الصرف المباشر'!$D$2:$D$501,'الصرف المباشر'!$C$2:$C$501,$C85)-SUMPRODUCT((الطبخات!$B$2:$B$900=$C85)*الطبخات!$C$2:$C$900*COUNTIF('سجل الإنتاج'!$C$2:$C$501,الطبخات!$A$2:$A$900)),3))</f>
        <v/>
      </c>
      <c r="E85" s="15"/>
      <c r="F85" s="19" t="str">
        <f t="shared" si="3"/>
        <v/>
      </c>
      <c r="G85" s="9"/>
      <c r="H85" s="9"/>
    </row>
    <row r="86" spans="1:8" ht="24" customHeight="1">
      <c r="A86" s="5" t="str">
        <f t="shared" si="2"/>
        <v/>
      </c>
      <c r="B86" s="18"/>
      <c r="C86" s="9"/>
      <c r="D86" s="10" t="str">
        <f>IF($C86="","",ROUND(SUMIFS(الإدخالات!$D$2:$D$501,الإدخالات!$C$2:$C$501,$C86)+SUMIFS($F$1:F85,$C$1:C85,$C86)-SUMIFS('الصرف المباشر'!$D$2:$D$501,'الصرف المباشر'!$C$2:$C$501,$C86)-SUMPRODUCT((الطبخات!$B$2:$B$900=$C86)*الطبخات!$C$2:$C$900*COUNTIF('سجل الإنتاج'!$C$2:$C$501,الطبخات!$A$2:$A$900)),3))</f>
        <v/>
      </c>
      <c r="E86" s="15"/>
      <c r="F86" s="19" t="str">
        <f t="shared" si="3"/>
        <v/>
      </c>
      <c r="G86" s="9"/>
      <c r="H86" s="9"/>
    </row>
    <row r="87" spans="1:8" ht="24" customHeight="1">
      <c r="A87" s="5" t="str">
        <f t="shared" si="2"/>
        <v/>
      </c>
      <c r="B87" s="18"/>
      <c r="C87" s="9"/>
      <c r="D87" s="10" t="str">
        <f>IF($C87="","",ROUND(SUMIFS(الإدخالات!$D$2:$D$501,الإدخالات!$C$2:$C$501,$C87)+SUMIFS($F$1:F86,$C$1:C86,$C87)-SUMIFS('الصرف المباشر'!$D$2:$D$501,'الصرف المباشر'!$C$2:$C$501,$C87)-SUMPRODUCT((الطبخات!$B$2:$B$900=$C87)*الطبخات!$C$2:$C$900*COUNTIF('سجل الإنتاج'!$C$2:$C$501,الطبخات!$A$2:$A$900)),3))</f>
        <v/>
      </c>
      <c r="E87" s="15"/>
      <c r="F87" s="19" t="str">
        <f t="shared" si="3"/>
        <v/>
      </c>
      <c r="G87" s="9"/>
      <c r="H87" s="9"/>
    </row>
    <row r="88" spans="1:8" ht="24" customHeight="1">
      <c r="A88" s="5" t="str">
        <f t="shared" si="2"/>
        <v/>
      </c>
      <c r="B88" s="18"/>
      <c r="C88" s="9"/>
      <c r="D88" s="10" t="str">
        <f>IF($C88="","",ROUND(SUMIFS(الإدخالات!$D$2:$D$501,الإدخالات!$C$2:$C$501,$C88)+SUMIFS($F$1:F87,$C$1:C87,$C88)-SUMIFS('الصرف المباشر'!$D$2:$D$501,'الصرف المباشر'!$C$2:$C$501,$C88)-SUMPRODUCT((الطبخات!$B$2:$B$900=$C88)*الطبخات!$C$2:$C$900*COUNTIF('سجل الإنتاج'!$C$2:$C$501,الطبخات!$A$2:$A$900)),3))</f>
        <v/>
      </c>
      <c r="E88" s="15"/>
      <c r="F88" s="19" t="str">
        <f t="shared" si="3"/>
        <v/>
      </c>
      <c r="G88" s="9"/>
      <c r="H88" s="9"/>
    </row>
    <row r="89" spans="1:8" ht="24" customHeight="1">
      <c r="A89" s="5" t="str">
        <f t="shared" si="2"/>
        <v/>
      </c>
      <c r="B89" s="18"/>
      <c r="C89" s="9"/>
      <c r="D89" s="10" t="str">
        <f>IF($C89="","",ROUND(SUMIFS(الإدخالات!$D$2:$D$501,الإدخالات!$C$2:$C$501,$C89)+SUMIFS($F$1:F88,$C$1:C88,$C89)-SUMIFS('الصرف المباشر'!$D$2:$D$501,'الصرف المباشر'!$C$2:$C$501,$C89)-SUMPRODUCT((الطبخات!$B$2:$B$900=$C89)*الطبخات!$C$2:$C$900*COUNTIF('سجل الإنتاج'!$C$2:$C$501,الطبخات!$A$2:$A$900)),3))</f>
        <v/>
      </c>
      <c r="E89" s="15"/>
      <c r="F89" s="19" t="str">
        <f t="shared" si="3"/>
        <v/>
      </c>
      <c r="G89" s="9"/>
      <c r="H89" s="9"/>
    </row>
    <row r="90" spans="1:8" ht="24" customHeight="1">
      <c r="A90" s="5" t="str">
        <f t="shared" si="2"/>
        <v/>
      </c>
      <c r="B90" s="18"/>
      <c r="C90" s="9"/>
      <c r="D90" s="10" t="str">
        <f>IF($C90="","",ROUND(SUMIFS(الإدخالات!$D$2:$D$501,الإدخالات!$C$2:$C$501,$C90)+SUMIFS($F$1:F89,$C$1:C89,$C90)-SUMIFS('الصرف المباشر'!$D$2:$D$501,'الصرف المباشر'!$C$2:$C$501,$C90)-SUMPRODUCT((الطبخات!$B$2:$B$900=$C90)*الطبخات!$C$2:$C$900*COUNTIF('سجل الإنتاج'!$C$2:$C$501,الطبخات!$A$2:$A$900)),3))</f>
        <v/>
      </c>
      <c r="E90" s="15"/>
      <c r="F90" s="19" t="str">
        <f t="shared" si="3"/>
        <v/>
      </c>
      <c r="G90" s="9"/>
      <c r="H90" s="9"/>
    </row>
    <row r="91" spans="1:8" ht="24" customHeight="1">
      <c r="A91" s="5" t="str">
        <f t="shared" si="2"/>
        <v/>
      </c>
      <c r="B91" s="18"/>
      <c r="C91" s="9"/>
      <c r="D91" s="10" t="str">
        <f>IF($C91="","",ROUND(SUMIFS(الإدخالات!$D$2:$D$501,الإدخالات!$C$2:$C$501,$C91)+SUMIFS($F$1:F90,$C$1:C90,$C91)-SUMIFS('الصرف المباشر'!$D$2:$D$501,'الصرف المباشر'!$C$2:$C$501,$C91)-SUMPRODUCT((الطبخات!$B$2:$B$900=$C91)*الطبخات!$C$2:$C$900*COUNTIF('سجل الإنتاج'!$C$2:$C$501,الطبخات!$A$2:$A$900)),3))</f>
        <v/>
      </c>
      <c r="E91" s="15"/>
      <c r="F91" s="19" t="str">
        <f t="shared" si="3"/>
        <v/>
      </c>
      <c r="G91" s="9"/>
      <c r="H91" s="9"/>
    </row>
    <row r="92" spans="1:8" ht="24" customHeight="1">
      <c r="A92" s="5" t="str">
        <f t="shared" si="2"/>
        <v/>
      </c>
      <c r="B92" s="18"/>
      <c r="C92" s="9"/>
      <c r="D92" s="10" t="str">
        <f>IF($C92="","",ROUND(SUMIFS(الإدخالات!$D$2:$D$501,الإدخالات!$C$2:$C$501,$C92)+SUMIFS($F$1:F91,$C$1:C91,$C92)-SUMIFS('الصرف المباشر'!$D$2:$D$501,'الصرف المباشر'!$C$2:$C$501,$C92)-SUMPRODUCT((الطبخات!$B$2:$B$900=$C92)*الطبخات!$C$2:$C$900*COUNTIF('سجل الإنتاج'!$C$2:$C$501,الطبخات!$A$2:$A$900)),3))</f>
        <v/>
      </c>
      <c r="E92" s="15"/>
      <c r="F92" s="19" t="str">
        <f t="shared" si="3"/>
        <v/>
      </c>
      <c r="G92" s="9"/>
      <c r="H92" s="9"/>
    </row>
    <row r="93" spans="1:8" ht="24" customHeight="1">
      <c r="A93" s="5" t="str">
        <f t="shared" si="2"/>
        <v/>
      </c>
      <c r="B93" s="18"/>
      <c r="C93" s="9"/>
      <c r="D93" s="10" t="str">
        <f>IF($C93="","",ROUND(SUMIFS(الإدخالات!$D$2:$D$501,الإدخالات!$C$2:$C$501,$C93)+SUMIFS($F$1:F92,$C$1:C92,$C93)-SUMIFS('الصرف المباشر'!$D$2:$D$501,'الصرف المباشر'!$C$2:$C$501,$C93)-SUMPRODUCT((الطبخات!$B$2:$B$900=$C93)*الطبخات!$C$2:$C$900*COUNTIF('سجل الإنتاج'!$C$2:$C$501,الطبخات!$A$2:$A$900)),3))</f>
        <v/>
      </c>
      <c r="E93" s="15"/>
      <c r="F93" s="19" t="str">
        <f t="shared" si="3"/>
        <v/>
      </c>
      <c r="G93" s="9"/>
      <c r="H93" s="9"/>
    </row>
    <row r="94" spans="1:8" ht="24" customHeight="1">
      <c r="A94" s="5" t="str">
        <f t="shared" si="2"/>
        <v/>
      </c>
      <c r="B94" s="18"/>
      <c r="C94" s="9"/>
      <c r="D94" s="10" t="str">
        <f>IF($C94="","",ROUND(SUMIFS(الإدخالات!$D$2:$D$501,الإدخالات!$C$2:$C$501,$C94)+SUMIFS($F$1:F93,$C$1:C93,$C94)-SUMIFS('الصرف المباشر'!$D$2:$D$501,'الصرف المباشر'!$C$2:$C$501,$C94)-SUMPRODUCT((الطبخات!$B$2:$B$900=$C94)*الطبخات!$C$2:$C$900*COUNTIF('سجل الإنتاج'!$C$2:$C$501,الطبخات!$A$2:$A$900)),3))</f>
        <v/>
      </c>
      <c r="E94" s="15"/>
      <c r="F94" s="19" t="str">
        <f t="shared" si="3"/>
        <v/>
      </c>
      <c r="G94" s="9"/>
      <c r="H94" s="9"/>
    </row>
    <row r="95" spans="1:8" ht="24" customHeight="1">
      <c r="A95" s="5" t="str">
        <f t="shared" si="2"/>
        <v/>
      </c>
      <c r="B95" s="18"/>
      <c r="C95" s="9"/>
      <c r="D95" s="10" t="str">
        <f>IF($C95="","",ROUND(SUMIFS(الإدخالات!$D$2:$D$501,الإدخالات!$C$2:$C$501,$C95)+SUMIFS($F$1:F94,$C$1:C94,$C95)-SUMIFS('الصرف المباشر'!$D$2:$D$501,'الصرف المباشر'!$C$2:$C$501,$C95)-SUMPRODUCT((الطبخات!$B$2:$B$900=$C95)*الطبخات!$C$2:$C$900*COUNTIF('سجل الإنتاج'!$C$2:$C$501,الطبخات!$A$2:$A$900)),3))</f>
        <v/>
      </c>
      <c r="E95" s="15"/>
      <c r="F95" s="19" t="str">
        <f t="shared" si="3"/>
        <v/>
      </c>
      <c r="G95" s="9"/>
      <c r="H95" s="9"/>
    </row>
    <row r="96" spans="1:8" ht="24" customHeight="1">
      <c r="A96" s="5" t="str">
        <f t="shared" si="2"/>
        <v/>
      </c>
      <c r="B96" s="18"/>
      <c r="C96" s="9"/>
      <c r="D96" s="10" t="str">
        <f>IF($C96="","",ROUND(SUMIFS(الإدخالات!$D$2:$D$501,الإدخالات!$C$2:$C$501,$C96)+SUMIFS($F$1:F95,$C$1:C95,$C96)-SUMIFS('الصرف المباشر'!$D$2:$D$501,'الصرف المباشر'!$C$2:$C$501,$C96)-SUMPRODUCT((الطبخات!$B$2:$B$900=$C96)*الطبخات!$C$2:$C$900*COUNTIF('سجل الإنتاج'!$C$2:$C$501,الطبخات!$A$2:$A$900)),3))</f>
        <v/>
      </c>
      <c r="E96" s="15"/>
      <c r="F96" s="19" t="str">
        <f t="shared" si="3"/>
        <v/>
      </c>
      <c r="G96" s="9"/>
      <c r="H96" s="9"/>
    </row>
    <row r="97" spans="1:8" ht="24" customHeight="1">
      <c r="A97" s="5" t="str">
        <f t="shared" si="2"/>
        <v/>
      </c>
      <c r="B97" s="18"/>
      <c r="C97" s="9"/>
      <c r="D97" s="10" t="str">
        <f>IF($C97="","",ROUND(SUMIFS(الإدخالات!$D$2:$D$501,الإدخالات!$C$2:$C$501,$C97)+SUMIFS($F$1:F96,$C$1:C96,$C97)-SUMIFS('الصرف المباشر'!$D$2:$D$501,'الصرف المباشر'!$C$2:$C$501,$C97)-SUMPRODUCT((الطبخات!$B$2:$B$900=$C97)*الطبخات!$C$2:$C$900*COUNTIF('سجل الإنتاج'!$C$2:$C$501,الطبخات!$A$2:$A$900)),3))</f>
        <v/>
      </c>
      <c r="E97" s="15"/>
      <c r="F97" s="19" t="str">
        <f t="shared" si="3"/>
        <v/>
      </c>
      <c r="G97" s="9"/>
      <c r="H97" s="9"/>
    </row>
    <row r="98" spans="1:8" ht="24" customHeight="1">
      <c r="A98" s="5" t="str">
        <f t="shared" si="2"/>
        <v/>
      </c>
      <c r="B98" s="18"/>
      <c r="C98" s="9"/>
      <c r="D98" s="10" t="str">
        <f>IF($C98="","",ROUND(SUMIFS(الإدخالات!$D$2:$D$501,الإدخالات!$C$2:$C$501,$C98)+SUMIFS($F$1:F97,$C$1:C97,$C98)-SUMIFS('الصرف المباشر'!$D$2:$D$501,'الصرف المباشر'!$C$2:$C$501,$C98)-SUMPRODUCT((الطبخات!$B$2:$B$900=$C98)*الطبخات!$C$2:$C$900*COUNTIF('سجل الإنتاج'!$C$2:$C$501,الطبخات!$A$2:$A$900)),3))</f>
        <v/>
      </c>
      <c r="E98" s="15"/>
      <c r="F98" s="19" t="str">
        <f t="shared" si="3"/>
        <v/>
      </c>
      <c r="G98" s="9"/>
      <c r="H98" s="9"/>
    </row>
    <row r="99" spans="1:8" ht="24" customHeight="1">
      <c r="A99" s="5" t="str">
        <f t="shared" si="2"/>
        <v/>
      </c>
      <c r="B99" s="18"/>
      <c r="C99" s="9"/>
      <c r="D99" s="10" t="str">
        <f>IF($C99="","",ROUND(SUMIFS(الإدخالات!$D$2:$D$501,الإدخالات!$C$2:$C$501,$C99)+SUMIFS($F$1:F98,$C$1:C98,$C99)-SUMIFS('الصرف المباشر'!$D$2:$D$501,'الصرف المباشر'!$C$2:$C$501,$C99)-SUMPRODUCT((الطبخات!$B$2:$B$900=$C99)*الطبخات!$C$2:$C$900*COUNTIF('سجل الإنتاج'!$C$2:$C$501,الطبخات!$A$2:$A$900)),3))</f>
        <v/>
      </c>
      <c r="E99" s="15"/>
      <c r="F99" s="19" t="str">
        <f t="shared" si="3"/>
        <v/>
      </c>
      <c r="G99" s="9"/>
      <c r="H99" s="9"/>
    </row>
    <row r="100" spans="1:8" ht="24" customHeight="1">
      <c r="A100" s="5" t="str">
        <f t="shared" si="2"/>
        <v/>
      </c>
      <c r="B100" s="18"/>
      <c r="C100" s="9"/>
      <c r="D100" s="10" t="str">
        <f>IF($C100="","",ROUND(SUMIFS(الإدخالات!$D$2:$D$501,الإدخالات!$C$2:$C$501,$C100)+SUMIFS($F$1:F99,$C$1:C99,$C100)-SUMIFS('الصرف المباشر'!$D$2:$D$501,'الصرف المباشر'!$C$2:$C$501,$C100)-SUMPRODUCT((الطبخات!$B$2:$B$900=$C100)*الطبخات!$C$2:$C$900*COUNTIF('سجل الإنتاج'!$C$2:$C$501,الطبخات!$A$2:$A$900)),3))</f>
        <v/>
      </c>
      <c r="E100" s="15"/>
      <c r="F100" s="19" t="str">
        <f t="shared" si="3"/>
        <v/>
      </c>
      <c r="G100" s="9"/>
      <c r="H100" s="9"/>
    </row>
    <row r="101" spans="1:8" ht="24" customHeight="1">
      <c r="A101" s="5" t="str">
        <f t="shared" si="2"/>
        <v/>
      </c>
      <c r="B101" s="18"/>
      <c r="C101" s="9"/>
      <c r="D101" s="10" t="str">
        <f>IF($C101="","",ROUND(SUMIFS(الإدخالات!$D$2:$D$501,الإدخالات!$C$2:$C$501,$C101)+SUMIFS($F$1:F100,$C$1:C100,$C101)-SUMIFS('الصرف المباشر'!$D$2:$D$501,'الصرف المباشر'!$C$2:$C$501,$C101)-SUMPRODUCT((الطبخات!$B$2:$B$900=$C101)*الطبخات!$C$2:$C$900*COUNTIF('سجل الإنتاج'!$C$2:$C$501,الطبخات!$A$2:$A$900)),3))</f>
        <v/>
      </c>
      <c r="E101" s="15"/>
      <c r="F101" s="19" t="str">
        <f t="shared" si="3"/>
        <v/>
      </c>
      <c r="G101" s="9"/>
      <c r="H101" s="9"/>
    </row>
    <row r="102" spans="1:8" ht="24" customHeight="1">
      <c r="A102" s="5" t="str">
        <f t="shared" si="2"/>
        <v/>
      </c>
      <c r="B102" s="18"/>
      <c r="C102" s="9"/>
      <c r="D102" s="10" t="str">
        <f>IF($C102="","",ROUND(SUMIFS(الإدخالات!$D$2:$D$501,الإدخالات!$C$2:$C$501,$C102)+SUMIFS($F$1:F101,$C$1:C101,$C102)-SUMIFS('الصرف المباشر'!$D$2:$D$501,'الصرف المباشر'!$C$2:$C$501,$C102)-SUMPRODUCT((الطبخات!$B$2:$B$900=$C102)*الطبخات!$C$2:$C$900*COUNTIF('سجل الإنتاج'!$C$2:$C$501,الطبخات!$A$2:$A$900)),3))</f>
        <v/>
      </c>
      <c r="E102" s="15"/>
      <c r="F102" s="19" t="str">
        <f t="shared" si="3"/>
        <v/>
      </c>
      <c r="G102" s="9"/>
      <c r="H102" s="9"/>
    </row>
    <row r="103" spans="1:8" ht="24" customHeight="1">
      <c r="A103" s="5" t="str">
        <f t="shared" si="2"/>
        <v/>
      </c>
      <c r="B103" s="18"/>
      <c r="C103" s="9"/>
      <c r="D103" s="10" t="str">
        <f>IF($C103="","",ROUND(SUMIFS(الإدخالات!$D$2:$D$501,الإدخالات!$C$2:$C$501,$C103)+SUMIFS($F$1:F102,$C$1:C102,$C103)-SUMIFS('الصرف المباشر'!$D$2:$D$501,'الصرف المباشر'!$C$2:$C$501,$C103)-SUMPRODUCT((الطبخات!$B$2:$B$900=$C103)*الطبخات!$C$2:$C$900*COUNTIF('سجل الإنتاج'!$C$2:$C$501,الطبخات!$A$2:$A$900)),3))</f>
        <v/>
      </c>
      <c r="E103" s="15"/>
      <c r="F103" s="19" t="str">
        <f t="shared" si="3"/>
        <v/>
      </c>
      <c r="G103" s="9"/>
      <c r="H103" s="9"/>
    </row>
    <row r="104" spans="1:8" ht="24" customHeight="1">
      <c r="A104" s="5" t="str">
        <f t="shared" si="2"/>
        <v/>
      </c>
      <c r="B104" s="18"/>
      <c r="C104" s="9"/>
      <c r="D104" s="10" t="str">
        <f>IF($C104="","",ROUND(SUMIFS(الإدخالات!$D$2:$D$501,الإدخالات!$C$2:$C$501,$C104)+SUMIFS($F$1:F103,$C$1:C103,$C104)-SUMIFS('الصرف المباشر'!$D$2:$D$501,'الصرف المباشر'!$C$2:$C$501,$C104)-SUMPRODUCT((الطبخات!$B$2:$B$900=$C104)*الطبخات!$C$2:$C$900*COUNTIF('سجل الإنتاج'!$C$2:$C$501,الطبخات!$A$2:$A$900)),3))</f>
        <v/>
      </c>
      <c r="E104" s="15"/>
      <c r="F104" s="19" t="str">
        <f t="shared" si="3"/>
        <v/>
      </c>
      <c r="G104" s="9"/>
      <c r="H104" s="9"/>
    </row>
    <row r="105" spans="1:8" ht="24" customHeight="1">
      <c r="A105" s="5" t="str">
        <f t="shared" si="2"/>
        <v/>
      </c>
      <c r="B105" s="18"/>
      <c r="C105" s="9"/>
      <c r="D105" s="10" t="str">
        <f>IF($C105="","",ROUND(SUMIFS(الإدخالات!$D$2:$D$501,الإدخالات!$C$2:$C$501,$C105)+SUMIFS($F$1:F104,$C$1:C104,$C105)-SUMIFS('الصرف المباشر'!$D$2:$D$501,'الصرف المباشر'!$C$2:$C$501,$C105)-SUMPRODUCT((الطبخات!$B$2:$B$900=$C105)*الطبخات!$C$2:$C$900*COUNTIF('سجل الإنتاج'!$C$2:$C$501,الطبخات!$A$2:$A$900)),3))</f>
        <v/>
      </c>
      <c r="E105" s="15"/>
      <c r="F105" s="19" t="str">
        <f t="shared" si="3"/>
        <v/>
      </c>
      <c r="G105" s="9"/>
      <c r="H105" s="9"/>
    </row>
    <row r="106" spans="1:8" ht="24" customHeight="1">
      <c r="A106" s="5" t="str">
        <f t="shared" si="2"/>
        <v/>
      </c>
      <c r="B106" s="18"/>
      <c r="C106" s="9"/>
      <c r="D106" s="10" t="str">
        <f>IF($C106="","",ROUND(SUMIFS(الإدخالات!$D$2:$D$501,الإدخالات!$C$2:$C$501,$C106)+SUMIFS($F$1:F105,$C$1:C105,$C106)-SUMIFS('الصرف المباشر'!$D$2:$D$501,'الصرف المباشر'!$C$2:$C$501,$C106)-SUMPRODUCT((الطبخات!$B$2:$B$900=$C106)*الطبخات!$C$2:$C$900*COUNTIF('سجل الإنتاج'!$C$2:$C$501,الطبخات!$A$2:$A$900)),3))</f>
        <v/>
      </c>
      <c r="E106" s="15"/>
      <c r="F106" s="19" t="str">
        <f t="shared" si="3"/>
        <v/>
      </c>
      <c r="G106" s="9"/>
      <c r="H106" s="9"/>
    </row>
    <row r="107" spans="1:8" ht="24" customHeight="1">
      <c r="A107" s="5" t="str">
        <f t="shared" si="2"/>
        <v/>
      </c>
      <c r="B107" s="18"/>
      <c r="C107" s="9"/>
      <c r="D107" s="10" t="str">
        <f>IF($C107="","",ROUND(SUMIFS(الإدخالات!$D$2:$D$501,الإدخالات!$C$2:$C$501,$C107)+SUMIFS($F$1:F106,$C$1:C106,$C107)-SUMIFS('الصرف المباشر'!$D$2:$D$501,'الصرف المباشر'!$C$2:$C$501,$C107)-SUMPRODUCT((الطبخات!$B$2:$B$900=$C107)*الطبخات!$C$2:$C$900*COUNTIF('سجل الإنتاج'!$C$2:$C$501,الطبخات!$A$2:$A$900)),3))</f>
        <v/>
      </c>
      <c r="E107" s="15"/>
      <c r="F107" s="19" t="str">
        <f t="shared" si="3"/>
        <v/>
      </c>
      <c r="G107" s="9"/>
      <c r="H107" s="9"/>
    </row>
    <row r="108" spans="1:8" ht="24" customHeight="1">
      <c r="A108" s="5" t="str">
        <f t="shared" si="2"/>
        <v/>
      </c>
      <c r="B108" s="18"/>
      <c r="C108" s="9"/>
      <c r="D108" s="10" t="str">
        <f>IF($C108="","",ROUND(SUMIFS(الإدخالات!$D$2:$D$501,الإدخالات!$C$2:$C$501,$C108)+SUMIFS($F$1:F107,$C$1:C107,$C108)-SUMIFS('الصرف المباشر'!$D$2:$D$501,'الصرف المباشر'!$C$2:$C$501,$C108)-SUMPRODUCT((الطبخات!$B$2:$B$900=$C108)*الطبخات!$C$2:$C$900*COUNTIF('سجل الإنتاج'!$C$2:$C$501,الطبخات!$A$2:$A$900)),3))</f>
        <v/>
      </c>
      <c r="E108" s="15"/>
      <c r="F108" s="19" t="str">
        <f t="shared" si="3"/>
        <v/>
      </c>
      <c r="G108" s="9"/>
      <c r="H108" s="9"/>
    </row>
    <row r="109" spans="1:8" ht="24" customHeight="1">
      <c r="A109" s="5" t="str">
        <f t="shared" si="2"/>
        <v/>
      </c>
      <c r="B109" s="18"/>
      <c r="C109" s="9"/>
      <c r="D109" s="10" t="str">
        <f>IF($C109="","",ROUND(SUMIFS(الإدخالات!$D$2:$D$501,الإدخالات!$C$2:$C$501,$C109)+SUMIFS($F$1:F108,$C$1:C108,$C109)-SUMIFS('الصرف المباشر'!$D$2:$D$501,'الصرف المباشر'!$C$2:$C$501,$C109)-SUMPRODUCT((الطبخات!$B$2:$B$900=$C109)*الطبخات!$C$2:$C$900*COUNTIF('سجل الإنتاج'!$C$2:$C$501,الطبخات!$A$2:$A$900)),3))</f>
        <v/>
      </c>
      <c r="E109" s="15"/>
      <c r="F109" s="19" t="str">
        <f t="shared" si="3"/>
        <v/>
      </c>
      <c r="G109" s="9"/>
      <c r="H109" s="9"/>
    </row>
    <row r="110" spans="1:8" ht="24" customHeight="1">
      <c r="A110" s="5" t="str">
        <f t="shared" si="2"/>
        <v/>
      </c>
      <c r="B110" s="18"/>
      <c r="C110" s="9"/>
      <c r="D110" s="10" t="str">
        <f>IF($C110="","",ROUND(SUMIFS(الإدخالات!$D$2:$D$501,الإدخالات!$C$2:$C$501,$C110)+SUMIFS($F$1:F109,$C$1:C109,$C110)-SUMIFS('الصرف المباشر'!$D$2:$D$501,'الصرف المباشر'!$C$2:$C$501,$C110)-SUMPRODUCT((الطبخات!$B$2:$B$900=$C110)*الطبخات!$C$2:$C$900*COUNTIF('سجل الإنتاج'!$C$2:$C$501,الطبخات!$A$2:$A$900)),3))</f>
        <v/>
      </c>
      <c r="E110" s="15"/>
      <c r="F110" s="19" t="str">
        <f t="shared" si="3"/>
        <v/>
      </c>
      <c r="G110" s="9"/>
      <c r="H110" s="9"/>
    </row>
    <row r="111" spans="1:8" ht="24" customHeight="1">
      <c r="A111" s="5" t="str">
        <f t="shared" si="2"/>
        <v/>
      </c>
      <c r="B111" s="18"/>
      <c r="C111" s="9"/>
      <c r="D111" s="10" t="str">
        <f>IF($C111="","",ROUND(SUMIFS(الإدخالات!$D$2:$D$501,الإدخالات!$C$2:$C$501,$C111)+SUMIFS($F$1:F110,$C$1:C110,$C111)-SUMIFS('الصرف المباشر'!$D$2:$D$501,'الصرف المباشر'!$C$2:$C$501,$C111)-SUMPRODUCT((الطبخات!$B$2:$B$900=$C111)*الطبخات!$C$2:$C$900*COUNTIF('سجل الإنتاج'!$C$2:$C$501,الطبخات!$A$2:$A$900)),3))</f>
        <v/>
      </c>
      <c r="E111" s="15"/>
      <c r="F111" s="19" t="str">
        <f t="shared" si="3"/>
        <v/>
      </c>
      <c r="G111" s="9"/>
      <c r="H111" s="9"/>
    </row>
    <row r="112" spans="1:8" ht="24" customHeight="1">
      <c r="A112" s="5" t="str">
        <f t="shared" si="2"/>
        <v/>
      </c>
      <c r="B112" s="18"/>
      <c r="C112" s="9"/>
      <c r="D112" s="10" t="str">
        <f>IF($C112="","",ROUND(SUMIFS(الإدخالات!$D$2:$D$501,الإدخالات!$C$2:$C$501,$C112)+SUMIFS($F$1:F111,$C$1:C111,$C112)-SUMIFS('الصرف المباشر'!$D$2:$D$501,'الصرف المباشر'!$C$2:$C$501,$C112)-SUMPRODUCT((الطبخات!$B$2:$B$900=$C112)*الطبخات!$C$2:$C$900*COUNTIF('سجل الإنتاج'!$C$2:$C$501,الطبخات!$A$2:$A$900)),3))</f>
        <v/>
      </c>
      <c r="E112" s="15"/>
      <c r="F112" s="19" t="str">
        <f t="shared" si="3"/>
        <v/>
      </c>
      <c r="G112" s="9"/>
      <c r="H112" s="9"/>
    </row>
    <row r="113" spans="1:8" ht="24" customHeight="1">
      <c r="A113" s="5" t="str">
        <f t="shared" si="2"/>
        <v/>
      </c>
      <c r="B113" s="18"/>
      <c r="C113" s="9"/>
      <c r="D113" s="10" t="str">
        <f>IF($C113="","",ROUND(SUMIFS(الإدخالات!$D$2:$D$501,الإدخالات!$C$2:$C$501,$C113)+SUMIFS($F$1:F112,$C$1:C112,$C113)-SUMIFS('الصرف المباشر'!$D$2:$D$501,'الصرف المباشر'!$C$2:$C$501,$C113)-SUMPRODUCT((الطبخات!$B$2:$B$900=$C113)*الطبخات!$C$2:$C$900*COUNTIF('سجل الإنتاج'!$C$2:$C$501,الطبخات!$A$2:$A$900)),3))</f>
        <v/>
      </c>
      <c r="E113" s="15"/>
      <c r="F113" s="19" t="str">
        <f t="shared" si="3"/>
        <v/>
      </c>
      <c r="G113" s="9"/>
      <c r="H113" s="9"/>
    </row>
    <row r="114" spans="1:8" ht="24" customHeight="1">
      <c r="A114" s="5" t="str">
        <f t="shared" si="2"/>
        <v/>
      </c>
      <c r="B114" s="18"/>
      <c r="C114" s="9"/>
      <c r="D114" s="10" t="str">
        <f>IF($C114="","",ROUND(SUMIFS(الإدخالات!$D$2:$D$501,الإدخالات!$C$2:$C$501,$C114)+SUMIFS($F$1:F113,$C$1:C113,$C114)-SUMIFS('الصرف المباشر'!$D$2:$D$501,'الصرف المباشر'!$C$2:$C$501,$C114)-SUMPRODUCT((الطبخات!$B$2:$B$900=$C114)*الطبخات!$C$2:$C$900*COUNTIF('سجل الإنتاج'!$C$2:$C$501,الطبخات!$A$2:$A$900)),3))</f>
        <v/>
      </c>
      <c r="E114" s="15"/>
      <c r="F114" s="19" t="str">
        <f t="shared" si="3"/>
        <v/>
      </c>
      <c r="G114" s="9"/>
      <c r="H114" s="9"/>
    </row>
    <row r="115" spans="1:8" ht="24" customHeight="1">
      <c r="A115" s="5" t="str">
        <f t="shared" si="2"/>
        <v/>
      </c>
      <c r="B115" s="18"/>
      <c r="C115" s="9"/>
      <c r="D115" s="10" t="str">
        <f>IF($C115="","",ROUND(SUMIFS(الإدخالات!$D$2:$D$501,الإدخالات!$C$2:$C$501,$C115)+SUMIFS($F$1:F114,$C$1:C114,$C115)-SUMIFS('الصرف المباشر'!$D$2:$D$501,'الصرف المباشر'!$C$2:$C$501,$C115)-SUMPRODUCT((الطبخات!$B$2:$B$900=$C115)*الطبخات!$C$2:$C$900*COUNTIF('سجل الإنتاج'!$C$2:$C$501,الطبخات!$A$2:$A$900)),3))</f>
        <v/>
      </c>
      <c r="E115" s="15"/>
      <c r="F115" s="19" t="str">
        <f t="shared" si="3"/>
        <v/>
      </c>
      <c r="G115" s="9"/>
      <c r="H115" s="9"/>
    </row>
    <row r="116" spans="1:8" ht="24" customHeight="1">
      <c r="A116" s="5" t="str">
        <f t="shared" si="2"/>
        <v/>
      </c>
      <c r="B116" s="18"/>
      <c r="C116" s="9"/>
      <c r="D116" s="10" t="str">
        <f>IF($C116="","",ROUND(SUMIFS(الإدخالات!$D$2:$D$501,الإدخالات!$C$2:$C$501,$C116)+SUMIFS($F$1:F115,$C$1:C115,$C116)-SUMIFS('الصرف المباشر'!$D$2:$D$501,'الصرف المباشر'!$C$2:$C$501,$C116)-SUMPRODUCT((الطبخات!$B$2:$B$900=$C116)*الطبخات!$C$2:$C$900*COUNTIF('سجل الإنتاج'!$C$2:$C$501,الطبخات!$A$2:$A$900)),3))</f>
        <v/>
      </c>
      <c r="E116" s="15"/>
      <c r="F116" s="19" t="str">
        <f t="shared" si="3"/>
        <v/>
      </c>
      <c r="G116" s="9"/>
      <c r="H116" s="9"/>
    </row>
    <row r="117" spans="1:8" ht="24" customHeight="1">
      <c r="A117" s="5" t="str">
        <f t="shared" si="2"/>
        <v/>
      </c>
      <c r="B117" s="18"/>
      <c r="C117" s="9"/>
      <c r="D117" s="10" t="str">
        <f>IF($C117="","",ROUND(SUMIFS(الإدخالات!$D$2:$D$501,الإدخالات!$C$2:$C$501,$C117)+SUMIFS($F$1:F116,$C$1:C116,$C117)-SUMIFS('الصرف المباشر'!$D$2:$D$501,'الصرف المباشر'!$C$2:$C$501,$C117)-SUMPRODUCT((الطبخات!$B$2:$B$900=$C117)*الطبخات!$C$2:$C$900*COUNTIF('سجل الإنتاج'!$C$2:$C$501,الطبخات!$A$2:$A$900)),3))</f>
        <v/>
      </c>
      <c r="E117" s="15"/>
      <c r="F117" s="19" t="str">
        <f t="shared" si="3"/>
        <v/>
      </c>
      <c r="G117" s="9"/>
      <c r="H117" s="9"/>
    </row>
    <row r="118" spans="1:8" ht="24" customHeight="1">
      <c r="A118" s="5" t="str">
        <f t="shared" si="2"/>
        <v/>
      </c>
      <c r="B118" s="18"/>
      <c r="C118" s="9"/>
      <c r="D118" s="10" t="str">
        <f>IF($C118="","",ROUND(SUMIFS(الإدخالات!$D$2:$D$501,الإدخالات!$C$2:$C$501,$C118)+SUMIFS($F$1:F117,$C$1:C117,$C118)-SUMIFS('الصرف المباشر'!$D$2:$D$501,'الصرف المباشر'!$C$2:$C$501,$C118)-SUMPRODUCT((الطبخات!$B$2:$B$900=$C118)*الطبخات!$C$2:$C$900*COUNTIF('سجل الإنتاج'!$C$2:$C$501,الطبخات!$A$2:$A$900)),3))</f>
        <v/>
      </c>
      <c r="E118" s="15"/>
      <c r="F118" s="19" t="str">
        <f t="shared" si="3"/>
        <v/>
      </c>
      <c r="G118" s="9"/>
      <c r="H118" s="9"/>
    </row>
    <row r="119" spans="1:8" ht="24" customHeight="1">
      <c r="A119" s="5" t="str">
        <f t="shared" si="2"/>
        <v/>
      </c>
      <c r="B119" s="18"/>
      <c r="C119" s="9"/>
      <c r="D119" s="10" t="str">
        <f>IF($C119="","",ROUND(SUMIFS(الإدخالات!$D$2:$D$501,الإدخالات!$C$2:$C$501,$C119)+SUMIFS($F$1:F118,$C$1:C118,$C119)-SUMIFS('الصرف المباشر'!$D$2:$D$501,'الصرف المباشر'!$C$2:$C$501,$C119)-SUMPRODUCT((الطبخات!$B$2:$B$900=$C119)*الطبخات!$C$2:$C$900*COUNTIF('سجل الإنتاج'!$C$2:$C$501,الطبخات!$A$2:$A$900)),3))</f>
        <v/>
      </c>
      <c r="E119" s="15"/>
      <c r="F119" s="19" t="str">
        <f t="shared" si="3"/>
        <v/>
      </c>
      <c r="G119" s="9"/>
      <c r="H119" s="9"/>
    </row>
    <row r="120" spans="1:8" ht="24" customHeight="1">
      <c r="A120" s="5" t="str">
        <f t="shared" si="2"/>
        <v/>
      </c>
      <c r="B120" s="18"/>
      <c r="C120" s="9"/>
      <c r="D120" s="10" t="str">
        <f>IF($C120="","",ROUND(SUMIFS(الإدخالات!$D$2:$D$501,الإدخالات!$C$2:$C$501,$C120)+SUMIFS($F$1:F119,$C$1:C119,$C120)-SUMIFS('الصرف المباشر'!$D$2:$D$501,'الصرف المباشر'!$C$2:$C$501,$C120)-SUMPRODUCT((الطبخات!$B$2:$B$900=$C120)*الطبخات!$C$2:$C$900*COUNTIF('سجل الإنتاج'!$C$2:$C$501,الطبخات!$A$2:$A$900)),3))</f>
        <v/>
      </c>
      <c r="E120" s="15"/>
      <c r="F120" s="19" t="str">
        <f t="shared" si="3"/>
        <v/>
      </c>
      <c r="G120" s="9"/>
      <c r="H120" s="9"/>
    </row>
    <row r="121" spans="1:8" ht="24" customHeight="1">
      <c r="A121" s="5" t="str">
        <f t="shared" si="2"/>
        <v/>
      </c>
      <c r="B121" s="18"/>
      <c r="C121" s="9"/>
      <c r="D121" s="10" t="str">
        <f>IF($C121="","",ROUND(SUMIFS(الإدخالات!$D$2:$D$501,الإدخالات!$C$2:$C$501,$C121)+SUMIFS($F$1:F120,$C$1:C120,$C121)-SUMIFS('الصرف المباشر'!$D$2:$D$501,'الصرف المباشر'!$C$2:$C$501,$C121)-SUMPRODUCT((الطبخات!$B$2:$B$900=$C121)*الطبخات!$C$2:$C$900*COUNTIF('سجل الإنتاج'!$C$2:$C$501,الطبخات!$A$2:$A$900)),3))</f>
        <v/>
      </c>
      <c r="E121" s="15"/>
      <c r="F121" s="19" t="str">
        <f t="shared" si="3"/>
        <v/>
      </c>
      <c r="G121" s="9"/>
      <c r="H121" s="9"/>
    </row>
    <row r="122" spans="1:8" ht="24" customHeight="1">
      <c r="A122" s="5" t="str">
        <f t="shared" si="2"/>
        <v/>
      </c>
      <c r="B122" s="18"/>
      <c r="C122" s="9"/>
      <c r="D122" s="10" t="str">
        <f>IF($C122="","",ROUND(SUMIFS(الإدخالات!$D$2:$D$501,الإدخالات!$C$2:$C$501,$C122)+SUMIFS($F$1:F121,$C$1:C121,$C122)-SUMIFS('الصرف المباشر'!$D$2:$D$501,'الصرف المباشر'!$C$2:$C$501,$C122)-SUMPRODUCT((الطبخات!$B$2:$B$900=$C122)*الطبخات!$C$2:$C$900*COUNTIF('سجل الإنتاج'!$C$2:$C$501,الطبخات!$A$2:$A$900)),3))</f>
        <v/>
      </c>
      <c r="E122" s="15"/>
      <c r="F122" s="19" t="str">
        <f t="shared" si="3"/>
        <v/>
      </c>
      <c r="G122" s="9"/>
      <c r="H122" s="9"/>
    </row>
    <row r="123" spans="1:8" ht="24" customHeight="1">
      <c r="A123" s="5" t="str">
        <f t="shared" si="2"/>
        <v/>
      </c>
      <c r="B123" s="18"/>
      <c r="C123" s="9"/>
      <c r="D123" s="10" t="str">
        <f>IF($C123="","",ROUND(SUMIFS(الإدخالات!$D$2:$D$501,الإدخالات!$C$2:$C$501,$C123)+SUMIFS($F$1:F122,$C$1:C122,$C123)-SUMIFS('الصرف المباشر'!$D$2:$D$501,'الصرف المباشر'!$C$2:$C$501,$C123)-SUMPRODUCT((الطبخات!$B$2:$B$900=$C123)*الطبخات!$C$2:$C$900*COUNTIF('سجل الإنتاج'!$C$2:$C$501,الطبخات!$A$2:$A$900)),3))</f>
        <v/>
      </c>
      <c r="E123" s="15"/>
      <c r="F123" s="19" t="str">
        <f t="shared" si="3"/>
        <v/>
      </c>
      <c r="G123" s="9"/>
      <c r="H123" s="9"/>
    </row>
    <row r="124" spans="1:8" ht="24" customHeight="1">
      <c r="A124" s="5" t="str">
        <f t="shared" si="2"/>
        <v/>
      </c>
      <c r="B124" s="18"/>
      <c r="C124" s="9"/>
      <c r="D124" s="10" t="str">
        <f>IF($C124="","",ROUND(SUMIFS(الإدخالات!$D$2:$D$501,الإدخالات!$C$2:$C$501,$C124)+SUMIFS($F$1:F123,$C$1:C123,$C124)-SUMIFS('الصرف المباشر'!$D$2:$D$501,'الصرف المباشر'!$C$2:$C$501,$C124)-SUMPRODUCT((الطبخات!$B$2:$B$900=$C124)*الطبخات!$C$2:$C$900*COUNTIF('سجل الإنتاج'!$C$2:$C$501,الطبخات!$A$2:$A$900)),3))</f>
        <v/>
      </c>
      <c r="E124" s="15"/>
      <c r="F124" s="19" t="str">
        <f t="shared" si="3"/>
        <v/>
      </c>
      <c r="G124" s="9"/>
      <c r="H124" s="9"/>
    </row>
    <row r="125" spans="1:8" ht="24" customHeight="1">
      <c r="A125" s="5" t="str">
        <f t="shared" si="2"/>
        <v/>
      </c>
      <c r="B125" s="18"/>
      <c r="C125" s="9"/>
      <c r="D125" s="10" t="str">
        <f>IF($C125="","",ROUND(SUMIFS(الإدخالات!$D$2:$D$501,الإدخالات!$C$2:$C$501,$C125)+SUMIFS($F$1:F124,$C$1:C124,$C125)-SUMIFS('الصرف المباشر'!$D$2:$D$501,'الصرف المباشر'!$C$2:$C$501,$C125)-SUMPRODUCT((الطبخات!$B$2:$B$900=$C125)*الطبخات!$C$2:$C$900*COUNTIF('سجل الإنتاج'!$C$2:$C$501,الطبخات!$A$2:$A$900)),3))</f>
        <v/>
      </c>
      <c r="E125" s="15"/>
      <c r="F125" s="19" t="str">
        <f t="shared" si="3"/>
        <v/>
      </c>
      <c r="G125" s="9"/>
      <c r="H125" s="9"/>
    </row>
    <row r="126" spans="1:8" ht="24" customHeight="1">
      <c r="A126" s="5" t="str">
        <f t="shared" si="2"/>
        <v/>
      </c>
      <c r="B126" s="18"/>
      <c r="C126" s="9"/>
      <c r="D126" s="10" t="str">
        <f>IF($C126="","",ROUND(SUMIFS(الإدخالات!$D$2:$D$501,الإدخالات!$C$2:$C$501,$C126)+SUMIFS($F$1:F125,$C$1:C125,$C126)-SUMIFS('الصرف المباشر'!$D$2:$D$501,'الصرف المباشر'!$C$2:$C$501,$C126)-SUMPRODUCT((الطبخات!$B$2:$B$900=$C126)*الطبخات!$C$2:$C$900*COUNTIF('سجل الإنتاج'!$C$2:$C$501,الطبخات!$A$2:$A$900)),3))</f>
        <v/>
      </c>
      <c r="E126" s="15"/>
      <c r="F126" s="19" t="str">
        <f t="shared" si="3"/>
        <v/>
      </c>
      <c r="G126" s="9"/>
      <c r="H126" s="9"/>
    </row>
    <row r="127" spans="1:8" ht="24" customHeight="1">
      <c r="A127" s="5" t="str">
        <f t="shared" si="2"/>
        <v/>
      </c>
      <c r="B127" s="18"/>
      <c r="C127" s="9"/>
      <c r="D127" s="10" t="str">
        <f>IF($C127="","",ROUND(SUMIFS(الإدخالات!$D$2:$D$501,الإدخالات!$C$2:$C$501,$C127)+SUMIFS($F$1:F126,$C$1:C126,$C127)-SUMIFS('الصرف المباشر'!$D$2:$D$501,'الصرف المباشر'!$C$2:$C$501,$C127)-SUMPRODUCT((الطبخات!$B$2:$B$900=$C127)*الطبخات!$C$2:$C$900*COUNTIF('سجل الإنتاج'!$C$2:$C$501,الطبخات!$A$2:$A$900)),3))</f>
        <v/>
      </c>
      <c r="E127" s="15"/>
      <c r="F127" s="19" t="str">
        <f t="shared" si="3"/>
        <v/>
      </c>
      <c r="G127" s="9"/>
      <c r="H127" s="9"/>
    </row>
    <row r="128" spans="1:8" ht="24" customHeight="1">
      <c r="A128" s="5" t="str">
        <f t="shared" si="2"/>
        <v/>
      </c>
      <c r="B128" s="18"/>
      <c r="C128" s="9"/>
      <c r="D128" s="10" t="str">
        <f>IF($C128="","",ROUND(SUMIFS(الإدخالات!$D$2:$D$501,الإدخالات!$C$2:$C$501,$C128)+SUMIFS($F$1:F127,$C$1:C127,$C128)-SUMIFS('الصرف المباشر'!$D$2:$D$501,'الصرف المباشر'!$C$2:$C$501,$C128)-SUMPRODUCT((الطبخات!$B$2:$B$900=$C128)*الطبخات!$C$2:$C$900*COUNTIF('سجل الإنتاج'!$C$2:$C$501,الطبخات!$A$2:$A$900)),3))</f>
        <v/>
      </c>
      <c r="E128" s="15"/>
      <c r="F128" s="19" t="str">
        <f t="shared" si="3"/>
        <v/>
      </c>
      <c r="G128" s="9"/>
      <c r="H128" s="9"/>
    </row>
    <row r="129" spans="1:8" ht="24" customHeight="1">
      <c r="A129" s="5" t="str">
        <f t="shared" si="2"/>
        <v/>
      </c>
      <c r="B129" s="18"/>
      <c r="C129" s="9"/>
      <c r="D129" s="10" t="str">
        <f>IF($C129="","",ROUND(SUMIFS(الإدخالات!$D$2:$D$501,الإدخالات!$C$2:$C$501,$C129)+SUMIFS($F$1:F128,$C$1:C128,$C129)-SUMIFS('الصرف المباشر'!$D$2:$D$501,'الصرف المباشر'!$C$2:$C$501,$C129)-SUMPRODUCT((الطبخات!$B$2:$B$900=$C129)*الطبخات!$C$2:$C$900*COUNTIF('سجل الإنتاج'!$C$2:$C$501,الطبخات!$A$2:$A$900)),3))</f>
        <v/>
      </c>
      <c r="E129" s="15"/>
      <c r="F129" s="19" t="str">
        <f t="shared" si="3"/>
        <v/>
      </c>
      <c r="G129" s="9"/>
      <c r="H129" s="9"/>
    </row>
    <row r="130" spans="1:8" ht="24" customHeight="1">
      <c r="A130" s="5" t="str">
        <f t="shared" ref="A130:A193" si="4">IF(C130="","",ROW()-1)</f>
        <v/>
      </c>
      <c r="B130" s="18"/>
      <c r="C130" s="9"/>
      <c r="D130" s="10" t="str">
        <f>IF($C130="","",ROUND(SUMIFS(الإدخالات!$D$2:$D$501,الإدخالات!$C$2:$C$501,$C130)+SUMIFS($F$1:F129,$C$1:C129,$C130)-SUMIFS('الصرف المباشر'!$D$2:$D$501,'الصرف المباشر'!$C$2:$C$501,$C130)-SUMPRODUCT((الطبخات!$B$2:$B$900=$C130)*الطبخات!$C$2:$C$900*COUNTIF('سجل الإنتاج'!$C$2:$C$501,الطبخات!$A$2:$A$900)),3))</f>
        <v/>
      </c>
      <c r="E130" s="15"/>
      <c r="F130" s="19" t="str">
        <f t="shared" ref="F130:F193" si="5">IF(OR($C130="",$E130=""),"",ROUND($E130-$D130,3))</f>
        <v/>
      </c>
      <c r="G130" s="9"/>
      <c r="H130" s="9"/>
    </row>
    <row r="131" spans="1:8" ht="24" customHeight="1">
      <c r="A131" s="5" t="str">
        <f t="shared" si="4"/>
        <v/>
      </c>
      <c r="B131" s="18"/>
      <c r="C131" s="9"/>
      <c r="D131" s="10" t="str">
        <f>IF($C131="","",ROUND(SUMIFS(الإدخالات!$D$2:$D$501,الإدخالات!$C$2:$C$501,$C131)+SUMIFS($F$1:F130,$C$1:C130,$C131)-SUMIFS('الصرف المباشر'!$D$2:$D$501,'الصرف المباشر'!$C$2:$C$501,$C131)-SUMPRODUCT((الطبخات!$B$2:$B$900=$C131)*الطبخات!$C$2:$C$900*COUNTIF('سجل الإنتاج'!$C$2:$C$501,الطبخات!$A$2:$A$900)),3))</f>
        <v/>
      </c>
      <c r="E131" s="15"/>
      <c r="F131" s="19" t="str">
        <f t="shared" si="5"/>
        <v/>
      </c>
      <c r="G131" s="9"/>
      <c r="H131" s="9"/>
    </row>
    <row r="132" spans="1:8" ht="24" customHeight="1">
      <c r="A132" s="5" t="str">
        <f t="shared" si="4"/>
        <v/>
      </c>
      <c r="B132" s="18"/>
      <c r="C132" s="9"/>
      <c r="D132" s="10" t="str">
        <f>IF($C132="","",ROUND(SUMIFS(الإدخالات!$D$2:$D$501,الإدخالات!$C$2:$C$501,$C132)+SUMIFS($F$1:F131,$C$1:C131,$C132)-SUMIFS('الصرف المباشر'!$D$2:$D$501,'الصرف المباشر'!$C$2:$C$501,$C132)-SUMPRODUCT((الطبخات!$B$2:$B$900=$C132)*الطبخات!$C$2:$C$900*COUNTIF('سجل الإنتاج'!$C$2:$C$501,الطبخات!$A$2:$A$900)),3))</f>
        <v/>
      </c>
      <c r="E132" s="15"/>
      <c r="F132" s="19" t="str">
        <f t="shared" si="5"/>
        <v/>
      </c>
      <c r="G132" s="9"/>
      <c r="H132" s="9"/>
    </row>
    <row r="133" spans="1:8" ht="24" customHeight="1">
      <c r="A133" s="5" t="str">
        <f t="shared" si="4"/>
        <v/>
      </c>
      <c r="B133" s="18"/>
      <c r="C133" s="9"/>
      <c r="D133" s="10" t="str">
        <f>IF($C133="","",ROUND(SUMIFS(الإدخالات!$D$2:$D$501,الإدخالات!$C$2:$C$501,$C133)+SUMIFS($F$1:F132,$C$1:C132,$C133)-SUMIFS('الصرف المباشر'!$D$2:$D$501,'الصرف المباشر'!$C$2:$C$501,$C133)-SUMPRODUCT((الطبخات!$B$2:$B$900=$C133)*الطبخات!$C$2:$C$900*COUNTIF('سجل الإنتاج'!$C$2:$C$501,الطبخات!$A$2:$A$900)),3))</f>
        <v/>
      </c>
      <c r="E133" s="15"/>
      <c r="F133" s="19" t="str">
        <f t="shared" si="5"/>
        <v/>
      </c>
      <c r="G133" s="9"/>
      <c r="H133" s="9"/>
    </row>
    <row r="134" spans="1:8" ht="24" customHeight="1">
      <c r="A134" s="5" t="str">
        <f t="shared" si="4"/>
        <v/>
      </c>
      <c r="B134" s="18"/>
      <c r="C134" s="9"/>
      <c r="D134" s="10" t="str">
        <f>IF($C134="","",ROUND(SUMIFS(الإدخالات!$D$2:$D$501,الإدخالات!$C$2:$C$501,$C134)+SUMIFS($F$1:F133,$C$1:C133,$C134)-SUMIFS('الصرف المباشر'!$D$2:$D$501,'الصرف المباشر'!$C$2:$C$501,$C134)-SUMPRODUCT((الطبخات!$B$2:$B$900=$C134)*الطبخات!$C$2:$C$900*COUNTIF('سجل الإنتاج'!$C$2:$C$501,الطبخات!$A$2:$A$900)),3))</f>
        <v/>
      </c>
      <c r="E134" s="15"/>
      <c r="F134" s="19" t="str">
        <f t="shared" si="5"/>
        <v/>
      </c>
      <c r="G134" s="9"/>
      <c r="H134" s="9"/>
    </row>
    <row r="135" spans="1:8" ht="24" customHeight="1">
      <c r="A135" s="5" t="str">
        <f t="shared" si="4"/>
        <v/>
      </c>
      <c r="B135" s="18"/>
      <c r="C135" s="9"/>
      <c r="D135" s="10" t="str">
        <f>IF($C135="","",ROUND(SUMIFS(الإدخالات!$D$2:$D$501,الإدخالات!$C$2:$C$501,$C135)+SUMIFS($F$1:F134,$C$1:C134,$C135)-SUMIFS('الصرف المباشر'!$D$2:$D$501,'الصرف المباشر'!$C$2:$C$501,$C135)-SUMPRODUCT((الطبخات!$B$2:$B$900=$C135)*الطبخات!$C$2:$C$900*COUNTIF('سجل الإنتاج'!$C$2:$C$501,الطبخات!$A$2:$A$900)),3))</f>
        <v/>
      </c>
      <c r="E135" s="15"/>
      <c r="F135" s="19" t="str">
        <f t="shared" si="5"/>
        <v/>
      </c>
      <c r="G135" s="9"/>
      <c r="H135" s="9"/>
    </row>
    <row r="136" spans="1:8" ht="24" customHeight="1">
      <c r="A136" s="5" t="str">
        <f t="shared" si="4"/>
        <v/>
      </c>
      <c r="B136" s="18"/>
      <c r="C136" s="9"/>
      <c r="D136" s="10" t="str">
        <f>IF($C136="","",ROUND(SUMIFS(الإدخالات!$D$2:$D$501,الإدخالات!$C$2:$C$501,$C136)+SUMIFS($F$1:F135,$C$1:C135,$C136)-SUMIFS('الصرف المباشر'!$D$2:$D$501,'الصرف المباشر'!$C$2:$C$501,$C136)-SUMPRODUCT((الطبخات!$B$2:$B$900=$C136)*الطبخات!$C$2:$C$900*COUNTIF('سجل الإنتاج'!$C$2:$C$501,الطبخات!$A$2:$A$900)),3))</f>
        <v/>
      </c>
      <c r="E136" s="15"/>
      <c r="F136" s="19" t="str">
        <f t="shared" si="5"/>
        <v/>
      </c>
      <c r="G136" s="9"/>
      <c r="H136" s="9"/>
    </row>
    <row r="137" spans="1:8" ht="24" customHeight="1">
      <c r="A137" s="5" t="str">
        <f t="shared" si="4"/>
        <v/>
      </c>
      <c r="B137" s="18"/>
      <c r="C137" s="9"/>
      <c r="D137" s="10" t="str">
        <f>IF($C137="","",ROUND(SUMIFS(الإدخالات!$D$2:$D$501,الإدخالات!$C$2:$C$501,$C137)+SUMIFS($F$1:F136,$C$1:C136,$C137)-SUMIFS('الصرف المباشر'!$D$2:$D$501,'الصرف المباشر'!$C$2:$C$501,$C137)-SUMPRODUCT((الطبخات!$B$2:$B$900=$C137)*الطبخات!$C$2:$C$900*COUNTIF('سجل الإنتاج'!$C$2:$C$501,الطبخات!$A$2:$A$900)),3))</f>
        <v/>
      </c>
      <c r="E137" s="15"/>
      <c r="F137" s="19" t="str">
        <f t="shared" si="5"/>
        <v/>
      </c>
      <c r="G137" s="9"/>
      <c r="H137" s="9"/>
    </row>
    <row r="138" spans="1:8" ht="24" customHeight="1">
      <c r="A138" s="5" t="str">
        <f t="shared" si="4"/>
        <v/>
      </c>
      <c r="B138" s="18"/>
      <c r="C138" s="9"/>
      <c r="D138" s="10" t="str">
        <f>IF($C138="","",ROUND(SUMIFS(الإدخالات!$D$2:$D$501,الإدخالات!$C$2:$C$501,$C138)+SUMIFS($F$1:F137,$C$1:C137,$C138)-SUMIFS('الصرف المباشر'!$D$2:$D$501,'الصرف المباشر'!$C$2:$C$501,$C138)-SUMPRODUCT((الطبخات!$B$2:$B$900=$C138)*الطبخات!$C$2:$C$900*COUNTIF('سجل الإنتاج'!$C$2:$C$501,الطبخات!$A$2:$A$900)),3))</f>
        <v/>
      </c>
      <c r="E138" s="15"/>
      <c r="F138" s="19" t="str">
        <f t="shared" si="5"/>
        <v/>
      </c>
      <c r="G138" s="9"/>
      <c r="H138" s="9"/>
    </row>
    <row r="139" spans="1:8" ht="24" customHeight="1">
      <c r="A139" s="5" t="str">
        <f t="shared" si="4"/>
        <v/>
      </c>
      <c r="B139" s="18"/>
      <c r="C139" s="9"/>
      <c r="D139" s="10" t="str">
        <f>IF($C139="","",ROUND(SUMIFS(الإدخالات!$D$2:$D$501,الإدخالات!$C$2:$C$501,$C139)+SUMIFS($F$1:F138,$C$1:C138,$C139)-SUMIFS('الصرف المباشر'!$D$2:$D$501,'الصرف المباشر'!$C$2:$C$501,$C139)-SUMPRODUCT((الطبخات!$B$2:$B$900=$C139)*الطبخات!$C$2:$C$900*COUNTIF('سجل الإنتاج'!$C$2:$C$501,الطبخات!$A$2:$A$900)),3))</f>
        <v/>
      </c>
      <c r="E139" s="15"/>
      <c r="F139" s="19" t="str">
        <f t="shared" si="5"/>
        <v/>
      </c>
      <c r="G139" s="9"/>
      <c r="H139" s="9"/>
    </row>
    <row r="140" spans="1:8" ht="24" customHeight="1">
      <c r="A140" s="5" t="str">
        <f t="shared" si="4"/>
        <v/>
      </c>
      <c r="B140" s="18"/>
      <c r="C140" s="9"/>
      <c r="D140" s="10" t="str">
        <f>IF($C140="","",ROUND(SUMIFS(الإدخالات!$D$2:$D$501,الإدخالات!$C$2:$C$501,$C140)+SUMIFS($F$1:F139,$C$1:C139,$C140)-SUMIFS('الصرف المباشر'!$D$2:$D$501,'الصرف المباشر'!$C$2:$C$501,$C140)-SUMPRODUCT((الطبخات!$B$2:$B$900=$C140)*الطبخات!$C$2:$C$900*COUNTIF('سجل الإنتاج'!$C$2:$C$501,الطبخات!$A$2:$A$900)),3))</f>
        <v/>
      </c>
      <c r="E140" s="15"/>
      <c r="F140" s="19" t="str">
        <f t="shared" si="5"/>
        <v/>
      </c>
      <c r="G140" s="9"/>
      <c r="H140" s="9"/>
    </row>
    <row r="141" spans="1:8" ht="24" customHeight="1">
      <c r="A141" s="5" t="str">
        <f t="shared" si="4"/>
        <v/>
      </c>
      <c r="B141" s="18"/>
      <c r="C141" s="9"/>
      <c r="D141" s="10" t="str">
        <f>IF($C141="","",ROUND(SUMIFS(الإدخالات!$D$2:$D$501,الإدخالات!$C$2:$C$501,$C141)+SUMIFS($F$1:F140,$C$1:C140,$C141)-SUMIFS('الصرف المباشر'!$D$2:$D$501,'الصرف المباشر'!$C$2:$C$501,$C141)-SUMPRODUCT((الطبخات!$B$2:$B$900=$C141)*الطبخات!$C$2:$C$900*COUNTIF('سجل الإنتاج'!$C$2:$C$501,الطبخات!$A$2:$A$900)),3))</f>
        <v/>
      </c>
      <c r="E141" s="15"/>
      <c r="F141" s="19" t="str">
        <f t="shared" si="5"/>
        <v/>
      </c>
      <c r="G141" s="9"/>
      <c r="H141" s="9"/>
    </row>
    <row r="142" spans="1:8" ht="24" customHeight="1">
      <c r="A142" s="5" t="str">
        <f t="shared" si="4"/>
        <v/>
      </c>
      <c r="B142" s="18"/>
      <c r="C142" s="9"/>
      <c r="D142" s="10" t="str">
        <f>IF($C142="","",ROUND(SUMIFS(الإدخالات!$D$2:$D$501,الإدخالات!$C$2:$C$501,$C142)+SUMIFS($F$1:F141,$C$1:C141,$C142)-SUMIFS('الصرف المباشر'!$D$2:$D$501,'الصرف المباشر'!$C$2:$C$501,$C142)-SUMPRODUCT((الطبخات!$B$2:$B$900=$C142)*الطبخات!$C$2:$C$900*COUNTIF('سجل الإنتاج'!$C$2:$C$501,الطبخات!$A$2:$A$900)),3))</f>
        <v/>
      </c>
      <c r="E142" s="15"/>
      <c r="F142" s="19" t="str">
        <f t="shared" si="5"/>
        <v/>
      </c>
      <c r="G142" s="9"/>
      <c r="H142" s="9"/>
    </row>
    <row r="143" spans="1:8" ht="24" customHeight="1">
      <c r="A143" s="5" t="str">
        <f t="shared" si="4"/>
        <v/>
      </c>
      <c r="B143" s="18"/>
      <c r="C143" s="9"/>
      <c r="D143" s="10" t="str">
        <f>IF($C143="","",ROUND(SUMIFS(الإدخالات!$D$2:$D$501,الإدخالات!$C$2:$C$501,$C143)+SUMIFS($F$1:F142,$C$1:C142,$C143)-SUMIFS('الصرف المباشر'!$D$2:$D$501,'الصرف المباشر'!$C$2:$C$501,$C143)-SUMPRODUCT((الطبخات!$B$2:$B$900=$C143)*الطبخات!$C$2:$C$900*COUNTIF('سجل الإنتاج'!$C$2:$C$501,الطبخات!$A$2:$A$900)),3))</f>
        <v/>
      </c>
      <c r="E143" s="15"/>
      <c r="F143" s="19" t="str">
        <f t="shared" si="5"/>
        <v/>
      </c>
      <c r="G143" s="9"/>
      <c r="H143" s="9"/>
    </row>
    <row r="144" spans="1:8" ht="24" customHeight="1">
      <c r="A144" s="5" t="str">
        <f t="shared" si="4"/>
        <v/>
      </c>
      <c r="B144" s="18"/>
      <c r="C144" s="9"/>
      <c r="D144" s="10" t="str">
        <f>IF($C144="","",ROUND(SUMIFS(الإدخالات!$D$2:$D$501,الإدخالات!$C$2:$C$501,$C144)+SUMIFS($F$1:F143,$C$1:C143,$C144)-SUMIFS('الصرف المباشر'!$D$2:$D$501,'الصرف المباشر'!$C$2:$C$501,$C144)-SUMPRODUCT((الطبخات!$B$2:$B$900=$C144)*الطبخات!$C$2:$C$900*COUNTIF('سجل الإنتاج'!$C$2:$C$501,الطبخات!$A$2:$A$900)),3))</f>
        <v/>
      </c>
      <c r="E144" s="15"/>
      <c r="F144" s="19" t="str">
        <f t="shared" si="5"/>
        <v/>
      </c>
      <c r="G144" s="9"/>
      <c r="H144" s="9"/>
    </row>
    <row r="145" spans="1:8" ht="24" customHeight="1">
      <c r="A145" s="5" t="str">
        <f t="shared" si="4"/>
        <v/>
      </c>
      <c r="B145" s="18"/>
      <c r="C145" s="9"/>
      <c r="D145" s="10" t="str">
        <f>IF($C145="","",ROUND(SUMIFS(الإدخالات!$D$2:$D$501,الإدخالات!$C$2:$C$501,$C145)+SUMIFS($F$1:F144,$C$1:C144,$C145)-SUMIFS('الصرف المباشر'!$D$2:$D$501,'الصرف المباشر'!$C$2:$C$501,$C145)-SUMPRODUCT((الطبخات!$B$2:$B$900=$C145)*الطبخات!$C$2:$C$900*COUNTIF('سجل الإنتاج'!$C$2:$C$501,الطبخات!$A$2:$A$900)),3))</f>
        <v/>
      </c>
      <c r="E145" s="15"/>
      <c r="F145" s="19" t="str">
        <f t="shared" si="5"/>
        <v/>
      </c>
      <c r="G145" s="9"/>
      <c r="H145" s="9"/>
    </row>
    <row r="146" spans="1:8" ht="24" customHeight="1">
      <c r="A146" s="5" t="str">
        <f t="shared" si="4"/>
        <v/>
      </c>
      <c r="B146" s="18"/>
      <c r="C146" s="9"/>
      <c r="D146" s="10" t="str">
        <f>IF($C146="","",ROUND(SUMIFS(الإدخالات!$D$2:$D$501,الإدخالات!$C$2:$C$501,$C146)+SUMIFS($F$1:F145,$C$1:C145,$C146)-SUMIFS('الصرف المباشر'!$D$2:$D$501,'الصرف المباشر'!$C$2:$C$501,$C146)-SUMPRODUCT((الطبخات!$B$2:$B$900=$C146)*الطبخات!$C$2:$C$900*COUNTIF('سجل الإنتاج'!$C$2:$C$501,الطبخات!$A$2:$A$900)),3))</f>
        <v/>
      </c>
      <c r="E146" s="15"/>
      <c r="F146" s="19" t="str">
        <f t="shared" si="5"/>
        <v/>
      </c>
      <c r="G146" s="9"/>
      <c r="H146" s="9"/>
    </row>
    <row r="147" spans="1:8" ht="24" customHeight="1">
      <c r="A147" s="5" t="str">
        <f t="shared" si="4"/>
        <v/>
      </c>
      <c r="B147" s="18"/>
      <c r="C147" s="9"/>
      <c r="D147" s="10" t="str">
        <f>IF($C147="","",ROUND(SUMIFS(الإدخالات!$D$2:$D$501,الإدخالات!$C$2:$C$501,$C147)+SUMIFS($F$1:F146,$C$1:C146,$C147)-SUMIFS('الصرف المباشر'!$D$2:$D$501,'الصرف المباشر'!$C$2:$C$501,$C147)-SUMPRODUCT((الطبخات!$B$2:$B$900=$C147)*الطبخات!$C$2:$C$900*COUNTIF('سجل الإنتاج'!$C$2:$C$501,الطبخات!$A$2:$A$900)),3))</f>
        <v/>
      </c>
      <c r="E147" s="15"/>
      <c r="F147" s="19" t="str">
        <f t="shared" si="5"/>
        <v/>
      </c>
      <c r="G147" s="9"/>
      <c r="H147" s="9"/>
    </row>
    <row r="148" spans="1:8" ht="24" customHeight="1">
      <c r="A148" s="5" t="str">
        <f t="shared" si="4"/>
        <v/>
      </c>
      <c r="B148" s="18"/>
      <c r="C148" s="9"/>
      <c r="D148" s="10" t="str">
        <f>IF($C148="","",ROUND(SUMIFS(الإدخالات!$D$2:$D$501,الإدخالات!$C$2:$C$501,$C148)+SUMIFS($F$1:F147,$C$1:C147,$C148)-SUMIFS('الصرف المباشر'!$D$2:$D$501,'الصرف المباشر'!$C$2:$C$501,$C148)-SUMPRODUCT((الطبخات!$B$2:$B$900=$C148)*الطبخات!$C$2:$C$900*COUNTIF('سجل الإنتاج'!$C$2:$C$501,الطبخات!$A$2:$A$900)),3))</f>
        <v/>
      </c>
      <c r="E148" s="15"/>
      <c r="F148" s="19" t="str">
        <f t="shared" si="5"/>
        <v/>
      </c>
      <c r="G148" s="9"/>
      <c r="H148" s="9"/>
    </row>
    <row r="149" spans="1:8" ht="24" customHeight="1">
      <c r="A149" s="5" t="str">
        <f t="shared" si="4"/>
        <v/>
      </c>
      <c r="B149" s="18"/>
      <c r="C149" s="9"/>
      <c r="D149" s="10" t="str">
        <f>IF($C149="","",ROUND(SUMIFS(الإدخالات!$D$2:$D$501,الإدخالات!$C$2:$C$501,$C149)+SUMIFS($F$1:F148,$C$1:C148,$C149)-SUMIFS('الصرف المباشر'!$D$2:$D$501,'الصرف المباشر'!$C$2:$C$501,$C149)-SUMPRODUCT((الطبخات!$B$2:$B$900=$C149)*الطبخات!$C$2:$C$900*COUNTIF('سجل الإنتاج'!$C$2:$C$501,الطبخات!$A$2:$A$900)),3))</f>
        <v/>
      </c>
      <c r="E149" s="15"/>
      <c r="F149" s="19" t="str">
        <f t="shared" si="5"/>
        <v/>
      </c>
      <c r="G149" s="9"/>
      <c r="H149" s="9"/>
    </row>
    <row r="150" spans="1:8" ht="24" customHeight="1">
      <c r="A150" s="5" t="str">
        <f t="shared" si="4"/>
        <v/>
      </c>
      <c r="B150" s="18"/>
      <c r="C150" s="9"/>
      <c r="D150" s="10" t="str">
        <f>IF($C150="","",ROUND(SUMIFS(الإدخالات!$D$2:$D$501,الإدخالات!$C$2:$C$501,$C150)+SUMIFS($F$1:F149,$C$1:C149,$C150)-SUMIFS('الصرف المباشر'!$D$2:$D$501,'الصرف المباشر'!$C$2:$C$501,$C150)-SUMPRODUCT((الطبخات!$B$2:$B$900=$C150)*الطبخات!$C$2:$C$900*COUNTIF('سجل الإنتاج'!$C$2:$C$501,الطبخات!$A$2:$A$900)),3))</f>
        <v/>
      </c>
      <c r="E150" s="15"/>
      <c r="F150" s="19" t="str">
        <f t="shared" si="5"/>
        <v/>
      </c>
      <c r="G150" s="9"/>
      <c r="H150" s="9"/>
    </row>
    <row r="151" spans="1:8" ht="24" customHeight="1">
      <c r="A151" s="5" t="str">
        <f t="shared" si="4"/>
        <v/>
      </c>
      <c r="B151" s="18"/>
      <c r="C151" s="9"/>
      <c r="D151" s="10" t="str">
        <f>IF($C151="","",ROUND(SUMIFS(الإدخالات!$D$2:$D$501,الإدخالات!$C$2:$C$501,$C151)+SUMIFS($F$1:F150,$C$1:C150,$C151)-SUMIFS('الصرف المباشر'!$D$2:$D$501,'الصرف المباشر'!$C$2:$C$501,$C151)-SUMPRODUCT((الطبخات!$B$2:$B$900=$C151)*الطبخات!$C$2:$C$900*COUNTIF('سجل الإنتاج'!$C$2:$C$501,الطبخات!$A$2:$A$900)),3))</f>
        <v/>
      </c>
      <c r="E151" s="15"/>
      <c r="F151" s="19" t="str">
        <f t="shared" si="5"/>
        <v/>
      </c>
      <c r="G151" s="9"/>
      <c r="H151" s="9"/>
    </row>
    <row r="152" spans="1:8" ht="24" customHeight="1">
      <c r="A152" s="5" t="str">
        <f t="shared" si="4"/>
        <v/>
      </c>
      <c r="B152" s="18"/>
      <c r="C152" s="9"/>
      <c r="D152" s="10" t="str">
        <f>IF($C152="","",ROUND(SUMIFS(الإدخالات!$D$2:$D$501,الإدخالات!$C$2:$C$501,$C152)+SUMIFS($F$1:F151,$C$1:C151,$C152)-SUMIFS('الصرف المباشر'!$D$2:$D$501,'الصرف المباشر'!$C$2:$C$501,$C152)-SUMPRODUCT((الطبخات!$B$2:$B$900=$C152)*الطبخات!$C$2:$C$900*COUNTIF('سجل الإنتاج'!$C$2:$C$501,الطبخات!$A$2:$A$900)),3))</f>
        <v/>
      </c>
      <c r="E152" s="15"/>
      <c r="F152" s="19" t="str">
        <f t="shared" si="5"/>
        <v/>
      </c>
      <c r="G152" s="9"/>
      <c r="H152" s="9"/>
    </row>
    <row r="153" spans="1:8" ht="24" customHeight="1">
      <c r="A153" s="5" t="str">
        <f t="shared" si="4"/>
        <v/>
      </c>
      <c r="B153" s="18"/>
      <c r="C153" s="9"/>
      <c r="D153" s="10" t="str">
        <f>IF($C153="","",ROUND(SUMIFS(الإدخالات!$D$2:$D$501,الإدخالات!$C$2:$C$501,$C153)+SUMIFS($F$1:F152,$C$1:C152,$C153)-SUMIFS('الصرف المباشر'!$D$2:$D$501,'الصرف المباشر'!$C$2:$C$501,$C153)-SUMPRODUCT((الطبخات!$B$2:$B$900=$C153)*الطبخات!$C$2:$C$900*COUNTIF('سجل الإنتاج'!$C$2:$C$501,الطبخات!$A$2:$A$900)),3))</f>
        <v/>
      </c>
      <c r="E153" s="15"/>
      <c r="F153" s="19" t="str">
        <f t="shared" si="5"/>
        <v/>
      </c>
      <c r="G153" s="9"/>
      <c r="H153" s="9"/>
    </row>
    <row r="154" spans="1:8" ht="24" customHeight="1">
      <c r="A154" s="5" t="str">
        <f t="shared" si="4"/>
        <v/>
      </c>
      <c r="B154" s="18"/>
      <c r="C154" s="9"/>
      <c r="D154" s="10" t="str">
        <f>IF($C154="","",ROUND(SUMIFS(الإدخالات!$D$2:$D$501,الإدخالات!$C$2:$C$501,$C154)+SUMIFS($F$1:F153,$C$1:C153,$C154)-SUMIFS('الصرف المباشر'!$D$2:$D$501,'الصرف المباشر'!$C$2:$C$501,$C154)-SUMPRODUCT((الطبخات!$B$2:$B$900=$C154)*الطبخات!$C$2:$C$900*COUNTIF('سجل الإنتاج'!$C$2:$C$501,الطبخات!$A$2:$A$900)),3))</f>
        <v/>
      </c>
      <c r="E154" s="15"/>
      <c r="F154" s="19" t="str">
        <f t="shared" si="5"/>
        <v/>
      </c>
      <c r="G154" s="9"/>
      <c r="H154" s="9"/>
    </row>
    <row r="155" spans="1:8" ht="24" customHeight="1">
      <c r="A155" s="5" t="str">
        <f t="shared" si="4"/>
        <v/>
      </c>
      <c r="B155" s="18"/>
      <c r="C155" s="9"/>
      <c r="D155" s="10" t="str">
        <f>IF($C155="","",ROUND(SUMIFS(الإدخالات!$D$2:$D$501,الإدخالات!$C$2:$C$501,$C155)+SUMIFS($F$1:F154,$C$1:C154,$C155)-SUMIFS('الصرف المباشر'!$D$2:$D$501,'الصرف المباشر'!$C$2:$C$501,$C155)-SUMPRODUCT((الطبخات!$B$2:$B$900=$C155)*الطبخات!$C$2:$C$900*COUNTIF('سجل الإنتاج'!$C$2:$C$501,الطبخات!$A$2:$A$900)),3))</f>
        <v/>
      </c>
      <c r="E155" s="15"/>
      <c r="F155" s="19" t="str">
        <f t="shared" si="5"/>
        <v/>
      </c>
      <c r="G155" s="9"/>
      <c r="H155" s="9"/>
    </row>
    <row r="156" spans="1:8" ht="24" customHeight="1">
      <c r="A156" s="5" t="str">
        <f t="shared" si="4"/>
        <v/>
      </c>
      <c r="B156" s="18"/>
      <c r="C156" s="9"/>
      <c r="D156" s="10" t="str">
        <f>IF($C156="","",ROUND(SUMIFS(الإدخالات!$D$2:$D$501,الإدخالات!$C$2:$C$501,$C156)+SUMIFS($F$1:F155,$C$1:C155,$C156)-SUMIFS('الصرف المباشر'!$D$2:$D$501,'الصرف المباشر'!$C$2:$C$501,$C156)-SUMPRODUCT((الطبخات!$B$2:$B$900=$C156)*الطبخات!$C$2:$C$900*COUNTIF('سجل الإنتاج'!$C$2:$C$501,الطبخات!$A$2:$A$900)),3))</f>
        <v/>
      </c>
      <c r="E156" s="15"/>
      <c r="F156" s="19" t="str">
        <f t="shared" si="5"/>
        <v/>
      </c>
      <c r="G156" s="9"/>
      <c r="H156" s="9"/>
    </row>
    <row r="157" spans="1:8" ht="24" customHeight="1">
      <c r="A157" s="5" t="str">
        <f t="shared" si="4"/>
        <v/>
      </c>
      <c r="B157" s="18"/>
      <c r="C157" s="9"/>
      <c r="D157" s="10" t="str">
        <f>IF($C157="","",ROUND(SUMIFS(الإدخالات!$D$2:$D$501,الإدخالات!$C$2:$C$501,$C157)+SUMIFS($F$1:F156,$C$1:C156,$C157)-SUMIFS('الصرف المباشر'!$D$2:$D$501,'الصرف المباشر'!$C$2:$C$501,$C157)-SUMPRODUCT((الطبخات!$B$2:$B$900=$C157)*الطبخات!$C$2:$C$900*COUNTIF('سجل الإنتاج'!$C$2:$C$501,الطبخات!$A$2:$A$900)),3))</f>
        <v/>
      </c>
      <c r="E157" s="15"/>
      <c r="F157" s="19" t="str">
        <f t="shared" si="5"/>
        <v/>
      </c>
      <c r="G157" s="9"/>
      <c r="H157" s="9"/>
    </row>
    <row r="158" spans="1:8" ht="24" customHeight="1">
      <c r="A158" s="5" t="str">
        <f t="shared" si="4"/>
        <v/>
      </c>
      <c r="B158" s="18"/>
      <c r="C158" s="9"/>
      <c r="D158" s="10" t="str">
        <f>IF($C158="","",ROUND(SUMIFS(الإدخالات!$D$2:$D$501,الإدخالات!$C$2:$C$501,$C158)+SUMIFS($F$1:F157,$C$1:C157,$C158)-SUMIFS('الصرف المباشر'!$D$2:$D$501,'الصرف المباشر'!$C$2:$C$501,$C158)-SUMPRODUCT((الطبخات!$B$2:$B$900=$C158)*الطبخات!$C$2:$C$900*COUNTIF('سجل الإنتاج'!$C$2:$C$501,الطبخات!$A$2:$A$900)),3))</f>
        <v/>
      </c>
      <c r="E158" s="15"/>
      <c r="F158" s="19" t="str">
        <f t="shared" si="5"/>
        <v/>
      </c>
      <c r="G158" s="9"/>
      <c r="H158" s="9"/>
    </row>
    <row r="159" spans="1:8" ht="24" customHeight="1">
      <c r="A159" s="5" t="str">
        <f t="shared" si="4"/>
        <v/>
      </c>
      <c r="B159" s="18"/>
      <c r="C159" s="9"/>
      <c r="D159" s="10" t="str">
        <f>IF($C159="","",ROUND(SUMIFS(الإدخالات!$D$2:$D$501,الإدخالات!$C$2:$C$501,$C159)+SUMIFS($F$1:F158,$C$1:C158,$C159)-SUMIFS('الصرف المباشر'!$D$2:$D$501,'الصرف المباشر'!$C$2:$C$501,$C159)-SUMPRODUCT((الطبخات!$B$2:$B$900=$C159)*الطبخات!$C$2:$C$900*COUNTIF('سجل الإنتاج'!$C$2:$C$501,الطبخات!$A$2:$A$900)),3))</f>
        <v/>
      </c>
      <c r="E159" s="15"/>
      <c r="F159" s="19" t="str">
        <f t="shared" si="5"/>
        <v/>
      </c>
      <c r="G159" s="9"/>
      <c r="H159" s="9"/>
    </row>
    <row r="160" spans="1:8" ht="24" customHeight="1">
      <c r="A160" s="5" t="str">
        <f t="shared" si="4"/>
        <v/>
      </c>
      <c r="B160" s="18"/>
      <c r="C160" s="9"/>
      <c r="D160" s="10" t="str">
        <f>IF($C160="","",ROUND(SUMIFS(الإدخالات!$D$2:$D$501,الإدخالات!$C$2:$C$501,$C160)+SUMIFS($F$1:F159,$C$1:C159,$C160)-SUMIFS('الصرف المباشر'!$D$2:$D$501,'الصرف المباشر'!$C$2:$C$501,$C160)-SUMPRODUCT((الطبخات!$B$2:$B$900=$C160)*الطبخات!$C$2:$C$900*COUNTIF('سجل الإنتاج'!$C$2:$C$501,الطبخات!$A$2:$A$900)),3))</f>
        <v/>
      </c>
      <c r="E160" s="15"/>
      <c r="F160" s="19" t="str">
        <f t="shared" si="5"/>
        <v/>
      </c>
      <c r="G160" s="9"/>
      <c r="H160" s="9"/>
    </row>
    <row r="161" spans="1:8" ht="24" customHeight="1">
      <c r="A161" s="5" t="str">
        <f t="shared" si="4"/>
        <v/>
      </c>
      <c r="B161" s="18"/>
      <c r="C161" s="9"/>
      <c r="D161" s="10" t="str">
        <f>IF($C161="","",ROUND(SUMIFS(الإدخالات!$D$2:$D$501,الإدخالات!$C$2:$C$501,$C161)+SUMIFS($F$1:F160,$C$1:C160,$C161)-SUMIFS('الصرف المباشر'!$D$2:$D$501,'الصرف المباشر'!$C$2:$C$501,$C161)-SUMPRODUCT((الطبخات!$B$2:$B$900=$C161)*الطبخات!$C$2:$C$900*COUNTIF('سجل الإنتاج'!$C$2:$C$501,الطبخات!$A$2:$A$900)),3))</f>
        <v/>
      </c>
      <c r="E161" s="15"/>
      <c r="F161" s="19" t="str">
        <f t="shared" si="5"/>
        <v/>
      </c>
      <c r="G161" s="9"/>
      <c r="H161" s="9"/>
    </row>
    <row r="162" spans="1:8" ht="24" customHeight="1">
      <c r="A162" s="5" t="str">
        <f t="shared" si="4"/>
        <v/>
      </c>
      <c r="B162" s="18"/>
      <c r="C162" s="9"/>
      <c r="D162" s="10" t="str">
        <f>IF($C162="","",ROUND(SUMIFS(الإدخالات!$D$2:$D$501,الإدخالات!$C$2:$C$501,$C162)+SUMIFS($F$1:F161,$C$1:C161,$C162)-SUMIFS('الصرف المباشر'!$D$2:$D$501,'الصرف المباشر'!$C$2:$C$501,$C162)-SUMPRODUCT((الطبخات!$B$2:$B$900=$C162)*الطبخات!$C$2:$C$900*COUNTIF('سجل الإنتاج'!$C$2:$C$501,الطبخات!$A$2:$A$900)),3))</f>
        <v/>
      </c>
      <c r="E162" s="15"/>
      <c r="F162" s="19" t="str">
        <f t="shared" si="5"/>
        <v/>
      </c>
      <c r="G162" s="9"/>
      <c r="H162" s="9"/>
    </row>
    <row r="163" spans="1:8" ht="24" customHeight="1">
      <c r="A163" s="5" t="str">
        <f t="shared" si="4"/>
        <v/>
      </c>
      <c r="B163" s="18"/>
      <c r="C163" s="9"/>
      <c r="D163" s="10" t="str">
        <f>IF($C163="","",ROUND(SUMIFS(الإدخالات!$D$2:$D$501,الإدخالات!$C$2:$C$501,$C163)+SUMIFS($F$1:F162,$C$1:C162,$C163)-SUMIFS('الصرف المباشر'!$D$2:$D$501,'الصرف المباشر'!$C$2:$C$501,$C163)-SUMPRODUCT((الطبخات!$B$2:$B$900=$C163)*الطبخات!$C$2:$C$900*COUNTIF('سجل الإنتاج'!$C$2:$C$501,الطبخات!$A$2:$A$900)),3))</f>
        <v/>
      </c>
      <c r="E163" s="15"/>
      <c r="F163" s="19" t="str">
        <f t="shared" si="5"/>
        <v/>
      </c>
      <c r="G163" s="9"/>
      <c r="H163" s="9"/>
    </row>
    <row r="164" spans="1:8" ht="24" customHeight="1">
      <c r="A164" s="5" t="str">
        <f t="shared" si="4"/>
        <v/>
      </c>
      <c r="B164" s="18"/>
      <c r="C164" s="9"/>
      <c r="D164" s="10" t="str">
        <f>IF($C164="","",ROUND(SUMIFS(الإدخالات!$D$2:$D$501,الإدخالات!$C$2:$C$501,$C164)+SUMIFS($F$1:F163,$C$1:C163,$C164)-SUMIFS('الصرف المباشر'!$D$2:$D$501,'الصرف المباشر'!$C$2:$C$501,$C164)-SUMPRODUCT((الطبخات!$B$2:$B$900=$C164)*الطبخات!$C$2:$C$900*COUNTIF('سجل الإنتاج'!$C$2:$C$501,الطبخات!$A$2:$A$900)),3))</f>
        <v/>
      </c>
      <c r="E164" s="15"/>
      <c r="F164" s="19" t="str">
        <f t="shared" si="5"/>
        <v/>
      </c>
      <c r="G164" s="9"/>
      <c r="H164" s="9"/>
    </row>
    <row r="165" spans="1:8" ht="24" customHeight="1">
      <c r="A165" s="5" t="str">
        <f t="shared" si="4"/>
        <v/>
      </c>
      <c r="B165" s="18"/>
      <c r="C165" s="9"/>
      <c r="D165" s="10" t="str">
        <f>IF($C165="","",ROUND(SUMIFS(الإدخالات!$D$2:$D$501,الإدخالات!$C$2:$C$501,$C165)+SUMIFS($F$1:F164,$C$1:C164,$C165)-SUMIFS('الصرف المباشر'!$D$2:$D$501,'الصرف المباشر'!$C$2:$C$501,$C165)-SUMPRODUCT((الطبخات!$B$2:$B$900=$C165)*الطبخات!$C$2:$C$900*COUNTIF('سجل الإنتاج'!$C$2:$C$501,الطبخات!$A$2:$A$900)),3))</f>
        <v/>
      </c>
      <c r="E165" s="15"/>
      <c r="F165" s="19" t="str">
        <f t="shared" si="5"/>
        <v/>
      </c>
      <c r="G165" s="9"/>
      <c r="H165" s="9"/>
    </row>
    <row r="166" spans="1:8" ht="24" customHeight="1">
      <c r="A166" s="5" t="str">
        <f t="shared" si="4"/>
        <v/>
      </c>
      <c r="B166" s="18"/>
      <c r="C166" s="9"/>
      <c r="D166" s="10" t="str">
        <f>IF($C166="","",ROUND(SUMIFS(الإدخالات!$D$2:$D$501,الإدخالات!$C$2:$C$501,$C166)+SUMIFS($F$1:F165,$C$1:C165,$C166)-SUMIFS('الصرف المباشر'!$D$2:$D$501,'الصرف المباشر'!$C$2:$C$501,$C166)-SUMPRODUCT((الطبخات!$B$2:$B$900=$C166)*الطبخات!$C$2:$C$900*COUNTIF('سجل الإنتاج'!$C$2:$C$501,الطبخات!$A$2:$A$900)),3))</f>
        <v/>
      </c>
      <c r="E166" s="15"/>
      <c r="F166" s="19" t="str">
        <f t="shared" si="5"/>
        <v/>
      </c>
      <c r="G166" s="9"/>
      <c r="H166" s="9"/>
    </row>
    <row r="167" spans="1:8" ht="24" customHeight="1">
      <c r="A167" s="5" t="str">
        <f t="shared" si="4"/>
        <v/>
      </c>
      <c r="B167" s="18"/>
      <c r="C167" s="9"/>
      <c r="D167" s="10" t="str">
        <f>IF($C167="","",ROUND(SUMIFS(الإدخالات!$D$2:$D$501,الإدخالات!$C$2:$C$501,$C167)+SUMIFS($F$1:F166,$C$1:C166,$C167)-SUMIFS('الصرف المباشر'!$D$2:$D$501,'الصرف المباشر'!$C$2:$C$501,$C167)-SUMPRODUCT((الطبخات!$B$2:$B$900=$C167)*الطبخات!$C$2:$C$900*COUNTIF('سجل الإنتاج'!$C$2:$C$501,الطبخات!$A$2:$A$900)),3))</f>
        <v/>
      </c>
      <c r="E167" s="15"/>
      <c r="F167" s="19" t="str">
        <f t="shared" si="5"/>
        <v/>
      </c>
      <c r="G167" s="9"/>
      <c r="H167" s="9"/>
    </row>
    <row r="168" spans="1:8" ht="24" customHeight="1">
      <c r="A168" s="5" t="str">
        <f t="shared" si="4"/>
        <v/>
      </c>
      <c r="B168" s="18"/>
      <c r="C168" s="9"/>
      <c r="D168" s="10" t="str">
        <f>IF($C168="","",ROUND(SUMIFS(الإدخالات!$D$2:$D$501,الإدخالات!$C$2:$C$501,$C168)+SUMIFS($F$1:F167,$C$1:C167,$C168)-SUMIFS('الصرف المباشر'!$D$2:$D$501,'الصرف المباشر'!$C$2:$C$501,$C168)-SUMPRODUCT((الطبخات!$B$2:$B$900=$C168)*الطبخات!$C$2:$C$900*COUNTIF('سجل الإنتاج'!$C$2:$C$501,الطبخات!$A$2:$A$900)),3))</f>
        <v/>
      </c>
      <c r="E168" s="15"/>
      <c r="F168" s="19" t="str">
        <f t="shared" si="5"/>
        <v/>
      </c>
      <c r="G168" s="9"/>
      <c r="H168" s="9"/>
    </row>
    <row r="169" spans="1:8" ht="24" customHeight="1">
      <c r="A169" s="5" t="str">
        <f t="shared" si="4"/>
        <v/>
      </c>
      <c r="B169" s="18"/>
      <c r="C169" s="9"/>
      <c r="D169" s="10" t="str">
        <f>IF($C169="","",ROUND(SUMIFS(الإدخالات!$D$2:$D$501,الإدخالات!$C$2:$C$501,$C169)+SUMIFS($F$1:F168,$C$1:C168,$C169)-SUMIFS('الصرف المباشر'!$D$2:$D$501,'الصرف المباشر'!$C$2:$C$501,$C169)-SUMPRODUCT((الطبخات!$B$2:$B$900=$C169)*الطبخات!$C$2:$C$900*COUNTIF('سجل الإنتاج'!$C$2:$C$501,الطبخات!$A$2:$A$900)),3))</f>
        <v/>
      </c>
      <c r="E169" s="15"/>
      <c r="F169" s="19" t="str">
        <f t="shared" si="5"/>
        <v/>
      </c>
      <c r="G169" s="9"/>
      <c r="H169" s="9"/>
    </row>
    <row r="170" spans="1:8" ht="24" customHeight="1">
      <c r="A170" s="5" t="str">
        <f t="shared" si="4"/>
        <v/>
      </c>
      <c r="B170" s="18"/>
      <c r="C170" s="9"/>
      <c r="D170" s="10" t="str">
        <f>IF($C170="","",ROUND(SUMIFS(الإدخالات!$D$2:$D$501,الإدخالات!$C$2:$C$501,$C170)+SUMIFS($F$1:F169,$C$1:C169,$C170)-SUMIFS('الصرف المباشر'!$D$2:$D$501,'الصرف المباشر'!$C$2:$C$501,$C170)-SUMPRODUCT((الطبخات!$B$2:$B$900=$C170)*الطبخات!$C$2:$C$900*COUNTIF('سجل الإنتاج'!$C$2:$C$501,الطبخات!$A$2:$A$900)),3))</f>
        <v/>
      </c>
      <c r="E170" s="15"/>
      <c r="F170" s="19" t="str">
        <f t="shared" si="5"/>
        <v/>
      </c>
      <c r="G170" s="9"/>
      <c r="H170" s="9"/>
    </row>
    <row r="171" spans="1:8" ht="24" customHeight="1">
      <c r="A171" s="5" t="str">
        <f t="shared" si="4"/>
        <v/>
      </c>
      <c r="B171" s="18"/>
      <c r="C171" s="9"/>
      <c r="D171" s="10" t="str">
        <f>IF($C171="","",ROUND(SUMIFS(الإدخالات!$D$2:$D$501,الإدخالات!$C$2:$C$501,$C171)+SUMIFS($F$1:F170,$C$1:C170,$C171)-SUMIFS('الصرف المباشر'!$D$2:$D$501,'الصرف المباشر'!$C$2:$C$501,$C171)-SUMPRODUCT((الطبخات!$B$2:$B$900=$C171)*الطبخات!$C$2:$C$900*COUNTIF('سجل الإنتاج'!$C$2:$C$501,الطبخات!$A$2:$A$900)),3))</f>
        <v/>
      </c>
      <c r="E171" s="15"/>
      <c r="F171" s="19" t="str">
        <f t="shared" si="5"/>
        <v/>
      </c>
      <c r="G171" s="9"/>
      <c r="H171" s="9"/>
    </row>
    <row r="172" spans="1:8" ht="24" customHeight="1">
      <c r="A172" s="5" t="str">
        <f t="shared" si="4"/>
        <v/>
      </c>
      <c r="B172" s="18"/>
      <c r="C172" s="9"/>
      <c r="D172" s="10" t="str">
        <f>IF($C172="","",ROUND(SUMIFS(الإدخالات!$D$2:$D$501,الإدخالات!$C$2:$C$501,$C172)+SUMIFS($F$1:F171,$C$1:C171,$C172)-SUMIFS('الصرف المباشر'!$D$2:$D$501,'الصرف المباشر'!$C$2:$C$501,$C172)-SUMPRODUCT((الطبخات!$B$2:$B$900=$C172)*الطبخات!$C$2:$C$900*COUNTIF('سجل الإنتاج'!$C$2:$C$501,الطبخات!$A$2:$A$900)),3))</f>
        <v/>
      </c>
      <c r="E172" s="15"/>
      <c r="F172" s="19" t="str">
        <f t="shared" si="5"/>
        <v/>
      </c>
      <c r="G172" s="9"/>
      <c r="H172" s="9"/>
    </row>
    <row r="173" spans="1:8" ht="24" customHeight="1">
      <c r="A173" s="5" t="str">
        <f t="shared" si="4"/>
        <v/>
      </c>
      <c r="B173" s="18"/>
      <c r="C173" s="9"/>
      <c r="D173" s="10" t="str">
        <f>IF($C173="","",ROUND(SUMIFS(الإدخالات!$D$2:$D$501,الإدخالات!$C$2:$C$501,$C173)+SUMIFS($F$1:F172,$C$1:C172,$C173)-SUMIFS('الصرف المباشر'!$D$2:$D$501,'الصرف المباشر'!$C$2:$C$501,$C173)-SUMPRODUCT((الطبخات!$B$2:$B$900=$C173)*الطبخات!$C$2:$C$900*COUNTIF('سجل الإنتاج'!$C$2:$C$501,الطبخات!$A$2:$A$900)),3))</f>
        <v/>
      </c>
      <c r="E173" s="15"/>
      <c r="F173" s="19" t="str">
        <f t="shared" si="5"/>
        <v/>
      </c>
      <c r="G173" s="9"/>
      <c r="H173" s="9"/>
    </row>
    <row r="174" spans="1:8" ht="24" customHeight="1">
      <c r="A174" s="5" t="str">
        <f t="shared" si="4"/>
        <v/>
      </c>
      <c r="B174" s="18"/>
      <c r="C174" s="9"/>
      <c r="D174" s="10" t="str">
        <f>IF($C174="","",ROUND(SUMIFS(الإدخالات!$D$2:$D$501,الإدخالات!$C$2:$C$501,$C174)+SUMIFS($F$1:F173,$C$1:C173,$C174)-SUMIFS('الصرف المباشر'!$D$2:$D$501,'الصرف المباشر'!$C$2:$C$501,$C174)-SUMPRODUCT((الطبخات!$B$2:$B$900=$C174)*الطبخات!$C$2:$C$900*COUNTIF('سجل الإنتاج'!$C$2:$C$501,الطبخات!$A$2:$A$900)),3))</f>
        <v/>
      </c>
      <c r="E174" s="15"/>
      <c r="F174" s="19" t="str">
        <f t="shared" si="5"/>
        <v/>
      </c>
      <c r="G174" s="9"/>
      <c r="H174" s="9"/>
    </row>
    <row r="175" spans="1:8" ht="24" customHeight="1">
      <c r="A175" s="5" t="str">
        <f t="shared" si="4"/>
        <v/>
      </c>
      <c r="B175" s="18"/>
      <c r="C175" s="9"/>
      <c r="D175" s="10" t="str">
        <f>IF($C175="","",ROUND(SUMIFS(الإدخالات!$D$2:$D$501,الإدخالات!$C$2:$C$501,$C175)+SUMIFS($F$1:F174,$C$1:C174,$C175)-SUMIFS('الصرف المباشر'!$D$2:$D$501,'الصرف المباشر'!$C$2:$C$501,$C175)-SUMPRODUCT((الطبخات!$B$2:$B$900=$C175)*الطبخات!$C$2:$C$900*COUNTIF('سجل الإنتاج'!$C$2:$C$501,الطبخات!$A$2:$A$900)),3))</f>
        <v/>
      </c>
      <c r="E175" s="15"/>
      <c r="F175" s="19" t="str">
        <f t="shared" si="5"/>
        <v/>
      </c>
      <c r="G175" s="9"/>
      <c r="H175" s="9"/>
    </row>
    <row r="176" spans="1:8" ht="24" customHeight="1">
      <c r="A176" s="5" t="str">
        <f t="shared" si="4"/>
        <v/>
      </c>
      <c r="B176" s="18"/>
      <c r="C176" s="9"/>
      <c r="D176" s="10" t="str">
        <f>IF($C176="","",ROUND(SUMIFS(الإدخالات!$D$2:$D$501,الإدخالات!$C$2:$C$501,$C176)+SUMIFS($F$1:F175,$C$1:C175,$C176)-SUMIFS('الصرف المباشر'!$D$2:$D$501,'الصرف المباشر'!$C$2:$C$501,$C176)-SUMPRODUCT((الطبخات!$B$2:$B$900=$C176)*الطبخات!$C$2:$C$900*COUNTIF('سجل الإنتاج'!$C$2:$C$501,الطبخات!$A$2:$A$900)),3))</f>
        <v/>
      </c>
      <c r="E176" s="15"/>
      <c r="F176" s="19" t="str">
        <f t="shared" si="5"/>
        <v/>
      </c>
      <c r="G176" s="9"/>
      <c r="H176" s="9"/>
    </row>
    <row r="177" spans="1:8" ht="24" customHeight="1">
      <c r="A177" s="5" t="str">
        <f t="shared" si="4"/>
        <v/>
      </c>
      <c r="B177" s="18"/>
      <c r="C177" s="9"/>
      <c r="D177" s="10" t="str">
        <f>IF($C177="","",ROUND(SUMIFS(الإدخالات!$D$2:$D$501,الإدخالات!$C$2:$C$501,$C177)+SUMIFS($F$1:F176,$C$1:C176,$C177)-SUMIFS('الصرف المباشر'!$D$2:$D$501,'الصرف المباشر'!$C$2:$C$501,$C177)-SUMPRODUCT((الطبخات!$B$2:$B$900=$C177)*الطبخات!$C$2:$C$900*COUNTIF('سجل الإنتاج'!$C$2:$C$501,الطبخات!$A$2:$A$900)),3))</f>
        <v/>
      </c>
      <c r="E177" s="15"/>
      <c r="F177" s="19" t="str">
        <f t="shared" si="5"/>
        <v/>
      </c>
      <c r="G177" s="9"/>
      <c r="H177" s="9"/>
    </row>
    <row r="178" spans="1:8" ht="24" customHeight="1">
      <c r="A178" s="5" t="str">
        <f t="shared" si="4"/>
        <v/>
      </c>
      <c r="B178" s="18"/>
      <c r="C178" s="9"/>
      <c r="D178" s="10" t="str">
        <f>IF($C178="","",ROUND(SUMIFS(الإدخالات!$D$2:$D$501,الإدخالات!$C$2:$C$501,$C178)+SUMIFS($F$1:F177,$C$1:C177,$C178)-SUMIFS('الصرف المباشر'!$D$2:$D$501,'الصرف المباشر'!$C$2:$C$501,$C178)-SUMPRODUCT((الطبخات!$B$2:$B$900=$C178)*الطبخات!$C$2:$C$900*COUNTIF('سجل الإنتاج'!$C$2:$C$501,الطبخات!$A$2:$A$900)),3))</f>
        <v/>
      </c>
      <c r="E178" s="15"/>
      <c r="F178" s="19" t="str">
        <f t="shared" si="5"/>
        <v/>
      </c>
      <c r="G178" s="9"/>
      <c r="H178" s="9"/>
    </row>
    <row r="179" spans="1:8" ht="24" customHeight="1">
      <c r="A179" s="5" t="str">
        <f t="shared" si="4"/>
        <v/>
      </c>
      <c r="B179" s="18"/>
      <c r="C179" s="9"/>
      <c r="D179" s="10" t="str">
        <f>IF($C179="","",ROUND(SUMIFS(الإدخالات!$D$2:$D$501,الإدخالات!$C$2:$C$501,$C179)+SUMIFS($F$1:F178,$C$1:C178,$C179)-SUMIFS('الصرف المباشر'!$D$2:$D$501,'الصرف المباشر'!$C$2:$C$501,$C179)-SUMPRODUCT((الطبخات!$B$2:$B$900=$C179)*الطبخات!$C$2:$C$900*COUNTIF('سجل الإنتاج'!$C$2:$C$501,الطبخات!$A$2:$A$900)),3))</f>
        <v/>
      </c>
      <c r="E179" s="15"/>
      <c r="F179" s="19" t="str">
        <f t="shared" si="5"/>
        <v/>
      </c>
      <c r="G179" s="9"/>
      <c r="H179" s="9"/>
    </row>
    <row r="180" spans="1:8" ht="24" customHeight="1">
      <c r="A180" s="5" t="str">
        <f t="shared" si="4"/>
        <v/>
      </c>
      <c r="B180" s="18"/>
      <c r="C180" s="9"/>
      <c r="D180" s="10" t="str">
        <f>IF($C180="","",ROUND(SUMIFS(الإدخالات!$D$2:$D$501,الإدخالات!$C$2:$C$501,$C180)+SUMIFS($F$1:F179,$C$1:C179,$C180)-SUMIFS('الصرف المباشر'!$D$2:$D$501,'الصرف المباشر'!$C$2:$C$501,$C180)-SUMPRODUCT((الطبخات!$B$2:$B$900=$C180)*الطبخات!$C$2:$C$900*COUNTIF('سجل الإنتاج'!$C$2:$C$501,الطبخات!$A$2:$A$900)),3))</f>
        <v/>
      </c>
      <c r="E180" s="15"/>
      <c r="F180" s="19" t="str">
        <f t="shared" si="5"/>
        <v/>
      </c>
      <c r="G180" s="9"/>
      <c r="H180" s="9"/>
    </row>
    <row r="181" spans="1:8" ht="24" customHeight="1">
      <c r="A181" s="5" t="str">
        <f t="shared" si="4"/>
        <v/>
      </c>
      <c r="B181" s="18"/>
      <c r="C181" s="9"/>
      <c r="D181" s="10" t="str">
        <f>IF($C181="","",ROUND(SUMIFS(الإدخالات!$D$2:$D$501,الإدخالات!$C$2:$C$501,$C181)+SUMIFS($F$1:F180,$C$1:C180,$C181)-SUMIFS('الصرف المباشر'!$D$2:$D$501,'الصرف المباشر'!$C$2:$C$501,$C181)-SUMPRODUCT((الطبخات!$B$2:$B$900=$C181)*الطبخات!$C$2:$C$900*COUNTIF('سجل الإنتاج'!$C$2:$C$501,الطبخات!$A$2:$A$900)),3))</f>
        <v/>
      </c>
      <c r="E181" s="15"/>
      <c r="F181" s="19" t="str">
        <f t="shared" si="5"/>
        <v/>
      </c>
      <c r="G181" s="9"/>
      <c r="H181" s="9"/>
    </row>
    <row r="182" spans="1:8" ht="24" customHeight="1">
      <c r="A182" s="5" t="str">
        <f t="shared" si="4"/>
        <v/>
      </c>
      <c r="B182" s="18"/>
      <c r="C182" s="9"/>
      <c r="D182" s="10" t="str">
        <f>IF($C182="","",ROUND(SUMIFS(الإدخالات!$D$2:$D$501,الإدخالات!$C$2:$C$501,$C182)+SUMIFS($F$1:F181,$C$1:C181,$C182)-SUMIFS('الصرف المباشر'!$D$2:$D$501,'الصرف المباشر'!$C$2:$C$501,$C182)-SUMPRODUCT((الطبخات!$B$2:$B$900=$C182)*الطبخات!$C$2:$C$900*COUNTIF('سجل الإنتاج'!$C$2:$C$501,الطبخات!$A$2:$A$900)),3))</f>
        <v/>
      </c>
      <c r="E182" s="15"/>
      <c r="F182" s="19" t="str">
        <f t="shared" si="5"/>
        <v/>
      </c>
      <c r="G182" s="9"/>
      <c r="H182" s="9"/>
    </row>
    <row r="183" spans="1:8" ht="24" customHeight="1">
      <c r="A183" s="5" t="str">
        <f t="shared" si="4"/>
        <v/>
      </c>
      <c r="B183" s="18"/>
      <c r="C183" s="9"/>
      <c r="D183" s="10" t="str">
        <f>IF($C183="","",ROUND(SUMIFS(الإدخالات!$D$2:$D$501,الإدخالات!$C$2:$C$501,$C183)+SUMIFS($F$1:F182,$C$1:C182,$C183)-SUMIFS('الصرف المباشر'!$D$2:$D$501,'الصرف المباشر'!$C$2:$C$501,$C183)-SUMPRODUCT((الطبخات!$B$2:$B$900=$C183)*الطبخات!$C$2:$C$900*COUNTIF('سجل الإنتاج'!$C$2:$C$501,الطبخات!$A$2:$A$900)),3))</f>
        <v/>
      </c>
      <c r="E183" s="15"/>
      <c r="F183" s="19" t="str">
        <f t="shared" si="5"/>
        <v/>
      </c>
      <c r="G183" s="9"/>
      <c r="H183" s="9"/>
    </row>
    <row r="184" spans="1:8" ht="24" customHeight="1">
      <c r="A184" s="5" t="str">
        <f t="shared" si="4"/>
        <v/>
      </c>
      <c r="B184" s="18"/>
      <c r="C184" s="9"/>
      <c r="D184" s="10" t="str">
        <f>IF($C184="","",ROUND(SUMIFS(الإدخالات!$D$2:$D$501,الإدخالات!$C$2:$C$501,$C184)+SUMIFS($F$1:F183,$C$1:C183,$C184)-SUMIFS('الصرف المباشر'!$D$2:$D$501,'الصرف المباشر'!$C$2:$C$501,$C184)-SUMPRODUCT((الطبخات!$B$2:$B$900=$C184)*الطبخات!$C$2:$C$900*COUNTIF('سجل الإنتاج'!$C$2:$C$501,الطبخات!$A$2:$A$900)),3))</f>
        <v/>
      </c>
      <c r="E184" s="15"/>
      <c r="F184" s="19" t="str">
        <f t="shared" si="5"/>
        <v/>
      </c>
      <c r="G184" s="9"/>
      <c r="H184" s="9"/>
    </row>
    <row r="185" spans="1:8" ht="24" customHeight="1">
      <c r="A185" s="5" t="str">
        <f t="shared" si="4"/>
        <v/>
      </c>
      <c r="B185" s="18"/>
      <c r="C185" s="9"/>
      <c r="D185" s="10" t="str">
        <f>IF($C185="","",ROUND(SUMIFS(الإدخالات!$D$2:$D$501,الإدخالات!$C$2:$C$501,$C185)+SUMIFS($F$1:F184,$C$1:C184,$C185)-SUMIFS('الصرف المباشر'!$D$2:$D$501,'الصرف المباشر'!$C$2:$C$501,$C185)-SUMPRODUCT((الطبخات!$B$2:$B$900=$C185)*الطبخات!$C$2:$C$900*COUNTIF('سجل الإنتاج'!$C$2:$C$501,الطبخات!$A$2:$A$900)),3))</f>
        <v/>
      </c>
      <c r="E185" s="15"/>
      <c r="F185" s="19" t="str">
        <f t="shared" si="5"/>
        <v/>
      </c>
      <c r="G185" s="9"/>
      <c r="H185" s="9"/>
    </row>
    <row r="186" spans="1:8" ht="24" customHeight="1">
      <c r="A186" s="5" t="str">
        <f t="shared" si="4"/>
        <v/>
      </c>
      <c r="B186" s="18"/>
      <c r="C186" s="9"/>
      <c r="D186" s="10" t="str">
        <f>IF($C186="","",ROUND(SUMIFS(الإدخالات!$D$2:$D$501,الإدخالات!$C$2:$C$501,$C186)+SUMIFS($F$1:F185,$C$1:C185,$C186)-SUMIFS('الصرف المباشر'!$D$2:$D$501,'الصرف المباشر'!$C$2:$C$501,$C186)-SUMPRODUCT((الطبخات!$B$2:$B$900=$C186)*الطبخات!$C$2:$C$900*COUNTIF('سجل الإنتاج'!$C$2:$C$501,الطبخات!$A$2:$A$900)),3))</f>
        <v/>
      </c>
      <c r="E186" s="15"/>
      <c r="F186" s="19" t="str">
        <f t="shared" si="5"/>
        <v/>
      </c>
      <c r="G186" s="9"/>
      <c r="H186" s="9"/>
    </row>
    <row r="187" spans="1:8" ht="24" customHeight="1">
      <c r="A187" s="5" t="str">
        <f t="shared" si="4"/>
        <v/>
      </c>
      <c r="B187" s="18"/>
      <c r="C187" s="9"/>
      <c r="D187" s="10" t="str">
        <f>IF($C187="","",ROUND(SUMIFS(الإدخالات!$D$2:$D$501,الإدخالات!$C$2:$C$501,$C187)+SUMIFS($F$1:F186,$C$1:C186,$C187)-SUMIFS('الصرف المباشر'!$D$2:$D$501,'الصرف المباشر'!$C$2:$C$501,$C187)-SUMPRODUCT((الطبخات!$B$2:$B$900=$C187)*الطبخات!$C$2:$C$900*COUNTIF('سجل الإنتاج'!$C$2:$C$501,الطبخات!$A$2:$A$900)),3))</f>
        <v/>
      </c>
      <c r="E187" s="15"/>
      <c r="F187" s="19" t="str">
        <f t="shared" si="5"/>
        <v/>
      </c>
      <c r="G187" s="9"/>
      <c r="H187" s="9"/>
    </row>
    <row r="188" spans="1:8" ht="24" customHeight="1">
      <c r="A188" s="5" t="str">
        <f t="shared" si="4"/>
        <v/>
      </c>
      <c r="B188" s="18"/>
      <c r="C188" s="9"/>
      <c r="D188" s="10" t="str">
        <f>IF($C188="","",ROUND(SUMIFS(الإدخالات!$D$2:$D$501,الإدخالات!$C$2:$C$501,$C188)+SUMIFS($F$1:F187,$C$1:C187,$C188)-SUMIFS('الصرف المباشر'!$D$2:$D$501,'الصرف المباشر'!$C$2:$C$501,$C188)-SUMPRODUCT((الطبخات!$B$2:$B$900=$C188)*الطبخات!$C$2:$C$900*COUNTIF('سجل الإنتاج'!$C$2:$C$501,الطبخات!$A$2:$A$900)),3))</f>
        <v/>
      </c>
      <c r="E188" s="15"/>
      <c r="F188" s="19" t="str">
        <f t="shared" si="5"/>
        <v/>
      </c>
      <c r="G188" s="9"/>
      <c r="H188" s="9"/>
    </row>
    <row r="189" spans="1:8" ht="24" customHeight="1">
      <c r="A189" s="5" t="str">
        <f t="shared" si="4"/>
        <v/>
      </c>
      <c r="B189" s="18"/>
      <c r="C189" s="9"/>
      <c r="D189" s="10" t="str">
        <f>IF($C189="","",ROUND(SUMIFS(الإدخالات!$D$2:$D$501,الإدخالات!$C$2:$C$501,$C189)+SUMIFS($F$1:F188,$C$1:C188,$C189)-SUMIFS('الصرف المباشر'!$D$2:$D$501,'الصرف المباشر'!$C$2:$C$501,$C189)-SUMPRODUCT((الطبخات!$B$2:$B$900=$C189)*الطبخات!$C$2:$C$900*COUNTIF('سجل الإنتاج'!$C$2:$C$501,الطبخات!$A$2:$A$900)),3))</f>
        <v/>
      </c>
      <c r="E189" s="15"/>
      <c r="F189" s="19" t="str">
        <f t="shared" si="5"/>
        <v/>
      </c>
      <c r="G189" s="9"/>
      <c r="H189" s="9"/>
    </row>
    <row r="190" spans="1:8" ht="24" customHeight="1">
      <c r="A190" s="5" t="str">
        <f t="shared" si="4"/>
        <v/>
      </c>
      <c r="B190" s="18"/>
      <c r="C190" s="9"/>
      <c r="D190" s="10" t="str">
        <f>IF($C190="","",ROUND(SUMIFS(الإدخالات!$D$2:$D$501,الإدخالات!$C$2:$C$501,$C190)+SUMIFS($F$1:F189,$C$1:C189,$C190)-SUMIFS('الصرف المباشر'!$D$2:$D$501,'الصرف المباشر'!$C$2:$C$501,$C190)-SUMPRODUCT((الطبخات!$B$2:$B$900=$C190)*الطبخات!$C$2:$C$900*COUNTIF('سجل الإنتاج'!$C$2:$C$501,الطبخات!$A$2:$A$900)),3))</f>
        <v/>
      </c>
      <c r="E190" s="15"/>
      <c r="F190" s="19" t="str">
        <f t="shared" si="5"/>
        <v/>
      </c>
      <c r="G190" s="9"/>
      <c r="H190" s="9"/>
    </row>
    <row r="191" spans="1:8" ht="24" customHeight="1">
      <c r="A191" s="5" t="str">
        <f t="shared" si="4"/>
        <v/>
      </c>
      <c r="B191" s="18"/>
      <c r="C191" s="9"/>
      <c r="D191" s="10" t="str">
        <f>IF($C191="","",ROUND(SUMIFS(الإدخالات!$D$2:$D$501,الإدخالات!$C$2:$C$501,$C191)+SUMIFS($F$1:F190,$C$1:C190,$C191)-SUMIFS('الصرف المباشر'!$D$2:$D$501,'الصرف المباشر'!$C$2:$C$501,$C191)-SUMPRODUCT((الطبخات!$B$2:$B$900=$C191)*الطبخات!$C$2:$C$900*COUNTIF('سجل الإنتاج'!$C$2:$C$501,الطبخات!$A$2:$A$900)),3))</f>
        <v/>
      </c>
      <c r="E191" s="15"/>
      <c r="F191" s="19" t="str">
        <f t="shared" si="5"/>
        <v/>
      </c>
      <c r="G191" s="9"/>
      <c r="H191" s="9"/>
    </row>
    <row r="192" spans="1:8" ht="24" customHeight="1">
      <c r="A192" s="5" t="str">
        <f t="shared" si="4"/>
        <v/>
      </c>
      <c r="B192" s="18"/>
      <c r="C192" s="9"/>
      <c r="D192" s="10" t="str">
        <f>IF($C192="","",ROUND(SUMIFS(الإدخالات!$D$2:$D$501,الإدخالات!$C$2:$C$501,$C192)+SUMIFS($F$1:F191,$C$1:C191,$C192)-SUMIFS('الصرف المباشر'!$D$2:$D$501,'الصرف المباشر'!$C$2:$C$501,$C192)-SUMPRODUCT((الطبخات!$B$2:$B$900=$C192)*الطبخات!$C$2:$C$900*COUNTIF('سجل الإنتاج'!$C$2:$C$501,الطبخات!$A$2:$A$900)),3))</f>
        <v/>
      </c>
      <c r="E192" s="15"/>
      <c r="F192" s="19" t="str">
        <f t="shared" si="5"/>
        <v/>
      </c>
      <c r="G192" s="9"/>
      <c r="H192" s="9"/>
    </row>
    <row r="193" spans="1:8" ht="24" customHeight="1">
      <c r="A193" s="5" t="str">
        <f t="shared" si="4"/>
        <v/>
      </c>
      <c r="B193" s="18"/>
      <c r="C193" s="9"/>
      <c r="D193" s="10" t="str">
        <f>IF($C193="","",ROUND(SUMIFS(الإدخالات!$D$2:$D$501,الإدخالات!$C$2:$C$501,$C193)+SUMIFS($F$1:F192,$C$1:C192,$C193)-SUMIFS('الصرف المباشر'!$D$2:$D$501,'الصرف المباشر'!$C$2:$C$501,$C193)-SUMPRODUCT((الطبخات!$B$2:$B$900=$C193)*الطبخات!$C$2:$C$900*COUNTIF('سجل الإنتاج'!$C$2:$C$501,الطبخات!$A$2:$A$900)),3))</f>
        <v/>
      </c>
      <c r="E193" s="15"/>
      <c r="F193" s="19" t="str">
        <f t="shared" si="5"/>
        <v/>
      </c>
      <c r="G193" s="9"/>
      <c r="H193" s="9"/>
    </row>
    <row r="194" spans="1:8" ht="24" customHeight="1">
      <c r="A194" s="5" t="str">
        <f t="shared" ref="A194:A257" si="6">IF(C194="","",ROW()-1)</f>
        <v/>
      </c>
      <c r="B194" s="18"/>
      <c r="C194" s="9"/>
      <c r="D194" s="10" t="str">
        <f>IF($C194="","",ROUND(SUMIFS(الإدخالات!$D$2:$D$501,الإدخالات!$C$2:$C$501,$C194)+SUMIFS($F$1:F193,$C$1:C193,$C194)-SUMIFS('الصرف المباشر'!$D$2:$D$501,'الصرف المباشر'!$C$2:$C$501,$C194)-SUMPRODUCT((الطبخات!$B$2:$B$900=$C194)*الطبخات!$C$2:$C$900*COUNTIF('سجل الإنتاج'!$C$2:$C$501,الطبخات!$A$2:$A$900)),3))</f>
        <v/>
      </c>
      <c r="E194" s="15"/>
      <c r="F194" s="19" t="str">
        <f t="shared" ref="F194:F257" si="7">IF(OR($C194="",$E194=""),"",ROUND($E194-$D194,3))</f>
        <v/>
      </c>
      <c r="G194" s="9"/>
      <c r="H194" s="9"/>
    </row>
    <row r="195" spans="1:8" ht="24" customHeight="1">
      <c r="A195" s="5" t="str">
        <f t="shared" si="6"/>
        <v/>
      </c>
      <c r="B195" s="18"/>
      <c r="C195" s="9"/>
      <c r="D195" s="10" t="str">
        <f>IF($C195="","",ROUND(SUMIFS(الإدخالات!$D$2:$D$501,الإدخالات!$C$2:$C$501,$C195)+SUMIFS($F$1:F194,$C$1:C194,$C195)-SUMIFS('الصرف المباشر'!$D$2:$D$501,'الصرف المباشر'!$C$2:$C$501,$C195)-SUMPRODUCT((الطبخات!$B$2:$B$900=$C195)*الطبخات!$C$2:$C$900*COUNTIF('سجل الإنتاج'!$C$2:$C$501,الطبخات!$A$2:$A$900)),3))</f>
        <v/>
      </c>
      <c r="E195" s="15"/>
      <c r="F195" s="19" t="str">
        <f t="shared" si="7"/>
        <v/>
      </c>
      <c r="G195" s="9"/>
      <c r="H195" s="9"/>
    </row>
    <row r="196" spans="1:8" ht="24" customHeight="1">
      <c r="A196" s="5" t="str">
        <f t="shared" si="6"/>
        <v/>
      </c>
      <c r="B196" s="18"/>
      <c r="C196" s="9"/>
      <c r="D196" s="10" t="str">
        <f>IF($C196="","",ROUND(SUMIFS(الإدخالات!$D$2:$D$501,الإدخالات!$C$2:$C$501,$C196)+SUMIFS($F$1:F195,$C$1:C195,$C196)-SUMIFS('الصرف المباشر'!$D$2:$D$501,'الصرف المباشر'!$C$2:$C$501,$C196)-SUMPRODUCT((الطبخات!$B$2:$B$900=$C196)*الطبخات!$C$2:$C$900*COUNTIF('سجل الإنتاج'!$C$2:$C$501,الطبخات!$A$2:$A$900)),3))</f>
        <v/>
      </c>
      <c r="E196" s="15"/>
      <c r="F196" s="19" t="str">
        <f t="shared" si="7"/>
        <v/>
      </c>
      <c r="G196" s="9"/>
      <c r="H196" s="9"/>
    </row>
    <row r="197" spans="1:8" ht="24" customHeight="1">
      <c r="A197" s="5" t="str">
        <f t="shared" si="6"/>
        <v/>
      </c>
      <c r="B197" s="18"/>
      <c r="C197" s="9"/>
      <c r="D197" s="10" t="str">
        <f>IF($C197="","",ROUND(SUMIFS(الإدخالات!$D$2:$D$501,الإدخالات!$C$2:$C$501,$C197)+SUMIFS($F$1:F196,$C$1:C196,$C197)-SUMIFS('الصرف المباشر'!$D$2:$D$501,'الصرف المباشر'!$C$2:$C$501,$C197)-SUMPRODUCT((الطبخات!$B$2:$B$900=$C197)*الطبخات!$C$2:$C$900*COUNTIF('سجل الإنتاج'!$C$2:$C$501,الطبخات!$A$2:$A$900)),3))</f>
        <v/>
      </c>
      <c r="E197" s="15"/>
      <c r="F197" s="19" t="str">
        <f t="shared" si="7"/>
        <v/>
      </c>
      <c r="G197" s="9"/>
      <c r="H197" s="9"/>
    </row>
    <row r="198" spans="1:8" ht="24" customHeight="1">
      <c r="A198" s="5" t="str">
        <f t="shared" si="6"/>
        <v/>
      </c>
      <c r="B198" s="18"/>
      <c r="C198" s="9"/>
      <c r="D198" s="10" t="str">
        <f>IF($C198="","",ROUND(SUMIFS(الإدخالات!$D$2:$D$501,الإدخالات!$C$2:$C$501,$C198)+SUMIFS($F$1:F197,$C$1:C197,$C198)-SUMIFS('الصرف المباشر'!$D$2:$D$501,'الصرف المباشر'!$C$2:$C$501,$C198)-SUMPRODUCT((الطبخات!$B$2:$B$900=$C198)*الطبخات!$C$2:$C$900*COUNTIF('سجل الإنتاج'!$C$2:$C$501,الطبخات!$A$2:$A$900)),3))</f>
        <v/>
      </c>
      <c r="E198" s="15"/>
      <c r="F198" s="19" t="str">
        <f t="shared" si="7"/>
        <v/>
      </c>
      <c r="G198" s="9"/>
      <c r="H198" s="9"/>
    </row>
    <row r="199" spans="1:8" ht="24" customHeight="1">
      <c r="A199" s="5" t="str">
        <f t="shared" si="6"/>
        <v/>
      </c>
      <c r="B199" s="18"/>
      <c r="C199" s="9"/>
      <c r="D199" s="10" t="str">
        <f>IF($C199="","",ROUND(SUMIFS(الإدخالات!$D$2:$D$501,الإدخالات!$C$2:$C$501,$C199)+SUMIFS($F$1:F198,$C$1:C198,$C199)-SUMIFS('الصرف المباشر'!$D$2:$D$501,'الصرف المباشر'!$C$2:$C$501,$C199)-SUMPRODUCT((الطبخات!$B$2:$B$900=$C199)*الطبخات!$C$2:$C$900*COUNTIF('سجل الإنتاج'!$C$2:$C$501,الطبخات!$A$2:$A$900)),3))</f>
        <v/>
      </c>
      <c r="E199" s="15"/>
      <c r="F199" s="19" t="str">
        <f t="shared" si="7"/>
        <v/>
      </c>
      <c r="G199" s="9"/>
      <c r="H199" s="9"/>
    </row>
    <row r="200" spans="1:8" ht="24" customHeight="1">
      <c r="A200" s="5" t="str">
        <f t="shared" si="6"/>
        <v/>
      </c>
      <c r="B200" s="18"/>
      <c r="C200" s="9"/>
      <c r="D200" s="10" t="str">
        <f>IF($C200="","",ROUND(SUMIFS(الإدخالات!$D$2:$D$501,الإدخالات!$C$2:$C$501,$C200)+SUMIFS($F$1:F199,$C$1:C199,$C200)-SUMIFS('الصرف المباشر'!$D$2:$D$501,'الصرف المباشر'!$C$2:$C$501,$C200)-SUMPRODUCT((الطبخات!$B$2:$B$900=$C200)*الطبخات!$C$2:$C$900*COUNTIF('سجل الإنتاج'!$C$2:$C$501,الطبخات!$A$2:$A$900)),3))</f>
        <v/>
      </c>
      <c r="E200" s="15"/>
      <c r="F200" s="19" t="str">
        <f t="shared" si="7"/>
        <v/>
      </c>
      <c r="G200" s="9"/>
      <c r="H200" s="9"/>
    </row>
    <row r="201" spans="1:8" ht="24" customHeight="1">
      <c r="A201" s="5" t="str">
        <f t="shared" si="6"/>
        <v/>
      </c>
      <c r="B201" s="18"/>
      <c r="C201" s="9"/>
      <c r="D201" s="10" t="str">
        <f>IF($C201="","",ROUND(SUMIFS(الإدخالات!$D$2:$D$501,الإدخالات!$C$2:$C$501,$C201)+SUMIFS($F$1:F200,$C$1:C200,$C201)-SUMIFS('الصرف المباشر'!$D$2:$D$501,'الصرف المباشر'!$C$2:$C$501,$C201)-SUMPRODUCT((الطبخات!$B$2:$B$900=$C201)*الطبخات!$C$2:$C$900*COUNTIF('سجل الإنتاج'!$C$2:$C$501,الطبخات!$A$2:$A$900)),3))</f>
        <v/>
      </c>
      <c r="E201" s="15"/>
      <c r="F201" s="19" t="str">
        <f t="shared" si="7"/>
        <v/>
      </c>
      <c r="G201" s="9"/>
      <c r="H201" s="9"/>
    </row>
    <row r="202" spans="1:8" ht="24" customHeight="1">
      <c r="A202" s="5" t="str">
        <f t="shared" si="6"/>
        <v/>
      </c>
      <c r="B202" s="18"/>
      <c r="C202" s="9"/>
      <c r="D202" s="10" t="str">
        <f>IF($C202="","",ROUND(SUMIFS(الإدخالات!$D$2:$D$501,الإدخالات!$C$2:$C$501,$C202)+SUMIFS($F$1:F201,$C$1:C201,$C202)-SUMIFS('الصرف المباشر'!$D$2:$D$501,'الصرف المباشر'!$C$2:$C$501,$C202)-SUMPRODUCT((الطبخات!$B$2:$B$900=$C202)*الطبخات!$C$2:$C$900*COUNTIF('سجل الإنتاج'!$C$2:$C$501,الطبخات!$A$2:$A$900)),3))</f>
        <v/>
      </c>
      <c r="E202" s="15"/>
      <c r="F202" s="19" t="str">
        <f t="shared" si="7"/>
        <v/>
      </c>
      <c r="G202" s="9"/>
      <c r="H202" s="9"/>
    </row>
    <row r="203" spans="1:8" ht="24" customHeight="1">
      <c r="A203" s="5" t="str">
        <f t="shared" si="6"/>
        <v/>
      </c>
      <c r="B203" s="18"/>
      <c r="C203" s="9"/>
      <c r="D203" s="10" t="str">
        <f>IF($C203="","",ROUND(SUMIFS(الإدخالات!$D$2:$D$501,الإدخالات!$C$2:$C$501,$C203)+SUMIFS($F$1:F202,$C$1:C202,$C203)-SUMIFS('الصرف المباشر'!$D$2:$D$501,'الصرف المباشر'!$C$2:$C$501,$C203)-SUMPRODUCT((الطبخات!$B$2:$B$900=$C203)*الطبخات!$C$2:$C$900*COUNTIF('سجل الإنتاج'!$C$2:$C$501,الطبخات!$A$2:$A$900)),3))</f>
        <v/>
      </c>
      <c r="E203" s="15"/>
      <c r="F203" s="19" t="str">
        <f t="shared" si="7"/>
        <v/>
      </c>
      <c r="G203" s="9"/>
      <c r="H203" s="9"/>
    </row>
    <row r="204" spans="1:8" ht="24" customHeight="1">
      <c r="A204" s="5" t="str">
        <f t="shared" si="6"/>
        <v/>
      </c>
      <c r="B204" s="18"/>
      <c r="C204" s="9"/>
      <c r="D204" s="10" t="str">
        <f>IF($C204="","",ROUND(SUMIFS(الإدخالات!$D$2:$D$501,الإدخالات!$C$2:$C$501,$C204)+SUMIFS($F$1:F203,$C$1:C203,$C204)-SUMIFS('الصرف المباشر'!$D$2:$D$501,'الصرف المباشر'!$C$2:$C$501,$C204)-SUMPRODUCT((الطبخات!$B$2:$B$900=$C204)*الطبخات!$C$2:$C$900*COUNTIF('سجل الإنتاج'!$C$2:$C$501,الطبخات!$A$2:$A$900)),3))</f>
        <v/>
      </c>
      <c r="E204" s="15"/>
      <c r="F204" s="19" t="str">
        <f t="shared" si="7"/>
        <v/>
      </c>
      <c r="G204" s="9"/>
      <c r="H204" s="9"/>
    </row>
    <row r="205" spans="1:8" ht="24" customHeight="1">
      <c r="A205" s="5" t="str">
        <f t="shared" si="6"/>
        <v/>
      </c>
      <c r="B205" s="18"/>
      <c r="C205" s="9"/>
      <c r="D205" s="10" t="str">
        <f>IF($C205="","",ROUND(SUMIFS(الإدخالات!$D$2:$D$501,الإدخالات!$C$2:$C$501,$C205)+SUMIFS($F$1:F204,$C$1:C204,$C205)-SUMIFS('الصرف المباشر'!$D$2:$D$501,'الصرف المباشر'!$C$2:$C$501,$C205)-SUMPRODUCT((الطبخات!$B$2:$B$900=$C205)*الطبخات!$C$2:$C$900*COUNTIF('سجل الإنتاج'!$C$2:$C$501,الطبخات!$A$2:$A$900)),3))</f>
        <v/>
      </c>
      <c r="E205" s="15"/>
      <c r="F205" s="19" t="str">
        <f t="shared" si="7"/>
        <v/>
      </c>
      <c r="G205" s="9"/>
      <c r="H205" s="9"/>
    </row>
    <row r="206" spans="1:8" ht="24" customHeight="1">
      <c r="A206" s="5" t="str">
        <f t="shared" si="6"/>
        <v/>
      </c>
      <c r="B206" s="18"/>
      <c r="C206" s="9"/>
      <c r="D206" s="10" t="str">
        <f>IF($C206="","",ROUND(SUMIFS(الإدخالات!$D$2:$D$501,الإدخالات!$C$2:$C$501,$C206)+SUMIFS($F$1:F205,$C$1:C205,$C206)-SUMIFS('الصرف المباشر'!$D$2:$D$501,'الصرف المباشر'!$C$2:$C$501,$C206)-SUMPRODUCT((الطبخات!$B$2:$B$900=$C206)*الطبخات!$C$2:$C$900*COUNTIF('سجل الإنتاج'!$C$2:$C$501,الطبخات!$A$2:$A$900)),3))</f>
        <v/>
      </c>
      <c r="E206" s="15"/>
      <c r="F206" s="19" t="str">
        <f t="shared" si="7"/>
        <v/>
      </c>
      <c r="G206" s="9"/>
      <c r="H206" s="9"/>
    </row>
    <row r="207" spans="1:8" ht="24" customHeight="1">
      <c r="A207" s="5" t="str">
        <f t="shared" si="6"/>
        <v/>
      </c>
      <c r="B207" s="18"/>
      <c r="C207" s="9"/>
      <c r="D207" s="10" t="str">
        <f>IF($C207="","",ROUND(SUMIFS(الإدخالات!$D$2:$D$501,الإدخالات!$C$2:$C$501,$C207)+SUMIFS($F$1:F206,$C$1:C206,$C207)-SUMIFS('الصرف المباشر'!$D$2:$D$501,'الصرف المباشر'!$C$2:$C$501,$C207)-SUMPRODUCT((الطبخات!$B$2:$B$900=$C207)*الطبخات!$C$2:$C$900*COUNTIF('سجل الإنتاج'!$C$2:$C$501,الطبخات!$A$2:$A$900)),3))</f>
        <v/>
      </c>
      <c r="E207" s="15"/>
      <c r="F207" s="19" t="str">
        <f t="shared" si="7"/>
        <v/>
      </c>
      <c r="G207" s="9"/>
      <c r="H207" s="9"/>
    </row>
    <row r="208" spans="1:8" ht="24" customHeight="1">
      <c r="A208" s="5" t="str">
        <f t="shared" si="6"/>
        <v/>
      </c>
      <c r="B208" s="18"/>
      <c r="C208" s="9"/>
      <c r="D208" s="10" t="str">
        <f>IF($C208="","",ROUND(SUMIFS(الإدخالات!$D$2:$D$501,الإدخالات!$C$2:$C$501,$C208)+SUMIFS($F$1:F207,$C$1:C207,$C208)-SUMIFS('الصرف المباشر'!$D$2:$D$501,'الصرف المباشر'!$C$2:$C$501,$C208)-SUMPRODUCT((الطبخات!$B$2:$B$900=$C208)*الطبخات!$C$2:$C$900*COUNTIF('سجل الإنتاج'!$C$2:$C$501,الطبخات!$A$2:$A$900)),3))</f>
        <v/>
      </c>
      <c r="E208" s="15"/>
      <c r="F208" s="19" t="str">
        <f t="shared" si="7"/>
        <v/>
      </c>
      <c r="G208" s="9"/>
      <c r="H208" s="9"/>
    </row>
    <row r="209" spans="1:8" ht="24" customHeight="1">
      <c r="A209" s="5" t="str">
        <f t="shared" si="6"/>
        <v/>
      </c>
      <c r="B209" s="18"/>
      <c r="C209" s="9"/>
      <c r="D209" s="10" t="str">
        <f>IF($C209="","",ROUND(SUMIFS(الإدخالات!$D$2:$D$501,الإدخالات!$C$2:$C$501,$C209)+SUMIFS($F$1:F208,$C$1:C208,$C209)-SUMIFS('الصرف المباشر'!$D$2:$D$501,'الصرف المباشر'!$C$2:$C$501,$C209)-SUMPRODUCT((الطبخات!$B$2:$B$900=$C209)*الطبخات!$C$2:$C$900*COUNTIF('سجل الإنتاج'!$C$2:$C$501,الطبخات!$A$2:$A$900)),3))</f>
        <v/>
      </c>
      <c r="E209" s="15"/>
      <c r="F209" s="19" t="str">
        <f t="shared" si="7"/>
        <v/>
      </c>
      <c r="G209" s="9"/>
      <c r="H209" s="9"/>
    </row>
    <row r="210" spans="1:8" ht="24" customHeight="1">
      <c r="A210" s="5" t="str">
        <f t="shared" si="6"/>
        <v/>
      </c>
      <c r="B210" s="18"/>
      <c r="C210" s="9"/>
      <c r="D210" s="10" t="str">
        <f>IF($C210="","",ROUND(SUMIFS(الإدخالات!$D$2:$D$501,الإدخالات!$C$2:$C$501,$C210)+SUMIFS($F$1:F209,$C$1:C209,$C210)-SUMIFS('الصرف المباشر'!$D$2:$D$501,'الصرف المباشر'!$C$2:$C$501,$C210)-SUMPRODUCT((الطبخات!$B$2:$B$900=$C210)*الطبخات!$C$2:$C$900*COUNTIF('سجل الإنتاج'!$C$2:$C$501,الطبخات!$A$2:$A$900)),3))</f>
        <v/>
      </c>
      <c r="E210" s="15"/>
      <c r="F210" s="19" t="str">
        <f t="shared" si="7"/>
        <v/>
      </c>
      <c r="G210" s="9"/>
      <c r="H210" s="9"/>
    </row>
    <row r="211" spans="1:8" ht="24" customHeight="1">
      <c r="A211" s="5" t="str">
        <f t="shared" si="6"/>
        <v/>
      </c>
      <c r="B211" s="18"/>
      <c r="C211" s="9"/>
      <c r="D211" s="10" t="str">
        <f>IF($C211="","",ROUND(SUMIFS(الإدخالات!$D$2:$D$501,الإدخالات!$C$2:$C$501,$C211)+SUMIFS($F$1:F210,$C$1:C210,$C211)-SUMIFS('الصرف المباشر'!$D$2:$D$501,'الصرف المباشر'!$C$2:$C$501,$C211)-SUMPRODUCT((الطبخات!$B$2:$B$900=$C211)*الطبخات!$C$2:$C$900*COUNTIF('سجل الإنتاج'!$C$2:$C$501,الطبخات!$A$2:$A$900)),3))</f>
        <v/>
      </c>
      <c r="E211" s="15"/>
      <c r="F211" s="19" t="str">
        <f t="shared" si="7"/>
        <v/>
      </c>
      <c r="G211" s="9"/>
      <c r="H211" s="9"/>
    </row>
    <row r="212" spans="1:8" ht="24" customHeight="1">
      <c r="A212" s="5" t="str">
        <f t="shared" si="6"/>
        <v/>
      </c>
      <c r="B212" s="18"/>
      <c r="C212" s="9"/>
      <c r="D212" s="10" t="str">
        <f>IF($C212="","",ROUND(SUMIFS(الإدخالات!$D$2:$D$501,الإدخالات!$C$2:$C$501,$C212)+SUMIFS($F$1:F211,$C$1:C211,$C212)-SUMIFS('الصرف المباشر'!$D$2:$D$501,'الصرف المباشر'!$C$2:$C$501,$C212)-SUMPRODUCT((الطبخات!$B$2:$B$900=$C212)*الطبخات!$C$2:$C$900*COUNTIF('سجل الإنتاج'!$C$2:$C$501,الطبخات!$A$2:$A$900)),3))</f>
        <v/>
      </c>
      <c r="E212" s="15"/>
      <c r="F212" s="19" t="str">
        <f t="shared" si="7"/>
        <v/>
      </c>
      <c r="G212" s="9"/>
      <c r="H212" s="9"/>
    </row>
    <row r="213" spans="1:8" ht="24" customHeight="1">
      <c r="A213" s="5" t="str">
        <f t="shared" si="6"/>
        <v/>
      </c>
      <c r="B213" s="18"/>
      <c r="C213" s="9"/>
      <c r="D213" s="10" t="str">
        <f>IF($C213="","",ROUND(SUMIFS(الإدخالات!$D$2:$D$501,الإدخالات!$C$2:$C$501,$C213)+SUMIFS($F$1:F212,$C$1:C212,$C213)-SUMIFS('الصرف المباشر'!$D$2:$D$501,'الصرف المباشر'!$C$2:$C$501,$C213)-SUMPRODUCT((الطبخات!$B$2:$B$900=$C213)*الطبخات!$C$2:$C$900*COUNTIF('سجل الإنتاج'!$C$2:$C$501,الطبخات!$A$2:$A$900)),3))</f>
        <v/>
      </c>
      <c r="E213" s="15"/>
      <c r="F213" s="19" t="str">
        <f t="shared" si="7"/>
        <v/>
      </c>
      <c r="G213" s="9"/>
      <c r="H213" s="9"/>
    </row>
    <row r="214" spans="1:8" ht="24" customHeight="1">
      <c r="A214" s="5" t="str">
        <f t="shared" si="6"/>
        <v/>
      </c>
      <c r="B214" s="18"/>
      <c r="C214" s="9"/>
      <c r="D214" s="10" t="str">
        <f>IF($C214="","",ROUND(SUMIFS(الإدخالات!$D$2:$D$501,الإدخالات!$C$2:$C$501,$C214)+SUMIFS($F$1:F213,$C$1:C213,$C214)-SUMIFS('الصرف المباشر'!$D$2:$D$501,'الصرف المباشر'!$C$2:$C$501,$C214)-SUMPRODUCT((الطبخات!$B$2:$B$900=$C214)*الطبخات!$C$2:$C$900*COUNTIF('سجل الإنتاج'!$C$2:$C$501,الطبخات!$A$2:$A$900)),3))</f>
        <v/>
      </c>
      <c r="E214" s="15"/>
      <c r="F214" s="19" t="str">
        <f t="shared" si="7"/>
        <v/>
      </c>
      <c r="G214" s="9"/>
      <c r="H214" s="9"/>
    </row>
    <row r="215" spans="1:8" ht="24" customHeight="1">
      <c r="A215" s="5" t="str">
        <f t="shared" si="6"/>
        <v/>
      </c>
      <c r="B215" s="18"/>
      <c r="C215" s="9"/>
      <c r="D215" s="10" t="str">
        <f>IF($C215="","",ROUND(SUMIFS(الإدخالات!$D$2:$D$501,الإدخالات!$C$2:$C$501,$C215)+SUMIFS($F$1:F214,$C$1:C214,$C215)-SUMIFS('الصرف المباشر'!$D$2:$D$501,'الصرف المباشر'!$C$2:$C$501,$C215)-SUMPRODUCT((الطبخات!$B$2:$B$900=$C215)*الطبخات!$C$2:$C$900*COUNTIF('سجل الإنتاج'!$C$2:$C$501,الطبخات!$A$2:$A$900)),3))</f>
        <v/>
      </c>
      <c r="E215" s="15"/>
      <c r="F215" s="19" t="str">
        <f t="shared" si="7"/>
        <v/>
      </c>
      <c r="G215" s="9"/>
      <c r="H215" s="9"/>
    </row>
    <row r="216" spans="1:8" ht="24" customHeight="1">
      <c r="A216" s="5" t="str">
        <f t="shared" si="6"/>
        <v/>
      </c>
      <c r="B216" s="18"/>
      <c r="C216" s="9"/>
      <c r="D216" s="10" t="str">
        <f>IF($C216="","",ROUND(SUMIFS(الإدخالات!$D$2:$D$501,الإدخالات!$C$2:$C$501,$C216)+SUMIFS($F$1:F215,$C$1:C215,$C216)-SUMIFS('الصرف المباشر'!$D$2:$D$501,'الصرف المباشر'!$C$2:$C$501,$C216)-SUMPRODUCT((الطبخات!$B$2:$B$900=$C216)*الطبخات!$C$2:$C$900*COUNTIF('سجل الإنتاج'!$C$2:$C$501,الطبخات!$A$2:$A$900)),3))</f>
        <v/>
      </c>
      <c r="E216" s="15"/>
      <c r="F216" s="19" t="str">
        <f t="shared" si="7"/>
        <v/>
      </c>
      <c r="G216" s="9"/>
      <c r="H216" s="9"/>
    </row>
    <row r="217" spans="1:8" ht="24" customHeight="1">
      <c r="A217" s="5" t="str">
        <f t="shared" si="6"/>
        <v/>
      </c>
      <c r="B217" s="18"/>
      <c r="C217" s="9"/>
      <c r="D217" s="10" t="str">
        <f>IF($C217="","",ROUND(SUMIFS(الإدخالات!$D$2:$D$501,الإدخالات!$C$2:$C$501,$C217)+SUMIFS($F$1:F216,$C$1:C216,$C217)-SUMIFS('الصرف المباشر'!$D$2:$D$501,'الصرف المباشر'!$C$2:$C$501,$C217)-SUMPRODUCT((الطبخات!$B$2:$B$900=$C217)*الطبخات!$C$2:$C$900*COUNTIF('سجل الإنتاج'!$C$2:$C$501,الطبخات!$A$2:$A$900)),3))</f>
        <v/>
      </c>
      <c r="E217" s="15"/>
      <c r="F217" s="19" t="str">
        <f t="shared" si="7"/>
        <v/>
      </c>
      <c r="G217" s="9"/>
      <c r="H217" s="9"/>
    </row>
    <row r="218" spans="1:8" ht="24" customHeight="1">
      <c r="A218" s="5" t="str">
        <f t="shared" si="6"/>
        <v/>
      </c>
      <c r="B218" s="18"/>
      <c r="C218" s="9"/>
      <c r="D218" s="10" t="str">
        <f>IF($C218="","",ROUND(SUMIFS(الإدخالات!$D$2:$D$501,الإدخالات!$C$2:$C$501,$C218)+SUMIFS($F$1:F217,$C$1:C217,$C218)-SUMIFS('الصرف المباشر'!$D$2:$D$501,'الصرف المباشر'!$C$2:$C$501,$C218)-SUMPRODUCT((الطبخات!$B$2:$B$900=$C218)*الطبخات!$C$2:$C$900*COUNTIF('سجل الإنتاج'!$C$2:$C$501,الطبخات!$A$2:$A$900)),3))</f>
        <v/>
      </c>
      <c r="E218" s="15"/>
      <c r="F218" s="19" t="str">
        <f t="shared" si="7"/>
        <v/>
      </c>
      <c r="G218" s="9"/>
      <c r="H218" s="9"/>
    </row>
    <row r="219" spans="1:8" ht="24" customHeight="1">
      <c r="A219" s="5" t="str">
        <f t="shared" si="6"/>
        <v/>
      </c>
      <c r="B219" s="18"/>
      <c r="C219" s="9"/>
      <c r="D219" s="10" t="str">
        <f>IF($C219="","",ROUND(SUMIFS(الإدخالات!$D$2:$D$501,الإدخالات!$C$2:$C$501,$C219)+SUMIFS($F$1:F218,$C$1:C218,$C219)-SUMIFS('الصرف المباشر'!$D$2:$D$501,'الصرف المباشر'!$C$2:$C$501,$C219)-SUMPRODUCT((الطبخات!$B$2:$B$900=$C219)*الطبخات!$C$2:$C$900*COUNTIF('سجل الإنتاج'!$C$2:$C$501,الطبخات!$A$2:$A$900)),3))</f>
        <v/>
      </c>
      <c r="E219" s="15"/>
      <c r="F219" s="19" t="str">
        <f t="shared" si="7"/>
        <v/>
      </c>
      <c r="G219" s="9"/>
      <c r="H219" s="9"/>
    </row>
    <row r="220" spans="1:8" ht="24" customHeight="1">
      <c r="A220" s="5" t="str">
        <f t="shared" si="6"/>
        <v/>
      </c>
      <c r="B220" s="18"/>
      <c r="C220" s="9"/>
      <c r="D220" s="10" t="str">
        <f>IF($C220="","",ROUND(SUMIFS(الإدخالات!$D$2:$D$501,الإدخالات!$C$2:$C$501,$C220)+SUMIFS($F$1:F219,$C$1:C219,$C220)-SUMIFS('الصرف المباشر'!$D$2:$D$501,'الصرف المباشر'!$C$2:$C$501,$C220)-SUMPRODUCT((الطبخات!$B$2:$B$900=$C220)*الطبخات!$C$2:$C$900*COUNTIF('سجل الإنتاج'!$C$2:$C$501,الطبخات!$A$2:$A$900)),3))</f>
        <v/>
      </c>
      <c r="E220" s="15"/>
      <c r="F220" s="19" t="str">
        <f t="shared" si="7"/>
        <v/>
      </c>
      <c r="G220" s="9"/>
      <c r="H220" s="9"/>
    </row>
    <row r="221" spans="1:8" ht="24" customHeight="1">
      <c r="A221" s="5" t="str">
        <f t="shared" si="6"/>
        <v/>
      </c>
      <c r="B221" s="18"/>
      <c r="C221" s="9"/>
      <c r="D221" s="10" t="str">
        <f>IF($C221="","",ROUND(SUMIFS(الإدخالات!$D$2:$D$501,الإدخالات!$C$2:$C$501,$C221)+SUMIFS($F$1:F220,$C$1:C220,$C221)-SUMIFS('الصرف المباشر'!$D$2:$D$501,'الصرف المباشر'!$C$2:$C$501,$C221)-SUMPRODUCT((الطبخات!$B$2:$B$900=$C221)*الطبخات!$C$2:$C$900*COUNTIF('سجل الإنتاج'!$C$2:$C$501,الطبخات!$A$2:$A$900)),3))</f>
        <v/>
      </c>
      <c r="E221" s="15"/>
      <c r="F221" s="19" t="str">
        <f t="shared" si="7"/>
        <v/>
      </c>
      <c r="G221" s="9"/>
      <c r="H221" s="9"/>
    </row>
    <row r="222" spans="1:8" ht="24" customHeight="1">
      <c r="A222" s="5" t="str">
        <f t="shared" si="6"/>
        <v/>
      </c>
      <c r="B222" s="18"/>
      <c r="C222" s="9"/>
      <c r="D222" s="10" t="str">
        <f>IF($C222="","",ROUND(SUMIFS(الإدخالات!$D$2:$D$501,الإدخالات!$C$2:$C$501,$C222)+SUMIFS($F$1:F221,$C$1:C221,$C222)-SUMIFS('الصرف المباشر'!$D$2:$D$501,'الصرف المباشر'!$C$2:$C$501,$C222)-SUMPRODUCT((الطبخات!$B$2:$B$900=$C222)*الطبخات!$C$2:$C$900*COUNTIF('سجل الإنتاج'!$C$2:$C$501,الطبخات!$A$2:$A$900)),3))</f>
        <v/>
      </c>
      <c r="E222" s="15"/>
      <c r="F222" s="19" t="str">
        <f t="shared" si="7"/>
        <v/>
      </c>
      <c r="G222" s="9"/>
      <c r="H222" s="9"/>
    </row>
    <row r="223" spans="1:8" ht="24" customHeight="1">
      <c r="A223" s="5" t="str">
        <f t="shared" si="6"/>
        <v/>
      </c>
      <c r="B223" s="18"/>
      <c r="C223" s="9"/>
      <c r="D223" s="10" t="str">
        <f>IF($C223="","",ROUND(SUMIFS(الإدخالات!$D$2:$D$501,الإدخالات!$C$2:$C$501,$C223)+SUMIFS($F$1:F222,$C$1:C222,$C223)-SUMIFS('الصرف المباشر'!$D$2:$D$501,'الصرف المباشر'!$C$2:$C$501,$C223)-SUMPRODUCT((الطبخات!$B$2:$B$900=$C223)*الطبخات!$C$2:$C$900*COUNTIF('سجل الإنتاج'!$C$2:$C$501,الطبخات!$A$2:$A$900)),3))</f>
        <v/>
      </c>
      <c r="E223" s="15"/>
      <c r="F223" s="19" t="str">
        <f t="shared" si="7"/>
        <v/>
      </c>
      <c r="G223" s="9"/>
      <c r="H223" s="9"/>
    </row>
    <row r="224" spans="1:8" ht="24" customHeight="1">
      <c r="A224" s="5" t="str">
        <f t="shared" si="6"/>
        <v/>
      </c>
      <c r="B224" s="18"/>
      <c r="C224" s="9"/>
      <c r="D224" s="10" t="str">
        <f>IF($C224="","",ROUND(SUMIFS(الإدخالات!$D$2:$D$501,الإدخالات!$C$2:$C$501,$C224)+SUMIFS($F$1:F223,$C$1:C223,$C224)-SUMIFS('الصرف المباشر'!$D$2:$D$501,'الصرف المباشر'!$C$2:$C$501,$C224)-SUMPRODUCT((الطبخات!$B$2:$B$900=$C224)*الطبخات!$C$2:$C$900*COUNTIF('سجل الإنتاج'!$C$2:$C$501,الطبخات!$A$2:$A$900)),3))</f>
        <v/>
      </c>
      <c r="E224" s="15"/>
      <c r="F224" s="19" t="str">
        <f t="shared" si="7"/>
        <v/>
      </c>
      <c r="G224" s="9"/>
      <c r="H224" s="9"/>
    </row>
    <row r="225" spans="1:8" ht="24" customHeight="1">
      <c r="A225" s="5" t="str">
        <f t="shared" si="6"/>
        <v/>
      </c>
      <c r="B225" s="18"/>
      <c r="C225" s="9"/>
      <c r="D225" s="10" t="str">
        <f>IF($C225="","",ROUND(SUMIFS(الإدخالات!$D$2:$D$501,الإدخالات!$C$2:$C$501,$C225)+SUMIFS($F$1:F224,$C$1:C224,$C225)-SUMIFS('الصرف المباشر'!$D$2:$D$501,'الصرف المباشر'!$C$2:$C$501,$C225)-SUMPRODUCT((الطبخات!$B$2:$B$900=$C225)*الطبخات!$C$2:$C$900*COUNTIF('سجل الإنتاج'!$C$2:$C$501,الطبخات!$A$2:$A$900)),3))</f>
        <v/>
      </c>
      <c r="E225" s="15"/>
      <c r="F225" s="19" t="str">
        <f t="shared" si="7"/>
        <v/>
      </c>
      <c r="G225" s="9"/>
      <c r="H225" s="9"/>
    </row>
    <row r="226" spans="1:8" ht="24" customHeight="1">
      <c r="A226" s="5" t="str">
        <f t="shared" si="6"/>
        <v/>
      </c>
      <c r="B226" s="18"/>
      <c r="C226" s="9"/>
      <c r="D226" s="10" t="str">
        <f>IF($C226="","",ROUND(SUMIFS(الإدخالات!$D$2:$D$501,الإدخالات!$C$2:$C$501,$C226)+SUMIFS($F$1:F225,$C$1:C225,$C226)-SUMIFS('الصرف المباشر'!$D$2:$D$501,'الصرف المباشر'!$C$2:$C$501,$C226)-SUMPRODUCT((الطبخات!$B$2:$B$900=$C226)*الطبخات!$C$2:$C$900*COUNTIF('سجل الإنتاج'!$C$2:$C$501,الطبخات!$A$2:$A$900)),3))</f>
        <v/>
      </c>
      <c r="E226" s="15"/>
      <c r="F226" s="19" t="str">
        <f t="shared" si="7"/>
        <v/>
      </c>
      <c r="G226" s="9"/>
      <c r="H226" s="9"/>
    </row>
    <row r="227" spans="1:8" ht="24" customHeight="1">
      <c r="A227" s="5" t="str">
        <f t="shared" si="6"/>
        <v/>
      </c>
      <c r="B227" s="18"/>
      <c r="C227" s="9"/>
      <c r="D227" s="10" t="str">
        <f>IF($C227="","",ROUND(SUMIFS(الإدخالات!$D$2:$D$501,الإدخالات!$C$2:$C$501,$C227)+SUMIFS($F$1:F226,$C$1:C226,$C227)-SUMIFS('الصرف المباشر'!$D$2:$D$501,'الصرف المباشر'!$C$2:$C$501,$C227)-SUMPRODUCT((الطبخات!$B$2:$B$900=$C227)*الطبخات!$C$2:$C$900*COUNTIF('سجل الإنتاج'!$C$2:$C$501,الطبخات!$A$2:$A$900)),3))</f>
        <v/>
      </c>
      <c r="E227" s="15"/>
      <c r="F227" s="19" t="str">
        <f t="shared" si="7"/>
        <v/>
      </c>
      <c r="G227" s="9"/>
      <c r="H227" s="9"/>
    </row>
    <row r="228" spans="1:8" ht="24" customHeight="1">
      <c r="A228" s="5" t="str">
        <f t="shared" si="6"/>
        <v/>
      </c>
      <c r="B228" s="18"/>
      <c r="C228" s="9"/>
      <c r="D228" s="10" t="str">
        <f>IF($C228="","",ROUND(SUMIFS(الإدخالات!$D$2:$D$501,الإدخالات!$C$2:$C$501,$C228)+SUMIFS($F$1:F227,$C$1:C227,$C228)-SUMIFS('الصرف المباشر'!$D$2:$D$501,'الصرف المباشر'!$C$2:$C$501,$C228)-SUMPRODUCT((الطبخات!$B$2:$B$900=$C228)*الطبخات!$C$2:$C$900*COUNTIF('سجل الإنتاج'!$C$2:$C$501,الطبخات!$A$2:$A$900)),3))</f>
        <v/>
      </c>
      <c r="E228" s="15"/>
      <c r="F228" s="19" t="str">
        <f t="shared" si="7"/>
        <v/>
      </c>
      <c r="G228" s="9"/>
      <c r="H228" s="9"/>
    </row>
    <row r="229" spans="1:8" ht="24" customHeight="1">
      <c r="A229" s="5" t="str">
        <f t="shared" si="6"/>
        <v/>
      </c>
      <c r="B229" s="18"/>
      <c r="C229" s="9"/>
      <c r="D229" s="10" t="str">
        <f>IF($C229="","",ROUND(SUMIFS(الإدخالات!$D$2:$D$501,الإدخالات!$C$2:$C$501,$C229)+SUMIFS($F$1:F228,$C$1:C228,$C229)-SUMIFS('الصرف المباشر'!$D$2:$D$501,'الصرف المباشر'!$C$2:$C$501,$C229)-SUMPRODUCT((الطبخات!$B$2:$B$900=$C229)*الطبخات!$C$2:$C$900*COUNTIF('سجل الإنتاج'!$C$2:$C$501,الطبخات!$A$2:$A$900)),3))</f>
        <v/>
      </c>
      <c r="E229" s="15"/>
      <c r="F229" s="19" t="str">
        <f t="shared" si="7"/>
        <v/>
      </c>
      <c r="G229" s="9"/>
      <c r="H229" s="9"/>
    </row>
    <row r="230" spans="1:8" ht="24" customHeight="1">
      <c r="A230" s="5" t="str">
        <f t="shared" si="6"/>
        <v/>
      </c>
      <c r="B230" s="18"/>
      <c r="C230" s="9"/>
      <c r="D230" s="10" t="str">
        <f>IF($C230="","",ROUND(SUMIFS(الإدخالات!$D$2:$D$501,الإدخالات!$C$2:$C$501,$C230)+SUMIFS($F$1:F229,$C$1:C229,$C230)-SUMIFS('الصرف المباشر'!$D$2:$D$501,'الصرف المباشر'!$C$2:$C$501,$C230)-SUMPRODUCT((الطبخات!$B$2:$B$900=$C230)*الطبخات!$C$2:$C$900*COUNTIF('سجل الإنتاج'!$C$2:$C$501,الطبخات!$A$2:$A$900)),3))</f>
        <v/>
      </c>
      <c r="E230" s="15"/>
      <c r="F230" s="19" t="str">
        <f t="shared" si="7"/>
        <v/>
      </c>
      <c r="G230" s="9"/>
      <c r="H230" s="9"/>
    </row>
    <row r="231" spans="1:8" ht="24" customHeight="1">
      <c r="A231" s="5" t="str">
        <f t="shared" si="6"/>
        <v/>
      </c>
      <c r="B231" s="18"/>
      <c r="C231" s="9"/>
      <c r="D231" s="10" t="str">
        <f>IF($C231="","",ROUND(SUMIFS(الإدخالات!$D$2:$D$501,الإدخالات!$C$2:$C$501,$C231)+SUMIFS($F$1:F230,$C$1:C230,$C231)-SUMIFS('الصرف المباشر'!$D$2:$D$501,'الصرف المباشر'!$C$2:$C$501,$C231)-SUMPRODUCT((الطبخات!$B$2:$B$900=$C231)*الطبخات!$C$2:$C$900*COUNTIF('سجل الإنتاج'!$C$2:$C$501,الطبخات!$A$2:$A$900)),3))</f>
        <v/>
      </c>
      <c r="E231" s="15"/>
      <c r="F231" s="19" t="str">
        <f t="shared" si="7"/>
        <v/>
      </c>
      <c r="G231" s="9"/>
      <c r="H231" s="9"/>
    </row>
    <row r="232" spans="1:8" ht="24" customHeight="1">
      <c r="A232" s="5" t="str">
        <f t="shared" si="6"/>
        <v/>
      </c>
      <c r="B232" s="18"/>
      <c r="C232" s="9"/>
      <c r="D232" s="10" t="str">
        <f>IF($C232="","",ROUND(SUMIFS(الإدخالات!$D$2:$D$501,الإدخالات!$C$2:$C$501,$C232)+SUMIFS($F$1:F231,$C$1:C231,$C232)-SUMIFS('الصرف المباشر'!$D$2:$D$501,'الصرف المباشر'!$C$2:$C$501,$C232)-SUMPRODUCT((الطبخات!$B$2:$B$900=$C232)*الطبخات!$C$2:$C$900*COUNTIF('سجل الإنتاج'!$C$2:$C$501,الطبخات!$A$2:$A$900)),3))</f>
        <v/>
      </c>
      <c r="E232" s="15"/>
      <c r="F232" s="19" t="str">
        <f t="shared" si="7"/>
        <v/>
      </c>
      <c r="G232" s="9"/>
      <c r="H232" s="9"/>
    </row>
    <row r="233" spans="1:8" ht="24" customHeight="1">
      <c r="A233" s="5" t="str">
        <f t="shared" si="6"/>
        <v/>
      </c>
      <c r="B233" s="18"/>
      <c r="C233" s="9"/>
      <c r="D233" s="10" t="str">
        <f>IF($C233="","",ROUND(SUMIFS(الإدخالات!$D$2:$D$501,الإدخالات!$C$2:$C$501,$C233)+SUMIFS($F$1:F232,$C$1:C232,$C233)-SUMIFS('الصرف المباشر'!$D$2:$D$501,'الصرف المباشر'!$C$2:$C$501,$C233)-SUMPRODUCT((الطبخات!$B$2:$B$900=$C233)*الطبخات!$C$2:$C$900*COUNTIF('سجل الإنتاج'!$C$2:$C$501,الطبخات!$A$2:$A$900)),3))</f>
        <v/>
      </c>
      <c r="E233" s="15"/>
      <c r="F233" s="19" t="str">
        <f t="shared" si="7"/>
        <v/>
      </c>
      <c r="G233" s="9"/>
      <c r="H233" s="9"/>
    </row>
    <row r="234" spans="1:8" ht="24" customHeight="1">
      <c r="A234" s="5" t="str">
        <f t="shared" si="6"/>
        <v/>
      </c>
      <c r="B234" s="18"/>
      <c r="C234" s="9"/>
      <c r="D234" s="10" t="str">
        <f>IF($C234="","",ROUND(SUMIFS(الإدخالات!$D$2:$D$501,الإدخالات!$C$2:$C$501,$C234)+SUMIFS($F$1:F233,$C$1:C233,$C234)-SUMIFS('الصرف المباشر'!$D$2:$D$501,'الصرف المباشر'!$C$2:$C$501,$C234)-SUMPRODUCT((الطبخات!$B$2:$B$900=$C234)*الطبخات!$C$2:$C$900*COUNTIF('سجل الإنتاج'!$C$2:$C$501,الطبخات!$A$2:$A$900)),3))</f>
        <v/>
      </c>
      <c r="E234" s="15"/>
      <c r="F234" s="19" t="str">
        <f t="shared" si="7"/>
        <v/>
      </c>
      <c r="G234" s="9"/>
      <c r="H234" s="9"/>
    </row>
    <row r="235" spans="1:8" ht="24" customHeight="1">
      <c r="A235" s="5" t="str">
        <f t="shared" si="6"/>
        <v/>
      </c>
      <c r="B235" s="18"/>
      <c r="C235" s="9"/>
      <c r="D235" s="10" t="str">
        <f>IF($C235="","",ROUND(SUMIFS(الإدخالات!$D$2:$D$501,الإدخالات!$C$2:$C$501,$C235)+SUMIFS($F$1:F234,$C$1:C234,$C235)-SUMIFS('الصرف المباشر'!$D$2:$D$501,'الصرف المباشر'!$C$2:$C$501,$C235)-SUMPRODUCT((الطبخات!$B$2:$B$900=$C235)*الطبخات!$C$2:$C$900*COUNTIF('سجل الإنتاج'!$C$2:$C$501,الطبخات!$A$2:$A$900)),3))</f>
        <v/>
      </c>
      <c r="E235" s="15"/>
      <c r="F235" s="19" t="str">
        <f t="shared" si="7"/>
        <v/>
      </c>
      <c r="G235" s="9"/>
      <c r="H235" s="9"/>
    </row>
    <row r="236" spans="1:8" ht="24" customHeight="1">
      <c r="A236" s="5" t="str">
        <f t="shared" si="6"/>
        <v/>
      </c>
      <c r="B236" s="18"/>
      <c r="C236" s="9"/>
      <c r="D236" s="10" t="str">
        <f>IF($C236="","",ROUND(SUMIFS(الإدخالات!$D$2:$D$501,الإدخالات!$C$2:$C$501,$C236)+SUMIFS($F$1:F235,$C$1:C235,$C236)-SUMIFS('الصرف المباشر'!$D$2:$D$501,'الصرف المباشر'!$C$2:$C$501,$C236)-SUMPRODUCT((الطبخات!$B$2:$B$900=$C236)*الطبخات!$C$2:$C$900*COUNTIF('سجل الإنتاج'!$C$2:$C$501,الطبخات!$A$2:$A$900)),3))</f>
        <v/>
      </c>
      <c r="E236" s="15"/>
      <c r="F236" s="19" t="str">
        <f t="shared" si="7"/>
        <v/>
      </c>
      <c r="G236" s="9"/>
      <c r="H236" s="9"/>
    </row>
    <row r="237" spans="1:8" ht="24" customHeight="1">
      <c r="A237" s="5" t="str">
        <f t="shared" si="6"/>
        <v/>
      </c>
      <c r="B237" s="18"/>
      <c r="C237" s="9"/>
      <c r="D237" s="10" t="str">
        <f>IF($C237="","",ROUND(SUMIFS(الإدخالات!$D$2:$D$501,الإدخالات!$C$2:$C$501,$C237)+SUMIFS($F$1:F236,$C$1:C236,$C237)-SUMIFS('الصرف المباشر'!$D$2:$D$501,'الصرف المباشر'!$C$2:$C$501,$C237)-SUMPRODUCT((الطبخات!$B$2:$B$900=$C237)*الطبخات!$C$2:$C$900*COUNTIF('سجل الإنتاج'!$C$2:$C$501,الطبخات!$A$2:$A$900)),3))</f>
        <v/>
      </c>
      <c r="E237" s="15"/>
      <c r="F237" s="19" t="str">
        <f t="shared" si="7"/>
        <v/>
      </c>
      <c r="G237" s="9"/>
      <c r="H237" s="9"/>
    </row>
    <row r="238" spans="1:8" ht="24" customHeight="1">
      <c r="A238" s="5" t="str">
        <f t="shared" si="6"/>
        <v/>
      </c>
      <c r="B238" s="18"/>
      <c r="C238" s="9"/>
      <c r="D238" s="10" t="str">
        <f>IF($C238="","",ROUND(SUMIFS(الإدخالات!$D$2:$D$501,الإدخالات!$C$2:$C$501,$C238)+SUMIFS($F$1:F237,$C$1:C237,$C238)-SUMIFS('الصرف المباشر'!$D$2:$D$501,'الصرف المباشر'!$C$2:$C$501,$C238)-SUMPRODUCT((الطبخات!$B$2:$B$900=$C238)*الطبخات!$C$2:$C$900*COUNTIF('سجل الإنتاج'!$C$2:$C$501,الطبخات!$A$2:$A$900)),3))</f>
        <v/>
      </c>
      <c r="E238" s="15"/>
      <c r="F238" s="19" t="str">
        <f t="shared" si="7"/>
        <v/>
      </c>
      <c r="G238" s="9"/>
      <c r="H238" s="9"/>
    </row>
    <row r="239" spans="1:8" ht="24" customHeight="1">
      <c r="A239" s="5" t="str">
        <f t="shared" si="6"/>
        <v/>
      </c>
      <c r="B239" s="18"/>
      <c r="C239" s="9"/>
      <c r="D239" s="10" t="str">
        <f>IF($C239="","",ROUND(SUMIFS(الإدخالات!$D$2:$D$501,الإدخالات!$C$2:$C$501,$C239)+SUMIFS($F$1:F238,$C$1:C238,$C239)-SUMIFS('الصرف المباشر'!$D$2:$D$501,'الصرف المباشر'!$C$2:$C$501,$C239)-SUMPRODUCT((الطبخات!$B$2:$B$900=$C239)*الطبخات!$C$2:$C$900*COUNTIF('سجل الإنتاج'!$C$2:$C$501,الطبخات!$A$2:$A$900)),3))</f>
        <v/>
      </c>
      <c r="E239" s="15"/>
      <c r="F239" s="19" t="str">
        <f t="shared" si="7"/>
        <v/>
      </c>
      <c r="G239" s="9"/>
      <c r="H239" s="9"/>
    </row>
    <row r="240" spans="1:8" ht="24" customHeight="1">
      <c r="A240" s="5" t="str">
        <f t="shared" si="6"/>
        <v/>
      </c>
      <c r="B240" s="18"/>
      <c r="C240" s="9"/>
      <c r="D240" s="10" t="str">
        <f>IF($C240="","",ROUND(SUMIFS(الإدخالات!$D$2:$D$501,الإدخالات!$C$2:$C$501,$C240)+SUMIFS($F$1:F239,$C$1:C239,$C240)-SUMIFS('الصرف المباشر'!$D$2:$D$501,'الصرف المباشر'!$C$2:$C$501,$C240)-SUMPRODUCT((الطبخات!$B$2:$B$900=$C240)*الطبخات!$C$2:$C$900*COUNTIF('سجل الإنتاج'!$C$2:$C$501,الطبخات!$A$2:$A$900)),3))</f>
        <v/>
      </c>
      <c r="E240" s="15"/>
      <c r="F240" s="19" t="str">
        <f t="shared" si="7"/>
        <v/>
      </c>
      <c r="G240" s="9"/>
      <c r="H240" s="9"/>
    </row>
    <row r="241" spans="1:8" ht="24" customHeight="1">
      <c r="A241" s="5" t="str">
        <f t="shared" si="6"/>
        <v/>
      </c>
      <c r="B241" s="18"/>
      <c r="C241" s="9"/>
      <c r="D241" s="10" t="str">
        <f>IF($C241="","",ROUND(SUMIFS(الإدخالات!$D$2:$D$501,الإدخالات!$C$2:$C$501,$C241)+SUMIFS($F$1:F240,$C$1:C240,$C241)-SUMIFS('الصرف المباشر'!$D$2:$D$501,'الصرف المباشر'!$C$2:$C$501,$C241)-SUMPRODUCT((الطبخات!$B$2:$B$900=$C241)*الطبخات!$C$2:$C$900*COUNTIF('سجل الإنتاج'!$C$2:$C$501,الطبخات!$A$2:$A$900)),3))</f>
        <v/>
      </c>
      <c r="E241" s="15"/>
      <c r="F241" s="19" t="str">
        <f t="shared" si="7"/>
        <v/>
      </c>
      <c r="G241" s="9"/>
      <c r="H241" s="9"/>
    </row>
    <row r="242" spans="1:8" ht="24" customHeight="1">
      <c r="A242" s="5" t="str">
        <f t="shared" si="6"/>
        <v/>
      </c>
      <c r="B242" s="18"/>
      <c r="C242" s="9"/>
      <c r="D242" s="10" t="str">
        <f>IF($C242="","",ROUND(SUMIFS(الإدخالات!$D$2:$D$501,الإدخالات!$C$2:$C$501,$C242)+SUMIFS($F$1:F241,$C$1:C241,$C242)-SUMIFS('الصرف المباشر'!$D$2:$D$501,'الصرف المباشر'!$C$2:$C$501,$C242)-SUMPRODUCT((الطبخات!$B$2:$B$900=$C242)*الطبخات!$C$2:$C$900*COUNTIF('سجل الإنتاج'!$C$2:$C$501,الطبخات!$A$2:$A$900)),3))</f>
        <v/>
      </c>
      <c r="E242" s="15"/>
      <c r="F242" s="19" t="str">
        <f t="shared" si="7"/>
        <v/>
      </c>
      <c r="G242" s="9"/>
      <c r="H242" s="9"/>
    </row>
    <row r="243" spans="1:8" ht="24" customHeight="1">
      <c r="A243" s="5" t="str">
        <f t="shared" si="6"/>
        <v/>
      </c>
      <c r="B243" s="18"/>
      <c r="C243" s="9"/>
      <c r="D243" s="10" t="str">
        <f>IF($C243="","",ROUND(SUMIFS(الإدخالات!$D$2:$D$501,الإدخالات!$C$2:$C$501,$C243)+SUMIFS($F$1:F242,$C$1:C242,$C243)-SUMIFS('الصرف المباشر'!$D$2:$D$501,'الصرف المباشر'!$C$2:$C$501,$C243)-SUMPRODUCT((الطبخات!$B$2:$B$900=$C243)*الطبخات!$C$2:$C$900*COUNTIF('سجل الإنتاج'!$C$2:$C$501,الطبخات!$A$2:$A$900)),3))</f>
        <v/>
      </c>
      <c r="E243" s="15"/>
      <c r="F243" s="19" t="str">
        <f t="shared" si="7"/>
        <v/>
      </c>
      <c r="G243" s="9"/>
      <c r="H243" s="9"/>
    </row>
    <row r="244" spans="1:8" ht="24" customHeight="1">
      <c r="A244" s="5" t="str">
        <f t="shared" si="6"/>
        <v/>
      </c>
      <c r="B244" s="18"/>
      <c r="C244" s="9"/>
      <c r="D244" s="10" t="str">
        <f>IF($C244="","",ROUND(SUMIFS(الإدخالات!$D$2:$D$501,الإدخالات!$C$2:$C$501,$C244)+SUMIFS($F$1:F243,$C$1:C243,$C244)-SUMIFS('الصرف المباشر'!$D$2:$D$501,'الصرف المباشر'!$C$2:$C$501,$C244)-SUMPRODUCT((الطبخات!$B$2:$B$900=$C244)*الطبخات!$C$2:$C$900*COUNTIF('سجل الإنتاج'!$C$2:$C$501,الطبخات!$A$2:$A$900)),3))</f>
        <v/>
      </c>
      <c r="E244" s="15"/>
      <c r="F244" s="19" t="str">
        <f t="shared" si="7"/>
        <v/>
      </c>
      <c r="G244" s="9"/>
      <c r="H244" s="9"/>
    </row>
    <row r="245" spans="1:8" ht="24" customHeight="1">
      <c r="A245" s="5" t="str">
        <f t="shared" si="6"/>
        <v/>
      </c>
      <c r="B245" s="18"/>
      <c r="C245" s="9"/>
      <c r="D245" s="10" t="str">
        <f>IF($C245="","",ROUND(SUMIFS(الإدخالات!$D$2:$D$501,الإدخالات!$C$2:$C$501,$C245)+SUMIFS($F$1:F244,$C$1:C244,$C245)-SUMIFS('الصرف المباشر'!$D$2:$D$501,'الصرف المباشر'!$C$2:$C$501,$C245)-SUMPRODUCT((الطبخات!$B$2:$B$900=$C245)*الطبخات!$C$2:$C$900*COUNTIF('سجل الإنتاج'!$C$2:$C$501,الطبخات!$A$2:$A$900)),3))</f>
        <v/>
      </c>
      <c r="E245" s="15"/>
      <c r="F245" s="19" t="str">
        <f t="shared" si="7"/>
        <v/>
      </c>
      <c r="G245" s="9"/>
      <c r="H245" s="9"/>
    </row>
    <row r="246" spans="1:8" ht="24" customHeight="1">
      <c r="A246" s="5" t="str">
        <f t="shared" si="6"/>
        <v/>
      </c>
      <c r="B246" s="18"/>
      <c r="C246" s="9"/>
      <c r="D246" s="10" t="str">
        <f>IF($C246="","",ROUND(SUMIFS(الإدخالات!$D$2:$D$501,الإدخالات!$C$2:$C$501,$C246)+SUMIFS($F$1:F245,$C$1:C245,$C246)-SUMIFS('الصرف المباشر'!$D$2:$D$501,'الصرف المباشر'!$C$2:$C$501,$C246)-SUMPRODUCT((الطبخات!$B$2:$B$900=$C246)*الطبخات!$C$2:$C$900*COUNTIF('سجل الإنتاج'!$C$2:$C$501,الطبخات!$A$2:$A$900)),3))</f>
        <v/>
      </c>
      <c r="E246" s="15"/>
      <c r="F246" s="19" t="str">
        <f t="shared" si="7"/>
        <v/>
      </c>
      <c r="G246" s="9"/>
      <c r="H246" s="9"/>
    </row>
    <row r="247" spans="1:8" ht="24" customHeight="1">
      <c r="A247" s="5" t="str">
        <f t="shared" si="6"/>
        <v/>
      </c>
      <c r="B247" s="18"/>
      <c r="C247" s="9"/>
      <c r="D247" s="10" t="str">
        <f>IF($C247="","",ROUND(SUMIFS(الإدخالات!$D$2:$D$501,الإدخالات!$C$2:$C$501,$C247)+SUMIFS($F$1:F246,$C$1:C246,$C247)-SUMIFS('الصرف المباشر'!$D$2:$D$501,'الصرف المباشر'!$C$2:$C$501,$C247)-SUMPRODUCT((الطبخات!$B$2:$B$900=$C247)*الطبخات!$C$2:$C$900*COUNTIF('سجل الإنتاج'!$C$2:$C$501,الطبخات!$A$2:$A$900)),3))</f>
        <v/>
      </c>
      <c r="E247" s="15"/>
      <c r="F247" s="19" t="str">
        <f t="shared" si="7"/>
        <v/>
      </c>
      <c r="G247" s="9"/>
      <c r="H247" s="9"/>
    </row>
    <row r="248" spans="1:8" ht="24" customHeight="1">
      <c r="A248" s="5" t="str">
        <f t="shared" si="6"/>
        <v/>
      </c>
      <c r="B248" s="18"/>
      <c r="C248" s="9"/>
      <c r="D248" s="10" t="str">
        <f>IF($C248="","",ROUND(SUMIFS(الإدخالات!$D$2:$D$501,الإدخالات!$C$2:$C$501,$C248)+SUMIFS($F$1:F247,$C$1:C247,$C248)-SUMIFS('الصرف المباشر'!$D$2:$D$501,'الصرف المباشر'!$C$2:$C$501,$C248)-SUMPRODUCT((الطبخات!$B$2:$B$900=$C248)*الطبخات!$C$2:$C$900*COUNTIF('سجل الإنتاج'!$C$2:$C$501,الطبخات!$A$2:$A$900)),3))</f>
        <v/>
      </c>
      <c r="E248" s="15"/>
      <c r="F248" s="19" t="str">
        <f t="shared" si="7"/>
        <v/>
      </c>
      <c r="G248" s="9"/>
      <c r="H248" s="9"/>
    </row>
    <row r="249" spans="1:8" ht="24" customHeight="1">
      <c r="A249" s="5" t="str">
        <f t="shared" si="6"/>
        <v/>
      </c>
      <c r="B249" s="18"/>
      <c r="C249" s="9"/>
      <c r="D249" s="10" t="str">
        <f>IF($C249="","",ROUND(SUMIFS(الإدخالات!$D$2:$D$501,الإدخالات!$C$2:$C$501,$C249)+SUMIFS($F$1:F248,$C$1:C248,$C249)-SUMIFS('الصرف المباشر'!$D$2:$D$501,'الصرف المباشر'!$C$2:$C$501,$C249)-SUMPRODUCT((الطبخات!$B$2:$B$900=$C249)*الطبخات!$C$2:$C$900*COUNTIF('سجل الإنتاج'!$C$2:$C$501,الطبخات!$A$2:$A$900)),3))</f>
        <v/>
      </c>
      <c r="E249" s="15"/>
      <c r="F249" s="19" t="str">
        <f t="shared" si="7"/>
        <v/>
      </c>
      <c r="G249" s="9"/>
      <c r="H249" s="9"/>
    </row>
    <row r="250" spans="1:8" ht="24" customHeight="1">
      <c r="A250" s="5" t="str">
        <f t="shared" si="6"/>
        <v/>
      </c>
      <c r="B250" s="18"/>
      <c r="C250" s="9"/>
      <c r="D250" s="10" t="str">
        <f>IF($C250="","",ROUND(SUMIFS(الإدخالات!$D$2:$D$501,الإدخالات!$C$2:$C$501,$C250)+SUMIFS($F$1:F249,$C$1:C249,$C250)-SUMIFS('الصرف المباشر'!$D$2:$D$501,'الصرف المباشر'!$C$2:$C$501,$C250)-SUMPRODUCT((الطبخات!$B$2:$B$900=$C250)*الطبخات!$C$2:$C$900*COUNTIF('سجل الإنتاج'!$C$2:$C$501,الطبخات!$A$2:$A$900)),3))</f>
        <v/>
      </c>
      <c r="E250" s="15"/>
      <c r="F250" s="19" t="str">
        <f t="shared" si="7"/>
        <v/>
      </c>
      <c r="G250" s="9"/>
      <c r="H250" s="9"/>
    </row>
    <row r="251" spans="1:8" ht="24" customHeight="1">
      <c r="A251" s="5" t="str">
        <f t="shared" si="6"/>
        <v/>
      </c>
      <c r="B251" s="18"/>
      <c r="C251" s="9"/>
      <c r="D251" s="10" t="str">
        <f>IF($C251="","",ROUND(SUMIFS(الإدخالات!$D$2:$D$501,الإدخالات!$C$2:$C$501,$C251)+SUMIFS($F$1:F250,$C$1:C250,$C251)-SUMIFS('الصرف المباشر'!$D$2:$D$501,'الصرف المباشر'!$C$2:$C$501,$C251)-SUMPRODUCT((الطبخات!$B$2:$B$900=$C251)*الطبخات!$C$2:$C$900*COUNTIF('سجل الإنتاج'!$C$2:$C$501,الطبخات!$A$2:$A$900)),3))</f>
        <v/>
      </c>
      <c r="E251" s="15"/>
      <c r="F251" s="19" t="str">
        <f t="shared" si="7"/>
        <v/>
      </c>
      <c r="G251" s="9"/>
      <c r="H251" s="9"/>
    </row>
    <row r="252" spans="1:8" ht="24" customHeight="1">
      <c r="A252" s="5" t="str">
        <f t="shared" si="6"/>
        <v/>
      </c>
      <c r="B252" s="18"/>
      <c r="C252" s="9"/>
      <c r="D252" s="10" t="str">
        <f>IF($C252="","",ROUND(SUMIFS(الإدخالات!$D$2:$D$501,الإدخالات!$C$2:$C$501,$C252)+SUMIFS($F$1:F251,$C$1:C251,$C252)-SUMIFS('الصرف المباشر'!$D$2:$D$501,'الصرف المباشر'!$C$2:$C$501,$C252)-SUMPRODUCT((الطبخات!$B$2:$B$900=$C252)*الطبخات!$C$2:$C$900*COUNTIF('سجل الإنتاج'!$C$2:$C$501,الطبخات!$A$2:$A$900)),3))</f>
        <v/>
      </c>
      <c r="E252" s="15"/>
      <c r="F252" s="19" t="str">
        <f t="shared" si="7"/>
        <v/>
      </c>
      <c r="G252" s="9"/>
      <c r="H252" s="9"/>
    </row>
    <row r="253" spans="1:8" ht="24" customHeight="1">
      <c r="A253" s="5" t="str">
        <f t="shared" si="6"/>
        <v/>
      </c>
      <c r="B253" s="18"/>
      <c r="C253" s="9"/>
      <c r="D253" s="10" t="str">
        <f>IF($C253="","",ROUND(SUMIFS(الإدخالات!$D$2:$D$501,الإدخالات!$C$2:$C$501,$C253)+SUMIFS($F$1:F252,$C$1:C252,$C253)-SUMIFS('الصرف المباشر'!$D$2:$D$501,'الصرف المباشر'!$C$2:$C$501,$C253)-SUMPRODUCT((الطبخات!$B$2:$B$900=$C253)*الطبخات!$C$2:$C$900*COUNTIF('سجل الإنتاج'!$C$2:$C$501,الطبخات!$A$2:$A$900)),3))</f>
        <v/>
      </c>
      <c r="E253" s="15"/>
      <c r="F253" s="19" t="str">
        <f t="shared" si="7"/>
        <v/>
      </c>
      <c r="G253" s="9"/>
      <c r="H253" s="9"/>
    </row>
    <row r="254" spans="1:8" ht="24" customHeight="1">
      <c r="A254" s="5" t="str">
        <f t="shared" si="6"/>
        <v/>
      </c>
      <c r="B254" s="18"/>
      <c r="C254" s="9"/>
      <c r="D254" s="10" t="str">
        <f>IF($C254="","",ROUND(SUMIFS(الإدخالات!$D$2:$D$501,الإدخالات!$C$2:$C$501,$C254)+SUMIFS($F$1:F253,$C$1:C253,$C254)-SUMIFS('الصرف المباشر'!$D$2:$D$501,'الصرف المباشر'!$C$2:$C$501,$C254)-SUMPRODUCT((الطبخات!$B$2:$B$900=$C254)*الطبخات!$C$2:$C$900*COUNTIF('سجل الإنتاج'!$C$2:$C$501,الطبخات!$A$2:$A$900)),3))</f>
        <v/>
      </c>
      <c r="E254" s="15"/>
      <c r="F254" s="19" t="str">
        <f t="shared" si="7"/>
        <v/>
      </c>
      <c r="G254" s="9"/>
      <c r="H254" s="9"/>
    </row>
    <row r="255" spans="1:8" ht="24" customHeight="1">
      <c r="A255" s="5" t="str">
        <f t="shared" si="6"/>
        <v/>
      </c>
      <c r="B255" s="18"/>
      <c r="C255" s="9"/>
      <c r="D255" s="10" t="str">
        <f>IF($C255="","",ROUND(SUMIFS(الإدخالات!$D$2:$D$501,الإدخالات!$C$2:$C$501,$C255)+SUMIFS($F$1:F254,$C$1:C254,$C255)-SUMIFS('الصرف المباشر'!$D$2:$D$501,'الصرف المباشر'!$C$2:$C$501,$C255)-SUMPRODUCT((الطبخات!$B$2:$B$900=$C255)*الطبخات!$C$2:$C$900*COUNTIF('سجل الإنتاج'!$C$2:$C$501,الطبخات!$A$2:$A$900)),3))</f>
        <v/>
      </c>
      <c r="E255" s="15"/>
      <c r="F255" s="19" t="str">
        <f t="shared" si="7"/>
        <v/>
      </c>
      <c r="G255" s="9"/>
      <c r="H255" s="9"/>
    </row>
    <row r="256" spans="1:8" ht="24" customHeight="1">
      <c r="A256" s="5" t="str">
        <f t="shared" si="6"/>
        <v/>
      </c>
      <c r="B256" s="18"/>
      <c r="C256" s="9"/>
      <c r="D256" s="10" t="str">
        <f>IF($C256="","",ROUND(SUMIFS(الإدخالات!$D$2:$D$501,الإدخالات!$C$2:$C$501,$C256)+SUMIFS($F$1:F255,$C$1:C255,$C256)-SUMIFS('الصرف المباشر'!$D$2:$D$501,'الصرف المباشر'!$C$2:$C$501,$C256)-SUMPRODUCT((الطبخات!$B$2:$B$900=$C256)*الطبخات!$C$2:$C$900*COUNTIF('سجل الإنتاج'!$C$2:$C$501,الطبخات!$A$2:$A$900)),3))</f>
        <v/>
      </c>
      <c r="E256" s="15"/>
      <c r="F256" s="19" t="str">
        <f t="shared" si="7"/>
        <v/>
      </c>
      <c r="G256" s="9"/>
      <c r="H256" s="9"/>
    </row>
    <row r="257" spans="1:8" ht="24" customHeight="1">
      <c r="A257" s="5" t="str">
        <f t="shared" si="6"/>
        <v/>
      </c>
      <c r="B257" s="18"/>
      <c r="C257" s="9"/>
      <c r="D257" s="10" t="str">
        <f>IF($C257="","",ROUND(SUMIFS(الإدخالات!$D$2:$D$501,الإدخالات!$C$2:$C$501,$C257)+SUMIFS($F$1:F256,$C$1:C256,$C257)-SUMIFS('الصرف المباشر'!$D$2:$D$501,'الصرف المباشر'!$C$2:$C$501,$C257)-SUMPRODUCT((الطبخات!$B$2:$B$900=$C257)*الطبخات!$C$2:$C$900*COUNTIF('سجل الإنتاج'!$C$2:$C$501,الطبخات!$A$2:$A$900)),3))</f>
        <v/>
      </c>
      <c r="E257" s="15"/>
      <c r="F257" s="19" t="str">
        <f t="shared" si="7"/>
        <v/>
      </c>
      <c r="G257" s="9"/>
      <c r="H257" s="9"/>
    </row>
    <row r="258" spans="1:8" ht="24" customHeight="1">
      <c r="A258" s="5" t="str">
        <f t="shared" ref="A258:A321" si="8">IF(C258="","",ROW()-1)</f>
        <v/>
      </c>
      <c r="B258" s="18"/>
      <c r="C258" s="9"/>
      <c r="D258" s="10" t="str">
        <f>IF($C258="","",ROUND(SUMIFS(الإدخالات!$D$2:$D$501,الإدخالات!$C$2:$C$501,$C258)+SUMIFS($F$1:F257,$C$1:C257,$C258)-SUMIFS('الصرف المباشر'!$D$2:$D$501,'الصرف المباشر'!$C$2:$C$501,$C258)-SUMPRODUCT((الطبخات!$B$2:$B$900=$C258)*الطبخات!$C$2:$C$900*COUNTIF('سجل الإنتاج'!$C$2:$C$501,الطبخات!$A$2:$A$900)),3))</f>
        <v/>
      </c>
      <c r="E258" s="15"/>
      <c r="F258" s="19" t="str">
        <f t="shared" ref="F258:F321" si="9">IF(OR($C258="",$E258=""),"",ROUND($E258-$D258,3))</f>
        <v/>
      </c>
      <c r="G258" s="9"/>
      <c r="H258" s="9"/>
    </row>
    <row r="259" spans="1:8" ht="24" customHeight="1">
      <c r="A259" s="5" t="str">
        <f t="shared" si="8"/>
        <v/>
      </c>
      <c r="B259" s="18"/>
      <c r="C259" s="9"/>
      <c r="D259" s="10" t="str">
        <f>IF($C259="","",ROUND(SUMIFS(الإدخالات!$D$2:$D$501,الإدخالات!$C$2:$C$501,$C259)+SUMIFS($F$1:F258,$C$1:C258,$C259)-SUMIFS('الصرف المباشر'!$D$2:$D$501,'الصرف المباشر'!$C$2:$C$501,$C259)-SUMPRODUCT((الطبخات!$B$2:$B$900=$C259)*الطبخات!$C$2:$C$900*COUNTIF('سجل الإنتاج'!$C$2:$C$501,الطبخات!$A$2:$A$900)),3))</f>
        <v/>
      </c>
      <c r="E259" s="15"/>
      <c r="F259" s="19" t="str">
        <f t="shared" si="9"/>
        <v/>
      </c>
      <c r="G259" s="9"/>
      <c r="H259" s="9"/>
    </row>
    <row r="260" spans="1:8" ht="24" customHeight="1">
      <c r="A260" s="5" t="str">
        <f t="shared" si="8"/>
        <v/>
      </c>
      <c r="B260" s="18"/>
      <c r="C260" s="9"/>
      <c r="D260" s="10" t="str">
        <f>IF($C260="","",ROUND(SUMIFS(الإدخالات!$D$2:$D$501,الإدخالات!$C$2:$C$501,$C260)+SUMIFS($F$1:F259,$C$1:C259,$C260)-SUMIFS('الصرف المباشر'!$D$2:$D$501,'الصرف المباشر'!$C$2:$C$501,$C260)-SUMPRODUCT((الطبخات!$B$2:$B$900=$C260)*الطبخات!$C$2:$C$900*COUNTIF('سجل الإنتاج'!$C$2:$C$501,الطبخات!$A$2:$A$900)),3))</f>
        <v/>
      </c>
      <c r="E260" s="15"/>
      <c r="F260" s="19" t="str">
        <f t="shared" si="9"/>
        <v/>
      </c>
      <c r="G260" s="9"/>
      <c r="H260" s="9"/>
    </row>
    <row r="261" spans="1:8" ht="24" customHeight="1">
      <c r="A261" s="5" t="str">
        <f t="shared" si="8"/>
        <v/>
      </c>
      <c r="B261" s="18"/>
      <c r="C261" s="9"/>
      <c r="D261" s="10" t="str">
        <f>IF($C261="","",ROUND(SUMIFS(الإدخالات!$D$2:$D$501,الإدخالات!$C$2:$C$501,$C261)+SUMIFS($F$1:F260,$C$1:C260,$C261)-SUMIFS('الصرف المباشر'!$D$2:$D$501,'الصرف المباشر'!$C$2:$C$501,$C261)-SUMPRODUCT((الطبخات!$B$2:$B$900=$C261)*الطبخات!$C$2:$C$900*COUNTIF('سجل الإنتاج'!$C$2:$C$501,الطبخات!$A$2:$A$900)),3))</f>
        <v/>
      </c>
      <c r="E261" s="15"/>
      <c r="F261" s="19" t="str">
        <f t="shared" si="9"/>
        <v/>
      </c>
      <c r="G261" s="9"/>
      <c r="H261" s="9"/>
    </row>
    <row r="262" spans="1:8" ht="24" customHeight="1">
      <c r="A262" s="5" t="str">
        <f t="shared" si="8"/>
        <v/>
      </c>
      <c r="B262" s="18"/>
      <c r="C262" s="9"/>
      <c r="D262" s="10" t="str">
        <f>IF($C262="","",ROUND(SUMIFS(الإدخالات!$D$2:$D$501,الإدخالات!$C$2:$C$501,$C262)+SUMIFS($F$1:F261,$C$1:C261,$C262)-SUMIFS('الصرف المباشر'!$D$2:$D$501,'الصرف المباشر'!$C$2:$C$501,$C262)-SUMPRODUCT((الطبخات!$B$2:$B$900=$C262)*الطبخات!$C$2:$C$900*COUNTIF('سجل الإنتاج'!$C$2:$C$501,الطبخات!$A$2:$A$900)),3))</f>
        <v/>
      </c>
      <c r="E262" s="15"/>
      <c r="F262" s="19" t="str">
        <f t="shared" si="9"/>
        <v/>
      </c>
      <c r="G262" s="9"/>
      <c r="H262" s="9"/>
    </row>
    <row r="263" spans="1:8" ht="24" customHeight="1">
      <c r="A263" s="5" t="str">
        <f t="shared" si="8"/>
        <v/>
      </c>
      <c r="B263" s="18"/>
      <c r="C263" s="9"/>
      <c r="D263" s="10" t="str">
        <f>IF($C263="","",ROUND(SUMIFS(الإدخالات!$D$2:$D$501,الإدخالات!$C$2:$C$501,$C263)+SUMIFS($F$1:F262,$C$1:C262,$C263)-SUMIFS('الصرف المباشر'!$D$2:$D$501,'الصرف المباشر'!$C$2:$C$501,$C263)-SUMPRODUCT((الطبخات!$B$2:$B$900=$C263)*الطبخات!$C$2:$C$900*COUNTIF('سجل الإنتاج'!$C$2:$C$501,الطبخات!$A$2:$A$900)),3))</f>
        <v/>
      </c>
      <c r="E263" s="15"/>
      <c r="F263" s="19" t="str">
        <f t="shared" si="9"/>
        <v/>
      </c>
      <c r="G263" s="9"/>
      <c r="H263" s="9"/>
    </row>
    <row r="264" spans="1:8" ht="24" customHeight="1">
      <c r="A264" s="5" t="str">
        <f t="shared" si="8"/>
        <v/>
      </c>
      <c r="B264" s="18"/>
      <c r="C264" s="9"/>
      <c r="D264" s="10" t="str">
        <f>IF($C264="","",ROUND(SUMIFS(الإدخالات!$D$2:$D$501,الإدخالات!$C$2:$C$501,$C264)+SUMIFS($F$1:F263,$C$1:C263,$C264)-SUMIFS('الصرف المباشر'!$D$2:$D$501,'الصرف المباشر'!$C$2:$C$501,$C264)-SUMPRODUCT((الطبخات!$B$2:$B$900=$C264)*الطبخات!$C$2:$C$900*COUNTIF('سجل الإنتاج'!$C$2:$C$501,الطبخات!$A$2:$A$900)),3))</f>
        <v/>
      </c>
      <c r="E264" s="15"/>
      <c r="F264" s="19" t="str">
        <f t="shared" si="9"/>
        <v/>
      </c>
      <c r="G264" s="9"/>
      <c r="H264" s="9"/>
    </row>
    <row r="265" spans="1:8" ht="24" customHeight="1">
      <c r="A265" s="5" t="str">
        <f t="shared" si="8"/>
        <v/>
      </c>
      <c r="B265" s="18"/>
      <c r="C265" s="9"/>
      <c r="D265" s="10" t="str">
        <f>IF($C265="","",ROUND(SUMIFS(الإدخالات!$D$2:$D$501,الإدخالات!$C$2:$C$501,$C265)+SUMIFS($F$1:F264,$C$1:C264,$C265)-SUMIFS('الصرف المباشر'!$D$2:$D$501,'الصرف المباشر'!$C$2:$C$501,$C265)-SUMPRODUCT((الطبخات!$B$2:$B$900=$C265)*الطبخات!$C$2:$C$900*COUNTIF('سجل الإنتاج'!$C$2:$C$501,الطبخات!$A$2:$A$900)),3))</f>
        <v/>
      </c>
      <c r="E265" s="15"/>
      <c r="F265" s="19" t="str">
        <f t="shared" si="9"/>
        <v/>
      </c>
      <c r="G265" s="9"/>
      <c r="H265" s="9"/>
    </row>
    <row r="266" spans="1:8" ht="24" customHeight="1">
      <c r="A266" s="5" t="str">
        <f t="shared" si="8"/>
        <v/>
      </c>
      <c r="B266" s="18"/>
      <c r="C266" s="9"/>
      <c r="D266" s="10" t="str">
        <f>IF($C266="","",ROUND(SUMIFS(الإدخالات!$D$2:$D$501,الإدخالات!$C$2:$C$501,$C266)+SUMIFS($F$1:F265,$C$1:C265,$C266)-SUMIFS('الصرف المباشر'!$D$2:$D$501,'الصرف المباشر'!$C$2:$C$501,$C266)-SUMPRODUCT((الطبخات!$B$2:$B$900=$C266)*الطبخات!$C$2:$C$900*COUNTIF('سجل الإنتاج'!$C$2:$C$501,الطبخات!$A$2:$A$900)),3))</f>
        <v/>
      </c>
      <c r="E266" s="15"/>
      <c r="F266" s="19" t="str">
        <f t="shared" si="9"/>
        <v/>
      </c>
      <c r="G266" s="9"/>
      <c r="H266" s="9"/>
    </row>
    <row r="267" spans="1:8" ht="24" customHeight="1">
      <c r="A267" s="5" t="str">
        <f t="shared" si="8"/>
        <v/>
      </c>
      <c r="B267" s="18"/>
      <c r="C267" s="9"/>
      <c r="D267" s="10" t="str">
        <f>IF($C267="","",ROUND(SUMIFS(الإدخالات!$D$2:$D$501,الإدخالات!$C$2:$C$501,$C267)+SUMIFS($F$1:F266,$C$1:C266,$C267)-SUMIFS('الصرف المباشر'!$D$2:$D$501,'الصرف المباشر'!$C$2:$C$501,$C267)-SUMPRODUCT((الطبخات!$B$2:$B$900=$C267)*الطبخات!$C$2:$C$900*COUNTIF('سجل الإنتاج'!$C$2:$C$501,الطبخات!$A$2:$A$900)),3))</f>
        <v/>
      </c>
      <c r="E267" s="15"/>
      <c r="F267" s="19" t="str">
        <f t="shared" si="9"/>
        <v/>
      </c>
      <c r="G267" s="9"/>
      <c r="H267" s="9"/>
    </row>
    <row r="268" spans="1:8" ht="24" customHeight="1">
      <c r="A268" s="5" t="str">
        <f t="shared" si="8"/>
        <v/>
      </c>
      <c r="B268" s="18"/>
      <c r="C268" s="9"/>
      <c r="D268" s="10" t="str">
        <f>IF($C268="","",ROUND(SUMIFS(الإدخالات!$D$2:$D$501,الإدخالات!$C$2:$C$501,$C268)+SUMIFS($F$1:F267,$C$1:C267,$C268)-SUMIFS('الصرف المباشر'!$D$2:$D$501,'الصرف المباشر'!$C$2:$C$501,$C268)-SUMPRODUCT((الطبخات!$B$2:$B$900=$C268)*الطبخات!$C$2:$C$900*COUNTIF('سجل الإنتاج'!$C$2:$C$501,الطبخات!$A$2:$A$900)),3))</f>
        <v/>
      </c>
      <c r="E268" s="15"/>
      <c r="F268" s="19" t="str">
        <f t="shared" si="9"/>
        <v/>
      </c>
      <c r="G268" s="9"/>
      <c r="H268" s="9"/>
    </row>
    <row r="269" spans="1:8" ht="24" customHeight="1">
      <c r="A269" s="5" t="str">
        <f t="shared" si="8"/>
        <v/>
      </c>
      <c r="B269" s="18"/>
      <c r="C269" s="9"/>
      <c r="D269" s="10" t="str">
        <f>IF($C269="","",ROUND(SUMIFS(الإدخالات!$D$2:$D$501,الإدخالات!$C$2:$C$501,$C269)+SUMIFS($F$1:F268,$C$1:C268,$C269)-SUMIFS('الصرف المباشر'!$D$2:$D$501,'الصرف المباشر'!$C$2:$C$501,$C269)-SUMPRODUCT((الطبخات!$B$2:$B$900=$C269)*الطبخات!$C$2:$C$900*COUNTIF('سجل الإنتاج'!$C$2:$C$501,الطبخات!$A$2:$A$900)),3))</f>
        <v/>
      </c>
      <c r="E269" s="15"/>
      <c r="F269" s="19" t="str">
        <f t="shared" si="9"/>
        <v/>
      </c>
      <c r="G269" s="9"/>
      <c r="H269" s="9"/>
    </row>
    <row r="270" spans="1:8" ht="24" customHeight="1">
      <c r="A270" s="5" t="str">
        <f t="shared" si="8"/>
        <v/>
      </c>
      <c r="B270" s="18"/>
      <c r="C270" s="9"/>
      <c r="D270" s="10" t="str">
        <f>IF($C270="","",ROUND(SUMIFS(الإدخالات!$D$2:$D$501,الإدخالات!$C$2:$C$501,$C270)+SUMIFS($F$1:F269,$C$1:C269,$C270)-SUMIFS('الصرف المباشر'!$D$2:$D$501,'الصرف المباشر'!$C$2:$C$501,$C270)-SUMPRODUCT((الطبخات!$B$2:$B$900=$C270)*الطبخات!$C$2:$C$900*COUNTIF('سجل الإنتاج'!$C$2:$C$501,الطبخات!$A$2:$A$900)),3))</f>
        <v/>
      </c>
      <c r="E270" s="15"/>
      <c r="F270" s="19" t="str">
        <f t="shared" si="9"/>
        <v/>
      </c>
      <c r="G270" s="9"/>
      <c r="H270" s="9"/>
    </row>
    <row r="271" spans="1:8" ht="24" customHeight="1">
      <c r="A271" s="5" t="str">
        <f t="shared" si="8"/>
        <v/>
      </c>
      <c r="B271" s="18"/>
      <c r="C271" s="9"/>
      <c r="D271" s="10" t="str">
        <f>IF($C271="","",ROUND(SUMIFS(الإدخالات!$D$2:$D$501,الإدخالات!$C$2:$C$501,$C271)+SUMIFS($F$1:F270,$C$1:C270,$C271)-SUMIFS('الصرف المباشر'!$D$2:$D$501,'الصرف المباشر'!$C$2:$C$501,$C271)-SUMPRODUCT((الطبخات!$B$2:$B$900=$C271)*الطبخات!$C$2:$C$900*COUNTIF('سجل الإنتاج'!$C$2:$C$501,الطبخات!$A$2:$A$900)),3))</f>
        <v/>
      </c>
      <c r="E271" s="15"/>
      <c r="F271" s="19" t="str">
        <f t="shared" si="9"/>
        <v/>
      </c>
      <c r="G271" s="9"/>
      <c r="H271" s="9"/>
    </row>
    <row r="272" spans="1:8" ht="24" customHeight="1">
      <c r="A272" s="5" t="str">
        <f t="shared" si="8"/>
        <v/>
      </c>
      <c r="B272" s="18"/>
      <c r="C272" s="9"/>
      <c r="D272" s="10" t="str">
        <f>IF($C272="","",ROUND(SUMIFS(الإدخالات!$D$2:$D$501,الإدخالات!$C$2:$C$501,$C272)+SUMIFS($F$1:F271,$C$1:C271,$C272)-SUMIFS('الصرف المباشر'!$D$2:$D$501,'الصرف المباشر'!$C$2:$C$501,$C272)-SUMPRODUCT((الطبخات!$B$2:$B$900=$C272)*الطبخات!$C$2:$C$900*COUNTIF('سجل الإنتاج'!$C$2:$C$501,الطبخات!$A$2:$A$900)),3))</f>
        <v/>
      </c>
      <c r="E272" s="15"/>
      <c r="F272" s="19" t="str">
        <f t="shared" si="9"/>
        <v/>
      </c>
      <c r="G272" s="9"/>
      <c r="H272" s="9"/>
    </row>
    <row r="273" spans="1:8" ht="24" customHeight="1">
      <c r="A273" s="5" t="str">
        <f t="shared" si="8"/>
        <v/>
      </c>
      <c r="B273" s="18"/>
      <c r="C273" s="9"/>
      <c r="D273" s="10" t="str">
        <f>IF($C273="","",ROUND(SUMIFS(الإدخالات!$D$2:$D$501,الإدخالات!$C$2:$C$501,$C273)+SUMIFS($F$1:F272,$C$1:C272,$C273)-SUMIFS('الصرف المباشر'!$D$2:$D$501,'الصرف المباشر'!$C$2:$C$501,$C273)-SUMPRODUCT((الطبخات!$B$2:$B$900=$C273)*الطبخات!$C$2:$C$900*COUNTIF('سجل الإنتاج'!$C$2:$C$501,الطبخات!$A$2:$A$900)),3))</f>
        <v/>
      </c>
      <c r="E273" s="15"/>
      <c r="F273" s="19" t="str">
        <f t="shared" si="9"/>
        <v/>
      </c>
      <c r="G273" s="9"/>
      <c r="H273" s="9"/>
    </row>
    <row r="274" spans="1:8" ht="24" customHeight="1">
      <c r="A274" s="5" t="str">
        <f t="shared" si="8"/>
        <v/>
      </c>
      <c r="B274" s="18"/>
      <c r="C274" s="9"/>
      <c r="D274" s="10" t="str">
        <f>IF($C274="","",ROUND(SUMIFS(الإدخالات!$D$2:$D$501,الإدخالات!$C$2:$C$501,$C274)+SUMIFS($F$1:F273,$C$1:C273,$C274)-SUMIFS('الصرف المباشر'!$D$2:$D$501,'الصرف المباشر'!$C$2:$C$501,$C274)-SUMPRODUCT((الطبخات!$B$2:$B$900=$C274)*الطبخات!$C$2:$C$900*COUNTIF('سجل الإنتاج'!$C$2:$C$501,الطبخات!$A$2:$A$900)),3))</f>
        <v/>
      </c>
      <c r="E274" s="15"/>
      <c r="F274" s="19" t="str">
        <f t="shared" si="9"/>
        <v/>
      </c>
      <c r="G274" s="9"/>
      <c r="H274" s="9"/>
    </row>
    <row r="275" spans="1:8" ht="24" customHeight="1">
      <c r="A275" s="5" t="str">
        <f t="shared" si="8"/>
        <v/>
      </c>
      <c r="B275" s="18"/>
      <c r="C275" s="9"/>
      <c r="D275" s="10" t="str">
        <f>IF($C275="","",ROUND(SUMIFS(الإدخالات!$D$2:$D$501,الإدخالات!$C$2:$C$501,$C275)+SUMIFS($F$1:F274,$C$1:C274,$C275)-SUMIFS('الصرف المباشر'!$D$2:$D$501,'الصرف المباشر'!$C$2:$C$501,$C275)-SUMPRODUCT((الطبخات!$B$2:$B$900=$C275)*الطبخات!$C$2:$C$900*COUNTIF('سجل الإنتاج'!$C$2:$C$501,الطبخات!$A$2:$A$900)),3))</f>
        <v/>
      </c>
      <c r="E275" s="15"/>
      <c r="F275" s="19" t="str">
        <f t="shared" si="9"/>
        <v/>
      </c>
      <c r="G275" s="9"/>
      <c r="H275" s="9"/>
    </row>
    <row r="276" spans="1:8" ht="24" customHeight="1">
      <c r="A276" s="5" t="str">
        <f t="shared" si="8"/>
        <v/>
      </c>
      <c r="B276" s="18"/>
      <c r="C276" s="9"/>
      <c r="D276" s="10" t="str">
        <f>IF($C276="","",ROUND(SUMIFS(الإدخالات!$D$2:$D$501,الإدخالات!$C$2:$C$501,$C276)+SUMIFS($F$1:F275,$C$1:C275,$C276)-SUMIFS('الصرف المباشر'!$D$2:$D$501,'الصرف المباشر'!$C$2:$C$501,$C276)-SUMPRODUCT((الطبخات!$B$2:$B$900=$C276)*الطبخات!$C$2:$C$900*COUNTIF('سجل الإنتاج'!$C$2:$C$501,الطبخات!$A$2:$A$900)),3))</f>
        <v/>
      </c>
      <c r="E276" s="15"/>
      <c r="F276" s="19" t="str">
        <f t="shared" si="9"/>
        <v/>
      </c>
      <c r="G276" s="9"/>
      <c r="H276" s="9"/>
    </row>
    <row r="277" spans="1:8" ht="24" customHeight="1">
      <c r="A277" s="5" t="str">
        <f t="shared" si="8"/>
        <v/>
      </c>
      <c r="B277" s="18"/>
      <c r="C277" s="9"/>
      <c r="D277" s="10" t="str">
        <f>IF($C277="","",ROUND(SUMIFS(الإدخالات!$D$2:$D$501,الإدخالات!$C$2:$C$501,$C277)+SUMIFS($F$1:F276,$C$1:C276,$C277)-SUMIFS('الصرف المباشر'!$D$2:$D$501,'الصرف المباشر'!$C$2:$C$501,$C277)-SUMPRODUCT((الطبخات!$B$2:$B$900=$C277)*الطبخات!$C$2:$C$900*COUNTIF('سجل الإنتاج'!$C$2:$C$501,الطبخات!$A$2:$A$900)),3))</f>
        <v/>
      </c>
      <c r="E277" s="15"/>
      <c r="F277" s="19" t="str">
        <f t="shared" si="9"/>
        <v/>
      </c>
      <c r="G277" s="9"/>
      <c r="H277" s="9"/>
    </row>
    <row r="278" spans="1:8" ht="24" customHeight="1">
      <c r="A278" s="5" t="str">
        <f t="shared" si="8"/>
        <v/>
      </c>
      <c r="B278" s="18"/>
      <c r="C278" s="9"/>
      <c r="D278" s="10" t="str">
        <f>IF($C278="","",ROUND(SUMIFS(الإدخالات!$D$2:$D$501,الإدخالات!$C$2:$C$501,$C278)+SUMIFS($F$1:F277,$C$1:C277,$C278)-SUMIFS('الصرف المباشر'!$D$2:$D$501,'الصرف المباشر'!$C$2:$C$501,$C278)-SUMPRODUCT((الطبخات!$B$2:$B$900=$C278)*الطبخات!$C$2:$C$900*COUNTIF('سجل الإنتاج'!$C$2:$C$501,الطبخات!$A$2:$A$900)),3))</f>
        <v/>
      </c>
      <c r="E278" s="15"/>
      <c r="F278" s="19" t="str">
        <f t="shared" si="9"/>
        <v/>
      </c>
      <c r="G278" s="9"/>
      <c r="H278" s="9"/>
    </row>
    <row r="279" spans="1:8" ht="24" customHeight="1">
      <c r="A279" s="5" t="str">
        <f t="shared" si="8"/>
        <v/>
      </c>
      <c r="B279" s="18"/>
      <c r="C279" s="9"/>
      <c r="D279" s="10" t="str">
        <f>IF($C279="","",ROUND(SUMIFS(الإدخالات!$D$2:$D$501,الإدخالات!$C$2:$C$501,$C279)+SUMIFS($F$1:F278,$C$1:C278,$C279)-SUMIFS('الصرف المباشر'!$D$2:$D$501,'الصرف المباشر'!$C$2:$C$501,$C279)-SUMPRODUCT((الطبخات!$B$2:$B$900=$C279)*الطبخات!$C$2:$C$900*COUNTIF('سجل الإنتاج'!$C$2:$C$501,الطبخات!$A$2:$A$900)),3))</f>
        <v/>
      </c>
      <c r="E279" s="15"/>
      <c r="F279" s="19" t="str">
        <f t="shared" si="9"/>
        <v/>
      </c>
      <c r="G279" s="9"/>
      <c r="H279" s="9"/>
    </row>
    <row r="280" spans="1:8" ht="24" customHeight="1">
      <c r="A280" s="5" t="str">
        <f t="shared" si="8"/>
        <v/>
      </c>
      <c r="B280" s="18"/>
      <c r="C280" s="9"/>
      <c r="D280" s="10" t="str">
        <f>IF($C280="","",ROUND(SUMIFS(الإدخالات!$D$2:$D$501,الإدخالات!$C$2:$C$501,$C280)+SUMIFS($F$1:F279,$C$1:C279,$C280)-SUMIFS('الصرف المباشر'!$D$2:$D$501,'الصرف المباشر'!$C$2:$C$501,$C280)-SUMPRODUCT((الطبخات!$B$2:$B$900=$C280)*الطبخات!$C$2:$C$900*COUNTIF('سجل الإنتاج'!$C$2:$C$501,الطبخات!$A$2:$A$900)),3))</f>
        <v/>
      </c>
      <c r="E280" s="15"/>
      <c r="F280" s="19" t="str">
        <f t="shared" si="9"/>
        <v/>
      </c>
      <c r="G280" s="9"/>
      <c r="H280" s="9"/>
    </row>
    <row r="281" spans="1:8" ht="24" customHeight="1">
      <c r="A281" s="5" t="str">
        <f t="shared" si="8"/>
        <v/>
      </c>
      <c r="B281" s="18"/>
      <c r="C281" s="9"/>
      <c r="D281" s="10" t="str">
        <f>IF($C281="","",ROUND(SUMIFS(الإدخالات!$D$2:$D$501,الإدخالات!$C$2:$C$501,$C281)+SUMIFS($F$1:F280,$C$1:C280,$C281)-SUMIFS('الصرف المباشر'!$D$2:$D$501,'الصرف المباشر'!$C$2:$C$501,$C281)-SUMPRODUCT((الطبخات!$B$2:$B$900=$C281)*الطبخات!$C$2:$C$900*COUNTIF('سجل الإنتاج'!$C$2:$C$501,الطبخات!$A$2:$A$900)),3))</f>
        <v/>
      </c>
      <c r="E281" s="15"/>
      <c r="F281" s="19" t="str">
        <f t="shared" si="9"/>
        <v/>
      </c>
      <c r="G281" s="9"/>
      <c r="H281" s="9"/>
    </row>
    <row r="282" spans="1:8" ht="24" customHeight="1">
      <c r="A282" s="5" t="str">
        <f t="shared" si="8"/>
        <v/>
      </c>
      <c r="B282" s="18"/>
      <c r="C282" s="9"/>
      <c r="D282" s="10" t="str">
        <f>IF($C282="","",ROUND(SUMIFS(الإدخالات!$D$2:$D$501,الإدخالات!$C$2:$C$501,$C282)+SUMIFS($F$1:F281,$C$1:C281,$C282)-SUMIFS('الصرف المباشر'!$D$2:$D$501,'الصرف المباشر'!$C$2:$C$501,$C282)-SUMPRODUCT((الطبخات!$B$2:$B$900=$C282)*الطبخات!$C$2:$C$900*COUNTIF('سجل الإنتاج'!$C$2:$C$501,الطبخات!$A$2:$A$900)),3))</f>
        <v/>
      </c>
      <c r="E282" s="15"/>
      <c r="F282" s="19" t="str">
        <f t="shared" si="9"/>
        <v/>
      </c>
      <c r="G282" s="9"/>
      <c r="H282" s="9"/>
    </row>
    <row r="283" spans="1:8" ht="24" customHeight="1">
      <c r="A283" s="5" t="str">
        <f t="shared" si="8"/>
        <v/>
      </c>
      <c r="B283" s="18"/>
      <c r="C283" s="9"/>
      <c r="D283" s="10" t="str">
        <f>IF($C283="","",ROUND(SUMIFS(الإدخالات!$D$2:$D$501,الإدخالات!$C$2:$C$501,$C283)+SUMIFS($F$1:F282,$C$1:C282,$C283)-SUMIFS('الصرف المباشر'!$D$2:$D$501,'الصرف المباشر'!$C$2:$C$501,$C283)-SUMPRODUCT((الطبخات!$B$2:$B$900=$C283)*الطبخات!$C$2:$C$900*COUNTIF('سجل الإنتاج'!$C$2:$C$501,الطبخات!$A$2:$A$900)),3))</f>
        <v/>
      </c>
      <c r="E283" s="15"/>
      <c r="F283" s="19" t="str">
        <f t="shared" si="9"/>
        <v/>
      </c>
      <c r="G283" s="9"/>
      <c r="H283" s="9"/>
    </row>
    <row r="284" spans="1:8" ht="24" customHeight="1">
      <c r="A284" s="5" t="str">
        <f t="shared" si="8"/>
        <v/>
      </c>
      <c r="B284" s="18"/>
      <c r="C284" s="9"/>
      <c r="D284" s="10" t="str">
        <f>IF($C284="","",ROUND(SUMIFS(الإدخالات!$D$2:$D$501,الإدخالات!$C$2:$C$501,$C284)+SUMIFS($F$1:F283,$C$1:C283,$C284)-SUMIFS('الصرف المباشر'!$D$2:$D$501,'الصرف المباشر'!$C$2:$C$501,$C284)-SUMPRODUCT((الطبخات!$B$2:$B$900=$C284)*الطبخات!$C$2:$C$900*COUNTIF('سجل الإنتاج'!$C$2:$C$501,الطبخات!$A$2:$A$900)),3))</f>
        <v/>
      </c>
      <c r="E284" s="15"/>
      <c r="F284" s="19" t="str">
        <f t="shared" si="9"/>
        <v/>
      </c>
      <c r="G284" s="9"/>
      <c r="H284" s="9"/>
    </row>
    <row r="285" spans="1:8" ht="24" customHeight="1">
      <c r="A285" s="5" t="str">
        <f t="shared" si="8"/>
        <v/>
      </c>
      <c r="B285" s="18"/>
      <c r="C285" s="9"/>
      <c r="D285" s="10" t="str">
        <f>IF($C285="","",ROUND(SUMIFS(الإدخالات!$D$2:$D$501,الإدخالات!$C$2:$C$501,$C285)+SUMIFS($F$1:F284,$C$1:C284,$C285)-SUMIFS('الصرف المباشر'!$D$2:$D$501,'الصرف المباشر'!$C$2:$C$501,$C285)-SUMPRODUCT((الطبخات!$B$2:$B$900=$C285)*الطبخات!$C$2:$C$900*COUNTIF('سجل الإنتاج'!$C$2:$C$501,الطبخات!$A$2:$A$900)),3))</f>
        <v/>
      </c>
      <c r="E285" s="15"/>
      <c r="F285" s="19" t="str">
        <f t="shared" si="9"/>
        <v/>
      </c>
      <c r="G285" s="9"/>
      <c r="H285" s="9"/>
    </row>
    <row r="286" spans="1:8" ht="24" customHeight="1">
      <c r="A286" s="5" t="str">
        <f t="shared" si="8"/>
        <v/>
      </c>
      <c r="B286" s="18"/>
      <c r="C286" s="9"/>
      <c r="D286" s="10" t="str">
        <f>IF($C286="","",ROUND(SUMIFS(الإدخالات!$D$2:$D$501,الإدخالات!$C$2:$C$501,$C286)+SUMIFS($F$1:F285,$C$1:C285,$C286)-SUMIFS('الصرف المباشر'!$D$2:$D$501,'الصرف المباشر'!$C$2:$C$501,$C286)-SUMPRODUCT((الطبخات!$B$2:$B$900=$C286)*الطبخات!$C$2:$C$900*COUNTIF('سجل الإنتاج'!$C$2:$C$501,الطبخات!$A$2:$A$900)),3))</f>
        <v/>
      </c>
      <c r="E286" s="15"/>
      <c r="F286" s="19" t="str">
        <f t="shared" si="9"/>
        <v/>
      </c>
      <c r="G286" s="9"/>
      <c r="H286" s="9"/>
    </row>
    <row r="287" spans="1:8" ht="24" customHeight="1">
      <c r="A287" s="5" t="str">
        <f t="shared" si="8"/>
        <v/>
      </c>
      <c r="B287" s="18"/>
      <c r="C287" s="9"/>
      <c r="D287" s="10" t="str">
        <f>IF($C287="","",ROUND(SUMIFS(الإدخالات!$D$2:$D$501,الإدخالات!$C$2:$C$501,$C287)+SUMIFS($F$1:F286,$C$1:C286,$C287)-SUMIFS('الصرف المباشر'!$D$2:$D$501,'الصرف المباشر'!$C$2:$C$501,$C287)-SUMPRODUCT((الطبخات!$B$2:$B$900=$C287)*الطبخات!$C$2:$C$900*COUNTIF('سجل الإنتاج'!$C$2:$C$501,الطبخات!$A$2:$A$900)),3))</f>
        <v/>
      </c>
      <c r="E287" s="15"/>
      <c r="F287" s="19" t="str">
        <f t="shared" si="9"/>
        <v/>
      </c>
      <c r="G287" s="9"/>
      <c r="H287" s="9"/>
    </row>
    <row r="288" spans="1:8" ht="24" customHeight="1">
      <c r="A288" s="5" t="str">
        <f t="shared" si="8"/>
        <v/>
      </c>
      <c r="B288" s="18"/>
      <c r="C288" s="9"/>
      <c r="D288" s="10" t="str">
        <f>IF($C288="","",ROUND(SUMIFS(الإدخالات!$D$2:$D$501,الإدخالات!$C$2:$C$501,$C288)+SUMIFS($F$1:F287,$C$1:C287,$C288)-SUMIFS('الصرف المباشر'!$D$2:$D$501,'الصرف المباشر'!$C$2:$C$501,$C288)-SUMPRODUCT((الطبخات!$B$2:$B$900=$C288)*الطبخات!$C$2:$C$900*COUNTIF('سجل الإنتاج'!$C$2:$C$501,الطبخات!$A$2:$A$900)),3))</f>
        <v/>
      </c>
      <c r="E288" s="15"/>
      <c r="F288" s="19" t="str">
        <f t="shared" si="9"/>
        <v/>
      </c>
      <c r="G288" s="9"/>
      <c r="H288" s="9"/>
    </row>
    <row r="289" spans="1:8" ht="24" customHeight="1">
      <c r="A289" s="5" t="str">
        <f t="shared" si="8"/>
        <v/>
      </c>
      <c r="B289" s="18"/>
      <c r="C289" s="9"/>
      <c r="D289" s="10" t="str">
        <f>IF($C289="","",ROUND(SUMIFS(الإدخالات!$D$2:$D$501,الإدخالات!$C$2:$C$501,$C289)+SUMIFS($F$1:F288,$C$1:C288,$C289)-SUMIFS('الصرف المباشر'!$D$2:$D$501,'الصرف المباشر'!$C$2:$C$501,$C289)-SUMPRODUCT((الطبخات!$B$2:$B$900=$C289)*الطبخات!$C$2:$C$900*COUNTIF('سجل الإنتاج'!$C$2:$C$501,الطبخات!$A$2:$A$900)),3))</f>
        <v/>
      </c>
      <c r="E289" s="15"/>
      <c r="F289" s="19" t="str">
        <f t="shared" si="9"/>
        <v/>
      </c>
      <c r="G289" s="9"/>
      <c r="H289" s="9"/>
    </row>
    <row r="290" spans="1:8" ht="24" customHeight="1">
      <c r="A290" s="5" t="str">
        <f t="shared" si="8"/>
        <v/>
      </c>
      <c r="B290" s="18"/>
      <c r="C290" s="9"/>
      <c r="D290" s="10" t="str">
        <f>IF($C290="","",ROUND(SUMIFS(الإدخالات!$D$2:$D$501,الإدخالات!$C$2:$C$501,$C290)+SUMIFS($F$1:F289,$C$1:C289,$C290)-SUMIFS('الصرف المباشر'!$D$2:$D$501,'الصرف المباشر'!$C$2:$C$501,$C290)-SUMPRODUCT((الطبخات!$B$2:$B$900=$C290)*الطبخات!$C$2:$C$900*COUNTIF('سجل الإنتاج'!$C$2:$C$501,الطبخات!$A$2:$A$900)),3))</f>
        <v/>
      </c>
      <c r="E290" s="15"/>
      <c r="F290" s="19" t="str">
        <f t="shared" si="9"/>
        <v/>
      </c>
      <c r="G290" s="9"/>
      <c r="H290" s="9"/>
    </row>
    <row r="291" spans="1:8" ht="24" customHeight="1">
      <c r="A291" s="5" t="str">
        <f t="shared" si="8"/>
        <v/>
      </c>
      <c r="B291" s="18"/>
      <c r="C291" s="9"/>
      <c r="D291" s="10" t="str">
        <f>IF($C291="","",ROUND(SUMIFS(الإدخالات!$D$2:$D$501,الإدخالات!$C$2:$C$501,$C291)+SUMIFS($F$1:F290,$C$1:C290,$C291)-SUMIFS('الصرف المباشر'!$D$2:$D$501,'الصرف المباشر'!$C$2:$C$501,$C291)-SUMPRODUCT((الطبخات!$B$2:$B$900=$C291)*الطبخات!$C$2:$C$900*COUNTIF('سجل الإنتاج'!$C$2:$C$501,الطبخات!$A$2:$A$900)),3))</f>
        <v/>
      </c>
      <c r="E291" s="15"/>
      <c r="F291" s="19" t="str">
        <f t="shared" si="9"/>
        <v/>
      </c>
      <c r="G291" s="9"/>
      <c r="H291" s="9"/>
    </row>
    <row r="292" spans="1:8" ht="24" customHeight="1">
      <c r="A292" s="5" t="str">
        <f t="shared" si="8"/>
        <v/>
      </c>
      <c r="B292" s="18"/>
      <c r="C292" s="9"/>
      <c r="D292" s="10" t="str">
        <f>IF($C292="","",ROUND(SUMIFS(الإدخالات!$D$2:$D$501,الإدخالات!$C$2:$C$501,$C292)+SUMIFS($F$1:F291,$C$1:C291,$C292)-SUMIFS('الصرف المباشر'!$D$2:$D$501,'الصرف المباشر'!$C$2:$C$501,$C292)-SUMPRODUCT((الطبخات!$B$2:$B$900=$C292)*الطبخات!$C$2:$C$900*COUNTIF('سجل الإنتاج'!$C$2:$C$501,الطبخات!$A$2:$A$900)),3))</f>
        <v/>
      </c>
      <c r="E292" s="15"/>
      <c r="F292" s="19" t="str">
        <f t="shared" si="9"/>
        <v/>
      </c>
      <c r="G292" s="9"/>
      <c r="H292" s="9"/>
    </row>
    <row r="293" spans="1:8" ht="24" customHeight="1">
      <c r="A293" s="5" t="str">
        <f t="shared" si="8"/>
        <v/>
      </c>
      <c r="B293" s="18"/>
      <c r="C293" s="9"/>
      <c r="D293" s="10" t="str">
        <f>IF($C293="","",ROUND(SUMIFS(الإدخالات!$D$2:$D$501,الإدخالات!$C$2:$C$501,$C293)+SUMIFS($F$1:F292,$C$1:C292,$C293)-SUMIFS('الصرف المباشر'!$D$2:$D$501,'الصرف المباشر'!$C$2:$C$501,$C293)-SUMPRODUCT((الطبخات!$B$2:$B$900=$C293)*الطبخات!$C$2:$C$900*COUNTIF('سجل الإنتاج'!$C$2:$C$501,الطبخات!$A$2:$A$900)),3))</f>
        <v/>
      </c>
      <c r="E293" s="15"/>
      <c r="F293" s="19" t="str">
        <f t="shared" si="9"/>
        <v/>
      </c>
      <c r="G293" s="9"/>
      <c r="H293" s="9"/>
    </row>
    <row r="294" spans="1:8" ht="24" customHeight="1">
      <c r="A294" s="5" t="str">
        <f t="shared" si="8"/>
        <v/>
      </c>
      <c r="B294" s="18"/>
      <c r="C294" s="9"/>
      <c r="D294" s="10" t="str">
        <f>IF($C294="","",ROUND(SUMIFS(الإدخالات!$D$2:$D$501,الإدخالات!$C$2:$C$501,$C294)+SUMIFS($F$1:F293,$C$1:C293,$C294)-SUMIFS('الصرف المباشر'!$D$2:$D$501,'الصرف المباشر'!$C$2:$C$501,$C294)-SUMPRODUCT((الطبخات!$B$2:$B$900=$C294)*الطبخات!$C$2:$C$900*COUNTIF('سجل الإنتاج'!$C$2:$C$501,الطبخات!$A$2:$A$900)),3))</f>
        <v/>
      </c>
      <c r="E294" s="15"/>
      <c r="F294" s="19" t="str">
        <f t="shared" si="9"/>
        <v/>
      </c>
      <c r="G294" s="9"/>
      <c r="H294" s="9"/>
    </row>
    <row r="295" spans="1:8" ht="24" customHeight="1">
      <c r="A295" s="5" t="str">
        <f t="shared" si="8"/>
        <v/>
      </c>
      <c r="B295" s="18"/>
      <c r="C295" s="9"/>
      <c r="D295" s="10" t="str">
        <f>IF($C295="","",ROUND(SUMIFS(الإدخالات!$D$2:$D$501,الإدخالات!$C$2:$C$501,$C295)+SUMIFS($F$1:F294,$C$1:C294,$C295)-SUMIFS('الصرف المباشر'!$D$2:$D$501,'الصرف المباشر'!$C$2:$C$501,$C295)-SUMPRODUCT((الطبخات!$B$2:$B$900=$C295)*الطبخات!$C$2:$C$900*COUNTIF('سجل الإنتاج'!$C$2:$C$501,الطبخات!$A$2:$A$900)),3))</f>
        <v/>
      </c>
      <c r="E295" s="15"/>
      <c r="F295" s="19" t="str">
        <f t="shared" si="9"/>
        <v/>
      </c>
      <c r="G295" s="9"/>
      <c r="H295" s="9"/>
    </row>
    <row r="296" spans="1:8" ht="24" customHeight="1">
      <c r="A296" s="5" t="str">
        <f t="shared" si="8"/>
        <v/>
      </c>
      <c r="B296" s="18"/>
      <c r="C296" s="9"/>
      <c r="D296" s="10" t="str">
        <f>IF($C296="","",ROUND(SUMIFS(الإدخالات!$D$2:$D$501,الإدخالات!$C$2:$C$501,$C296)+SUMIFS($F$1:F295,$C$1:C295,$C296)-SUMIFS('الصرف المباشر'!$D$2:$D$501,'الصرف المباشر'!$C$2:$C$501,$C296)-SUMPRODUCT((الطبخات!$B$2:$B$900=$C296)*الطبخات!$C$2:$C$900*COUNTIF('سجل الإنتاج'!$C$2:$C$501,الطبخات!$A$2:$A$900)),3))</f>
        <v/>
      </c>
      <c r="E296" s="15"/>
      <c r="F296" s="19" t="str">
        <f t="shared" si="9"/>
        <v/>
      </c>
      <c r="G296" s="9"/>
      <c r="H296" s="9"/>
    </row>
    <row r="297" spans="1:8" ht="24" customHeight="1">
      <c r="A297" s="5" t="str">
        <f t="shared" si="8"/>
        <v/>
      </c>
      <c r="B297" s="18"/>
      <c r="C297" s="9"/>
      <c r="D297" s="10" t="str">
        <f>IF($C297="","",ROUND(SUMIFS(الإدخالات!$D$2:$D$501,الإدخالات!$C$2:$C$501,$C297)+SUMIFS($F$1:F296,$C$1:C296,$C297)-SUMIFS('الصرف المباشر'!$D$2:$D$501,'الصرف المباشر'!$C$2:$C$501,$C297)-SUMPRODUCT((الطبخات!$B$2:$B$900=$C297)*الطبخات!$C$2:$C$900*COUNTIF('سجل الإنتاج'!$C$2:$C$501,الطبخات!$A$2:$A$900)),3))</f>
        <v/>
      </c>
      <c r="E297" s="15"/>
      <c r="F297" s="19" t="str">
        <f t="shared" si="9"/>
        <v/>
      </c>
      <c r="G297" s="9"/>
      <c r="H297" s="9"/>
    </row>
    <row r="298" spans="1:8" ht="24" customHeight="1">
      <c r="A298" s="5" t="str">
        <f t="shared" si="8"/>
        <v/>
      </c>
      <c r="B298" s="18"/>
      <c r="C298" s="9"/>
      <c r="D298" s="10" t="str">
        <f>IF($C298="","",ROUND(SUMIFS(الإدخالات!$D$2:$D$501,الإدخالات!$C$2:$C$501,$C298)+SUMIFS($F$1:F297,$C$1:C297,$C298)-SUMIFS('الصرف المباشر'!$D$2:$D$501,'الصرف المباشر'!$C$2:$C$501,$C298)-SUMPRODUCT((الطبخات!$B$2:$B$900=$C298)*الطبخات!$C$2:$C$900*COUNTIF('سجل الإنتاج'!$C$2:$C$501,الطبخات!$A$2:$A$900)),3))</f>
        <v/>
      </c>
      <c r="E298" s="15"/>
      <c r="F298" s="19" t="str">
        <f t="shared" si="9"/>
        <v/>
      </c>
      <c r="G298" s="9"/>
      <c r="H298" s="9"/>
    </row>
    <row r="299" spans="1:8" ht="24" customHeight="1">
      <c r="A299" s="5" t="str">
        <f t="shared" si="8"/>
        <v/>
      </c>
      <c r="B299" s="18"/>
      <c r="C299" s="9"/>
      <c r="D299" s="10" t="str">
        <f>IF($C299="","",ROUND(SUMIFS(الإدخالات!$D$2:$D$501,الإدخالات!$C$2:$C$501,$C299)+SUMIFS($F$1:F298,$C$1:C298,$C299)-SUMIFS('الصرف المباشر'!$D$2:$D$501,'الصرف المباشر'!$C$2:$C$501,$C299)-SUMPRODUCT((الطبخات!$B$2:$B$900=$C299)*الطبخات!$C$2:$C$900*COUNTIF('سجل الإنتاج'!$C$2:$C$501,الطبخات!$A$2:$A$900)),3))</f>
        <v/>
      </c>
      <c r="E299" s="15"/>
      <c r="F299" s="19" t="str">
        <f t="shared" si="9"/>
        <v/>
      </c>
      <c r="G299" s="9"/>
      <c r="H299" s="9"/>
    </row>
    <row r="300" spans="1:8" ht="24" customHeight="1">
      <c r="A300" s="5" t="str">
        <f t="shared" si="8"/>
        <v/>
      </c>
      <c r="B300" s="18"/>
      <c r="C300" s="9"/>
      <c r="D300" s="10" t="str">
        <f>IF($C300="","",ROUND(SUMIFS(الإدخالات!$D$2:$D$501,الإدخالات!$C$2:$C$501,$C300)+SUMIFS($F$1:F299,$C$1:C299,$C300)-SUMIFS('الصرف المباشر'!$D$2:$D$501,'الصرف المباشر'!$C$2:$C$501,$C300)-SUMPRODUCT((الطبخات!$B$2:$B$900=$C300)*الطبخات!$C$2:$C$900*COUNTIF('سجل الإنتاج'!$C$2:$C$501,الطبخات!$A$2:$A$900)),3))</f>
        <v/>
      </c>
      <c r="E300" s="15"/>
      <c r="F300" s="19" t="str">
        <f t="shared" si="9"/>
        <v/>
      </c>
      <c r="G300" s="9"/>
      <c r="H300" s="9"/>
    </row>
    <row r="301" spans="1:8" ht="24" customHeight="1">
      <c r="A301" s="5" t="str">
        <f t="shared" si="8"/>
        <v/>
      </c>
      <c r="B301" s="18"/>
      <c r="C301" s="9"/>
      <c r="D301" s="10" t="str">
        <f>IF($C301="","",ROUND(SUMIFS(الإدخالات!$D$2:$D$501,الإدخالات!$C$2:$C$501,$C301)+SUMIFS($F$1:F300,$C$1:C300,$C301)-SUMIFS('الصرف المباشر'!$D$2:$D$501,'الصرف المباشر'!$C$2:$C$501,$C301)-SUMPRODUCT((الطبخات!$B$2:$B$900=$C301)*الطبخات!$C$2:$C$900*COUNTIF('سجل الإنتاج'!$C$2:$C$501,الطبخات!$A$2:$A$900)),3))</f>
        <v/>
      </c>
      <c r="E301" s="15"/>
      <c r="F301" s="19" t="str">
        <f t="shared" si="9"/>
        <v/>
      </c>
      <c r="G301" s="9"/>
      <c r="H301" s="9"/>
    </row>
    <row r="302" spans="1:8" ht="24" customHeight="1">
      <c r="A302" s="5" t="str">
        <f t="shared" si="8"/>
        <v/>
      </c>
      <c r="B302" s="18"/>
      <c r="C302" s="9"/>
      <c r="D302" s="10" t="str">
        <f>IF($C302="","",ROUND(SUMIFS(الإدخالات!$D$2:$D$501,الإدخالات!$C$2:$C$501,$C302)+SUMIFS($F$1:F301,$C$1:C301,$C302)-SUMIFS('الصرف المباشر'!$D$2:$D$501,'الصرف المباشر'!$C$2:$C$501,$C302)-SUMPRODUCT((الطبخات!$B$2:$B$900=$C302)*الطبخات!$C$2:$C$900*COUNTIF('سجل الإنتاج'!$C$2:$C$501,الطبخات!$A$2:$A$900)),3))</f>
        <v/>
      </c>
      <c r="E302" s="15"/>
      <c r="F302" s="19" t="str">
        <f t="shared" si="9"/>
        <v/>
      </c>
      <c r="G302" s="9"/>
      <c r="H302" s="9"/>
    </row>
    <row r="303" spans="1:8" ht="24" customHeight="1">
      <c r="A303" s="5" t="str">
        <f t="shared" si="8"/>
        <v/>
      </c>
      <c r="B303" s="18"/>
      <c r="C303" s="9"/>
      <c r="D303" s="10" t="str">
        <f>IF($C303="","",ROUND(SUMIFS(الإدخالات!$D$2:$D$501,الإدخالات!$C$2:$C$501,$C303)+SUMIFS($F$1:F302,$C$1:C302,$C303)-SUMIFS('الصرف المباشر'!$D$2:$D$501,'الصرف المباشر'!$C$2:$C$501,$C303)-SUMPRODUCT((الطبخات!$B$2:$B$900=$C303)*الطبخات!$C$2:$C$900*COUNTIF('سجل الإنتاج'!$C$2:$C$501,الطبخات!$A$2:$A$900)),3))</f>
        <v/>
      </c>
      <c r="E303" s="15"/>
      <c r="F303" s="19" t="str">
        <f t="shared" si="9"/>
        <v/>
      </c>
      <c r="G303" s="9"/>
      <c r="H303" s="9"/>
    </row>
    <row r="304" spans="1:8" ht="24" customHeight="1">
      <c r="A304" s="5" t="str">
        <f t="shared" si="8"/>
        <v/>
      </c>
      <c r="B304" s="18"/>
      <c r="C304" s="9"/>
      <c r="D304" s="10" t="str">
        <f>IF($C304="","",ROUND(SUMIFS(الإدخالات!$D$2:$D$501,الإدخالات!$C$2:$C$501,$C304)+SUMIFS($F$1:F303,$C$1:C303,$C304)-SUMIFS('الصرف المباشر'!$D$2:$D$501,'الصرف المباشر'!$C$2:$C$501,$C304)-SUMPRODUCT((الطبخات!$B$2:$B$900=$C304)*الطبخات!$C$2:$C$900*COUNTIF('سجل الإنتاج'!$C$2:$C$501,الطبخات!$A$2:$A$900)),3))</f>
        <v/>
      </c>
      <c r="E304" s="15"/>
      <c r="F304" s="19" t="str">
        <f t="shared" si="9"/>
        <v/>
      </c>
      <c r="G304" s="9"/>
      <c r="H304" s="9"/>
    </row>
    <row r="305" spans="1:8" ht="24" customHeight="1">
      <c r="A305" s="5" t="str">
        <f t="shared" si="8"/>
        <v/>
      </c>
      <c r="B305" s="18"/>
      <c r="C305" s="9"/>
      <c r="D305" s="10" t="str">
        <f>IF($C305="","",ROUND(SUMIFS(الإدخالات!$D$2:$D$501,الإدخالات!$C$2:$C$501,$C305)+SUMIFS($F$1:F304,$C$1:C304,$C305)-SUMIFS('الصرف المباشر'!$D$2:$D$501,'الصرف المباشر'!$C$2:$C$501,$C305)-SUMPRODUCT((الطبخات!$B$2:$B$900=$C305)*الطبخات!$C$2:$C$900*COUNTIF('سجل الإنتاج'!$C$2:$C$501,الطبخات!$A$2:$A$900)),3))</f>
        <v/>
      </c>
      <c r="E305" s="15"/>
      <c r="F305" s="19" t="str">
        <f t="shared" si="9"/>
        <v/>
      </c>
      <c r="G305" s="9"/>
      <c r="H305" s="9"/>
    </row>
    <row r="306" spans="1:8" ht="24" customHeight="1">
      <c r="A306" s="5" t="str">
        <f t="shared" si="8"/>
        <v/>
      </c>
      <c r="B306" s="18"/>
      <c r="C306" s="9"/>
      <c r="D306" s="10" t="str">
        <f>IF($C306="","",ROUND(SUMIFS(الإدخالات!$D$2:$D$501,الإدخالات!$C$2:$C$501,$C306)+SUMIFS($F$1:F305,$C$1:C305,$C306)-SUMIFS('الصرف المباشر'!$D$2:$D$501,'الصرف المباشر'!$C$2:$C$501,$C306)-SUMPRODUCT((الطبخات!$B$2:$B$900=$C306)*الطبخات!$C$2:$C$900*COUNTIF('سجل الإنتاج'!$C$2:$C$501,الطبخات!$A$2:$A$900)),3))</f>
        <v/>
      </c>
      <c r="E306" s="15"/>
      <c r="F306" s="19" t="str">
        <f t="shared" si="9"/>
        <v/>
      </c>
      <c r="G306" s="9"/>
      <c r="H306" s="9"/>
    </row>
    <row r="307" spans="1:8" ht="24" customHeight="1">
      <c r="A307" s="5" t="str">
        <f t="shared" si="8"/>
        <v/>
      </c>
      <c r="B307" s="18"/>
      <c r="C307" s="9"/>
      <c r="D307" s="10" t="str">
        <f>IF($C307="","",ROUND(SUMIFS(الإدخالات!$D$2:$D$501,الإدخالات!$C$2:$C$501,$C307)+SUMIFS($F$1:F306,$C$1:C306,$C307)-SUMIFS('الصرف المباشر'!$D$2:$D$501,'الصرف المباشر'!$C$2:$C$501,$C307)-SUMPRODUCT((الطبخات!$B$2:$B$900=$C307)*الطبخات!$C$2:$C$900*COUNTIF('سجل الإنتاج'!$C$2:$C$501,الطبخات!$A$2:$A$900)),3))</f>
        <v/>
      </c>
      <c r="E307" s="15"/>
      <c r="F307" s="19" t="str">
        <f t="shared" si="9"/>
        <v/>
      </c>
      <c r="G307" s="9"/>
      <c r="H307" s="9"/>
    </row>
    <row r="308" spans="1:8" ht="24" customHeight="1">
      <c r="A308" s="5" t="str">
        <f t="shared" si="8"/>
        <v/>
      </c>
      <c r="B308" s="18"/>
      <c r="C308" s="9"/>
      <c r="D308" s="10" t="str">
        <f>IF($C308="","",ROUND(SUMIFS(الإدخالات!$D$2:$D$501,الإدخالات!$C$2:$C$501,$C308)+SUMIFS($F$1:F307,$C$1:C307,$C308)-SUMIFS('الصرف المباشر'!$D$2:$D$501,'الصرف المباشر'!$C$2:$C$501,$C308)-SUMPRODUCT((الطبخات!$B$2:$B$900=$C308)*الطبخات!$C$2:$C$900*COUNTIF('سجل الإنتاج'!$C$2:$C$501,الطبخات!$A$2:$A$900)),3))</f>
        <v/>
      </c>
      <c r="E308" s="15"/>
      <c r="F308" s="19" t="str">
        <f t="shared" si="9"/>
        <v/>
      </c>
      <c r="G308" s="9"/>
      <c r="H308" s="9"/>
    </row>
    <row r="309" spans="1:8" ht="24" customHeight="1">
      <c r="A309" s="5" t="str">
        <f t="shared" si="8"/>
        <v/>
      </c>
      <c r="B309" s="18"/>
      <c r="C309" s="9"/>
      <c r="D309" s="10" t="str">
        <f>IF($C309="","",ROUND(SUMIFS(الإدخالات!$D$2:$D$501,الإدخالات!$C$2:$C$501,$C309)+SUMIFS($F$1:F308,$C$1:C308,$C309)-SUMIFS('الصرف المباشر'!$D$2:$D$501,'الصرف المباشر'!$C$2:$C$501,$C309)-SUMPRODUCT((الطبخات!$B$2:$B$900=$C309)*الطبخات!$C$2:$C$900*COUNTIF('سجل الإنتاج'!$C$2:$C$501,الطبخات!$A$2:$A$900)),3))</f>
        <v/>
      </c>
      <c r="E309" s="15"/>
      <c r="F309" s="19" t="str">
        <f t="shared" si="9"/>
        <v/>
      </c>
      <c r="G309" s="9"/>
      <c r="H309" s="9"/>
    </row>
    <row r="310" spans="1:8" ht="24" customHeight="1">
      <c r="A310" s="5" t="str">
        <f t="shared" si="8"/>
        <v/>
      </c>
      <c r="B310" s="18"/>
      <c r="C310" s="9"/>
      <c r="D310" s="10" t="str">
        <f>IF($C310="","",ROUND(SUMIFS(الإدخالات!$D$2:$D$501,الإدخالات!$C$2:$C$501,$C310)+SUMIFS($F$1:F309,$C$1:C309,$C310)-SUMIFS('الصرف المباشر'!$D$2:$D$501,'الصرف المباشر'!$C$2:$C$501,$C310)-SUMPRODUCT((الطبخات!$B$2:$B$900=$C310)*الطبخات!$C$2:$C$900*COUNTIF('سجل الإنتاج'!$C$2:$C$501,الطبخات!$A$2:$A$900)),3))</f>
        <v/>
      </c>
      <c r="E310" s="15"/>
      <c r="F310" s="19" t="str">
        <f t="shared" si="9"/>
        <v/>
      </c>
      <c r="G310" s="9"/>
      <c r="H310" s="9"/>
    </row>
    <row r="311" spans="1:8" ht="24" customHeight="1">
      <c r="A311" s="5" t="str">
        <f t="shared" si="8"/>
        <v/>
      </c>
      <c r="B311" s="18"/>
      <c r="C311" s="9"/>
      <c r="D311" s="10" t="str">
        <f>IF($C311="","",ROUND(SUMIFS(الإدخالات!$D$2:$D$501,الإدخالات!$C$2:$C$501,$C311)+SUMIFS($F$1:F310,$C$1:C310,$C311)-SUMIFS('الصرف المباشر'!$D$2:$D$501,'الصرف المباشر'!$C$2:$C$501,$C311)-SUMPRODUCT((الطبخات!$B$2:$B$900=$C311)*الطبخات!$C$2:$C$900*COUNTIF('سجل الإنتاج'!$C$2:$C$501,الطبخات!$A$2:$A$900)),3))</f>
        <v/>
      </c>
      <c r="E311" s="15"/>
      <c r="F311" s="19" t="str">
        <f t="shared" si="9"/>
        <v/>
      </c>
      <c r="G311" s="9"/>
      <c r="H311" s="9"/>
    </row>
    <row r="312" spans="1:8" ht="24" customHeight="1">
      <c r="A312" s="5" t="str">
        <f t="shared" si="8"/>
        <v/>
      </c>
      <c r="B312" s="18"/>
      <c r="C312" s="9"/>
      <c r="D312" s="10" t="str">
        <f>IF($C312="","",ROUND(SUMIFS(الإدخالات!$D$2:$D$501,الإدخالات!$C$2:$C$501,$C312)+SUMIFS($F$1:F311,$C$1:C311,$C312)-SUMIFS('الصرف المباشر'!$D$2:$D$501,'الصرف المباشر'!$C$2:$C$501,$C312)-SUMPRODUCT((الطبخات!$B$2:$B$900=$C312)*الطبخات!$C$2:$C$900*COUNTIF('سجل الإنتاج'!$C$2:$C$501,الطبخات!$A$2:$A$900)),3))</f>
        <v/>
      </c>
      <c r="E312" s="15"/>
      <c r="F312" s="19" t="str">
        <f t="shared" si="9"/>
        <v/>
      </c>
      <c r="G312" s="9"/>
      <c r="H312" s="9"/>
    </row>
    <row r="313" spans="1:8" ht="24" customHeight="1">
      <c r="A313" s="5" t="str">
        <f t="shared" si="8"/>
        <v/>
      </c>
      <c r="B313" s="18"/>
      <c r="C313" s="9"/>
      <c r="D313" s="10" t="str">
        <f>IF($C313="","",ROUND(SUMIFS(الإدخالات!$D$2:$D$501,الإدخالات!$C$2:$C$501,$C313)+SUMIFS($F$1:F312,$C$1:C312,$C313)-SUMIFS('الصرف المباشر'!$D$2:$D$501,'الصرف المباشر'!$C$2:$C$501,$C313)-SUMPRODUCT((الطبخات!$B$2:$B$900=$C313)*الطبخات!$C$2:$C$900*COUNTIF('سجل الإنتاج'!$C$2:$C$501,الطبخات!$A$2:$A$900)),3))</f>
        <v/>
      </c>
      <c r="E313" s="15"/>
      <c r="F313" s="19" t="str">
        <f t="shared" si="9"/>
        <v/>
      </c>
      <c r="G313" s="9"/>
      <c r="H313" s="9"/>
    </row>
    <row r="314" spans="1:8" ht="24" customHeight="1">
      <c r="A314" s="5" t="str">
        <f t="shared" si="8"/>
        <v/>
      </c>
      <c r="B314" s="18"/>
      <c r="C314" s="9"/>
      <c r="D314" s="10" t="str">
        <f>IF($C314="","",ROUND(SUMIFS(الإدخالات!$D$2:$D$501,الإدخالات!$C$2:$C$501,$C314)+SUMIFS($F$1:F313,$C$1:C313,$C314)-SUMIFS('الصرف المباشر'!$D$2:$D$501,'الصرف المباشر'!$C$2:$C$501,$C314)-SUMPRODUCT((الطبخات!$B$2:$B$900=$C314)*الطبخات!$C$2:$C$900*COUNTIF('سجل الإنتاج'!$C$2:$C$501,الطبخات!$A$2:$A$900)),3))</f>
        <v/>
      </c>
      <c r="E314" s="15"/>
      <c r="F314" s="19" t="str">
        <f t="shared" si="9"/>
        <v/>
      </c>
      <c r="G314" s="9"/>
      <c r="H314" s="9"/>
    </row>
    <row r="315" spans="1:8" ht="24" customHeight="1">
      <c r="A315" s="5" t="str">
        <f t="shared" si="8"/>
        <v/>
      </c>
      <c r="B315" s="18"/>
      <c r="C315" s="9"/>
      <c r="D315" s="10" t="str">
        <f>IF($C315="","",ROUND(SUMIFS(الإدخالات!$D$2:$D$501,الإدخالات!$C$2:$C$501,$C315)+SUMIFS($F$1:F314,$C$1:C314,$C315)-SUMIFS('الصرف المباشر'!$D$2:$D$501,'الصرف المباشر'!$C$2:$C$501,$C315)-SUMPRODUCT((الطبخات!$B$2:$B$900=$C315)*الطبخات!$C$2:$C$900*COUNTIF('سجل الإنتاج'!$C$2:$C$501,الطبخات!$A$2:$A$900)),3))</f>
        <v/>
      </c>
      <c r="E315" s="15"/>
      <c r="F315" s="19" t="str">
        <f t="shared" si="9"/>
        <v/>
      </c>
      <c r="G315" s="9"/>
      <c r="H315" s="9"/>
    </row>
    <row r="316" spans="1:8" ht="24" customHeight="1">
      <c r="A316" s="5" t="str">
        <f t="shared" si="8"/>
        <v/>
      </c>
      <c r="B316" s="18"/>
      <c r="C316" s="9"/>
      <c r="D316" s="10" t="str">
        <f>IF($C316="","",ROUND(SUMIFS(الإدخالات!$D$2:$D$501,الإدخالات!$C$2:$C$501,$C316)+SUMIFS($F$1:F315,$C$1:C315,$C316)-SUMIFS('الصرف المباشر'!$D$2:$D$501,'الصرف المباشر'!$C$2:$C$501,$C316)-SUMPRODUCT((الطبخات!$B$2:$B$900=$C316)*الطبخات!$C$2:$C$900*COUNTIF('سجل الإنتاج'!$C$2:$C$501,الطبخات!$A$2:$A$900)),3))</f>
        <v/>
      </c>
      <c r="E316" s="15"/>
      <c r="F316" s="19" t="str">
        <f t="shared" si="9"/>
        <v/>
      </c>
      <c r="G316" s="9"/>
      <c r="H316" s="9"/>
    </row>
    <row r="317" spans="1:8" ht="24" customHeight="1">
      <c r="A317" s="5" t="str">
        <f t="shared" si="8"/>
        <v/>
      </c>
      <c r="B317" s="18"/>
      <c r="C317" s="9"/>
      <c r="D317" s="10" t="str">
        <f>IF($C317="","",ROUND(SUMIFS(الإدخالات!$D$2:$D$501,الإدخالات!$C$2:$C$501,$C317)+SUMIFS($F$1:F316,$C$1:C316,$C317)-SUMIFS('الصرف المباشر'!$D$2:$D$501,'الصرف المباشر'!$C$2:$C$501,$C317)-SUMPRODUCT((الطبخات!$B$2:$B$900=$C317)*الطبخات!$C$2:$C$900*COUNTIF('سجل الإنتاج'!$C$2:$C$501,الطبخات!$A$2:$A$900)),3))</f>
        <v/>
      </c>
      <c r="E317" s="15"/>
      <c r="F317" s="19" t="str">
        <f t="shared" si="9"/>
        <v/>
      </c>
      <c r="G317" s="9"/>
      <c r="H317" s="9"/>
    </row>
    <row r="318" spans="1:8" ht="24" customHeight="1">
      <c r="A318" s="5" t="str">
        <f t="shared" si="8"/>
        <v/>
      </c>
      <c r="B318" s="18"/>
      <c r="C318" s="9"/>
      <c r="D318" s="10" t="str">
        <f>IF($C318="","",ROUND(SUMIFS(الإدخالات!$D$2:$D$501,الإدخالات!$C$2:$C$501,$C318)+SUMIFS($F$1:F317,$C$1:C317,$C318)-SUMIFS('الصرف المباشر'!$D$2:$D$501,'الصرف المباشر'!$C$2:$C$501,$C318)-SUMPRODUCT((الطبخات!$B$2:$B$900=$C318)*الطبخات!$C$2:$C$900*COUNTIF('سجل الإنتاج'!$C$2:$C$501,الطبخات!$A$2:$A$900)),3))</f>
        <v/>
      </c>
      <c r="E318" s="15"/>
      <c r="F318" s="19" t="str">
        <f t="shared" si="9"/>
        <v/>
      </c>
      <c r="G318" s="9"/>
      <c r="H318" s="9"/>
    </row>
    <row r="319" spans="1:8" ht="24" customHeight="1">
      <c r="A319" s="5" t="str">
        <f t="shared" si="8"/>
        <v/>
      </c>
      <c r="B319" s="18"/>
      <c r="C319" s="9"/>
      <c r="D319" s="10" t="str">
        <f>IF($C319="","",ROUND(SUMIFS(الإدخالات!$D$2:$D$501,الإدخالات!$C$2:$C$501,$C319)+SUMIFS($F$1:F318,$C$1:C318,$C319)-SUMIFS('الصرف المباشر'!$D$2:$D$501,'الصرف المباشر'!$C$2:$C$501,$C319)-SUMPRODUCT((الطبخات!$B$2:$B$900=$C319)*الطبخات!$C$2:$C$900*COUNTIF('سجل الإنتاج'!$C$2:$C$501,الطبخات!$A$2:$A$900)),3))</f>
        <v/>
      </c>
      <c r="E319" s="15"/>
      <c r="F319" s="19" t="str">
        <f t="shared" si="9"/>
        <v/>
      </c>
      <c r="G319" s="9"/>
      <c r="H319" s="9"/>
    </row>
    <row r="320" spans="1:8" ht="24" customHeight="1">
      <c r="A320" s="5" t="str">
        <f t="shared" si="8"/>
        <v/>
      </c>
      <c r="B320" s="18"/>
      <c r="C320" s="9"/>
      <c r="D320" s="10" t="str">
        <f>IF($C320="","",ROUND(SUMIFS(الإدخالات!$D$2:$D$501,الإدخالات!$C$2:$C$501,$C320)+SUMIFS($F$1:F319,$C$1:C319,$C320)-SUMIFS('الصرف المباشر'!$D$2:$D$501,'الصرف المباشر'!$C$2:$C$501,$C320)-SUMPRODUCT((الطبخات!$B$2:$B$900=$C320)*الطبخات!$C$2:$C$900*COUNTIF('سجل الإنتاج'!$C$2:$C$501,الطبخات!$A$2:$A$900)),3))</f>
        <v/>
      </c>
      <c r="E320" s="15"/>
      <c r="F320" s="19" t="str">
        <f t="shared" si="9"/>
        <v/>
      </c>
      <c r="G320" s="9"/>
      <c r="H320" s="9"/>
    </row>
    <row r="321" spans="1:8" ht="24" customHeight="1">
      <c r="A321" s="5" t="str">
        <f t="shared" si="8"/>
        <v/>
      </c>
      <c r="B321" s="18"/>
      <c r="C321" s="9"/>
      <c r="D321" s="10" t="str">
        <f>IF($C321="","",ROUND(SUMIFS(الإدخالات!$D$2:$D$501,الإدخالات!$C$2:$C$501,$C321)+SUMIFS($F$1:F320,$C$1:C320,$C321)-SUMIFS('الصرف المباشر'!$D$2:$D$501,'الصرف المباشر'!$C$2:$C$501,$C321)-SUMPRODUCT((الطبخات!$B$2:$B$900=$C321)*الطبخات!$C$2:$C$900*COUNTIF('سجل الإنتاج'!$C$2:$C$501,الطبخات!$A$2:$A$900)),3))</f>
        <v/>
      </c>
      <c r="E321" s="15"/>
      <c r="F321" s="19" t="str">
        <f t="shared" si="9"/>
        <v/>
      </c>
      <c r="G321" s="9"/>
      <c r="H321" s="9"/>
    </row>
    <row r="322" spans="1:8" ht="24" customHeight="1">
      <c r="A322" s="5" t="str">
        <f t="shared" ref="A322:A385" si="10">IF(C322="","",ROW()-1)</f>
        <v/>
      </c>
      <c r="B322" s="18"/>
      <c r="C322" s="9"/>
      <c r="D322" s="10" t="str">
        <f>IF($C322="","",ROUND(SUMIFS(الإدخالات!$D$2:$D$501,الإدخالات!$C$2:$C$501,$C322)+SUMIFS($F$1:F321,$C$1:C321,$C322)-SUMIFS('الصرف المباشر'!$D$2:$D$501,'الصرف المباشر'!$C$2:$C$501,$C322)-SUMPRODUCT((الطبخات!$B$2:$B$900=$C322)*الطبخات!$C$2:$C$900*COUNTIF('سجل الإنتاج'!$C$2:$C$501,الطبخات!$A$2:$A$900)),3))</f>
        <v/>
      </c>
      <c r="E322" s="15"/>
      <c r="F322" s="19" t="str">
        <f t="shared" ref="F322:F385" si="11">IF(OR($C322="",$E322=""),"",ROUND($E322-$D322,3))</f>
        <v/>
      </c>
      <c r="G322" s="9"/>
      <c r="H322" s="9"/>
    </row>
    <row r="323" spans="1:8" ht="24" customHeight="1">
      <c r="A323" s="5" t="str">
        <f t="shared" si="10"/>
        <v/>
      </c>
      <c r="B323" s="18"/>
      <c r="C323" s="9"/>
      <c r="D323" s="10" t="str">
        <f>IF($C323="","",ROUND(SUMIFS(الإدخالات!$D$2:$D$501,الإدخالات!$C$2:$C$501,$C323)+SUMIFS($F$1:F322,$C$1:C322,$C323)-SUMIFS('الصرف المباشر'!$D$2:$D$501,'الصرف المباشر'!$C$2:$C$501,$C323)-SUMPRODUCT((الطبخات!$B$2:$B$900=$C323)*الطبخات!$C$2:$C$900*COUNTIF('سجل الإنتاج'!$C$2:$C$501,الطبخات!$A$2:$A$900)),3))</f>
        <v/>
      </c>
      <c r="E323" s="15"/>
      <c r="F323" s="19" t="str">
        <f t="shared" si="11"/>
        <v/>
      </c>
      <c r="G323" s="9"/>
      <c r="H323" s="9"/>
    </row>
    <row r="324" spans="1:8" ht="24" customHeight="1">
      <c r="A324" s="5" t="str">
        <f t="shared" si="10"/>
        <v/>
      </c>
      <c r="B324" s="18"/>
      <c r="C324" s="9"/>
      <c r="D324" s="10" t="str">
        <f>IF($C324="","",ROUND(SUMIFS(الإدخالات!$D$2:$D$501,الإدخالات!$C$2:$C$501,$C324)+SUMIFS($F$1:F323,$C$1:C323,$C324)-SUMIFS('الصرف المباشر'!$D$2:$D$501,'الصرف المباشر'!$C$2:$C$501,$C324)-SUMPRODUCT((الطبخات!$B$2:$B$900=$C324)*الطبخات!$C$2:$C$900*COUNTIF('سجل الإنتاج'!$C$2:$C$501,الطبخات!$A$2:$A$900)),3))</f>
        <v/>
      </c>
      <c r="E324" s="15"/>
      <c r="F324" s="19" t="str">
        <f t="shared" si="11"/>
        <v/>
      </c>
      <c r="G324" s="9"/>
      <c r="H324" s="9"/>
    </row>
    <row r="325" spans="1:8" ht="24" customHeight="1">
      <c r="A325" s="5" t="str">
        <f t="shared" si="10"/>
        <v/>
      </c>
      <c r="B325" s="18"/>
      <c r="C325" s="9"/>
      <c r="D325" s="10" t="str">
        <f>IF($C325="","",ROUND(SUMIFS(الإدخالات!$D$2:$D$501,الإدخالات!$C$2:$C$501,$C325)+SUMIFS($F$1:F324,$C$1:C324,$C325)-SUMIFS('الصرف المباشر'!$D$2:$D$501,'الصرف المباشر'!$C$2:$C$501,$C325)-SUMPRODUCT((الطبخات!$B$2:$B$900=$C325)*الطبخات!$C$2:$C$900*COUNTIF('سجل الإنتاج'!$C$2:$C$501,الطبخات!$A$2:$A$900)),3))</f>
        <v/>
      </c>
      <c r="E325" s="15"/>
      <c r="F325" s="19" t="str">
        <f t="shared" si="11"/>
        <v/>
      </c>
      <c r="G325" s="9"/>
      <c r="H325" s="9"/>
    </row>
    <row r="326" spans="1:8" ht="24" customHeight="1">
      <c r="A326" s="5" t="str">
        <f t="shared" si="10"/>
        <v/>
      </c>
      <c r="B326" s="18"/>
      <c r="C326" s="9"/>
      <c r="D326" s="10" t="str">
        <f>IF($C326="","",ROUND(SUMIFS(الإدخالات!$D$2:$D$501,الإدخالات!$C$2:$C$501,$C326)+SUMIFS($F$1:F325,$C$1:C325,$C326)-SUMIFS('الصرف المباشر'!$D$2:$D$501,'الصرف المباشر'!$C$2:$C$501,$C326)-SUMPRODUCT((الطبخات!$B$2:$B$900=$C326)*الطبخات!$C$2:$C$900*COUNTIF('سجل الإنتاج'!$C$2:$C$501,الطبخات!$A$2:$A$900)),3))</f>
        <v/>
      </c>
      <c r="E326" s="15"/>
      <c r="F326" s="19" t="str">
        <f t="shared" si="11"/>
        <v/>
      </c>
      <c r="G326" s="9"/>
      <c r="H326" s="9"/>
    </row>
    <row r="327" spans="1:8" ht="24" customHeight="1">
      <c r="A327" s="5" t="str">
        <f t="shared" si="10"/>
        <v/>
      </c>
      <c r="B327" s="18"/>
      <c r="C327" s="9"/>
      <c r="D327" s="10" t="str">
        <f>IF($C327="","",ROUND(SUMIFS(الإدخالات!$D$2:$D$501,الإدخالات!$C$2:$C$501,$C327)+SUMIFS($F$1:F326,$C$1:C326,$C327)-SUMIFS('الصرف المباشر'!$D$2:$D$501,'الصرف المباشر'!$C$2:$C$501,$C327)-SUMPRODUCT((الطبخات!$B$2:$B$900=$C327)*الطبخات!$C$2:$C$900*COUNTIF('سجل الإنتاج'!$C$2:$C$501,الطبخات!$A$2:$A$900)),3))</f>
        <v/>
      </c>
      <c r="E327" s="15"/>
      <c r="F327" s="19" t="str">
        <f t="shared" si="11"/>
        <v/>
      </c>
      <c r="G327" s="9"/>
      <c r="H327" s="9"/>
    </row>
    <row r="328" spans="1:8" ht="24" customHeight="1">
      <c r="A328" s="5" t="str">
        <f t="shared" si="10"/>
        <v/>
      </c>
      <c r="B328" s="18"/>
      <c r="C328" s="9"/>
      <c r="D328" s="10" t="str">
        <f>IF($C328="","",ROUND(SUMIFS(الإدخالات!$D$2:$D$501,الإدخالات!$C$2:$C$501,$C328)+SUMIFS($F$1:F327,$C$1:C327,$C328)-SUMIFS('الصرف المباشر'!$D$2:$D$501,'الصرف المباشر'!$C$2:$C$501,$C328)-SUMPRODUCT((الطبخات!$B$2:$B$900=$C328)*الطبخات!$C$2:$C$900*COUNTIF('سجل الإنتاج'!$C$2:$C$501,الطبخات!$A$2:$A$900)),3))</f>
        <v/>
      </c>
      <c r="E328" s="15"/>
      <c r="F328" s="19" t="str">
        <f t="shared" si="11"/>
        <v/>
      </c>
      <c r="G328" s="9"/>
      <c r="H328" s="9"/>
    </row>
    <row r="329" spans="1:8" ht="24" customHeight="1">
      <c r="A329" s="5" t="str">
        <f t="shared" si="10"/>
        <v/>
      </c>
      <c r="B329" s="18"/>
      <c r="C329" s="9"/>
      <c r="D329" s="10" t="str">
        <f>IF($C329="","",ROUND(SUMIFS(الإدخالات!$D$2:$D$501,الإدخالات!$C$2:$C$501,$C329)+SUMIFS($F$1:F328,$C$1:C328,$C329)-SUMIFS('الصرف المباشر'!$D$2:$D$501,'الصرف المباشر'!$C$2:$C$501,$C329)-SUMPRODUCT((الطبخات!$B$2:$B$900=$C329)*الطبخات!$C$2:$C$900*COUNTIF('سجل الإنتاج'!$C$2:$C$501,الطبخات!$A$2:$A$900)),3))</f>
        <v/>
      </c>
      <c r="E329" s="15"/>
      <c r="F329" s="19" t="str">
        <f t="shared" si="11"/>
        <v/>
      </c>
      <c r="G329" s="9"/>
      <c r="H329" s="9"/>
    </row>
    <row r="330" spans="1:8" ht="24" customHeight="1">
      <c r="A330" s="5" t="str">
        <f t="shared" si="10"/>
        <v/>
      </c>
      <c r="B330" s="18"/>
      <c r="C330" s="9"/>
      <c r="D330" s="10" t="str">
        <f>IF($C330="","",ROUND(SUMIFS(الإدخالات!$D$2:$D$501,الإدخالات!$C$2:$C$501,$C330)+SUMIFS($F$1:F329,$C$1:C329,$C330)-SUMIFS('الصرف المباشر'!$D$2:$D$501,'الصرف المباشر'!$C$2:$C$501,$C330)-SUMPRODUCT((الطبخات!$B$2:$B$900=$C330)*الطبخات!$C$2:$C$900*COUNTIF('سجل الإنتاج'!$C$2:$C$501,الطبخات!$A$2:$A$900)),3))</f>
        <v/>
      </c>
      <c r="E330" s="15"/>
      <c r="F330" s="19" t="str">
        <f t="shared" si="11"/>
        <v/>
      </c>
      <c r="G330" s="9"/>
      <c r="H330" s="9"/>
    </row>
    <row r="331" spans="1:8" ht="24" customHeight="1">
      <c r="A331" s="5" t="str">
        <f t="shared" si="10"/>
        <v/>
      </c>
      <c r="B331" s="18"/>
      <c r="C331" s="9"/>
      <c r="D331" s="10" t="str">
        <f>IF($C331="","",ROUND(SUMIFS(الإدخالات!$D$2:$D$501,الإدخالات!$C$2:$C$501,$C331)+SUMIFS($F$1:F330,$C$1:C330,$C331)-SUMIFS('الصرف المباشر'!$D$2:$D$501,'الصرف المباشر'!$C$2:$C$501,$C331)-SUMPRODUCT((الطبخات!$B$2:$B$900=$C331)*الطبخات!$C$2:$C$900*COUNTIF('سجل الإنتاج'!$C$2:$C$501,الطبخات!$A$2:$A$900)),3))</f>
        <v/>
      </c>
      <c r="E331" s="15"/>
      <c r="F331" s="19" t="str">
        <f t="shared" si="11"/>
        <v/>
      </c>
      <c r="G331" s="9"/>
      <c r="H331" s="9"/>
    </row>
    <row r="332" spans="1:8" ht="24" customHeight="1">
      <c r="A332" s="5" t="str">
        <f t="shared" si="10"/>
        <v/>
      </c>
      <c r="B332" s="18"/>
      <c r="C332" s="9"/>
      <c r="D332" s="10" t="str">
        <f>IF($C332="","",ROUND(SUMIFS(الإدخالات!$D$2:$D$501,الإدخالات!$C$2:$C$501,$C332)+SUMIFS($F$1:F331,$C$1:C331,$C332)-SUMIFS('الصرف المباشر'!$D$2:$D$501,'الصرف المباشر'!$C$2:$C$501,$C332)-SUMPRODUCT((الطبخات!$B$2:$B$900=$C332)*الطبخات!$C$2:$C$900*COUNTIF('سجل الإنتاج'!$C$2:$C$501,الطبخات!$A$2:$A$900)),3))</f>
        <v/>
      </c>
      <c r="E332" s="15"/>
      <c r="F332" s="19" t="str">
        <f t="shared" si="11"/>
        <v/>
      </c>
      <c r="G332" s="9"/>
      <c r="H332" s="9"/>
    </row>
    <row r="333" spans="1:8" ht="24" customHeight="1">
      <c r="A333" s="5" t="str">
        <f t="shared" si="10"/>
        <v/>
      </c>
      <c r="B333" s="18"/>
      <c r="C333" s="9"/>
      <c r="D333" s="10" t="str">
        <f>IF($C333="","",ROUND(SUMIFS(الإدخالات!$D$2:$D$501,الإدخالات!$C$2:$C$501,$C333)+SUMIFS($F$1:F332,$C$1:C332,$C333)-SUMIFS('الصرف المباشر'!$D$2:$D$501,'الصرف المباشر'!$C$2:$C$501,$C333)-SUMPRODUCT((الطبخات!$B$2:$B$900=$C333)*الطبخات!$C$2:$C$900*COUNTIF('سجل الإنتاج'!$C$2:$C$501,الطبخات!$A$2:$A$900)),3))</f>
        <v/>
      </c>
      <c r="E333" s="15"/>
      <c r="F333" s="19" t="str">
        <f t="shared" si="11"/>
        <v/>
      </c>
      <c r="G333" s="9"/>
      <c r="H333" s="9"/>
    </row>
    <row r="334" spans="1:8" ht="24" customHeight="1">
      <c r="A334" s="5" t="str">
        <f t="shared" si="10"/>
        <v/>
      </c>
      <c r="B334" s="18"/>
      <c r="C334" s="9"/>
      <c r="D334" s="10" t="str">
        <f>IF($C334="","",ROUND(SUMIFS(الإدخالات!$D$2:$D$501,الإدخالات!$C$2:$C$501,$C334)+SUMIFS($F$1:F333,$C$1:C333,$C334)-SUMIFS('الصرف المباشر'!$D$2:$D$501,'الصرف المباشر'!$C$2:$C$501,$C334)-SUMPRODUCT((الطبخات!$B$2:$B$900=$C334)*الطبخات!$C$2:$C$900*COUNTIF('سجل الإنتاج'!$C$2:$C$501,الطبخات!$A$2:$A$900)),3))</f>
        <v/>
      </c>
      <c r="E334" s="15"/>
      <c r="F334" s="19" t="str">
        <f t="shared" si="11"/>
        <v/>
      </c>
      <c r="G334" s="9"/>
      <c r="H334" s="9"/>
    </row>
    <row r="335" spans="1:8" ht="24" customHeight="1">
      <c r="A335" s="5" t="str">
        <f t="shared" si="10"/>
        <v/>
      </c>
      <c r="B335" s="18"/>
      <c r="C335" s="9"/>
      <c r="D335" s="10" t="str">
        <f>IF($C335="","",ROUND(SUMIFS(الإدخالات!$D$2:$D$501,الإدخالات!$C$2:$C$501,$C335)+SUMIFS($F$1:F334,$C$1:C334,$C335)-SUMIFS('الصرف المباشر'!$D$2:$D$501,'الصرف المباشر'!$C$2:$C$501,$C335)-SUMPRODUCT((الطبخات!$B$2:$B$900=$C335)*الطبخات!$C$2:$C$900*COUNTIF('سجل الإنتاج'!$C$2:$C$501,الطبخات!$A$2:$A$900)),3))</f>
        <v/>
      </c>
      <c r="E335" s="15"/>
      <c r="F335" s="19" t="str">
        <f t="shared" si="11"/>
        <v/>
      </c>
      <c r="G335" s="9"/>
      <c r="H335" s="9"/>
    </row>
    <row r="336" spans="1:8" ht="24" customHeight="1">
      <c r="A336" s="5" t="str">
        <f t="shared" si="10"/>
        <v/>
      </c>
      <c r="B336" s="18"/>
      <c r="C336" s="9"/>
      <c r="D336" s="10" t="str">
        <f>IF($C336="","",ROUND(SUMIFS(الإدخالات!$D$2:$D$501,الإدخالات!$C$2:$C$501,$C336)+SUMIFS($F$1:F335,$C$1:C335,$C336)-SUMIFS('الصرف المباشر'!$D$2:$D$501,'الصرف المباشر'!$C$2:$C$501,$C336)-SUMPRODUCT((الطبخات!$B$2:$B$900=$C336)*الطبخات!$C$2:$C$900*COUNTIF('سجل الإنتاج'!$C$2:$C$501,الطبخات!$A$2:$A$900)),3))</f>
        <v/>
      </c>
      <c r="E336" s="15"/>
      <c r="F336" s="19" t="str">
        <f t="shared" si="11"/>
        <v/>
      </c>
      <c r="G336" s="9"/>
      <c r="H336" s="9"/>
    </row>
    <row r="337" spans="1:8" ht="24" customHeight="1">
      <c r="A337" s="5" t="str">
        <f t="shared" si="10"/>
        <v/>
      </c>
      <c r="B337" s="18"/>
      <c r="C337" s="9"/>
      <c r="D337" s="10" t="str">
        <f>IF($C337="","",ROUND(SUMIFS(الإدخالات!$D$2:$D$501,الإدخالات!$C$2:$C$501,$C337)+SUMIFS($F$1:F336,$C$1:C336,$C337)-SUMIFS('الصرف المباشر'!$D$2:$D$501,'الصرف المباشر'!$C$2:$C$501,$C337)-SUMPRODUCT((الطبخات!$B$2:$B$900=$C337)*الطبخات!$C$2:$C$900*COUNTIF('سجل الإنتاج'!$C$2:$C$501,الطبخات!$A$2:$A$900)),3))</f>
        <v/>
      </c>
      <c r="E337" s="15"/>
      <c r="F337" s="19" t="str">
        <f t="shared" si="11"/>
        <v/>
      </c>
      <c r="G337" s="9"/>
      <c r="H337" s="9"/>
    </row>
    <row r="338" spans="1:8" ht="24" customHeight="1">
      <c r="A338" s="5" t="str">
        <f t="shared" si="10"/>
        <v/>
      </c>
      <c r="B338" s="18"/>
      <c r="C338" s="9"/>
      <c r="D338" s="10" t="str">
        <f>IF($C338="","",ROUND(SUMIFS(الإدخالات!$D$2:$D$501,الإدخالات!$C$2:$C$501,$C338)+SUMIFS($F$1:F337,$C$1:C337,$C338)-SUMIFS('الصرف المباشر'!$D$2:$D$501,'الصرف المباشر'!$C$2:$C$501,$C338)-SUMPRODUCT((الطبخات!$B$2:$B$900=$C338)*الطبخات!$C$2:$C$900*COUNTIF('سجل الإنتاج'!$C$2:$C$501,الطبخات!$A$2:$A$900)),3))</f>
        <v/>
      </c>
      <c r="E338" s="15"/>
      <c r="F338" s="19" t="str">
        <f t="shared" si="11"/>
        <v/>
      </c>
      <c r="G338" s="9"/>
      <c r="H338" s="9"/>
    </row>
    <row r="339" spans="1:8" ht="24" customHeight="1">
      <c r="A339" s="5" t="str">
        <f t="shared" si="10"/>
        <v/>
      </c>
      <c r="B339" s="18"/>
      <c r="C339" s="9"/>
      <c r="D339" s="10" t="str">
        <f>IF($C339="","",ROUND(SUMIFS(الإدخالات!$D$2:$D$501,الإدخالات!$C$2:$C$501,$C339)+SUMIFS($F$1:F338,$C$1:C338,$C339)-SUMIFS('الصرف المباشر'!$D$2:$D$501,'الصرف المباشر'!$C$2:$C$501,$C339)-SUMPRODUCT((الطبخات!$B$2:$B$900=$C339)*الطبخات!$C$2:$C$900*COUNTIF('سجل الإنتاج'!$C$2:$C$501,الطبخات!$A$2:$A$900)),3))</f>
        <v/>
      </c>
      <c r="E339" s="15"/>
      <c r="F339" s="19" t="str">
        <f t="shared" si="11"/>
        <v/>
      </c>
      <c r="G339" s="9"/>
      <c r="H339" s="9"/>
    </row>
    <row r="340" spans="1:8" ht="24" customHeight="1">
      <c r="A340" s="5" t="str">
        <f t="shared" si="10"/>
        <v/>
      </c>
      <c r="B340" s="18"/>
      <c r="C340" s="9"/>
      <c r="D340" s="10" t="str">
        <f>IF($C340="","",ROUND(SUMIFS(الإدخالات!$D$2:$D$501,الإدخالات!$C$2:$C$501,$C340)+SUMIFS($F$1:F339,$C$1:C339,$C340)-SUMIFS('الصرف المباشر'!$D$2:$D$501,'الصرف المباشر'!$C$2:$C$501,$C340)-SUMPRODUCT((الطبخات!$B$2:$B$900=$C340)*الطبخات!$C$2:$C$900*COUNTIF('سجل الإنتاج'!$C$2:$C$501,الطبخات!$A$2:$A$900)),3))</f>
        <v/>
      </c>
      <c r="E340" s="15"/>
      <c r="F340" s="19" t="str">
        <f t="shared" si="11"/>
        <v/>
      </c>
      <c r="G340" s="9"/>
      <c r="H340" s="9"/>
    </row>
    <row r="341" spans="1:8" ht="24" customHeight="1">
      <c r="A341" s="5" t="str">
        <f t="shared" si="10"/>
        <v/>
      </c>
      <c r="B341" s="18"/>
      <c r="C341" s="9"/>
      <c r="D341" s="10" t="str">
        <f>IF($C341="","",ROUND(SUMIFS(الإدخالات!$D$2:$D$501,الإدخالات!$C$2:$C$501,$C341)+SUMIFS($F$1:F340,$C$1:C340,$C341)-SUMIFS('الصرف المباشر'!$D$2:$D$501,'الصرف المباشر'!$C$2:$C$501,$C341)-SUMPRODUCT((الطبخات!$B$2:$B$900=$C341)*الطبخات!$C$2:$C$900*COUNTIF('سجل الإنتاج'!$C$2:$C$501,الطبخات!$A$2:$A$900)),3))</f>
        <v/>
      </c>
      <c r="E341" s="15"/>
      <c r="F341" s="19" t="str">
        <f t="shared" si="11"/>
        <v/>
      </c>
      <c r="G341" s="9"/>
      <c r="H341" s="9"/>
    </row>
    <row r="342" spans="1:8" ht="24" customHeight="1">
      <c r="A342" s="5" t="str">
        <f t="shared" si="10"/>
        <v/>
      </c>
      <c r="B342" s="18"/>
      <c r="C342" s="9"/>
      <c r="D342" s="10" t="str">
        <f>IF($C342="","",ROUND(SUMIFS(الإدخالات!$D$2:$D$501,الإدخالات!$C$2:$C$501,$C342)+SUMIFS($F$1:F341,$C$1:C341,$C342)-SUMIFS('الصرف المباشر'!$D$2:$D$501,'الصرف المباشر'!$C$2:$C$501,$C342)-SUMPRODUCT((الطبخات!$B$2:$B$900=$C342)*الطبخات!$C$2:$C$900*COUNTIF('سجل الإنتاج'!$C$2:$C$501,الطبخات!$A$2:$A$900)),3))</f>
        <v/>
      </c>
      <c r="E342" s="15"/>
      <c r="F342" s="19" t="str">
        <f t="shared" si="11"/>
        <v/>
      </c>
      <c r="G342" s="9"/>
      <c r="H342" s="9"/>
    </row>
    <row r="343" spans="1:8" ht="24" customHeight="1">
      <c r="A343" s="5" t="str">
        <f t="shared" si="10"/>
        <v/>
      </c>
      <c r="B343" s="18"/>
      <c r="C343" s="9"/>
      <c r="D343" s="10" t="str">
        <f>IF($C343="","",ROUND(SUMIFS(الإدخالات!$D$2:$D$501,الإدخالات!$C$2:$C$501,$C343)+SUMIFS($F$1:F342,$C$1:C342,$C343)-SUMIFS('الصرف المباشر'!$D$2:$D$501,'الصرف المباشر'!$C$2:$C$501,$C343)-SUMPRODUCT((الطبخات!$B$2:$B$900=$C343)*الطبخات!$C$2:$C$900*COUNTIF('سجل الإنتاج'!$C$2:$C$501,الطبخات!$A$2:$A$900)),3))</f>
        <v/>
      </c>
      <c r="E343" s="15"/>
      <c r="F343" s="19" t="str">
        <f t="shared" si="11"/>
        <v/>
      </c>
      <c r="G343" s="9"/>
      <c r="H343" s="9"/>
    </row>
    <row r="344" spans="1:8" ht="24" customHeight="1">
      <c r="A344" s="5" t="str">
        <f t="shared" si="10"/>
        <v/>
      </c>
      <c r="B344" s="18"/>
      <c r="C344" s="9"/>
      <c r="D344" s="10" t="str">
        <f>IF($C344="","",ROUND(SUMIFS(الإدخالات!$D$2:$D$501,الإدخالات!$C$2:$C$501,$C344)+SUMIFS($F$1:F343,$C$1:C343,$C344)-SUMIFS('الصرف المباشر'!$D$2:$D$501,'الصرف المباشر'!$C$2:$C$501,$C344)-SUMPRODUCT((الطبخات!$B$2:$B$900=$C344)*الطبخات!$C$2:$C$900*COUNTIF('سجل الإنتاج'!$C$2:$C$501,الطبخات!$A$2:$A$900)),3))</f>
        <v/>
      </c>
      <c r="E344" s="15"/>
      <c r="F344" s="19" t="str">
        <f t="shared" si="11"/>
        <v/>
      </c>
      <c r="G344" s="9"/>
      <c r="H344" s="9"/>
    </row>
    <row r="345" spans="1:8" ht="24" customHeight="1">
      <c r="A345" s="5" t="str">
        <f t="shared" si="10"/>
        <v/>
      </c>
      <c r="B345" s="18"/>
      <c r="C345" s="9"/>
      <c r="D345" s="10" t="str">
        <f>IF($C345="","",ROUND(SUMIFS(الإدخالات!$D$2:$D$501,الإدخالات!$C$2:$C$501,$C345)+SUMIFS($F$1:F344,$C$1:C344,$C345)-SUMIFS('الصرف المباشر'!$D$2:$D$501,'الصرف المباشر'!$C$2:$C$501,$C345)-SUMPRODUCT((الطبخات!$B$2:$B$900=$C345)*الطبخات!$C$2:$C$900*COUNTIF('سجل الإنتاج'!$C$2:$C$501,الطبخات!$A$2:$A$900)),3))</f>
        <v/>
      </c>
      <c r="E345" s="15"/>
      <c r="F345" s="19" t="str">
        <f t="shared" si="11"/>
        <v/>
      </c>
      <c r="G345" s="9"/>
      <c r="H345" s="9"/>
    </row>
    <row r="346" spans="1:8" ht="24" customHeight="1">
      <c r="A346" s="5" t="str">
        <f t="shared" si="10"/>
        <v/>
      </c>
      <c r="B346" s="18"/>
      <c r="C346" s="9"/>
      <c r="D346" s="10" t="str">
        <f>IF($C346="","",ROUND(SUMIFS(الإدخالات!$D$2:$D$501,الإدخالات!$C$2:$C$501,$C346)+SUMIFS($F$1:F345,$C$1:C345,$C346)-SUMIFS('الصرف المباشر'!$D$2:$D$501,'الصرف المباشر'!$C$2:$C$501,$C346)-SUMPRODUCT((الطبخات!$B$2:$B$900=$C346)*الطبخات!$C$2:$C$900*COUNTIF('سجل الإنتاج'!$C$2:$C$501,الطبخات!$A$2:$A$900)),3))</f>
        <v/>
      </c>
      <c r="E346" s="15"/>
      <c r="F346" s="19" t="str">
        <f t="shared" si="11"/>
        <v/>
      </c>
      <c r="G346" s="9"/>
      <c r="H346" s="9"/>
    </row>
    <row r="347" spans="1:8" ht="24" customHeight="1">
      <c r="A347" s="5" t="str">
        <f t="shared" si="10"/>
        <v/>
      </c>
      <c r="B347" s="18"/>
      <c r="C347" s="9"/>
      <c r="D347" s="10" t="str">
        <f>IF($C347="","",ROUND(SUMIFS(الإدخالات!$D$2:$D$501,الإدخالات!$C$2:$C$501,$C347)+SUMIFS($F$1:F346,$C$1:C346,$C347)-SUMIFS('الصرف المباشر'!$D$2:$D$501,'الصرف المباشر'!$C$2:$C$501,$C347)-SUMPRODUCT((الطبخات!$B$2:$B$900=$C347)*الطبخات!$C$2:$C$900*COUNTIF('سجل الإنتاج'!$C$2:$C$501,الطبخات!$A$2:$A$900)),3))</f>
        <v/>
      </c>
      <c r="E347" s="15"/>
      <c r="F347" s="19" t="str">
        <f t="shared" si="11"/>
        <v/>
      </c>
      <c r="G347" s="9"/>
      <c r="H347" s="9"/>
    </row>
    <row r="348" spans="1:8" ht="24" customHeight="1">
      <c r="A348" s="5" t="str">
        <f t="shared" si="10"/>
        <v/>
      </c>
      <c r="B348" s="18"/>
      <c r="C348" s="9"/>
      <c r="D348" s="10" t="str">
        <f>IF($C348="","",ROUND(SUMIFS(الإدخالات!$D$2:$D$501,الإدخالات!$C$2:$C$501,$C348)+SUMIFS($F$1:F347,$C$1:C347,$C348)-SUMIFS('الصرف المباشر'!$D$2:$D$501,'الصرف المباشر'!$C$2:$C$501,$C348)-SUMPRODUCT((الطبخات!$B$2:$B$900=$C348)*الطبخات!$C$2:$C$900*COUNTIF('سجل الإنتاج'!$C$2:$C$501,الطبخات!$A$2:$A$900)),3))</f>
        <v/>
      </c>
      <c r="E348" s="15"/>
      <c r="F348" s="19" t="str">
        <f t="shared" si="11"/>
        <v/>
      </c>
      <c r="G348" s="9"/>
      <c r="H348" s="9"/>
    </row>
    <row r="349" spans="1:8" ht="24" customHeight="1">
      <c r="A349" s="5" t="str">
        <f t="shared" si="10"/>
        <v/>
      </c>
      <c r="B349" s="18"/>
      <c r="C349" s="9"/>
      <c r="D349" s="10" t="str">
        <f>IF($C349="","",ROUND(SUMIFS(الإدخالات!$D$2:$D$501,الإدخالات!$C$2:$C$501,$C349)+SUMIFS($F$1:F348,$C$1:C348,$C349)-SUMIFS('الصرف المباشر'!$D$2:$D$501,'الصرف المباشر'!$C$2:$C$501,$C349)-SUMPRODUCT((الطبخات!$B$2:$B$900=$C349)*الطبخات!$C$2:$C$900*COUNTIF('سجل الإنتاج'!$C$2:$C$501,الطبخات!$A$2:$A$900)),3))</f>
        <v/>
      </c>
      <c r="E349" s="15"/>
      <c r="F349" s="19" t="str">
        <f t="shared" si="11"/>
        <v/>
      </c>
      <c r="G349" s="9"/>
      <c r="H349" s="9"/>
    </row>
    <row r="350" spans="1:8" ht="24" customHeight="1">
      <c r="A350" s="5" t="str">
        <f t="shared" si="10"/>
        <v/>
      </c>
      <c r="B350" s="18"/>
      <c r="C350" s="9"/>
      <c r="D350" s="10" t="str">
        <f>IF($C350="","",ROUND(SUMIFS(الإدخالات!$D$2:$D$501,الإدخالات!$C$2:$C$501,$C350)+SUMIFS($F$1:F349,$C$1:C349,$C350)-SUMIFS('الصرف المباشر'!$D$2:$D$501,'الصرف المباشر'!$C$2:$C$501,$C350)-SUMPRODUCT((الطبخات!$B$2:$B$900=$C350)*الطبخات!$C$2:$C$900*COUNTIF('سجل الإنتاج'!$C$2:$C$501,الطبخات!$A$2:$A$900)),3))</f>
        <v/>
      </c>
      <c r="E350" s="15"/>
      <c r="F350" s="19" t="str">
        <f t="shared" si="11"/>
        <v/>
      </c>
      <c r="G350" s="9"/>
      <c r="H350" s="9"/>
    </row>
    <row r="351" spans="1:8" ht="24" customHeight="1">
      <c r="A351" s="5" t="str">
        <f t="shared" si="10"/>
        <v/>
      </c>
      <c r="B351" s="18"/>
      <c r="C351" s="9"/>
      <c r="D351" s="10" t="str">
        <f>IF($C351="","",ROUND(SUMIFS(الإدخالات!$D$2:$D$501,الإدخالات!$C$2:$C$501,$C351)+SUMIFS($F$1:F350,$C$1:C350,$C351)-SUMIFS('الصرف المباشر'!$D$2:$D$501,'الصرف المباشر'!$C$2:$C$501,$C351)-SUMPRODUCT((الطبخات!$B$2:$B$900=$C351)*الطبخات!$C$2:$C$900*COUNTIF('سجل الإنتاج'!$C$2:$C$501,الطبخات!$A$2:$A$900)),3))</f>
        <v/>
      </c>
      <c r="E351" s="15"/>
      <c r="F351" s="19" t="str">
        <f t="shared" si="11"/>
        <v/>
      </c>
      <c r="G351" s="9"/>
      <c r="H351" s="9"/>
    </row>
    <row r="352" spans="1:8" ht="24" customHeight="1">
      <c r="A352" s="5" t="str">
        <f t="shared" si="10"/>
        <v/>
      </c>
      <c r="B352" s="18"/>
      <c r="C352" s="9"/>
      <c r="D352" s="10" t="str">
        <f>IF($C352="","",ROUND(SUMIFS(الإدخالات!$D$2:$D$501,الإدخالات!$C$2:$C$501,$C352)+SUMIFS($F$1:F351,$C$1:C351,$C352)-SUMIFS('الصرف المباشر'!$D$2:$D$501,'الصرف المباشر'!$C$2:$C$501,$C352)-SUMPRODUCT((الطبخات!$B$2:$B$900=$C352)*الطبخات!$C$2:$C$900*COUNTIF('سجل الإنتاج'!$C$2:$C$501,الطبخات!$A$2:$A$900)),3))</f>
        <v/>
      </c>
      <c r="E352" s="15"/>
      <c r="F352" s="19" t="str">
        <f t="shared" si="11"/>
        <v/>
      </c>
      <c r="G352" s="9"/>
      <c r="H352" s="9"/>
    </row>
    <row r="353" spans="1:8" ht="24" customHeight="1">
      <c r="A353" s="5" t="str">
        <f t="shared" si="10"/>
        <v/>
      </c>
      <c r="B353" s="18"/>
      <c r="C353" s="9"/>
      <c r="D353" s="10" t="str">
        <f>IF($C353="","",ROUND(SUMIFS(الإدخالات!$D$2:$D$501,الإدخالات!$C$2:$C$501,$C353)+SUMIFS($F$1:F352,$C$1:C352,$C353)-SUMIFS('الصرف المباشر'!$D$2:$D$501,'الصرف المباشر'!$C$2:$C$501,$C353)-SUMPRODUCT((الطبخات!$B$2:$B$900=$C353)*الطبخات!$C$2:$C$900*COUNTIF('سجل الإنتاج'!$C$2:$C$501,الطبخات!$A$2:$A$900)),3))</f>
        <v/>
      </c>
      <c r="E353" s="15"/>
      <c r="F353" s="19" t="str">
        <f t="shared" si="11"/>
        <v/>
      </c>
      <c r="G353" s="9"/>
      <c r="H353" s="9"/>
    </row>
    <row r="354" spans="1:8" ht="24" customHeight="1">
      <c r="A354" s="5" t="str">
        <f t="shared" si="10"/>
        <v/>
      </c>
      <c r="B354" s="18"/>
      <c r="C354" s="9"/>
      <c r="D354" s="10" t="str">
        <f>IF($C354="","",ROUND(SUMIFS(الإدخالات!$D$2:$D$501,الإدخالات!$C$2:$C$501,$C354)+SUMIFS($F$1:F353,$C$1:C353,$C354)-SUMIFS('الصرف المباشر'!$D$2:$D$501,'الصرف المباشر'!$C$2:$C$501,$C354)-SUMPRODUCT((الطبخات!$B$2:$B$900=$C354)*الطبخات!$C$2:$C$900*COUNTIF('سجل الإنتاج'!$C$2:$C$501,الطبخات!$A$2:$A$900)),3))</f>
        <v/>
      </c>
      <c r="E354" s="15"/>
      <c r="F354" s="19" t="str">
        <f t="shared" si="11"/>
        <v/>
      </c>
      <c r="G354" s="9"/>
      <c r="H354" s="9"/>
    </row>
    <row r="355" spans="1:8" ht="24" customHeight="1">
      <c r="A355" s="5" t="str">
        <f t="shared" si="10"/>
        <v/>
      </c>
      <c r="B355" s="18"/>
      <c r="C355" s="9"/>
      <c r="D355" s="10" t="str">
        <f>IF($C355="","",ROUND(SUMIFS(الإدخالات!$D$2:$D$501,الإدخالات!$C$2:$C$501,$C355)+SUMIFS($F$1:F354,$C$1:C354,$C355)-SUMIFS('الصرف المباشر'!$D$2:$D$501,'الصرف المباشر'!$C$2:$C$501,$C355)-SUMPRODUCT((الطبخات!$B$2:$B$900=$C355)*الطبخات!$C$2:$C$900*COUNTIF('سجل الإنتاج'!$C$2:$C$501,الطبخات!$A$2:$A$900)),3))</f>
        <v/>
      </c>
      <c r="E355" s="15"/>
      <c r="F355" s="19" t="str">
        <f t="shared" si="11"/>
        <v/>
      </c>
      <c r="G355" s="9"/>
      <c r="H355" s="9"/>
    </row>
    <row r="356" spans="1:8" ht="24" customHeight="1">
      <c r="A356" s="5" t="str">
        <f t="shared" si="10"/>
        <v/>
      </c>
      <c r="B356" s="18"/>
      <c r="C356" s="9"/>
      <c r="D356" s="10" t="str">
        <f>IF($C356="","",ROUND(SUMIFS(الإدخالات!$D$2:$D$501,الإدخالات!$C$2:$C$501,$C356)+SUMIFS($F$1:F355,$C$1:C355,$C356)-SUMIFS('الصرف المباشر'!$D$2:$D$501,'الصرف المباشر'!$C$2:$C$501,$C356)-SUMPRODUCT((الطبخات!$B$2:$B$900=$C356)*الطبخات!$C$2:$C$900*COUNTIF('سجل الإنتاج'!$C$2:$C$501,الطبخات!$A$2:$A$900)),3))</f>
        <v/>
      </c>
      <c r="E356" s="15"/>
      <c r="F356" s="19" t="str">
        <f t="shared" si="11"/>
        <v/>
      </c>
      <c r="G356" s="9"/>
      <c r="H356" s="9"/>
    </row>
    <row r="357" spans="1:8" ht="24" customHeight="1">
      <c r="A357" s="5" t="str">
        <f t="shared" si="10"/>
        <v/>
      </c>
      <c r="B357" s="18"/>
      <c r="C357" s="9"/>
      <c r="D357" s="10" t="str">
        <f>IF($C357="","",ROUND(SUMIFS(الإدخالات!$D$2:$D$501,الإدخالات!$C$2:$C$501,$C357)+SUMIFS($F$1:F356,$C$1:C356,$C357)-SUMIFS('الصرف المباشر'!$D$2:$D$501,'الصرف المباشر'!$C$2:$C$501,$C357)-SUMPRODUCT((الطبخات!$B$2:$B$900=$C357)*الطبخات!$C$2:$C$900*COUNTIF('سجل الإنتاج'!$C$2:$C$501,الطبخات!$A$2:$A$900)),3))</f>
        <v/>
      </c>
      <c r="E357" s="15"/>
      <c r="F357" s="19" t="str">
        <f t="shared" si="11"/>
        <v/>
      </c>
      <c r="G357" s="9"/>
      <c r="H357" s="9"/>
    </row>
    <row r="358" spans="1:8" ht="24" customHeight="1">
      <c r="A358" s="5" t="str">
        <f t="shared" si="10"/>
        <v/>
      </c>
      <c r="B358" s="18"/>
      <c r="C358" s="9"/>
      <c r="D358" s="10" t="str">
        <f>IF($C358="","",ROUND(SUMIFS(الإدخالات!$D$2:$D$501,الإدخالات!$C$2:$C$501,$C358)+SUMIFS($F$1:F357,$C$1:C357,$C358)-SUMIFS('الصرف المباشر'!$D$2:$D$501,'الصرف المباشر'!$C$2:$C$501,$C358)-SUMPRODUCT((الطبخات!$B$2:$B$900=$C358)*الطبخات!$C$2:$C$900*COUNTIF('سجل الإنتاج'!$C$2:$C$501,الطبخات!$A$2:$A$900)),3))</f>
        <v/>
      </c>
      <c r="E358" s="15"/>
      <c r="F358" s="19" t="str">
        <f t="shared" si="11"/>
        <v/>
      </c>
      <c r="G358" s="9"/>
      <c r="H358" s="9"/>
    </row>
    <row r="359" spans="1:8" ht="24" customHeight="1">
      <c r="A359" s="5" t="str">
        <f t="shared" si="10"/>
        <v/>
      </c>
      <c r="B359" s="18"/>
      <c r="C359" s="9"/>
      <c r="D359" s="10" t="str">
        <f>IF($C359="","",ROUND(SUMIFS(الإدخالات!$D$2:$D$501,الإدخالات!$C$2:$C$501,$C359)+SUMIFS($F$1:F358,$C$1:C358,$C359)-SUMIFS('الصرف المباشر'!$D$2:$D$501,'الصرف المباشر'!$C$2:$C$501,$C359)-SUMPRODUCT((الطبخات!$B$2:$B$900=$C359)*الطبخات!$C$2:$C$900*COUNTIF('سجل الإنتاج'!$C$2:$C$501,الطبخات!$A$2:$A$900)),3))</f>
        <v/>
      </c>
      <c r="E359" s="15"/>
      <c r="F359" s="19" t="str">
        <f t="shared" si="11"/>
        <v/>
      </c>
      <c r="G359" s="9"/>
      <c r="H359" s="9"/>
    </row>
    <row r="360" spans="1:8" ht="24" customHeight="1">
      <c r="A360" s="5" t="str">
        <f t="shared" si="10"/>
        <v/>
      </c>
      <c r="B360" s="18"/>
      <c r="C360" s="9"/>
      <c r="D360" s="10" t="str">
        <f>IF($C360="","",ROUND(SUMIFS(الإدخالات!$D$2:$D$501,الإدخالات!$C$2:$C$501,$C360)+SUMIFS($F$1:F359,$C$1:C359,$C360)-SUMIFS('الصرف المباشر'!$D$2:$D$501,'الصرف المباشر'!$C$2:$C$501,$C360)-SUMPRODUCT((الطبخات!$B$2:$B$900=$C360)*الطبخات!$C$2:$C$900*COUNTIF('سجل الإنتاج'!$C$2:$C$501,الطبخات!$A$2:$A$900)),3))</f>
        <v/>
      </c>
      <c r="E360" s="15"/>
      <c r="F360" s="19" t="str">
        <f t="shared" si="11"/>
        <v/>
      </c>
      <c r="G360" s="9"/>
      <c r="H360" s="9"/>
    </row>
    <row r="361" spans="1:8" ht="24" customHeight="1">
      <c r="A361" s="5" t="str">
        <f t="shared" si="10"/>
        <v/>
      </c>
      <c r="B361" s="18"/>
      <c r="C361" s="9"/>
      <c r="D361" s="10" t="str">
        <f>IF($C361="","",ROUND(SUMIFS(الإدخالات!$D$2:$D$501,الإدخالات!$C$2:$C$501,$C361)+SUMIFS($F$1:F360,$C$1:C360,$C361)-SUMIFS('الصرف المباشر'!$D$2:$D$501,'الصرف المباشر'!$C$2:$C$501,$C361)-SUMPRODUCT((الطبخات!$B$2:$B$900=$C361)*الطبخات!$C$2:$C$900*COUNTIF('سجل الإنتاج'!$C$2:$C$501,الطبخات!$A$2:$A$900)),3))</f>
        <v/>
      </c>
      <c r="E361" s="15"/>
      <c r="F361" s="19" t="str">
        <f t="shared" si="11"/>
        <v/>
      </c>
      <c r="G361" s="9"/>
      <c r="H361" s="9"/>
    </row>
    <row r="362" spans="1:8" ht="24" customHeight="1">
      <c r="A362" s="5" t="str">
        <f t="shared" si="10"/>
        <v/>
      </c>
      <c r="B362" s="18"/>
      <c r="C362" s="9"/>
      <c r="D362" s="10" t="str">
        <f>IF($C362="","",ROUND(SUMIFS(الإدخالات!$D$2:$D$501,الإدخالات!$C$2:$C$501,$C362)+SUMIFS($F$1:F361,$C$1:C361,$C362)-SUMIFS('الصرف المباشر'!$D$2:$D$501,'الصرف المباشر'!$C$2:$C$501,$C362)-SUMPRODUCT((الطبخات!$B$2:$B$900=$C362)*الطبخات!$C$2:$C$900*COUNTIF('سجل الإنتاج'!$C$2:$C$501,الطبخات!$A$2:$A$900)),3))</f>
        <v/>
      </c>
      <c r="E362" s="15"/>
      <c r="F362" s="19" t="str">
        <f t="shared" si="11"/>
        <v/>
      </c>
      <c r="G362" s="9"/>
      <c r="H362" s="9"/>
    </row>
    <row r="363" spans="1:8" ht="24" customHeight="1">
      <c r="A363" s="5" t="str">
        <f t="shared" si="10"/>
        <v/>
      </c>
      <c r="B363" s="18"/>
      <c r="C363" s="9"/>
      <c r="D363" s="10" t="str">
        <f>IF($C363="","",ROUND(SUMIFS(الإدخالات!$D$2:$D$501,الإدخالات!$C$2:$C$501,$C363)+SUMIFS($F$1:F362,$C$1:C362,$C363)-SUMIFS('الصرف المباشر'!$D$2:$D$501,'الصرف المباشر'!$C$2:$C$501,$C363)-SUMPRODUCT((الطبخات!$B$2:$B$900=$C363)*الطبخات!$C$2:$C$900*COUNTIF('سجل الإنتاج'!$C$2:$C$501,الطبخات!$A$2:$A$900)),3))</f>
        <v/>
      </c>
      <c r="E363" s="15"/>
      <c r="F363" s="19" t="str">
        <f t="shared" si="11"/>
        <v/>
      </c>
      <c r="G363" s="9"/>
      <c r="H363" s="9"/>
    </row>
    <row r="364" spans="1:8" ht="24" customHeight="1">
      <c r="A364" s="5" t="str">
        <f t="shared" si="10"/>
        <v/>
      </c>
      <c r="B364" s="18"/>
      <c r="C364" s="9"/>
      <c r="D364" s="10" t="str">
        <f>IF($C364="","",ROUND(SUMIFS(الإدخالات!$D$2:$D$501,الإدخالات!$C$2:$C$501,$C364)+SUMIFS($F$1:F363,$C$1:C363,$C364)-SUMIFS('الصرف المباشر'!$D$2:$D$501,'الصرف المباشر'!$C$2:$C$501,$C364)-SUMPRODUCT((الطبخات!$B$2:$B$900=$C364)*الطبخات!$C$2:$C$900*COUNTIF('سجل الإنتاج'!$C$2:$C$501,الطبخات!$A$2:$A$900)),3))</f>
        <v/>
      </c>
      <c r="E364" s="15"/>
      <c r="F364" s="19" t="str">
        <f t="shared" si="11"/>
        <v/>
      </c>
      <c r="G364" s="9"/>
      <c r="H364" s="9"/>
    </row>
    <row r="365" spans="1:8" ht="24" customHeight="1">
      <c r="A365" s="5" t="str">
        <f t="shared" si="10"/>
        <v/>
      </c>
      <c r="B365" s="18"/>
      <c r="C365" s="9"/>
      <c r="D365" s="10" t="str">
        <f>IF($C365="","",ROUND(SUMIFS(الإدخالات!$D$2:$D$501,الإدخالات!$C$2:$C$501,$C365)+SUMIFS($F$1:F364,$C$1:C364,$C365)-SUMIFS('الصرف المباشر'!$D$2:$D$501,'الصرف المباشر'!$C$2:$C$501,$C365)-SUMPRODUCT((الطبخات!$B$2:$B$900=$C365)*الطبخات!$C$2:$C$900*COUNTIF('سجل الإنتاج'!$C$2:$C$501,الطبخات!$A$2:$A$900)),3))</f>
        <v/>
      </c>
      <c r="E365" s="15"/>
      <c r="F365" s="19" t="str">
        <f t="shared" si="11"/>
        <v/>
      </c>
      <c r="G365" s="9"/>
      <c r="H365" s="9"/>
    </row>
    <row r="366" spans="1:8" ht="24" customHeight="1">
      <c r="A366" s="5" t="str">
        <f t="shared" si="10"/>
        <v/>
      </c>
      <c r="B366" s="18"/>
      <c r="C366" s="9"/>
      <c r="D366" s="10" t="str">
        <f>IF($C366="","",ROUND(SUMIFS(الإدخالات!$D$2:$D$501,الإدخالات!$C$2:$C$501,$C366)+SUMIFS($F$1:F365,$C$1:C365,$C366)-SUMIFS('الصرف المباشر'!$D$2:$D$501,'الصرف المباشر'!$C$2:$C$501,$C366)-SUMPRODUCT((الطبخات!$B$2:$B$900=$C366)*الطبخات!$C$2:$C$900*COUNTIF('سجل الإنتاج'!$C$2:$C$501,الطبخات!$A$2:$A$900)),3))</f>
        <v/>
      </c>
      <c r="E366" s="15"/>
      <c r="F366" s="19" t="str">
        <f t="shared" si="11"/>
        <v/>
      </c>
      <c r="G366" s="9"/>
      <c r="H366" s="9"/>
    </row>
    <row r="367" spans="1:8" ht="24" customHeight="1">
      <c r="A367" s="5" t="str">
        <f t="shared" si="10"/>
        <v/>
      </c>
      <c r="B367" s="18"/>
      <c r="C367" s="9"/>
      <c r="D367" s="10" t="str">
        <f>IF($C367="","",ROUND(SUMIFS(الإدخالات!$D$2:$D$501,الإدخالات!$C$2:$C$501,$C367)+SUMIFS($F$1:F366,$C$1:C366,$C367)-SUMIFS('الصرف المباشر'!$D$2:$D$501,'الصرف المباشر'!$C$2:$C$501,$C367)-SUMPRODUCT((الطبخات!$B$2:$B$900=$C367)*الطبخات!$C$2:$C$900*COUNTIF('سجل الإنتاج'!$C$2:$C$501,الطبخات!$A$2:$A$900)),3))</f>
        <v/>
      </c>
      <c r="E367" s="15"/>
      <c r="F367" s="19" t="str">
        <f t="shared" si="11"/>
        <v/>
      </c>
      <c r="G367" s="9"/>
      <c r="H367" s="9"/>
    </row>
    <row r="368" spans="1:8" ht="24" customHeight="1">
      <c r="A368" s="5" t="str">
        <f t="shared" si="10"/>
        <v/>
      </c>
      <c r="B368" s="18"/>
      <c r="C368" s="9"/>
      <c r="D368" s="10" t="str">
        <f>IF($C368="","",ROUND(SUMIFS(الإدخالات!$D$2:$D$501,الإدخالات!$C$2:$C$501,$C368)+SUMIFS($F$1:F367,$C$1:C367,$C368)-SUMIFS('الصرف المباشر'!$D$2:$D$501,'الصرف المباشر'!$C$2:$C$501,$C368)-SUMPRODUCT((الطبخات!$B$2:$B$900=$C368)*الطبخات!$C$2:$C$900*COUNTIF('سجل الإنتاج'!$C$2:$C$501,الطبخات!$A$2:$A$900)),3))</f>
        <v/>
      </c>
      <c r="E368" s="15"/>
      <c r="F368" s="19" t="str">
        <f t="shared" si="11"/>
        <v/>
      </c>
      <c r="G368" s="9"/>
      <c r="H368" s="9"/>
    </row>
    <row r="369" spans="1:8" ht="24" customHeight="1">
      <c r="A369" s="5" t="str">
        <f t="shared" si="10"/>
        <v/>
      </c>
      <c r="B369" s="18"/>
      <c r="C369" s="9"/>
      <c r="D369" s="10" t="str">
        <f>IF($C369="","",ROUND(SUMIFS(الإدخالات!$D$2:$D$501,الإدخالات!$C$2:$C$501,$C369)+SUMIFS($F$1:F368,$C$1:C368,$C369)-SUMIFS('الصرف المباشر'!$D$2:$D$501,'الصرف المباشر'!$C$2:$C$501,$C369)-SUMPRODUCT((الطبخات!$B$2:$B$900=$C369)*الطبخات!$C$2:$C$900*COUNTIF('سجل الإنتاج'!$C$2:$C$501,الطبخات!$A$2:$A$900)),3))</f>
        <v/>
      </c>
      <c r="E369" s="15"/>
      <c r="F369" s="19" t="str">
        <f t="shared" si="11"/>
        <v/>
      </c>
      <c r="G369" s="9"/>
      <c r="H369" s="9"/>
    </row>
    <row r="370" spans="1:8" ht="24" customHeight="1">
      <c r="A370" s="5" t="str">
        <f t="shared" si="10"/>
        <v/>
      </c>
      <c r="B370" s="18"/>
      <c r="C370" s="9"/>
      <c r="D370" s="10" t="str">
        <f>IF($C370="","",ROUND(SUMIFS(الإدخالات!$D$2:$D$501,الإدخالات!$C$2:$C$501,$C370)+SUMIFS($F$1:F369,$C$1:C369,$C370)-SUMIFS('الصرف المباشر'!$D$2:$D$501,'الصرف المباشر'!$C$2:$C$501,$C370)-SUMPRODUCT((الطبخات!$B$2:$B$900=$C370)*الطبخات!$C$2:$C$900*COUNTIF('سجل الإنتاج'!$C$2:$C$501,الطبخات!$A$2:$A$900)),3))</f>
        <v/>
      </c>
      <c r="E370" s="15"/>
      <c r="F370" s="19" t="str">
        <f t="shared" si="11"/>
        <v/>
      </c>
      <c r="G370" s="9"/>
      <c r="H370" s="9"/>
    </row>
    <row r="371" spans="1:8" ht="24" customHeight="1">
      <c r="A371" s="5" t="str">
        <f t="shared" si="10"/>
        <v/>
      </c>
      <c r="B371" s="18"/>
      <c r="C371" s="9"/>
      <c r="D371" s="10" t="str">
        <f>IF($C371="","",ROUND(SUMIFS(الإدخالات!$D$2:$D$501,الإدخالات!$C$2:$C$501,$C371)+SUMIFS($F$1:F370,$C$1:C370,$C371)-SUMIFS('الصرف المباشر'!$D$2:$D$501,'الصرف المباشر'!$C$2:$C$501,$C371)-SUMPRODUCT((الطبخات!$B$2:$B$900=$C371)*الطبخات!$C$2:$C$900*COUNTIF('سجل الإنتاج'!$C$2:$C$501,الطبخات!$A$2:$A$900)),3))</f>
        <v/>
      </c>
      <c r="E371" s="15"/>
      <c r="F371" s="19" t="str">
        <f t="shared" si="11"/>
        <v/>
      </c>
      <c r="G371" s="9"/>
      <c r="H371" s="9"/>
    </row>
    <row r="372" spans="1:8" ht="24" customHeight="1">
      <c r="A372" s="5" t="str">
        <f t="shared" si="10"/>
        <v/>
      </c>
      <c r="B372" s="18"/>
      <c r="C372" s="9"/>
      <c r="D372" s="10" t="str">
        <f>IF($C372="","",ROUND(SUMIFS(الإدخالات!$D$2:$D$501,الإدخالات!$C$2:$C$501,$C372)+SUMIFS($F$1:F371,$C$1:C371,$C372)-SUMIFS('الصرف المباشر'!$D$2:$D$501,'الصرف المباشر'!$C$2:$C$501,$C372)-SUMPRODUCT((الطبخات!$B$2:$B$900=$C372)*الطبخات!$C$2:$C$900*COUNTIF('سجل الإنتاج'!$C$2:$C$501,الطبخات!$A$2:$A$900)),3))</f>
        <v/>
      </c>
      <c r="E372" s="15"/>
      <c r="F372" s="19" t="str">
        <f t="shared" si="11"/>
        <v/>
      </c>
      <c r="G372" s="9"/>
      <c r="H372" s="9"/>
    </row>
    <row r="373" spans="1:8" ht="24" customHeight="1">
      <c r="A373" s="5" t="str">
        <f t="shared" si="10"/>
        <v/>
      </c>
      <c r="B373" s="18"/>
      <c r="C373" s="9"/>
      <c r="D373" s="10" t="str">
        <f>IF($C373="","",ROUND(SUMIFS(الإدخالات!$D$2:$D$501,الإدخالات!$C$2:$C$501,$C373)+SUMIFS($F$1:F372,$C$1:C372,$C373)-SUMIFS('الصرف المباشر'!$D$2:$D$501,'الصرف المباشر'!$C$2:$C$501,$C373)-SUMPRODUCT((الطبخات!$B$2:$B$900=$C373)*الطبخات!$C$2:$C$900*COUNTIF('سجل الإنتاج'!$C$2:$C$501,الطبخات!$A$2:$A$900)),3))</f>
        <v/>
      </c>
      <c r="E373" s="15"/>
      <c r="F373" s="19" t="str">
        <f t="shared" si="11"/>
        <v/>
      </c>
      <c r="G373" s="9"/>
      <c r="H373" s="9"/>
    </row>
    <row r="374" spans="1:8" ht="24" customHeight="1">
      <c r="A374" s="5" t="str">
        <f t="shared" si="10"/>
        <v/>
      </c>
      <c r="B374" s="18"/>
      <c r="C374" s="9"/>
      <c r="D374" s="10" t="str">
        <f>IF($C374="","",ROUND(SUMIFS(الإدخالات!$D$2:$D$501,الإدخالات!$C$2:$C$501,$C374)+SUMIFS($F$1:F373,$C$1:C373,$C374)-SUMIFS('الصرف المباشر'!$D$2:$D$501,'الصرف المباشر'!$C$2:$C$501,$C374)-SUMPRODUCT((الطبخات!$B$2:$B$900=$C374)*الطبخات!$C$2:$C$900*COUNTIF('سجل الإنتاج'!$C$2:$C$501,الطبخات!$A$2:$A$900)),3))</f>
        <v/>
      </c>
      <c r="E374" s="15"/>
      <c r="F374" s="19" t="str">
        <f t="shared" si="11"/>
        <v/>
      </c>
      <c r="G374" s="9"/>
      <c r="H374" s="9"/>
    </row>
    <row r="375" spans="1:8" ht="24" customHeight="1">
      <c r="A375" s="5" t="str">
        <f t="shared" si="10"/>
        <v/>
      </c>
      <c r="B375" s="18"/>
      <c r="C375" s="9"/>
      <c r="D375" s="10" t="str">
        <f>IF($C375="","",ROUND(SUMIFS(الإدخالات!$D$2:$D$501,الإدخالات!$C$2:$C$501,$C375)+SUMIFS($F$1:F374,$C$1:C374,$C375)-SUMIFS('الصرف المباشر'!$D$2:$D$501,'الصرف المباشر'!$C$2:$C$501,$C375)-SUMPRODUCT((الطبخات!$B$2:$B$900=$C375)*الطبخات!$C$2:$C$900*COUNTIF('سجل الإنتاج'!$C$2:$C$501,الطبخات!$A$2:$A$900)),3))</f>
        <v/>
      </c>
      <c r="E375" s="15"/>
      <c r="F375" s="19" t="str">
        <f t="shared" si="11"/>
        <v/>
      </c>
      <c r="G375" s="9"/>
      <c r="H375" s="9"/>
    </row>
    <row r="376" spans="1:8" ht="24" customHeight="1">
      <c r="A376" s="5" t="str">
        <f t="shared" si="10"/>
        <v/>
      </c>
      <c r="B376" s="18"/>
      <c r="C376" s="9"/>
      <c r="D376" s="10" t="str">
        <f>IF($C376="","",ROUND(SUMIFS(الإدخالات!$D$2:$D$501,الإدخالات!$C$2:$C$501,$C376)+SUMIFS($F$1:F375,$C$1:C375,$C376)-SUMIFS('الصرف المباشر'!$D$2:$D$501,'الصرف المباشر'!$C$2:$C$501,$C376)-SUMPRODUCT((الطبخات!$B$2:$B$900=$C376)*الطبخات!$C$2:$C$900*COUNTIF('سجل الإنتاج'!$C$2:$C$501,الطبخات!$A$2:$A$900)),3))</f>
        <v/>
      </c>
      <c r="E376" s="15"/>
      <c r="F376" s="19" t="str">
        <f t="shared" si="11"/>
        <v/>
      </c>
      <c r="G376" s="9"/>
      <c r="H376" s="9"/>
    </row>
    <row r="377" spans="1:8" ht="24" customHeight="1">
      <c r="A377" s="5" t="str">
        <f t="shared" si="10"/>
        <v/>
      </c>
      <c r="B377" s="18"/>
      <c r="C377" s="9"/>
      <c r="D377" s="10" t="str">
        <f>IF($C377="","",ROUND(SUMIFS(الإدخالات!$D$2:$D$501,الإدخالات!$C$2:$C$501,$C377)+SUMIFS($F$1:F376,$C$1:C376,$C377)-SUMIFS('الصرف المباشر'!$D$2:$D$501,'الصرف المباشر'!$C$2:$C$501,$C377)-SUMPRODUCT((الطبخات!$B$2:$B$900=$C377)*الطبخات!$C$2:$C$900*COUNTIF('سجل الإنتاج'!$C$2:$C$501,الطبخات!$A$2:$A$900)),3))</f>
        <v/>
      </c>
      <c r="E377" s="15"/>
      <c r="F377" s="19" t="str">
        <f t="shared" si="11"/>
        <v/>
      </c>
      <c r="G377" s="9"/>
      <c r="H377" s="9"/>
    </row>
    <row r="378" spans="1:8" ht="24" customHeight="1">
      <c r="A378" s="5" t="str">
        <f t="shared" si="10"/>
        <v/>
      </c>
      <c r="B378" s="18"/>
      <c r="C378" s="9"/>
      <c r="D378" s="10" t="str">
        <f>IF($C378="","",ROUND(SUMIFS(الإدخالات!$D$2:$D$501,الإدخالات!$C$2:$C$501,$C378)+SUMIFS($F$1:F377,$C$1:C377,$C378)-SUMIFS('الصرف المباشر'!$D$2:$D$501,'الصرف المباشر'!$C$2:$C$501,$C378)-SUMPRODUCT((الطبخات!$B$2:$B$900=$C378)*الطبخات!$C$2:$C$900*COUNTIF('سجل الإنتاج'!$C$2:$C$501,الطبخات!$A$2:$A$900)),3))</f>
        <v/>
      </c>
      <c r="E378" s="15"/>
      <c r="F378" s="19" t="str">
        <f t="shared" si="11"/>
        <v/>
      </c>
      <c r="G378" s="9"/>
      <c r="H378" s="9"/>
    </row>
    <row r="379" spans="1:8" ht="24" customHeight="1">
      <c r="A379" s="5" t="str">
        <f t="shared" si="10"/>
        <v/>
      </c>
      <c r="B379" s="18"/>
      <c r="C379" s="9"/>
      <c r="D379" s="10" t="str">
        <f>IF($C379="","",ROUND(SUMIFS(الإدخالات!$D$2:$D$501,الإدخالات!$C$2:$C$501,$C379)+SUMIFS($F$1:F378,$C$1:C378,$C379)-SUMIFS('الصرف المباشر'!$D$2:$D$501,'الصرف المباشر'!$C$2:$C$501,$C379)-SUMPRODUCT((الطبخات!$B$2:$B$900=$C379)*الطبخات!$C$2:$C$900*COUNTIF('سجل الإنتاج'!$C$2:$C$501,الطبخات!$A$2:$A$900)),3))</f>
        <v/>
      </c>
      <c r="E379" s="15"/>
      <c r="F379" s="19" t="str">
        <f t="shared" si="11"/>
        <v/>
      </c>
      <c r="G379" s="9"/>
      <c r="H379" s="9"/>
    </row>
    <row r="380" spans="1:8" ht="24" customHeight="1">
      <c r="A380" s="5" t="str">
        <f t="shared" si="10"/>
        <v/>
      </c>
      <c r="B380" s="18"/>
      <c r="C380" s="9"/>
      <c r="D380" s="10" t="str">
        <f>IF($C380="","",ROUND(SUMIFS(الإدخالات!$D$2:$D$501,الإدخالات!$C$2:$C$501,$C380)+SUMIFS($F$1:F379,$C$1:C379,$C380)-SUMIFS('الصرف المباشر'!$D$2:$D$501,'الصرف المباشر'!$C$2:$C$501,$C380)-SUMPRODUCT((الطبخات!$B$2:$B$900=$C380)*الطبخات!$C$2:$C$900*COUNTIF('سجل الإنتاج'!$C$2:$C$501,الطبخات!$A$2:$A$900)),3))</f>
        <v/>
      </c>
      <c r="E380" s="15"/>
      <c r="F380" s="19" t="str">
        <f t="shared" si="11"/>
        <v/>
      </c>
      <c r="G380" s="9"/>
      <c r="H380" s="9"/>
    </row>
    <row r="381" spans="1:8" ht="24" customHeight="1">
      <c r="A381" s="5" t="str">
        <f t="shared" si="10"/>
        <v/>
      </c>
      <c r="B381" s="18"/>
      <c r="C381" s="9"/>
      <c r="D381" s="10" t="str">
        <f>IF($C381="","",ROUND(SUMIFS(الإدخالات!$D$2:$D$501,الإدخالات!$C$2:$C$501,$C381)+SUMIFS($F$1:F380,$C$1:C380,$C381)-SUMIFS('الصرف المباشر'!$D$2:$D$501,'الصرف المباشر'!$C$2:$C$501,$C381)-SUMPRODUCT((الطبخات!$B$2:$B$900=$C381)*الطبخات!$C$2:$C$900*COUNTIF('سجل الإنتاج'!$C$2:$C$501,الطبخات!$A$2:$A$900)),3))</f>
        <v/>
      </c>
      <c r="E381" s="15"/>
      <c r="F381" s="19" t="str">
        <f t="shared" si="11"/>
        <v/>
      </c>
      <c r="G381" s="9"/>
      <c r="H381" s="9"/>
    </row>
    <row r="382" spans="1:8" ht="24" customHeight="1">
      <c r="A382" s="5" t="str">
        <f t="shared" si="10"/>
        <v/>
      </c>
      <c r="B382" s="18"/>
      <c r="C382" s="9"/>
      <c r="D382" s="10" t="str">
        <f>IF($C382="","",ROUND(SUMIFS(الإدخالات!$D$2:$D$501,الإدخالات!$C$2:$C$501,$C382)+SUMIFS($F$1:F381,$C$1:C381,$C382)-SUMIFS('الصرف المباشر'!$D$2:$D$501,'الصرف المباشر'!$C$2:$C$501,$C382)-SUMPRODUCT((الطبخات!$B$2:$B$900=$C382)*الطبخات!$C$2:$C$900*COUNTIF('سجل الإنتاج'!$C$2:$C$501,الطبخات!$A$2:$A$900)),3))</f>
        <v/>
      </c>
      <c r="E382" s="15"/>
      <c r="F382" s="19" t="str">
        <f t="shared" si="11"/>
        <v/>
      </c>
      <c r="G382" s="9"/>
      <c r="H382" s="9"/>
    </row>
    <row r="383" spans="1:8" ht="24" customHeight="1">
      <c r="A383" s="5" t="str">
        <f t="shared" si="10"/>
        <v/>
      </c>
      <c r="B383" s="18"/>
      <c r="C383" s="9"/>
      <c r="D383" s="10" t="str">
        <f>IF($C383="","",ROUND(SUMIFS(الإدخالات!$D$2:$D$501,الإدخالات!$C$2:$C$501,$C383)+SUMIFS($F$1:F382,$C$1:C382,$C383)-SUMIFS('الصرف المباشر'!$D$2:$D$501,'الصرف المباشر'!$C$2:$C$501,$C383)-SUMPRODUCT((الطبخات!$B$2:$B$900=$C383)*الطبخات!$C$2:$C$900*COUNTIF('سجل الإنتاج'!$C$2:$C$501,الطبخات!$A$2:$A$900)),3))</f>
        <v/>
      </c>
      <c r="E383" s="15"/>
      <c r="F383" s="19" t="str">
        <f t="shared" si="11"/>
        <v/>
      </c>
      <c r="G383" s="9"/>
      <c r="H383" s="9"/>
    </row>
    <row r="384" spans="1:8" ht="24" customHeight="1">
      <c r="A384" s="5" t="str">
        <f t="shared" si="10"/>
        <v/>
      </c>
      <c r="B384" s="18"/>
      <c r="C384" s="9"/>
      <c r="D384" s="10" t="str">
        <f>IF($C384="","",ROUND(SUMIFS(الإدخالات!$D$2:$D$501,الإدخالات!$C$2:$C$501,$C384)+SUMIFS($F$1:F383,$C$1:C383,$C384)-SUMIFS('الصرف المباشر'!$D$2:$D$501,'الصرف المباشر'!$C$2:$C$501,$C384)-SUMPRODUCT((الطبخات!$B$2:$B$900=$C384)*الطبخات!$C$2:$C$900*COUNTIF('سجل الإنتاج'!$C$2:$C$501,الطبخات!$A$2:$A$900)),3))</f>
        <v/>
      </c>
      <c r="E384" s="15"/>
      <c r="F384" s="19" t="str">
        <f t="shared" si="11"/>
        <v/>
      </c>
      <c r="G384" s="9"/>
      <c r="H384" s="9"/>
    </row>
    <row r="385" spans="1:8" ht="24" customHeight="1">
      <c r="A385" s="5" t="str">
        <f t="shared" si="10"/>
        <v/>
      </c>
      <c r="B385" s="18"/>
      <c r="C385" s="9"/>
      <c r="D385" s="10" t="str">
        <f>IF($C385="","",ROUND(SUMIFS(الإدخالات!$D$2:$D$501,الإدخالات!$C$2:$C$501,$C385)+SUMIFS($F$1:F384,$C$1:C384,$C385)-SUMIFS('الصرف المباشر'!$D$2:$D$501,'الصرف المباشر'!$C$2:$C$501,$C385)-SUMPRODUCT((الطبخات!$B$2:$B$900=$C385)*الطبخات!$C$2:$C$900*COUNTIF('سجل الإنتاج'!$C$2:$C$501,الطبخات!$A$2:$A$900)),3))</f>
        <v/>
      </c>
      <c r="E385" s="15"/>
      <c r="F385" s="19" t="str">
        <f t="shared" si="11"/>
        <v/>
      </c>
      <c r="G385" s="9"/>
      <c r="H385" s="9"/>
    </row>
    <row r="386" spans="1:8" ht="24" customHeight="1">
      <c r="A386" s="5" t="str">
        <f t="shared" ref="A386:A449" si="12">IF(C386="","",ROW()-1)</f>
        <v/>
      </c>
      <c r="B386" s="18"/>
      <c r="C386" s="9"/>
      <c r="D386" s="10" t="str">
        <f>IF($C386="","",ROUND(SUMIFS(الإدخالات!$D$2:$D$501,الإدخالات!$C$2:$C$501,$C386)+SUMIFS($F$1:F385,$C$1:C385,$C386)-SUMIFS('الصرف المباشر'!$D$2:$D$501,'الصرف المباشر'!$C$2:$C$501,$C386)-SUMPRODUCT((الطبخات!$B$2:$B$900=$C386)*الطبخات!$C$2:$C$900*COUNTIF('سجل الإنتاج'!$C$2:$C$501,الطبخات!$A$2:$A$900)),3))</f>
        <v/>
      </c>
      <c r="E386" s="15"/>
      <c r="F386" s="19" t="str">
        <f t="shared" ref="F386:F449" si="13">IF(OR($C386="",$E386=""),"",ROUND($E386-$D386,3))</f>
        <v/>
      </c>
      <c r="G386" s="9"/>
      <c r="H386" s="9"/>
    </row>
    <row r="387" spans="1:8" ht="24" customHeight="1">
      <c r="A387" s="5" t="str">
        <f t="shared" si="12"/>
        <v/>
      </c>
      <c r="B387" s="18"/>
      <c r="C387" s="9"/>
      <c r="D387" s="10" t="str">
        <f>IF($C387="","",ROUND(SUMIFS(الإدخالات!$D$2:$D$501,الإدخالات!$C$2:$C$501,$C387)+SUMIFS($F$1:F386,$C$1:C386,$C387)-SUMIFS('الصرف المباشر'!$D$2:$D$501,'الصرف المباشر'!$C$2:$C$501,$C387)-SUMPRODUCT((الطبخات!$B$2:$B$900=$C387)*الطبخات!$C$2:$C$900*COUNTIF('سجل الإنتاج'!$C$2:$C$501,الطبخات!$A$2:$A$900)),3))</f>
        <v/>
      </c>
      <c r="E387" s="15"/>
      <c r="F387" s="19" t="str">
        <f t="shared" si="13"/>
        <v/>
      </c>
      <c r="G387" s="9"/>
      <c r="H387" s="9"/>
    </row>
    <row r="388" spans="1:8" ht="24" customHeight="1">
      <c r="A388" s="5" t="str">
        <f t="shared" si="12"/>
        <v/>
      </c>
      <c r="B388" s="18"/>
      <c r="C388" s="9"/>
      <c r="D388" s="10" t="str">
        <f>IF($C388="","",ROUND(SUMIFS(الإدخالات!$D$2:$D$501,الإدخالات!$C$2:$C$501,$C388)+SUMIFS($F$1:F387,$C$1:C387,$C388)-SUMIFS('الصرف المباشر'!$D$2:$D$501,'الصرف المباشر'!$C$2:$C$501,$C388)-SUMPRODUCT((الطبخات!$B$2:$B$900=$C388)*الطبخات!$C$2:$C$900*COUNTIF('سجل الإنتاج'!$C$2:$C$501,الطبخات!$A$2:$A$900)),3))</f>
        <v/>
      </c>
      <c r="E388" s="15"/>
      <c r="F388" s="19" t="str">
        <f t="shared" si="13"/>
        <v/>
      </c>
      <c r="G388" s="9"/>
      <c r="H388" s="9"/>
    </row>
    <row r="389" spans="1:8" ht="24" customHeight="1">
      <c r="A389" s="5" t="str">
        <f t="shared" si="12"/>
        <v/>
      </c>
      <c r="B389" s="18"/>
      <c r="C389" s="9"/>
      <c r="D389" s="10" t="str">
        <f>IF($C389="","",ROUND(SUMIFS(الإدخالات!$D$2:$D$501,الإدخالات!$C$2:$C$501,$C389)+SUMIFS($F$1:F388,$C$1:C388,$C389)-SUMIFS('الصرف المباشر'!$D$2:$D$501,'الصرف المباشر'!$C$2:$C$501,$C389)-SUMPRODUCT((الطبخات!$B$2:$B$900=$C389)*الطبخات!$C$2:$C$900*COUNTIF('سجل الإنتاج'!$C$2:$C$501,الطبخات!$A$2:$A$900)),3))</f>
        <v/>
      </c>
      <c r="E389" s="15"/>
      <c r="F389" s="19" t="str">
        <f t="shared" si="13"/>
        <v/>
      </c>
      <c r="G389" s="9"/>
      <c r="H389" s="9"/>
    </row>
    <row r="390" spans="1:8" ht="24" customHeight="1">
      <c r="A390" s="5" t="str">
        <f t="shared" si="12"/>
        <v/>
      </c>
      <c r="B390" s="18"/>
      <c r="C390" s="9"/>
      <c r="D390" s="10" t="str">
        <f>IF($C390="","",ROUND(SUMIFS(الإدخالات!$D$2:$D$501,الإدخالات!$C$2:$C$501,$C390)+SUMIFS($F$1:F389,$C$1:C389,$C390)-SUMIFS('الصرف المباشر'!$D$2:$D$501,'الصرف المباشر'!$C$2:$C$501,$C390)-SUMPRODUCT((الطبخات!$B$2:$B$900=$C390)*الطبخات!$C$2:$C$900*COUNTIF('سجل الإنتاج'!$C$2:$C$501,الطبخات!$A$2:$A$900)),3))</f>
        <v/>
      </c>
      <c r="E390" s="15"/>
      <c r="F390" s="19" t="str">
        <f t="shared" si="13"/>
        <v/>
      </c>
      <c r="G390" s="9"/>
      <c r="H390" s="9"/>
    </row>
    <row r="391" spans="1:8" ht="24" customHeight="1">
      <c r="A391" s="5" t="str">
        <f t="shared" si="12"/>
        <v/>
      </c>
      <c r="B391" s="18"/>
      <c r="C391" s="9"/>
      <c r="D391" s="10" t="str">
        <f>IF($C391="","",ROUND(SUMIFS(الإدخالات!$D$2:$D$501,الإدخالات!$C$2:$C$501,$C391)+SUMIFS($F$1:F390,$C$1:C390,$C391)-SUMIFS('الصرف المباشر'!$D$2:$D$501,'الصرف المباشر'!$C$2:$C$501,$C391)-SUMPRODUCT((الطبخات!$B$2:$B$900=$C391)*الطبخات!$C$2:$C$900*COUNTIF('سجل الإنتاج'!$C$2:$C$501,الطبخات!$A$2:$A$900)),3))</f>
        <v/>
      </c>
      <c r="E391" s="15"/>
      <c r="F391" s="19" t="str">
        <f t="shared" si="13"/>
        <v/>
      </c>
      <c r="G391" s="9"/>
      <c r="H391" s="9"/>
    </row>
    <row r="392" spans="1:8" ht="24" customHeight="1">
      <c r="A392" s="5" t="str">
        <f t="shared" si="12"/>
        <v/>
      </c>
      <c r="B392" s="18"/>
      <c r="C392" s="9"/>
      <c r="D392" s="10" t="str">
        <f>IF($C392="","",ROUND(SUMIFS(الإدخالات!$D$2:$D$501,الإدخالات!$C$2:$C$501,$C392)+SUMIFS($F$1:F391,$C$1:C391,$C392)-SUMIFS('الصرف المباشر'!$D$2:$D$501,'الصرف المباشر'!$C$2:$C$501,$C392)-SUMPRODUCT((الطبخات!$B$2:$B$900=$C392)*الطبخات!$C$2:$C$900*COUNTIF('سجل الإنتاج'!$C$2:$C$501,الطبخات!$A$2:$A$900)),3))</f>
        <v/>
      </c>
      <c r="E392" s="15"/>
      <c r="F392" s="19" t="str">
        <f t="shared" si="13"/>
        <v/>
      </c>
      <c r="G392" s="9"/>
      <c r="H392" s="9"/>
    </row>
    <row r="393" spans="1:8" ht="24" customHeight="1">
      <c r="A393" s="5" t="str">
        <f t="shared" si="12"/>
        <v/>
      </c>
      <c r="B393" s="18"/>
      <c r="C393" s="9"/>
      <c r="D393" s="10" t="str">
        <f>IF($C393="","",ROUND(SUMIFS(الإدخالات!$D$2:$D$501,الإدخالات!$C$2:$C$501,$C393)+SUMIFS($F$1:F392,$C$1:C392,$C393)-SUMIFS('الصرف المباشر'!$D$2:$D$501,'الصرف المباشر'!$C$2:$C$501,$C393)-SUMPRODUCT((الطبخات!$B$2:$B$900=$C393)*الطبخات!$C$2:$C$900*COUNTIF('سجل الإنتاج'!$C$2:$C$501,الطبخات!$A$2:$A$900)),3))</f>
        <v/>
      </c>
      <c r="E393" s="15"/>
      <c r="F393" s="19" t="str">
        <f t="shared" si="13"/>
        <v/>
      </c>
      <c r="G393" s="9"/>
      <c r="H393" s="9"/>
    </row>
    <row r="394" spans="1:8" ht="24" customHeight="1">
      <c r="A394" s="5" t="str">
        <f t="shared" si="12"/>
        <v/>
      </c>
      <c r="B394" s="18"/>
      <c r="C394" s="9"/>
      <c r="D394" s="10" t="str">
        <f>IF($C394="","",ROUND(SUMIFS(الإدخالات!$D$2:$D$501,الإدخالات!$C$2:$C$501,$C394)+SUMIFS($F$1:F393,$C$1:C393,$C394)-SUMIFS('الصرف المباشر'!$D$2:$D$501,'الصرف المباشر'!$C$2:$C$501,$C394)-SUMPRODUCT((الطبخات!$B$2:$B$900=$C394)*الطبخات!$C$2:$C$900*COUNTIF('سجل الإنتاج'!$C$2:$C$501,الطبخات!$A$2:$A$900)),3))</f>
        <v/>
      </c>
      <c r="E394" s="15"/>
      <c r="F394" s="19" t="str">
        <f t="shared" si="13"/>
        <v/>
      </c>
      <c r="G394" s="9"/>
      <c r="H394" s="9"/>
    </row>
    <row r="395" spans="1:8" ht="24" customHeight="1">
      <c r="A395" s="5" t="str">
        <f t="shared" si="12"/>
        <v/>
      </c>
      <c r="B395" s="18"/>
      <c r="C395" s="9"/>
      <c r="D395" s="10" t="str">
        <f>IF($C395="","",ROUND(SUMIFS(الإدخالات!$D$2:$D$501,الإدخالات!$C$2:$C$501,$C395)+SUMIFS($F$1:F394,$C$1:C394,$C395)-SUMIFS('الصرف المباشر'!$D$2:$D$501,'الصرف المباشر'!$C$2:$C$501,$C395)-SUMPRODUCT((الطبخات!$B$2:$B$900=$C395)*الطبخات!$C$2:$C$900*COUNTIF('سجل الإنتاج'!$C$2:$C$501,الطبخات!$A$2:$A$900)),3))</f>
        <v/>
      </c>
      <c r="E395" s="15"/>
      <c r="F395" s="19" t="str">
        <f t="shared" si="13"/>
        <v/>
      </c>
      <c r="G395" s="9"/>
      <c r="H395" s="9"/>
    </row>
    <row r="396" spans="1:8" ht="24" customHeight="1">
      <c r="A396" s="5" t="str">
        <f t="shared" si="12"/>
        <v/>
      </c>
      <c r="B396" s="18"/>
      <c r="C396" s="9"/>
      <c r="D396" s="10" t="str">
        <f>IF($C396="","",ROUND(SUMIFS(الإدخالات!$D$2:$D$501,الإدخالات!$C$2:$C$501,$C396)+SUMIFS($F$1:F395,$C$1:C395,$C396)-SUMIFS('الصرف المباشر'!$D$2:$D$501,'الصرف المباشر'!$C$2:$C$501,$C396)-SUMPRODUCT((الطبخات!$B$2:$B$900=$C396)*الطبخات!$C$2:$C$900*COUNTIF('سجل الإنتاج'!$C$2:$C$501,الطبخات!$A$2:$A$900)),3))</f>
        <v/>
      </c>
      <c r="E396" s="15"/>
      <c r="F396" s="19" t="str">
        <f t="shared" si="13"/>
        <v/>
      </c>
      <c r="G396" s="9"/>
      <c r="H396" s="9"/>
    </row>
    <row r="397" spans="1:8" ht="24" customHeight="1">
      <c r="A397" s="5" t="str">
        <f t="shared" si="12"/>
        <v/>
      </c>
      <c r="B397" s="18"/>
      <c r="C397" s="9"/>
      <c r="D397" s="10" t="str">
        <f>IF($C397="","",ROUND(SUMIFS(الإدخالات!$D$2:$D$501,الإدخالات!$C$2:$C$501,$C397)+SUMIFS($F$1:F396,$C$1:C396,$C397)-SUMIFS('الصرف المباشر'!$D$2:$D$501,'الصرف المباشر'!$C$2:$C$501,$C397)-SUMPRODUCT((الطبخات!$B$2:$B$900=$C397)*الطبخات!$C$2:$C$900*COUNTIF('سجل الإنتاج'!$C$2:$C$501,الطبخات!$A$2:$A$900)),3))</f>
        <v/>
      </c>
      <c r="E397" s="15"/>
      <c r="F397" s="19" t="str">
        <f t="shared" si="13"/>
        <v/>
      </c>
      <c r="G397" s="9"/>
      <c r="H397" s="9"/>
    </row>
    <row r="398" spans="1:8" ht="24" customHeight="1">
      <c r="A398" s="5" t="str">
        <f t="shared" si="12"/>
        <v/>
      </c>
      <c r="B398" s="18"/>
      <c r="C398" s="9"/>
      <c r="D398" s="10" t="str">
        <f>IF($C398="","",ROUND(SUMIFS(الإدخالات!$D$2:$D$501,الإدخالات!$C$2:$C$501,$C398)+SUMIFS($F$1:F397,$C$1:C397,$C398)-SUMIFS('الصرف المباشر'!$D$2:$D$501,'الصرف المباشر'!$C$2:$C$501,$C398)-SUMPRODUCT((الطبخات!$B$2:$B$900=$C398)*الطبخات!$C$2:$C$900*COUNTIF('سجل الإنتاج'!$C$2:$C$501,الطبخات!$A$2:$A$900)),3))</f>
        <v/>
      </c>
      <c r="E398" s="15"/>
      <c r="F398" s="19" t="str">
        <f t="shared" si="13"/>
        <v/>
      </c>
      <c r="G398" s="9"/>
      <c r="H398" s="9"/>
    </row>
    <row r="399" spans="1:8" ht="24" customHeight="1">
      <c r="A399" s="5" t="str">
        <f t="shared" si="12"/>
        <v/>
      </c>
      <c r="B399" s="18"/>
      <c r="C399" s="9"/>
      <c r="D399" s="10" t="str">
        <f>IF($C399="","",ROUND(SUMIFS(الإدخالات!$D$2:$D$501,الإدخالات!$C$2:$C$501,$C399)+SUMIFS($F$1:F398,$C$1:C398,$C399)-SUMIFS('الصرف المباشر'!$D$2:$D$501,'الصرف المباشر'!$C$2:$C$501,$C399)-SUMPRODUCT((الطبخات!$B$2:$B$900=$C399)*الطبخات!$C$2:$C$900*COUNTIF('سجل الإنتاج'!$C$2:$C$501,الطبخات!$A$2:$A$900)),3))</f>
        <v/>
      </c>
      <c r="E399" s="15"/>
      <c r="F399" s="19" t="str">
        <f t="shared" si="13"/>
        <v/>
      </c>
      <c r="G399" s="9"/>
      <c r="H399" s="9"/>
    </row>
    <row r="400" spans="1:8" ht="24" customHeight="1">
      <c r="A400" s="5" t="str">
        <f t="shared" si="12"/>
        <v/>
      </c>
      <c r="B400" s="18"/>
      <c r="C400" s="9"/>
      <c r="D400" s="10" t="str">
        <f>IF($C400="","",ROUND(SUMIFS(الإدخالات!$D$2:$D$501,الإدخالات!$C$2:$C$501,$C400)+SUMIFS($F$1:F399,$C$1:C399,$C400)-SUMIFS('الصرف المباشر'!$D$2:$D$501,'الصرف المباشر'!$C$2:$C$501,$C400)-SUMPRODUCT((الطبخات!$B$2:$B$900=$C400)*الطبخات!$C$2:$C$900*COUNTIF('سجل الإنتاج'!$C$2:$C$501,الطبخات!$A$2:$A$900)),3))</f>
        <v/>
      </c>
      <c r="E400" s="15"/>
      <c r="F400" s="19" t="str">
        <f t="shared" si="13"/>
        <v/>
      </c>
      <c r="G400" s="9"/>
      <c r="H400" s="9"/>
    </row>
    <row r="401" spans="1:8" ht="24" customHeight="1">
      <c r="A401" s="5" t="str">
        <f t="shared" si="12"/>
        <v/>
      </c>
      <c r="B401" s="18"/>
      <c r="C401" s="9"/>
      <c r="D401" s="10" t="str">
        <f>IF($C401="","",ROUND(SUMIFS(الإدخالات!$D$2:$D$501,الإدخالات!$C$2:$C$501,$C401)+SUMIFS($F$1:F400,$C$1:C400,$C401)-SUMIFS('الصرف المباشر'!$D$2:$D$501,'الصرف المباشر'!$C$2:$C$501,$C401)-SUMPRODUCT((الطبخات!$B$2:$B$900=$C401)*الطبخات!$C$2:$C$900*COUNTIF('سجل الإنتاج'!$C$2:$C$501,الطبخات!$A$2:$A$900)),3))</f>
        <v/>
      </c>
      <c r="E401" s="15"/>
      <c r="F401" s="19" t="str">
        <f t="shared" si="13"/>
        <v/>
      </c>
      <c r="G401" s="9"/>
      <c r="H401" s="9"/>
    </row>
    <row r="402" spans="1:8" ht="24" customHeight="1">
      <c r="A402" s="5" t="str">
        <f t="shared" si="12"/>
        <v/>
      </c>
      <c r="B402" s="18"/>
      <c r="C402" s="9"/>
      <c r="D402" s="10" t="str">
        <f>IF($C402="","",ROUND(SUMIFS(الإدخالات!$D$2:$D$501,الإدخالات!$C$2:$C$501,$C402)+SUMIFS($F$1:F401,$C$1:C401,$C402)-SUMIFS('الصرف المباشر'!$D$2:$D$501,'الصرف المباشر'!$C$2:$C$501,$C402)-SUMPRODUCT((الطبخات!$B$2:$B$900=$C402)*الطبخات!$C$2:$C$900*COUNTIF('سجل الإنتاج'!$C$2:$C$501,الطبخات!$A$2:$A$900)),3))</f>
        <v/>
      </c>
      <c r="E402" s="15"/>
      <c r="F402" s="19" t="str">
        <f t="shared" si="13"/>
        <v/>
      </c>
      <c r="G402" s="9"/>
      <c r="H402" s="9"/>
    </row>
    <row r="403" spans="1:8" ht="24" customHeight="1">
      <c r="A403" s="5" t="str">
        <f t="shared" si="12"/>
        <v/>
      </c>
      <c r="B403" s="18"/>
      <c r="C403" s="9"/>
      <c r="D403" s="10" t="str">
        <f>IF($C403="","",ROUND(SUMIFS(الإدخالات!$D$2:$D$501,الإدخالات!$C$2:$C$501,$C403)+SUMIFS($F$1:F402,$C$1:C402,$C403)-SUMIFS('الصرف المباشر'!$D$2:$D$501,'الصرف المباشر'!$C$2:$C$501,$C403)-SUMPRODUCT((الطبخات!$B$2:$B$900=$C403)*الطبخات!$C$2:$C$900*COUNTIF('سجل الإنتاج'!$C$2:$C$501,الطبخات!$A$2:$A$900)),3))</f>
        <v/>
      </c>
      <c r="E403" s="15"/>
      <c r="F403" s="19" t="str">
        <f t="shared" si="13"/>
        <v/>
      </c>
      <c r="G403" s="9"/>
      <c r="H403" s="9"/>
    </row>
    <row r="404" spans="1:8" ht="24" customHeight="1">
      <c r="A404" s="5" t="str">
        <f t="shared" si="12"/>
        <v/>
      </c>
      <c r="B404" s="18"/>
      <c r="C404" s="9"/>
      <c r="D404" s="10" t="str">
        <f>IF($C404="","",ROUND(SUMIFS(الإدخالات!$D$2:$D$501,الإدخالات!$C$2:$C$501,$C404)+SUMIFS($F$1:F403,$C$1:C403,$C404)-SUMIFS('الصرف المباشر'!$D$2:$D$501,'الصرف المباشر'!$C$2:$C$501,$C404)-SUMPRODUCT((الطبخات!$B$2:$B$900=$C404)*الطبخات!$C$2:$C$900*COUNTIF('سجل الإنتاج'!$C$2:$C$501,الطبخات!$A$2:$A$900)),3))</f>
        <v/>
      </c>
      <c r="E404" s="15"/>
      <c r="F404" s="19" t="str">
        <f t="shared" si="13"/>
        <v/>
      </c>
      <c r="G404" s="9"/>
      <c r="H404" s="9"/>
    </row>
    <row r="405" spans="1:8" ht="24" customHeight="1">
      <c r="A405" s="5" t="str">
        <f t="shared" si="12"/>
        <v/>
      </c>
      <c r="B405" s="18"/>
      <c r="C405" s="9"/>
      <c r="D405" s="10" t="str">
        <f>IF($C405="","",ROUND(SUMIFS(الإدخالات!$D$2:$D$501,الإدخالات!$C$2:$C$501,$C405)+SUMIFS($F$1:F404,$C$1:C404,$C405)-SUMIFS('الصرف المباشر'!$D$2:$D$501,'الصرف المباشر'!$C$2:$C$501,$C405)-SUMPRODUCT((الطبخات!$B$2:$B$900=$C405)*الطبخات!$C$2:$C$900*COUNTIF('سجل الإنتاج'!$C$2:$C$501,الطبخات!$A$2:$A$900)),3))</f>
        <v/>
      </c>
      <c r="E405" s="15"/>
      <c r="F405" s="19" t="str">
        <f t="shared" si="13"/>
        <v/>
      </c>
      <c r="G405" s="9"/>
      <c r="H405" s="9"/>
    </row>
    <row r="406" spans="1:8" ht="24" customHeight="1">
      <c r="A406" s="5" t="str">
        <f t="shared" si="12"/>
        <v/>
      </c>
      <c r="B406" s="18"/>
      <c r="C406" s="9"/>
      <c r="D406" s="10" t="str">
        <f>IF($C406="","",ROUND(SUMIFS(الإدخالات!$D$2:$D$501,الإدخالات!$C$2:$C$501,$C406)+SUMIFS($F$1:F405,$C$1:C405,$C406)-SUMIFS('الصرف المباشر'!$D$2:$D$501,'الصرف المباشر'!$C$2:$C$501,$C406)-SUMPRODUCT((الطبخات!$B$2:$B$900=$C406)*الطبخات!$C$2:$C$900*COUNTIF('سجل الإنتاج'!$C$2:$C$501,الطبخات!$A$2:$A$900)),3))</f>
        <v/>
      </c>
      <c r="E406" s="15"/>
      <c r="F406" s="19" t="str">
        <f t="shared" si="13"/>
        <v/>
      </c>
      <c r="G406" s="9"/>
      <c r="H406" s="9"/>
    </row>
    <row r="407" spans="1:8" ht="24" customHeight="1">
      <c r="A407" s="5" t="str">
        <f t="shared" si="12"/>
        <v/>
      </c>
      <c r="B407" s="18"/>
      <c r="C407" s="9"/>
      <c r="D407" s="10" t="str">
        <f>IF($C407="","",ROUND(SUMIFS(الإدخالات!$D$2:$D$501,الإدخالات!$C$2:$C$501,$C407)+SUMIFS($F$1:F406,$C$1:C406,$C407)-SUMIFS('الصرف المباشر'!$D$2:$D$501,'الصرف المباشر'!$C$2:$C$501,$C407)-SUMPRODUCT((الطبخات!$B$2:$B$900=$C407)*الطبخات!$C$2:$C$900*COUNTIF('سجل الإنتاج'!$C$2:$C$501,الطبخات!$A$2:$A$900)),3))</f>
        <v/>
      </c>
      <c r="E407" s="15"/>
      <c r="F407" s="19" t="str">
        <f t="shared" si="13"/>
        <v/>
      </c>
      <c r="G407" s="9"/>
      <c r="H407" s="9"/>
    </row>
    <row r="408" spans="1:8" ht="24" customHeight="1">
      <c r="A408" s="5" t="str">
        <f t="shared" si="12"/>
        <v/>
      </c>
      <c r="B408" s="18"/>
      <c r="C408" s="9"/>
      <c r="D408" s="10" t="str">
        <f>IF($C408="","",ROUND(SUMIFS(الإدخالات!$D$2:$D$501,الإدخالات!$C$2:$C$501,$C408)+SUMIFS($F$1:F407,$C$1:C407,$C408)-SUMIFS('الصرف المباشر'!$D$2:$D$501,'الصرف المباشر'!$C$2:$C$501,$C408)-SUMPRODUCT((الطبخات!$B$2:$B$900=$C408)*الطبخات!$C$2:$C$900*COUNTIF('سجل الإنتاج'!$C$2:$C$501,الطبخات!$A$2:$A$900)),3))</f>
        <v/>
      </c>
      <c r="E408" s="15"/>
      <c r="F408" s="19" t="str">
        <f t="shared" si="13"/>
        <v/>
      </c>
      <c r="G408" s="9"/>
      <c r="H408" s="9"/>
    </row>
    <row r="409" spans="1:8" ht="24" customHeight="1">
      <c r="A409" s="5" t="str">
        <f t="shared" si="12"/>
        <v/>
      </c>
      <c r="B409" s="18"/>
      <c r="C409" s="9"/>
      <c r="D409" s="10" t="str">
        <f>IF($C409="","",ROUND(SUMIFS(الإدخالات!$D$2:$D$501,الإدخالات!$C$2:$C$501,$C409)+SUMIFS($F$1:F408,$C$1:C408,$C409)-SUMIFS('الصرف المباشر'!$D$2:$D$501,'الصرف المباشر'!$C$2:$C$501,$C409)-SUMPRODUCT((الطبخات!$B$2:$B$900=$C409)*الطبخات!$C$2:$C$900*COUNTIF('سجل الإنتاج'!$C$2:$C$501,الطبخات!$A$2:$A$900)),3))</f>
        <v/>
      </c>
      <c r="E409" s="15"/>
      <c r="F409" s="19" t="str">
        <f t="shared" si="13"/>
        <v/>
      </c>
      <c r="G409" s="9"/>
      <c r="H409" s="9"/>
    </row>
    <row r="410" spans="1:8" ht="24" customHeight="1">
      <c r="A410" s="5" t="str">
        <f t="shared" si="12"/>
        <v/>
      </c>
      <c r="B410" s="18"/>
      <c r="C410" s="9"/>
      <c r="D410" s="10" t="str">
        <f>IF($C410="","",ROUND(SUMIFS(الإدخالات!$D$2:$D$501,الإدخالات!$C$2:$C$501,$C410)+SUMIFS($F$1:F409,$C$1:C409,$C410)-SUMIFS('الصرف المباشر'!$D$2:$D$501,'الصرف المباشر'!$C$2:$C$501,$C410)-SUMPRODUCT((الطبخات!$B$2:$B$900=$C410)*الطبخات!$C$2:$C$900*COUNTIF('سجل الإنتاج'!$C$2:$C$501,الطبخات!$A$2:$A$900)),3))</f>
        <v/>
      </c>
      <c r="E410" s="15"/>
      <c r="F410" s="19" t="str">
        <f t="shared" si="13"/>
        <v/>
      </c>
      <c r="G410" s="9"/>
      <c r="H410" s="9"/>
    </row>
    <row r="411" spans="1:8" ht="24" customHeight="1">
      <c r="A411" s="5" t="str">
        <f t="shared" si="12"/>
        <v/>
      </c>
      <c r="B411" s="18"/>
      <c r="C411" s="9"/>
      <c r="D411" s="10" t="str">
        <f>IF($C411="","",ROUND(SUMIFS(الإدخالات!$D$2:$D$501,الإدخالات!$C$2:$C$501,$C411)+SUMIFS($F$1:F410,$C$1:C410,$C411)-SUMIFS('الصرف المباشر'!$D$2:$D$501,'الصرف المباشر'!$C$2:$C$501,$C411)-SUMPRODUCT((الطبخات!$B$2:$B$900=$C411)*الطبخات!$C$2:$C$900*COUNTIF('سجل الإنتاج'!$C$2:$C$501,الطبخات!$A$2:$A$900)),3))</f>
        <v/>
      </c>
      <c r="E411" s="15"/>
      <c r="F411" s="19" t="str">
        <f t="shared" si="13"/>
        <v/>
      </c>
      <c r="G411" s="9"/>
      <c r="H411" s="9"/>
    </row>
    <row r="412" spans="1:8" ht="24" customHeight="1">
      <c r="A412" s="5" t="str">
        <f t="shared" si="12"/>
        <v/>
      </c>
      <c r="B412" s="18"/>
      <c r="C412" s="9"/>
      <c r="D412" s="10" t="str">
        <f>IF($C412="","",ROUND(SUMIFS(الإدخالات!$D$2:$D$501,الإدخالات!$C$2:$C$501,$C412)+SUMIFS($F$1:F411,$C$1:C411,$C412)-SUMIFS('الصرف المباشر'!$D$2:$D$501,'الصرف المباشر'!$C$2:$C$501,$C412)-SUMPRODUCT((الطبخات!$B$2:$B$900=$C412)*الطبخات!$C$2:$C$900*COUNTIF('سجل الإنتاج'!$C$2:$C$501,الطبخات!$A$2:$A$900)),3))</f>
        <v/>
      </c>
      <c r="E412" s="15"/>
      <c r="F412" s="19" t="str">
        <f t="shared" si="13"/>
        <v/>
      </c>
      <c r="G412" s="9"/>
      <c r="H412" s="9"/>
    </row>
    <row r="413" spans="1:8" ht="24" customHeight="1">
      <c r="A413" s="5" t="str">
        <f t="shared" si="12"/>
        <v/>
      </c>
      <c r="B413" s="18"/>
      <c r="C413" s="9"/>
      <c r="D413" s="10" t="str">
        <f>IF($C413="","",ROUND(SUMIFS(الإدخالات!$D$2:$D$501,الإدخالات!$C$2:$C$501,$C413)+SUMIFS($F$1:F412,$C$1:C412,$C413)-SUMIFS('الصرف المباشر'!$D$2:$D$501,'الصرف المباشر'!$C$2:$C$501,$C413)-SUMPRODUCT((الطبخات!$B$2:$B$900=$C413)*الطبخات!$C$2:$C$900*COUNTIF('سجل الإنتاج'!$C$2:$C$501,الطبخات!$A$2:$A$900)),3))</f>
        <v/>
      </c>
      <c r="E413" s="15"/>
      <c r="F413" s="19" t="str">
        <f t="shared" si="13"/>
        <v/>
      </c>
      <c r="G413" s="9"/>
      <c r="H413" s="9"/>
    </row>
    <row r="414" spans="1:8" ht="24" customHeight="1">
      <c r="A414" s="5" t="str">
        <f t="shared" si="12"/>
        <v/>
      </c>
      <c r="B414" s="18"/>
      <c r="C414" s="9"/>
      <c r="D414" s="10" t="str">
        <f>IF($C414="","",ROUND(SUMIFS(الإدخالات!$D$2:$D$501,الإدخالات!$C$2:$C$501,$C414)+SUMIFS($F$1:F413,$C$1:C413,$C414)-SUMIFS('الصرف المباشر'!$D$2:$D$501,'الصرف المباشر'!$C$2:$C$501,$C414)-SUMPRODUCT((الطبخات!$B$2:$B$900=$C414)*الطبخات!$C$2:$C$900*COUNTIF('سجل الإنتاج'!$C$2:$C$501,الطبخات!$A$2:$A$900)),3))</f>
        <v/>
      </c>
      <c r="E414" s="15"/>
      <c r="F414" s="19" t="str">
        <f t="shared" si="13"/>
        <v/>
      </c>
      <c r="G414" s="9"/>
      <c r="H414" s="9"/>
    </row>
    <row r="415" spans="1:8" ht="24" customHeight="1">
      <c r="A415" s="5" t="str">
        <f t="shared" si="12"/>
        <v/>
      </c>
      <c r="B415" s="18"/>
      <c r="C415" s="9"/>
      <c r="D415" s="10" t="str">
        <f>IF($C415="","",ROUND(SUMIFS(الإدخالات!$D$2:$D$501,الإدخالات!$C$2:$C$501,$C415)+SUMIFS($F$1:F414,$C$1:C414,$C415)-SUMIFS('الصرف المباشر'!$D$2:$D$501,'الصرف المباشر'!$C$2:$C$501,$C415)-SUMPRODUCT((الطبخات!$B$2:$B$900=$C415)*الطبخات!$C$2:$C$900*COUNTIF('سجل الإنتاج'!$C$2:$C$501,الطبخات!$A$2:$A$900)),3))</f>
        <v/>
      </c>
      <c r="E415" s="15"/>
      <c r="F415" s="19" t="str">
        <f t="shared" si="13"/>
        <v/>
      </c>
      <c r="G415" s="9"/>
      <c r="H415" s="9"/>
    </row>
    <row r="416" spans="1:8" ht="24" customHeight="1">
      <c r="A416" s="5" t="str">
        <f t="shared" si="12"/>
        <v/>
      </c>
      <c r="B416" s="18"/>
      <c r="C416" s="9"/>
      <c r="D416" s="10" t="str">
        <f>IF($C416="","",ROUND(SUMIFS(الإدخالات!$D$2:$D$501,الإدخالات!$C$2:$C$501,$C416)+SUMIFS($F$1:F415,$C$1:C415,$C416)-SUMIFS('الصرف المباشر'!$D$2:$D$501,'الصرف المباشر'!$C$2:$C$501,$C416)-SUMPRODUCT((الطبخات!$B$2:$B$900=$C416)*الطبخات!$C$2:$C$900*COUNTIF('سجل الإنتاج'!$C$2:$C$501,الطبخات!$A$2:$A$900)),3))</f>
        <v/>
      </c>
      <c r="E416" s="15"/>
      <c r="F416" s="19" t="str">
        <f t="shared" si="13"/>
        <v/>
      </c>
      <c r="G416" s="9"/>
      <c r="H416" s="9"/>
    </row>
    <row r="417" spans="1:8" ht="24" customHeight="1">
      <c r="A417" s="5" t="str">
        <f t="shared" si="12"/>
        <v/>
      </c>
      <c r="B417" s="18"/>
      <c r="C417" s="9"/>
      <c r="D417" s="10" t="str">
        <f>IF($C417="","",ROUND(SUMIFS(الإدخالات!$D$2:$D$501,الإدخالات!$C$2:$C$501,$C417)+SUMIFS($F$1:F416,$C$1:C416,$C417)-SUMIFS('الصرف المباشر'!$D$2:$D$501,'الصرف المباشر'!$C$2:$C$501,$C417)-SUMPRODUCT((الطبخات!$B$2:$B$900=$C417)*الطبخات!$C$2:$C$900*COUNTIF('سجل الإنتاج'!$C$2:$C$501,الطبخات!$A$2:$A$900)),3))</f>
        <v/>
      </c>
      <c r="E417" s="15"/>
      <c r="F417" s="19" t="str">
        <f t="shared" si="13"/>
        <v/>
      </c>
      <c r="G417" s="9"/>
      <c r="H417" s="9"/>
    </row>
    <row r="418" spans="1:8" ht="24" customHeight="1">
      <c r="A418" s="5" t="str">
        <f t="shared" si="12"/>
        <v/>
      </c>
      <c r="B418" s="18"/>
      <c r="C418" s="9"/>
      <c r="D418" s="10" t="str">
        <f>IF($C418="","",ROUND(SUMIFS(الإدخالات!$D$2:$D$501,الإدخالات!$C$2:$C$501,$C418)+SUMIFS($F$1:F417,$C$1:C417,$C418)-SUMIFS('الصرف المباشر'!$D$2:$D$501,'الصرف المباشر'!$C$2:$C$501,$C418)-SUMPRODUCT((الطبخات!$B$2:$B$900=$C418)*الطبخات!$C$2:$C$900*COUNTIF('سجل الإنتاج'!$C$2:$C$501,الطبخات!$A$2:$A$900)),3))</f>
        <v/>
      </c>
      <c r="E418" s="15"/>
      <c r="F418" s="19" t="str">
        <f t="shared" si="13"/>
        <v/>
      </c>
      <c r="G418" s="9"/>
      <c r="H418" s="9"/>
    </row>
    <row r="419" spans="1:8" ht="24" customHeight="1">
      <c r="A419" s="5" t="str">
        <f t="shared" si="12"/>
        <v/>
      </c>
      <c r="B419" s="18"/>
      <c r="C419" s="9"/>
      <c r="D419" s="10" t="str">
        <f>IF($C419="","",ROUND(SUMIFS(الإدخالات!$D$2:$D$501,الإدخالات!$C$2:$C$501,$C419)+SUMIFS($F$1:F418,$C$1:C418,$C419)-SUMIFS('الصرف المباشر'!$D$2:$D$501,'الصرف المباشر'!$C$2:$C$501,$C419)-SUMPRODUCT((الطبخات!$B$2:$B$900=$C419)*الطبخات!$C$2:$C$900*COUNTIF('سجل الإنتاج'!$C$2:$C$501,الطبخات!$A$2:$A$900)),3))</f>
        <v/>
      </c>
      <c r="E419" s="15"/>
      <c r="F419" s="19" t="str">
        <f t="shared" si="13"/>
        <v/>
      </c>
      <c r="G419" s="9"/>
      <c r="H419" s="9"/>
    </row>
    <row r="420" spans="1:8" ht="24" customHeight="1">
      <c r="A420" s="5" t="str">
        <f t="shared" si="12"/>
        <v/>
      </c>
      <c r="B420" s="18"/>
      <c r="C420" s="9"/>
      <c r="D420" s="10" t="str">
        <f>IF($C420="","",ROUND(SUMIFS(الإدخالات!$D$2:$D$501,الإدخالات!$C$2:$C$501,$C420)+SUMIFS($F$1:F419,$C$1:C419,$C420)-SUMIFS('الصرف المباشر'!$D$2:$D$501,'الصرف المباشر'!$C$2:$C$501,$C420)-SUMPRODUCT((الطبخات!$B$2:$B$900=$C420)*الطبخات!$C$2:$C$900*COUNTIF('سجل الإنتاج'!$C$2:$C$501,الطبخات!$A$2:$A$900)),3))</f>
        <v/>
      </c>
      <c r="E420" s="15"/>
      <c r="F420" s="19" t="str">
        <f t="shared" si="13"/>
        <v/>
      </c>
      <c r="G420" s="9"/>
      <c r="H420" s="9"/>
    </row>
    <row r="421" spans="1:8" ht="24" customHeight="1">
      <c r="A421" s="5" t="str">
        <f t="shared" si="12"/>
        <v/>
      </c>
      <c r="B421" s="18"/>
      <c r="C421" s="9"/>
      <c r="D421" s="10" t="str">
        <f>IF($C421="","",ROUND(SUMIFS(الإدخالات!$D$2:$D$501,الإدخالات!$C$2:$C$501,$C421)+SUMIFS($F$1:F420,$C$1:C420,$C421)-SUMIFS('الصرف المباشر'!$D$2:$D$501,'الصرف المباشر'!$C$2:$C$501,$C421)-SUMPRODUCT((الطبخات!$B$2:$B$900=$C421)*الطبخات!$C$2:$C$900*COUNTIF('سجل الإنتاج'!$C$2:$C$501,الطبخات!$A$2:$A$900)),3))</f>
        <v/>
      </c>
      <c r="E421" s="15"/>
      <c r="F421" s="19" t="str">
        <f t="shared" si="13"/>
        <v/>
      </c>
      <c r="G421" s="9"/>
      <c r="H421" s="9"/>
    </row>
    <row r="422" spans="1:8" ht="24" customHeight="1">
      <c r="A422" s="5" t="str">
        <f t="shared" si="12"/>
        <v/>
      </c>
      <c r="B422" s="18"/>
      <c r="C422" s="9"/>
      <c r="D422" s="10" t="str">
        <f>IF($C422="","",ROUND(SUMIFS(الإدخالات!$D$2:$D$501,الإدخالات!$C$2:$C$501,$C422)+SUMIFS($F$1:F421,$C$1:C421,$C422)-SUMIFS('الصرف المباشر'!$D$2:$D$501,'الصرف المباشر'!$C$2:$C$501,$C422)-SUMPRODUCT((الطبخات!$B$2:$B$900=$C422)*الطبخات!$C$2:$C$900*COUNTIF('سجل الإنتاج'!$C$2:$C$501,الطبخات!$A$2:$A$900)),3))</f>
        <v/>
      </c>
      <c r="E422" s="15"/>
      <c r="F422" s="19" t="str">
        <f t="shared" si="13"/>
        <v/>
      </c>
      <c r="G422" s="9"/>
      <c r="H422" s="9"/>
    </row>
    <row r="423" spans="1:8" ht="24" customHeight="1">
      <c r="A423" s="5" t="str">
        <f t="shared" si="12"/>
        <v/>
      </c>
      <c r="B423" s="18"/>
      <c r="C423" s="9"/>
      <c r="D423" s="10" t="str">
        <f>IF($C423="","",ROUND(SUMIFS(الإدخالات!$D$2:$D$501,الإدخالات!$C$2:$C$501,$C423)+SUMIFS($F$1:F422,$C$1:C422,$C423)-SUMIFS('الصرف المباشر'!$D$2:$D$501,'الصرف المباشر'!$C$2:$C$501,$C423)-SUMPRODUCT((الطبخات!$B$2:$B$900=$C423)*الطبخات!$C$2:$C$900*COUNTIF('سجل الإنتاج'!$C$2:$C$501,الطبخات!$A$2:$A$900)),3))</f>
        <v/>
      </c>
      <c r="E423" s="15"/>
      <c r="F423" s="19" t="str">
        <f t="shared" si="13"/>
        <v/>
      </c>
      <c r="G423" s="9"/>
      <c r="H423" s="9"/>
    </row>
    <row r="424" spans="1:8" ht="24" customHeight="1">
      <c r="A424" s="5" t="str">
        <f t="shared" si="12"/>
        <v/>
      </c>
      <c r="B424" s="18"/>
      <c r="C424" s="9"/>
      <c r="D424" s="10" t="str">
        <f>IF($C424="","",ROUND(SUMIFS(الإدخالات!$D$2:$D$501,الإدخالات!$C$2:$C$501,$C424)+SUMIFS($F$1:F423,$C$1:C423,$C424)-SUMIFS('الصرف المباشر'!$D$2:$D$501,'الصرف المباشر'!$C$2:$C$501,$C424)-SUMPRODUCT((الطبخات!$B$2:$B$900=$C424)*الطبخات!$C$2:$C$900*COUNTIF('سجل الإنتاج'!$C$2:$C$501,الطبخات!$A$2:$A$900)),3))</f>
        <v/>
      </c>
      <c r="E424" s="15"/>
      <c r="F424" s="19" t="str">
        <f t="shared" si="13"/>
        <v/>
      </c>
      <c r="G424" s="9"/>
      <c r="H424" s="9"/>
    </row>
    <row r="425" spans="1:8" ht="24" customHeight="1">
      <c r="A425" s="5" t="str">
        <f t="shared" si="12"/>
        <v/>
      </c>
      <c r="B425" s="18"/>
      <c r="C425" s="9"/>
      <c r="D425" s="10" t="str">
        <f>IF($C425="","",ROUND(SUMIFS(الإدخالات!$D$2:$D$501,الإدخالات!$C$2:$C$501,$C425)+SUMIFS($F$1:F424,$C$1:C424,$C425)-SUMIFS('الصرف المباشر'!$D$2:$D$501,'الصرف المباشر'!$C$2:$C$501,$C425)-SUMPRODUCT((الطبخات!$B$2:$B$900=$C425)*الطبخات!$C$2:$C$900*COUNTIF('سجل الإنتاج'!$C$2:$C$501,الطبخات!$A$2:$A$900)),3))</f>
        <v/>
      </c>
      <c r="E425" s="15"/>
      <c r="F425" s="19" t="str">
        <f t="shared" si="13"/>
        <v/>
      </c>
      <c r="G425" s="9"/>
      <c r="H425" s="9"/>
    </row>
    <row r="426" spans="1:8" ht="24" customHeight="1">
      <c r="A426" s="5" t="str">
        <f t="shared" si="12"/>
        <v/>
      </c>
      <c r="B426" s="18"/>
      <c r="C426" s="9"/>
      <c r="D426" s="10" t="str">
        <f>IF($C426="","",ROUND(SUMIFS(الإدخالات!$D$2:$D$501,الإدخالات!$C$2:$C$501,$C426)+SUMIFS($F$1:F425,$C$1:C425,$C426)-SUMIFS('الصرف المباشر'!$D$2:$D$501,'الصرف المباشر'!$C$2:$C$501,$C426)-SUMPRODUCT((الطبخات!$B$2:$B$900=$C426)*الطبخات!$C$2:$C$900*COUNTIF('سجل الإنتاج'!$C$2:$C$501,الطبخات!$A$2:$A$900)),3))</f>
        <v/>
      </c>
      <c r="E426" s="15"/>
      <c r="F426" s="19" t="str">
        <f t="shared" si="13"/>
        <v/>
      </c>
      <c r="G426" s="9"/>
      <c r="H426" s="9"/>
    </row>
    <row r="427" spans="1:8" ht="24" customHeight="1">
      <c r="A427" s="5" t="str">
        <f t="shared" si="12"/>
        <v/>
      </c>
      <c r="B427" s="18"/>
      <c r="C427" s="9"/>
      <c r="D427" s="10" t="str">
        <f>IF($C427="","",ROUND(SUMIFS(الإدخالات!$D$2:$D$501,الإدخالات!$C$2:$C$501,$C427)+SUMIFS($F$1:F426,$C$1:C426,$C427)-SUMIFS('الصرف المباشر'!$D$2:$D$501,'الصرف المباشر'!$C$2:$C$501,$C427)-SUMPRODUCT((الطبخات!$B$2:$B$900=$C427)*الطبخات!$C$2:$C$900*COUNTIF('سجل الإنتاج'!$C$2:$C$501,الطبخات!$A$2:$A$900)),3))</f>
        <v/>
      </c>
      <c r="E427" s="15"/>
      <c r="F427" s="19" t="str">
        <f t="shared" si="13"/>
        <v/>
      </c>
      <c r="G427" s="9"/>
      <c r="H427" s="9"/>
    </row>
    <row r="428" spans="1:8" ht="24" customHeight="1">
      <c r="A428" s="5" t="str">
        <f t="shared" si="12"/>
        <v/>
      </c>
      <c r="B428" s="18"/>
      <c r="C428" s="9"/>
      <c r="D428" s="10" t="str">
        <f>IF($C428="","",ROUND(SUMIFS(الإدخالات!$D$2:$D$501,الإدخالات!$C$2:$C$501,$C428)+SUMIFS($F$1:F427,$C$1:C427,$C428)-SUMIFS('الصرف المباشر'!$D$2:$D$501,'الصرف المباشر'!$C$2:$C$501,$C428)-SUMPRODUCT((الطبخات!$B$2:$B$900=$C428)*الطبخات!$C$2:$C$900*COUNTIF('سجل الإنتاج'!$C$2:$C$501,الطبخات!$A$2:$A$900)),3))</f>
        <v/>
      </c>
      <c r="E428" s="15"/>
      <c r="F428" s="19" t="str">
        <f t="shared" si="13"/>
        <v/>
      </c>
      <c r="G428" s="9"/>
      <c r="H428" s="9"/>
    </row>
    <row r="429" spans="1:8" ht="24" customHeight="1">
      <c r="A429" s="5" t="str">
        <f t="shared" si="12"/>
        <v/>
      </c>
      <c r="B429" s="18"/>
      <c r="C429" s="9"/>
      <c r="D429" s="10" t="str">
        <f>IF($C429="","",ROUND(SUMIFS(الإدخالات!$D$2:$D$501,الإدخالات!$C$2:$C$501,$C429)+SUMIFS($F$1:F428,$C$1:C428,$C429)-SUMIFS('الصرف المباشر'!$D$2:$D$501,'الصرف المباشر'!$C$2:$C$501,$C429)-SUMPRODUCT((الطبخات!$B$2:$B$900=$C429)*الطبخات!$C$2:$C$900*COUNTIF('سجل الإنتاج'!$C$2:$C$501,الطبخات!$A$2:$A$900)),3))</f>
        <v/>
      </c>
      <c r="E429" s="15"/>
      <c r="F429" s="19" t="str">
        <f t="shared" si="13"/>
        <v/>
      </c>
      <c r="G429" s="9"/>
      <c r="H429" s="9"/>
    </row>
    <row r="430" spans="1:8" ht="24" customHeight="1">
      <c r="A430" s="5" t="str">
        <f t="shared" si="12"/>
        <v/>
      </c>
      <c r="B430" s="18"/>
      <c r="C430" s="9"/>
      <c r="D430" s="10" t="str">
        <f>IF($C430="","",ROUND(SUMIFS(الإدخالات!$D$2:$D$501,الإدخالات!$C$2:$C$501,$C430)+SUMIFS($F$1:F429,$C$1:C429,$C430)-SUMIFS('الصرف المباشر'!$D$2:$D$501,'الصرف المباشر'!$C$2:$C$501,$C430)-SUMPRODUCT((الطبخات!$B$2:$B$900=$C430)*الطبخات!$C$2:$C$900*COUNTIF('سجل الإنتاج'!$C$2:$C$501,الطبخات!$A$2:$A$900)),3))</f>
        <v/>
      </c>
      <c r="E430" s="15"/>
      <c r="F430" s="19" t="str">
        <f t="shared" si="13"/>
        <v/>
      </c>
      <c r="G430" s="9"/>
      <c r="H430" s="9"/>
    </row>
    <row r="431" spans="1:8" ht="24" customHeight="1">
      <c r="A431" s="5" t="str">
        <f t="shared" si="12"/>
        <v/>
      </c>
      <c r="B431" s="18"/>
      <c r="C431" s="9"/>
      <c r="D431" s="10" t="str">
        <f>IF($C431="","",ROUND(SUMIFS(الإدخالات!$D$2:$D$501,الإدخالات!$C$2:$C$501,$C431)+SUMIFS($F$1:F430,$C$1:C430,$C431)-SUMIFS('الصرف المباشر'!$D$2:$D$501,'الصرف المباشر'!$C$2:$C$501,$C431)-SUMPRODUCT((الطبخات!$B$2:$B$900=$C431)*الطبخات!$C$2:$C$900*COUNTIF('سجل الإنتاج'!$C$2:$C$501,الطبخات!$A$2:$A$900)),3))</f>
        <v/>
      </c>
      <c r="E431" s="15"/>
      <c r="F431" s="19" t="str">
        <f t="shared" si="13"/>
        <v/>
      </c>
      <c r="G431" s="9"/>
      <c r="H431" s="9"/>
    </row>
    <row r="432" spans="1:8" ht="24" customHeight="1">
      <c r="A432" s="5" t="str">
        <f t="shared" si="12"/>
        <v/>
      </c>
      <c r="B432" s="18"/>
      <c r="C432" s="9"/>
      <c r="D432" s="10" t="str">
        <f>IF($C432="","",ROUND(SUMIFS(الإدخالات!$D$2:$D$501,الإدخالات!$C$2:$C$501,$C432)+SUMIFS($F$1:F431,$C$1:C431,$C432)-SUMIFS('الصرف المباشر'!$D$2:$D$501,'الصرف المباشر'!$C$2:$C$501,$C432)-SUMPRODUCT((الطبخات!$B$2:$B$900=$C432)*الطبخات!$C$2:$C$900*COUNTIF('سجل الإنتاج'!$C$2:$C$501,الطبخات!$A$2:$A$900)),3))</f>
        <v/>
      </c>
      <c r="E432" s="15"/>
      <c r="F432" s="19" t="str">
        <f t="shared" si="13"/>
        <v/>
      </c>
      <c r="G432" s="9"/>
      <c r="H432" s="9"/>
    </row>
    <row r="433" spans="1:8" ht="24" customHeight="1">
      <c r="A433" s="5" t="str">
        <f t="shared" si="12"/>
        <v/>
      </c>
      <c r="B433" s="18"/>
      <c r="C433" s="9"/>
      <c r="D433" s="10" t="str">
        <f>IF($C433="","",ROUND(SUMIFS(الإدخالات!$D$2:$D$501,الإدخالات!$C$2:$C$501,$C433)+SUMIFS($F$1:F432,$C$1:C432,$C433)-SUMIFS('الصرف المباشر'!$D$2:$D$501,'الصرف المباشر'!$C$2:$C$501,$C433)-SUMPRODUCT((الطبخات!$B$2:$B$900=$C433)*الطبخات!$C$2:$C$900*COUNTIF('سجل الإنتاج'!$C$2:$C$501,الطبخات!$A$2:$A$900)),3))</f>
        <v/>
      </c>
      <c r="E433" s="15"/>
      <c r="F433" s="19" t="str">
        <f t="shared" si="13"/>
        <v/>
      </c>
      <c r="G433" s="9"/>
      <c r="H433" s="9"/>
    </row>
    <row r="434" spans="1:8" ht="24" customHeight="1">
      <c r="A434" s="5" t="str">
        <f t="shared" si="12"/>
        <v/>
      </c>
      <c r="B434" s="18"/>
      <c r="C434" s="9"/>
      <c r="D434" s="10" t="str">
        <f>IF($C434="","",ROUND(SUMIFS(الإدخالات!$D$2:$D$501,الإدخالات!$C$2:$C$501,$C434)+SUMIFS($F$1:F433,$C$1:C433,$C434)-SUMIFS('الصرف المباشر'!$D$2:$D$501,'الصرف المباشر'!$C$2:$C$501,$C434)-SUMPRODUCT((الطبخات!$B$2:$B$900=$C434)*الطبخات!$C$2:$C$900*COUNTIF('سجل الإنتاج'!$C$2:$C$501,الطبخات!$A$2:$A$900)),3))</f>
        <v/>
      </c>
      <c r="E434" s="15"/>
      <c r="F434" s="19" t="str">
        <f t="shared" si="13"/>
        <v/>
      </c>
      <c r="G434" s="9"/>
      <c r="H434" s="9"/>
    </row>
    <row r="435" spans="1:8" ht="24" customHeight="1">
      <c r="A435" s="5" t="str">
        <f t="shared" si="12"/>
        <v/>
      </c>
      <c r="B435" s="18"/>
      <c r="C435" s="9"/>
      <c r="D435" s="10" t="str">
        <f>IF($C435="","",ROUND(SUMIFS(الإدخالات!$D$2:$D$501,الإدخالات!$C$2:$C$501,$C435)+SUMIFS($F$1:F434,$C$1:C434,$C435)-SUMIFS('الصرف المباشر'!$D$2:$D$501,'الصرف المباشر'!$C$2:$C$501,$C435)-SUMPRODUCT((الطبخات!$B$2:$B$900=$C435)*الطبخات!$C$2:$C$900*COUNTIF('سجل الإنتاج'!$C$2:$C$501,الطبخات!$A$2:$A$900)),3))</f>
        <v/>
      </c>
      <c r="E435" s="15"/>
      <c r="F435" s="19" t="str">
        <f t="shared" si="13"/>
        <v/>
      </c>
      <c r="G435" s="9"/>
      <c r="H435" s="9"/>
    </row>
    <row r="436" spans="1:8" ht="24" customHeight="1">
      <c r="A436" s="5" t="str">
        <f t="shared" si="12"/>
        <v/>
      </c>
      <c r="B436" s="18"/>
      <c r="C436" s="9"/>
      <c r="D436" s="10" t="str">
        <f>IF($C436="","",ROUND(SUMIFS(الإدخالات!$D$2:$D$501,الإدخالات!$C$2:$C$501,$C436)+SUMIFS($F$1:F435,$C$1:C435,$C436)-SUMIFS('الصرف المباشر'!$D$2:$D$501,'الصرف المباشر'!$C$2:$C$501,$C436)-SUMPRODUCT((الطبخات!$B$2:$B$900=$C436)*الطبخات!$C$2:$C$900*COUNTIF('سجل الإنتاج'!$C$2:$C$501,الطبخات!$A$2:$A$900)),3))</f>
        <v/>
      </c>
      <c r="E436" s="15"/>
      <c r="F436" s="19" t="str">
        <f t="shared" si="13"/>
        <v/>
      </c>
      <c r="G436" s="9"/>
      <c r="H436" s="9"/>
    </row>
    <row r="437" spans="1:8" ht="24" customHeight="1">
      <c r="A437" s="5" t="str">
        <f t="shared" si="12"/>
        <v/>
      </c>
      <c r="B437" s="18"/>
      <c r="C437" s="9"/>
      <c r="D437" s="10" t="str">
        <f>IF($C437="","",ROUND(SUMIFS(الإدخالات!$D$2:$D$501,الإدخالات!$C$2:$C$501,$C437)+SUMIFS($F$1:F436,$C$1:C436,$C437)-SUMIFS('الصرف المباشر'!$D$2:$D$501,'الصرف المباشر'!$C$2:$C$501,$C437)-SUMPRODUCT((الطبخات!$B$2:$B$900=$C437)*الطبخات!$C$2:$C$900*COUNTIF('سجل الإنتاج'!$C$2:$C$501,الطبخات!$A$2:$A$900)),3))</f>
        <v/>
      </c>
      <c r="E437" s="15"/>
      <c r="F437" s="19" t="str">
        <f t="shared" si="13"/>
        <v/>
      </c>
      <c r="G437" s="9"/>
      <c r="H437" s="9"/>
    </row>
    <row r="438" spans="1:8" ht="24" customHeight="1">
      <c r="A438" s="5" t="str">
        <f t="shared" si="12"/>
        <v/>
      </c>
      <c r="B438" s="18"/>
      <c r="C438" s="9"/>
      <c r="D438" s="10" t="str">
        <f>IF($C438="","",ROUND(SUMIFS(الإدخالات!$D$2:$D$501,الإدخالات!$C$2:$C$501,$C438)+SUMIFS($F$1:F437,$C$1:C437,$C438)-SUMIFS('الصرف المباشر'!$D$2:$D$501,'الصرف المباشر'!$C$2:$C$501,$C438)-SUMPRODUCT((الطبخات!$B$2:$B$900=$C438)*الطبخات!$C$2:$C$900*COUNTIF('سجل الإنتاج'!$C$2:$C$501,الطبخات!$A$2:$A$900)),3))</f>
        <v/>
      </c>
      <c r="E438" s="15"/>
      <c r="F438" s="19" t="str">
        <f t="shared" si="13"/>
        <v/>
      </c>
      <c r="G438" s="9"/>
      <c r="H438" s="9"/>
    </row>
    <row r="439" spans="1:8" ht="24" customHeight="1">
      <c r="A439" s="5" t="str">
        <f t="shared" si="12"/>
        <v/>
      </c>
      <c r="B439" s="18"/>
      <c r="C439" s="9"/>
      <c r="D439" s="10" t="str">
        <f>IF($C439="","",ROUND(SUMIFS(الإدخالات!$D$2:$D$501,الإدخالات!$C$2:$C$501,$C439)+SUMIFS($F$1:F438,$C$1:C438,$C439)-SUMIFS('الصرف المباشر'!$D$2:$D$501,'الصرف المباشر'!$C$2:$C$501,$C439)-SUMPRODUCT((الطبخات!$B$2:$B$900=$C439)*الطبخات!$C$2:$C$900*COUNTIF('سجل الإنتاج'!$C$2:$C$501,الطبخات!$A$2:$A$900)),3))</f>
        <v/>
      </c>
      <c r="E439" s="15"/>
      <c r="F439" s="19" t="str">
        <f t="shared" si="13"/>
        <v/>
      </c>
      <c r="G439" s="9"/>
      <c r="H439" s="9"/>
    </row>
    <row r="440" spans="1:8" ht="24" customHeight="1">
      <c r="A440" s="5" t="str">
        <f t="shared" si="12"/>
        <v/>
      </c>
      <c r="B440" s="18"/>
      <c r="C440" s="9"/>
      <c r="D440" s="10" t="str">
        <f>IF($C440="","",ROUND(SUMIFS(الإدخالات!$D$2:$D$501,الإدخالات!$C$2:$C$501,$C440)+SUMIFS($F$1:F439,$C$1:C439,$C440)-SUMIFS('الصرف المباشر'!$D$2:$D$501,'الصرف المباشر'!$C$2:$C$501,$C440)-SUMPRODUCT((الطبخات!$B$2:$B$900=$C440)*الطبخات!$C$2:$C$900*COUNTIF('سجل الإنتاج'!$C$2:$C$501,الطبخات!$A$2:$A$900)),3))</f>
        <v/>
      </c>
      <c r="E440" s="15"/>
      <c r="F440" s="19" t="str">
        <f t="shared" si="13"/>
        <v/>
      </c>
      <c r="G440" s="9"/>
      <c r="H440" s="9"/>
    </row>
    <row r="441" spans="1:8" ht="24" customHeight="1">
      <c r="A441" s="5" t="str">
        <f t="shared" si="12"/>
        <v/>
      </c>
      <c r="B441" s="18"/>
      <c r="C441" s="9"/>
      <c r="D441" s="10" t="str">
        <f>IF($C441="","",ROUND(SUMIFS(الإدخالات!$D$2:$D$501,الإدخالات!$C$2:$C$501,$C441)+SUMIFS($F$1:F440,$C$1:C440,$C441)-SUMIFS('الصرف المباشر'!$D$2:$D$501,'الصرف المباشر'!$C$2:$C$501,$C441)-SUMPRODUCT((الطبخات!$B$2:$B$900=$C441)*الطبخات!$C$2:$C$900*COUNTIF('سجل الإنتاج'!$C$2:$C$501,الطبخات!$A$2:$A$900)),3))</f>
        <v/>
      </c>
      <c r="E441" s="15"/>
      <c r="F441" s="19" t="str">
        <f t="shared" si="13"/>
        <v/>
      </c>
      <c r="G441" s="9"/>
      <c r="H441" s="9"/>
    </row>
    <row r="442" spans="1:8" ht="24" customHeight="1">
      <c r="A442" s="5" t="str">
        <f t="shared" si="12"/>
        <v/>
      </c>
      <c r="B442" s="18"/>
      <c r="C442" s="9"/>
      <c r="D442" s="10" t="str">
        <f>IF($C442="","",ROUND(SUMIFS(الإدخالات!$D$2:$D$501,الإدخالات!$C$2:$C$501,$C442)+SUMIFS($F$1:F441,$C$1:C441,$C442)-SUMIFS('الصرف المباشر'!$D$2:$D$501,'الصرف المباشر'!$C$2:$C$501,$C442)-SUMPRODUCT((الطبخات!$B$2:$B$900=$C442)*الطبخات!$C$2:$C$900*COUNTIF('سجل الإنتاج'!$C$2:$C$501,الطبخات!$A$2:$A$900)),3))</f>
        <v/>
      </c>
      <c r="E442" s="15"/>
      <c r="F442" s="19" t="str">
        <f t="shared" si="13"/>
        <v/>
      </c>
      <c r="G442" s="9"/>
      <c r="H442" s="9"/>
    </row>
    <row r="443" spans="1:8" ht="24" customHeight="1">
      <c r="A443" s="5" t="str">
        <f t="shared" si="12"/>
        <v/>
      </c>
      <c r="B443" s="18"/>
      <c r="C443" s="9"/>
      <c r="D443" s="10" t="str">
        <f>IF($C443="","",ROUND(SUMIFS(الإدخالات!$D$2:$D$501,الإدخالات!$C$2:$C$501,$C443)+SUMIFS($F$1:F442,$C$1:C442,$C443)-SUMIFS('الصرف المباشر'!$D$2:$D$501,'الصرف المباشر'!$C$2:$C$501,$C443)-SUMPRODUCT((الطبخات!$B$2:$B$900=$C443)*الطبخات!$C$2:$C$900*COUNTIF('سجل الإنتاج'!$C$2:$C$501,الطبخات!$A$2:$A$900)),3))</f>
        <v/>
      </c>
      <c r="E443" s="15"/>
      <c r="F443" s="19" t="str">
        <f t="shared" si="13"/>
        <v/>
      </c>
      <c r="G443" s="9"/>
      <c r="H443" s="9"/>
    </row>
    <row r="444" spans="1:8" ht="24" customHeight="1">
      <c r="A444" s="5" t="str">
        <f t="shared" si="12"/>
        <v/>
      </c>
      <c r="B444" s="18"/>
      <c r="C444" s="9"/>
      <c r="D444" s="10" t="str">
        <f>IF($C444="","",ROUND(SUMIFS(الإدخالات!$D$2:$D$501,الإدخالات!$C$2:$C$501,$C444)+SUMIFS($F$1:F443,$C$1:C443,$C444)-SUMIFS('الصرف المباشر'!$D$2:$D$501,'الصرف المباشر'!$C$2:$C$501,$C444)-SUMPRODUCT((الطبخات!$B$2:$B$900=$C444)*الطبخات!$C$2:$C$900*COUNTIF('سجل الإنتاج'!$C$2:$C$501,الطبخات!$A$2:$A$900)),3))</f>
        <v/>
      </c>
      <c r="E444" s="15"/>
      <c r="F444" s="19" t="str">
        <f t="shared" si="13"/>
        <v/>
      </c>
      <c r="G444" s="9"/>
      <c r="H444" s="9"/>
    </row>
    <row r="445" spans="1:8" ht="24" customHeight="1">
      <c r="A445" s="5" t="str">
        <f t="shared" si="12"/>
        <v/>
      </c>
      <c r="B445" s="18"/>
      <c r="C445" s="9"/>
      <c r="D445" s="10" t="str">
        <f>IF($C445="","",ROUND(SUMIFS(الإدخالات!$D$2:$D$501,الإدخالات!$C$2:$C$501,$C445)+SUMIFS($F$1:F444,$C$1:C444,$C445)-SUMIFS('الصرف المباشر'!$D$2:$D$501,'الصرف المباشر'!$C$2:$C$501,$C445)-SUMPRODUCT((الطبخات!$B$2:$B$900=$C445)*الطبخات!$C$2:$C$900*COUNTIF('سجل الإنتاج'!$C$2:$C$501,الطبخات!$A$2:$A$900)),3))</f>
        <v/>
      </c>
      <c r="E445" s="15"/>
      <c r="F445" s="19" t="str">
        <f t="shared" si="13"/>
        <v/>
      </c>
      <c r="G445" s="9"/>
      <c r="H445" s="9"/>
    </row>
    <row r="446" spans="1:8" ht="24" customHeight="1">
      <c r="A446" s="5" t="str">
        <f t="shared" si="12"/>
        <v/>
      </c>
      <c r="B446" s="18"/>
      <c r="C446" s="9"/>
      <c r="D446" s="10" t="str">
        <f>IF($C446="","",ROUND(SUMIFS(الإدخالات!$D$2:$D$501,الإدخالات!$C$2:$C$501,$C446)+SUMIFS($F$1:F445,$C$1:C445,$C446)-SUMIFS('الصرف المباشر'!$D$2:$D$501,'الصرف المباشر'!$C$2:$C$501,$C446)-SUMPRODUCT((الطبخات!$B$2:$B$900=$C446)*الطبخات!$C$2:$C$900*COUNTIF('سجل الإنتاج'!$C$2:$C$501,الطبخات!$A$2:$A$900)),3))</f>
        <v/>
      </c>
      <c r="E446" s="15"/>
      <c r="F446" s="19" t="str">
        <f t="shared" si="13"/>
        <v/>
      </c>
      <c r="G446" s="9"/>
      <c r="H446" s="9"/>
    </row>
    <row r="447" spans="1:8" ht="24" customHeight="1">
      <c r="A447" s="5" t="str">
        <f t="shared" si="12"/>
        <v/>
      </c>
      <c r="B447" s="18"/>
      <c r="C447" s="9"/>
      <c r="D447" s="10" t="str">
        <f>IF($C447="","",ROUND(SUMIFS(الإدخالات!$D$2:$D$501,الإدخالات!$C$2:$C$501,$C447)+SUMIFS($F$1:F446,$C$1:C446,$C447)-SUMIFS('الصرف المباشر'!$D$2:$D$501,'الصرف المباشر'!$C$2:$C$501,$C447)-SUMPRODUCT((الطبخات!$B$2:$B$900=$C447)*الطبخات!$C$2:$C$900*COUNTIF('سجل الإنتاج'!$C$2:$C$501,الطبخات!$A$2:$A$900)),3))</f>
        <v/>
      </c>
      <c r="E447" s="15"/>
      <c r="F447" s="19" t="str">
        <f t="shared" si="13"/>
        <v/>
      </c>
      <c r="G447" s="9"/>
      <c r="H447" s="9"/>
    </row>
    <row r="448" spans="1:8" ht="24" customHeight="1">
      <c r="A448" s="5" t="str">
        <f t="shared" si="12"/>
        <v/>
      </c>
      <c r="B448" s="18"/>
      <c r="C448" s="9"/>
      <c r="D448" s="10" t="str">
        <f>IF($C448="","",ROUND(SUMIFS(الإدخالات!$D$2:$D$501,الإدخالات!$C$2:$C$501,$C448)+SUMIFS($F$1:F447,$C$1:C447,$C448)-SUMIFS('الصرف المباشر'!$D$2:$D$501,'الصرف المباشر'!$C$2:$C$501,$C448)-SUMPRODUCT((الطبخات!$B$2:$B$900=$C448)*الطبخات!$C$2:$C$900*COUNTIF('سجل الإنتاج'!$C$2:$C$501,الطبخات!$A$2:$A$900)),3))</f>
        <v/>
      </c>
      <c r="E448" s="15"/>
      <c r="F448" s="19" t="str">
        <f t="shared" si="13"/>
        <v/>
      </c>
      <c r="G448" s="9"/>
      <c r="H448" s="9"/>
    </row>
    <row r="449" spans="1:8" ht="24" customHeight="1">
      <c r="A449" s="5" t="str">
        <f t="shared" si="12"/>
        <v/>
      </c>
      <c r="B449" s="18"/>
      <c r="C449" s="9"/>
      <c r="D449" s="10" t="str">
        <f>IF($C449="","",ROUND(SUMIFS(الإدخالات!$D$2:$D$501,الإدخالات!$C$2:$C$501,$C449)+SUMIFS($F$1:F448,$C$1:C448,$C449)-SUMIFS('الصرف المباشر'!$D$2:$D$501,'الصرف المباشر'!$C$2:$C$501,$C449)-SUMPRODUCT((الطبخات!$B$2:$B$900=$C449)*الطبخات!$C$2:$C$900*COUNTIF('سجل الإنتاج'!$C$2:$C$501,الطبخات!$A$2:$A$900)),3))</f>
        <v/>
      </c>
      <c r="E449" s="15"/>
      <c r="F449" s="19" t="str">
        <f t="shared" si="13"/>
        <v/>
      </c>
      <c r="G449" s="9"/>
      <c r="H449" s="9"/>
    </row>
    <row r="450" spans="1:8" ht="24" customHeight="1">
      <c r="A450" s="5" t="str">
        <f t="shared" ref="A450:A501" si="14">IF(C450="","",ROW()-1)</f>
        <v/>
      </c>
      <c r="B450" s="18"/>
      <c r="C450" s="9"/>
      <c r="D450" s="10" t="str">
        <f>IF($C450="","",ROUND(SUMIFS(الإدخالات!$D$2:$D$501,الإدخالات!$C$2:$C$501,$C450)+SUMIFS($F$1:F449,$C$1:C449,$C450)-SUMIFS('الصرف المباشر'!$D$2:$D$501,'الصرف المباشر'!$C$2:$C$501,$C450)-SUMPRODUCT((الطبخات!$B$2:$B$900=$C450)*الطبخات!$C$2:$C$900*COUNTIF('سجل الإنتاج'!$C$2:$C$501,الطبخات!$A$2:$A$900)),3))</f>
        <v/>
      </c>
      <c r="E450" s="15"/>
      <c r="F450" s="19" t="str">
        <f t="shared" ref="F450:F501" si="15">IF(OR($C450="",$E450=""),"",ROUND($E450-$D450,3))</f>
        <v/>
      </c>
      <c r="G450" s="9"/>
      <c r="H450" s="9"/>
    </row>
    <row r="451" spans="1:8" ht="24" customHeight="1">
      <c r="A451" s="5" t="str">
        <f t="shared" si="14"/>
        <v/>
      </c>
      <c r="B451" s="18"/>
      <c r="C451" s="9"/>
      <c r="D451" s="10" t="str">
        <f>IF($C451="","",ROUND(SUMIFS(الإدخالات!$D$2:$D$501,الإدخالات!$C$2:$C$501,$C451)+SUMIFS($F$1:F450,$C$1:C450,$C451)-SUMIFS('الصرف المباشر'!$D$2:$D$501,'الصرف المباشر'!$C$2:$C$501,$C451)-SUMPRODUCT((الطبخات!$B$2:$B$900=$C451)*الطبخات!$C$2:$C$900*COUNTIF('سجل الإنتاج'!$C$2:$C$501,الطبخات!$A$2:$A$900)),3))</f>
        <v/>
      </c>
      <c r="E451" s="15"/>
      <c r="F451" s="19" t="str">
        <f t="shared" si="15"/>
        <v/>
      </c>
      <c r="G451" s="9"/>
      <c r="H451" s="9"/>
    </row>
    <row r="452" spans="1:8" ht="24" customHeight="1">
      <c r="A452" s="5" t="str">
        <f t="shared" si="14"/>
        <v/>
      </c>
      <c r="B452" s="18"/>
      <c r="C452" s="9"/>
      <c r="D452" s="10" t="str">
        <f>IF($C452="","",ROUND(SUMIFS(الإدخالات!$D$2:$D$501,الإدخالات!$C$2:$C$501,$C452)+SUMIFS($F$1:F451,$C$1:C451,$C452)-SUMIFS('الصرف المباشر'!$D$2:$D$501,'الصرف المباشر'!$C$2:$C$501,$C452)-SUMPRODUCT((الطبخات!$B$2:$B$900=$C452)*الطبخات!$C$2:$C$900*COUNTIF('سجل الإنتاج'!$C$2:$C$501,الطبخات!$A$2:$A$900)),3))</f>
        <v/>
      </c>
      <c r="E452" s="15"/>
      <c r="F452" s="19" t="str">
        <f t="shared" si="15"/>
        <v/>
      </c>
      <c r="G452" s="9"/>
      <c r="H452" s="9"/>
    </row>
    <row r="453" spans="1:8" ht="24" customHeight="1">
      <c r="A453" s="5" t="str">
        <f t="shared" si="14"/>
        <v/>
      </c>
      <c r="B453" s="18"/>
      <c r="C453" s="9"/>
      <c r="D453" s="10" t="str">
        <f>IF($C453="","",ROUND(SUMIFS(الإدخالات!$D$2:$D$501,الإدخالات!$C$2:$C$501,$C453)+SUMIFS($F$1:F452,$C$1:C452,$C453)-SUMIFS('الصرف المباشر'!$D$2:$D$501,'الصرف المباشر'!$C$2:$C$501,$C453)-SUMPRODUCT((الطبخات!$B$2:$B$900=$C453)*الطبخات!$C$2:$C$900*COUNTIF('سجل الإنتاج'!$C$2:$C$501,الطبخات!$A$2:$A$900)),3))</f>
        <v/>
      </c>
      <c r="E453" s="15"/>
      <c r="F453" s="19" t="str">
        <f t="shared" si="15"/>
        <v/>
      </c>
      <c r="G453" s="9"/>
      <c r="H453" s="9"/>
    </row>
    <row r="454" spans="1:8" ht="24" customHeight="1">
      <c r="A454" s="5" t="str">
        <f t="shared" si="14"/>
        <v/>
      </c>
      <c r="B454" s="18"/>
      <c r="C454" s="9"/>
      <c r="D454" s="10" t="str">
        <f>IF($C454="","",ROUND(SUMIFS(الإدخالات!$D$2:$D$501,الإدخالات!$C$2:$C$501,$C454)+SUMIFS($F$1:F453,$C$1:C453,$C454)-SUMIFS('الصرف المباشر'!$D$2:$D$501,'الصرف المباشر'!$C$2:$C$501,$C454)-SUMPRODUCT((الطبخات!$B$2:$B$900=$C454)*الطبخات!$C$2:$C$900*COUNTIF('سجل الإنتاج'!$C$2:$C$501,الطبخات!$A$2:$A$900)),3))</f>
        <v/>
      </c>
      <c r="E454" s="15"/>
      <c r="F454" s="19" t="str">
        <f t="shared" si="15"/>
        <v/>
      </c>
      <c r="G454" s="9"/>
      <c r="H454" s="9"/>
    </row>
    <row r="455" spans="1:8" ht="24" customHeight="1">
      <c r="A455" s="5" t="str">
        <f t="shared" si="14"/>
        <v/>
      </c>
      <c r="B455" s="18"/>
      <c r="C455" s="9"/>
      <c r="D455" s="10" t="str">
        <f>IF($C455="","",ROUND(SUMIFS(الإدخالات!$D$2:$D$501,الإدخالات!$C$2:$C$501,$C455)+SUMIFS($F$1:F454,$C$1:C454,$C455)-SUMIFS('الصرف المباشر'!$D$2:$D$501,'الصرف المباشر'!$C$2:$C$501,$C455)-SUMPRODUCT((الطبخات!$B$2:$B$900=$C455)*الطبخات!$C$2:$C$900*COUNTIF('سجل الإنتاج'!$C$2:$C$501,الطبخات!$A$2:$A$900)),3))</f>
        <v/>
      </c>
      <c r="E455" s="15"/>
      <c r="F455" s="19" t="str">
        <f t="shared" si="15"/>
        <v/>
      </c>
      <c r="G455" s="9"/>
      <c r="H455" s="9"/>
    </row>
    <row r="456" spans="1:8" ht="24" customHeight="1">
      <c r="A456" s="5" t="str">
        <f t="shared" si="14"/>
        <v/>
      </c>
      <c r="B456" s="18"/>
      <c r="C456" s="9"/>
      <c r="D456" s="10" t="str">
        <f>IF($C456="","",ROUND(SUMIFS(الإدخالات!$D$2:$D$501,الإدخالات!$C$2:$C$501,$C456)+SUMIFS($F$1:F455,$C$1:C455,$C456)-SUMIFS('الصرف المباشر'!$D$2:$D$501,'الصرف المباشر'!$C$2:$C$501,$C456)-SUMPRODUCT((الطبخات!$B$2:$B$900=$C456)*الطبخات!$C$2:$C$900*COUNTIF('سجل الإنتاج'!$C$2:$C$501,الطبخات!$A$2:$A$900)),3))</f>
        <v/>
      </c>
      <c r="E456" s="15"/>
      <c r="F456" s="19" t="str">
        <f t="shared" si="15"/>
        <v/>
      </c>
      <c r="G456" s="9"/>
      <c r="H456" s="9"/>
    </row>
    <row r="457" spans="1:8" ht="24" customHeight="1">
      <c r="A457" s="5" t="str">
        <f t="shared" si="14"/>
        <v/>
      </c>
      <c r="B457" s="18"/>
      <c r="C457" s="9"/>
      <c r="D457" s="10" t="str">
        <f>IF($C457="","",ROUND(SUMIFS(الإدخالات!$D$2:$D$501,الإدخالات!$C$2:$C$501,$C457)+SUMIFS($F$1:F456,$C$1:C456,$C457)-SUMIFS('الصرف المباشر'!$D$2:$D$501,'الصرف المباشر'!$C$2:$C$501,$C457)-SUMPRODUCT((الطبخات!$B$2:$B$900=$C457)*الطبخات!$C$2:$C$900*COUNTIF('سجل الإنتاج'!$C$2:$C$501,الطبخات!$A$2:$A$900)),3))</f>
        <v/>
      </c>
      <c r="E457" s="15"/>
      <c r="F457" s="19" t="str">
        <f t="shared" si="15"/>
        <v/>
      </c>
      <c r="G457" s="9"/>
      <c r="H457" s="9"/>
    </row>
    <row r="458" spans="1:8" ht="24" customHeight="1">
      <c r="A458" s="5" t="str">
        <f t="shared" si="14"/>
        <v/>
      </c>
      <c r="B458" s="18"/>
      <c r="C458" s="9"/>
      <c r="D458" s="10" t="str">
        <f>IF($C458="","",ROUND(SUMIFS(الإدخالات!$D$2:$D$501,الإدخالات!$C$2:$C$501,$C458)+SUMIFS($F$1:F457,$C$1:C457,$C458)-SUMIFS('الصرف المباشر'!$D$2:$D$501,'الصرف المباشر'!$C$2:$C$501,$C458)-SUMPRODUCT((الطبخات!$B$2:$B$900=$C458)*الطبخات!$C$2:$C$900*COUNTIF('سجل الإنتاج'!$C$2:$C$501,الطبخات!$A$2:$A$900)),3))</f>
        <v/>
      </c>
      <c r="E458" s="15"/>
      <c r="F458" s="19" t="str">
        <f t="shared" si="15"/>
        <v/>
      </c>
      <c r="G458" s="9"/>
      <c r="H458" s="9"/>
    </row>
    <row r="459" spans="1:8" ht="24" customHeight="1">
      <c r="A459" s="5" t="str">
        <f t="shared" si="14"/>
        <v/>
      </c>
      <c r="B459" s="18"/>
      <c r="C459" s="9"/>
      <c r="D459" s="10" t="str">
        <f>IF($C459="","",ROUND(SUMIFS(الإدخالات!$D$2:$D$501,الإدخالات!$C$2:$C$501,$C459)+SUMIFS($F$1:F458,$C$1:C458,$C459)-SUMIFS('الصرف المباشر'!$D$2:$D$501,'الصرف المباشر'!$C$2:$C$501,$C459)-SUMPRODUCT((الطبخات!$B$2:$B$900=$C459)*الطبخات!$C$2:$C$900*COUNTIF('سجل الإنتاج'!$C$2:$C$501,الطبخات!$A$2:$A$900)),3))</f>
        <v/>
      </c>
      <c r="E459" s="15"/>
      <c r="F459" s="19" t="str">
        <f t="shared" si="15"/>
        <v/>
      </c>
      <c r="G459" s="9"/>
      <c r="H459" s="9"/>
    </row>
    <row r="460" spans="1:8" ht="24" customHeight="1">
      <c r="A460" s="5" t="str">
        <f t="shared" si="14"/>
        <v/>
      </c>
      <c r="B460" s="18"/>
      <c r="C460" s="9"/>
      <c r="D460" s="10" t="str">
        <f>IF($C460="","",ROUND(SUMIFS(الإدخالات!$D$2:$D$501,الإدخالات!$C$2:$C$501,$C460)+SUMIFS($F$1:F459,$C$1:C459,$C460)-SUMIFS('الصرف المباشر'!$D$2:$D$501,'الصرف المباشر'!$C$2:$C$501,$C460)-SUMPRODUCT((الطبخات!$B$2:$B$900=$C460)*الطبخات!$C$2:$C$900*COUNTIF('سجل الإنتاج'!$C$2:$C$501,الطبخات!$A$2:$A$900)),3))</f>
        <v/>
      </c>
      <c r="E460" s="15"/>
      <c r="F460" s="19" t="str">
        <f t="shared" si="15"/>
        <v/>
      </c>
      <c r="G460" s="9"/>
      <c r="H460" s="9"/>
    </row>
    <row r="461" spans="1:8" ht="24" customHeight="1">
      <c r="A461" s="5" t="str">
        <f t="shared" si="14"/>
        <v/>
      </c>
      <c r="B461" s="18"/>
      <c r="C461" s="9"/>
      <c r="D461" s="10" t="str">
        <f>IF($C461="","",ROUND(SUMIFS(الإدخالات!$D$2:$D$501,الإدخالات!$C$2:$C$501,$C461)+SUMIFS($F$1:F460,$C$1:C460,$C461)-SUMIFS('الصرف المباشر'!$D$2:$D$501,'الصرف المباشر'!$C$2:$C$501,$C461)-SUMPRODUCT((الطبخات!$B$2:$B$900=$C461)*الطبخات!$C$2:$C$900*COUNTIF('سجل الإنتاج'!$C$2:$C$501,الطبخات!$A$2:$A$900)),3))</f>
        <v/>
      </c>
      <c r="E461" s="15"/>
      <c r="F461" s="19" t="str">
        <f t="shared" si="15"/>
        <v/>
      </c>
      <c r="G461" s="9"/>
      <c r="H461" s="9"/>
    </row>
    <row r="462" spans="1:8" ht="24" customHeight="1">
      <c r="A462" s="5" t="str">
        <f t="shared" si="14"/>
        <v/>
      </c>
      <c r="B462" s="18"/>
      <c r="C462" s="9"/>
      <c r="D462" s="10" t="str">
        <f>IF($C462="","",ROUND(SUMIFS(الإدخالات!$D$2:$D$501,الإدخالات!$C$2:$C$501,$C462)+SUMIFS($F$1:F461,$C$1:C461,$C462)-SUMIFS('الصرف المباشر'!$D$2:$D$501,'الصرف المباشر'!$C$2:$C$501,$C462)-SUMPRODUCT((الطبخات!$B$2:$B$900=$C462)*الطبخات!$C$2:$C$900*COUNTIF('سجل الإنتاج'!$C$2:$C$501,الطبخات!$A$2:$A$900)),3))</f>
        <v/>
      </c>
      <c r="E462" s="15"/>
      <c r="F462" s="19" t="str">
        <f t="shared" si="15"/>
        <v/>
      </c>
      <c r="G462" s="9"/>
      <c r="H462" s="9"/>
    </row>
    <row r="463" spans="1:8" ht="24" customHeight="1">
      <c r="A463" s="5" t="str">
        <f t="shared" si="14"/>
        <v/>
      </c>
      <c r="B463" s="18"/>
      <c r="C463" s="9"/>
      <c r="D463" s="10" t="str">
        <f>IF($C463="","",ROUND(SUMIFS(الإدخالات!$D$2:$D$501,الإدخالات!$C$2:$C$501,$C463)+SUMIFS($F$1:F462,$C$1:C462,$C463)-SUMIFS('الصرف المباشر'!$D$2:$D$501,'الصرف المباشر'!$C$2:$C$501,$C463)-SUMPRODUCT((الطبخات!$B$2:$B$900=$C463)*الطبخات!$C$2:$C$900*COUNTIF('سجل الإنتاج'!$C$2:$C$501,الطبخات!$A$2:$A$900)),3))</f>
        <v/>
      </c>
      <c r="E463" s="15"/>
      <c r="F463" s="19" t="str">
        <f t="shared" si="15"/>
        <v/>
      </c>
      <c r="G463" s="9"/>
      <c r="H463" s="9"/>
    </row>
    <row r="464" spans="1:8" ht="24" customHeight="1">
      <c r="A464" s="5" t="str">
        <f t="shared" si="14"/>
        <v/>
      </c>
      <c r="B464" s="18"/>
      <c r="C464" s="9"/>
      <c r="D464" s="10" t="str">
        <f>IF($C464="","",ROUND(SUMIFS(الإدخالات!$D$2:$D$501,الإدخالات!$C$2:$C$501,$C464)+SUMIFS($F$1:F463,$C$1:C463,$C464)-SUMIFS('الصرف المباشر'!$D$2:$D$501,'الصرف المباشر'!$C$2:$C$501,$C464)-SUMPRODUCT((الطبخات!$B$2:$B$900=$C464)*الطبخات!$C$2:$C$900*COUNTIF('سجل الإنتاج'!$C$2:$C$501,الطبخات!$A$2:$A$900)),3))</f>
        <v/>
      </c>
      <c r="E464" s="15"/>
      <c r="F464" s="19" t="str">
        <f t="shared" si="15"/>
        <v/>
      </c>
      <c r="G464" s="9"/>
      <c r="H464" s="9"/>
    </row>
    <row r="465" spans="1:8" ht="24" customHeight="1">
      <c r="A465" s="5" t="str">
        <f t="shared" si="14"/>
        <v/>
      </c>
      <c r="B465" s="18"/>
      <c r="C465" s="9"/>
      <c r="D465" s="10" t="str">
        <f>IF($C465="","",ROUND(SUMIFS(الإدخالات!$D$2:$D$501,الإدخالات!$C$2:$C$501,$C465)+SUMIFS($F$1:F464,$C$1:C464,$C465)-SUMIFS('الصرف المباشر'!$D$2:$D$501,'الصرف المباشر'!$C$2:$C$501,$C465)-SUMPRODUCT((الطبخات!$B$2:$B$900=$C465)*الطبخات!$C$2:$C$900*COUNTIF('سجل الإنتاج'!$C$2:$C$501,الطبخات!$A$2:$A$900)),3))</f>
        <v/>
      </c>
      <c r="E465" s="15"/>
      <c r="F465" s="19" t="str">
        <f t="shared" si="15"/>
        <v/>
      </c>
      <c r="G465" s="9"/>
      <c r="H465" s="9"/>
    </row>
    <row r="466" spans="1:8" ht="24" customHeight="1">
      <c r="A466" s="5" t="str">
        <f t="shared" si="14"/>
        <v/>
      </c>
      <c r="B466" s="18"/>
      <c r="C466" s="9"/>
      <c r="D466" s="10" t="str">
        <f>IF($C466="","",ROUND(SUMIFS(الإدخالات!$D$2:$D$501,الإدخالات!$C$2:$C$501,$C466)+SUMIFS($F$1:F465,$C$1:C465,$C466)-SUMIFS('الصرف المباشر'!$D$2:$D$501,'الصرف المباشر'!$C$2:$C$501,$C466)-SUMPRODUCT((الطبخات!$B$2:$B$900=$C466)*الطبخات!$C$2:$C$900*COUNTIF('سجل الإنتاج'!$C$2:$C$501,الطبخات!$A$2:$A$900)),3))</f>
        <v/>
      </c>
      <c r="E466" s="15"/>
      <c r="F466" s="19" t="str">
        <f t="shared" si="15"/>
        <v/>
      </c>
      <c r="G466" s="9"/>
      <c r="H466" s="9"/>
    </row>
    <row r="467" spans="1:8" ht="24" customHeight="1">
      <c r="A467" s="5" t="str">
        <f t="shared" si="14"/>
        <v/>
      </c>
      <c r="B467" s="18"/>
      <c r="C467" s="9"/>
      <c r="D467" s="10" t="str">
        <f>IF($C467="","",ROUND(SUMIFS(الإدخالات!$D$2:$D$501,الإدخالات!$C$2:$C$501,$C467)+SUMIFS($F$1:F466,$C$1:C466,$C467)-SUMIFS('الصرف المباشر'!$D$2:$D$501,'الصرف المباشر'!$C$2:$C$501,$C467)-SUMPRODUCT((الطبخات!$B$2:$B$900=$C467)*الطبخات!$C$2:$C$900*COUNTIF('سجل الإنتاج'!$C$2:$C$501,الطبخات!$A$2:$A$900)),3))</f>
        <v/>
      </c>
      <c r="E467" s="15"/>
      <c r="F467" s="19" t="str">
        <f t="shared" si="15"/>
        <v/>
      </c>
      <c r="G467" s="9"/>
      <c r="H467" s="9"/>
    </row>
    <row r="468" spans="1:8" ht="24" customHeight="1">
      <c r="A468" s="5" t="str">
        <f t="shared" si="14"/>
        <v/>
      </c>
      <c r="B468" s="18"/>
      <c r="C468" s="9"/>
      <c r="D468" s="10" t="str">
        <f>IF($C468="","",ROUND(SUMIFS(الإدخالات!$D$2:$D$501,الإدخالات!$C$2:$C$501,$C468)+SUMIFS($F$1:F467,$C$1:C467,$C468)-SUMIFS('الصرف المباشر'!$D$2:$D$501,'الصرف المباشر'!$C$2:$C$501,$C468)-SUMPRODUCT((الطبخات!$B$2:$B$900=$C468)*الطبخات!$C$2:$C$900*COUNTIF('سجل الإنتاج'!$C$2:$C$501,الطبخات!$A$2:$A$900)),3))</f>
        <v/>
      </c>
      <c r="E468" s="15"/>
      <c r="F468" s="19" t="str">
        <f t="shared" si="15"/>
        <v/>
      </c>
      <c r="G468" s="9"/>
      <c r="H468" s="9"/>
    </row>
    <row r="469" spans="1:8" ht="24" customHeight="1">
      <c r="A469" s="5" t="str">
        <f t="shared" si="14"/>
        <v/>
      </c>
      <c r="B469" s="18"/>
      <c r="C469" s="9"/>
      <c r="D469" s="10" t="str">
        <f>IF($C469="","",ROUND(SUMIFS(الإدخالات!$D$2:$D$501,الإدخالات!$C$2:$C$501,$C469)+SUMIFS($F$1:F468,$C$1:C468,$C469)-SUMIFS('الصرف المباشر'!$D$2:$D$501,'الصرف المباشر'!$C$2:$C$501,$C469)-SUMPRODUCT((الطبخات!$B$2:$B$900=$C469)*الطبخات!$C$2:$C$900*COUNTIF('سجل الإنتاج'!$C$2:$C$501,الطبخات!$A$2:$A$900)),3))</f>
        <v/>
      </c>
      <c r="E469" s="15"/>
      <c r="F469" s="19" t="str">
        <f t="shared" si="15"/>
        <v/>
      </c>
      <c r="G469" s="9"/>
      <c r="H469" s="9"/>
    </row>
    <row r="470" spans="1:8" ht="24" customHeight="1">
      <c r="A470" s="5" t="str">
        <f t="shared" si="14"/>
        <v/>
      </c>
      <c r="B470" s="18"/>
      <c r="C470" s="9"/>
      <c r="D470" s="10" t="str">
        <f>IF($C470="","",ROUND(SUMIFS(الإدخالات!$D$2:$D$501,الإدخالات!$C$2:$C$501,$C470)+SUMIFS($F$1:F469,$C$1:C469,$C470)-SUMIFS('الصرف المباشر'!$D$2:$D$501,'الصرف المباشر'!$C$2:$C$501,$C470)-SUMPRODUCT((الطبخات!$B$2:$B$900=$C470)*الطبخات!$C$2:$C$900*COUNTIF('سجل الإنتاج'!$C$2:$C$501,الطبخات!$A$2:$A$900)),3))</f>
        <v/>
      </c>
      <c r="E470" s="15"/>
      <c r="F470" s="19" t="str">
        <f t="shared" si="15"/>
        <v/>
      </c>
      <c r="G470" s="9"/>
      <c r="H470" s="9"/>
    </row>
    <row r="471" spans="1:8" ht="24" customHeight="1">
      <c r="A471" s="5" t="str">
        <f t="shared" si="14"/>
        <v/>
      </c>
      <c r="B471" s="18"/>
      <c r="C471" s="9"/>
      <c r="D471" s="10" t="str">
        <f>IF($C471="","",ROUND(SUMIFS(الإدخالات!$D$2:$D$501,الإدخالات!$C$2:$C$501,$C471)+SUMIFS($F$1:F470,$C$1:C470,$C471)-SUMIFS('الصرف المباشر'!$D$2:$D$501,'الصرف المباشر'!$C$2:$C$501,$C471)-SUMPRODUCT((الطبخات!$B$2:$B$900=$C471)*الطبخات!$C$2:$C$900*COUNTIF('سجل الإنتاج'!$C$2:$C$501,الطبخات!$A$2:$A$900)),3))</f>
        <v/>
      </c>
      <c r="E471" s="15"/>
      <c r="F471" s="19" t="str">
        <f t="shared" si="15"/>
        <v/>
      </c>
      <c r="G471" s="9"/>
      <c r="H471" s="9"/>
    </row>
    <row r="472" spans="1:8" ht="24" customHeight="1">
      <c r="A472" s="5" t="str">
        <f t="shared" si="14"/>
        <v/>
      </c>
      <c r="B472" s="18"/>
      <c r="C472" s="9"/>
      <c r="D472" s="10" t="str">
        <f>IF($C472="","",ROUND(SUMIFS(الإدخالات!$D$2:$D$501,الإدخالات!$C$2:$C$501,$C472)+SUMIFS($F$1:F471,$C$1:C471,$C472)-SUMIFS('الصرف المباشر'!$D$2:$D$501,'الصرف المباشر'!$C$2:$C$501,$C472)-SUMPRODUCT((الطبخات!$B$2:$B$900=$C472)*الطبخات!$C$2:$C$900*COUNTIF('سجل الإنتاج'!$C$2:$C$501,الطبخات!$A$2:$A$900)),3))</f>
        <v/>
      </c>
      <c r="E472" s="15"/>
      <c r="F472" s="19" t="str">
        <f t="shared" si="15"/>
        <v/>
      </c>
      <c r="G472" s="9"/>
      <c r="H472" s="9"/>
    </row>
    <row r="473" spans="1:8" ht="24" customHeight="1">
      <c r="A473" s="5" t="str">
        <f t="shared" si="14"/>
        <v/>
      </c>
      <c r="B473" s="18"/>
      <c r="C473" s="9"/>
      <c r="D473" s="10" t="str">
        <f>IF($C473="","",ROUND(SUMIFS(الإدخالات!$D$2:$D$501,الإدخالات!$C$2:$C$501,$C473)+SUMIFS($F$1:F472,$C$1:C472,$C473)-SUMIFS('الصرف المباشر'!$D$2:$D$501,'الصرف المباشر'!$C$2:$C$501,$C473)-SUMPRODUCT((الطبخات!$B$2:$B$900=$C473)*الطبخات!$C$2:$C$900*COUNTIF('سجل الإنتاج'!$C$2:$C$501,الطبخات!$A$2:$A$900)),3))</f>
        <v/>
      </c>
      <c r="E473" s="15"/>
      <c r="F473" s="19" t="str">
        <f t="shared" si="15"/>
        <v/>
      </c>
      <c r="G473" s="9"/>
      <c r="H473" s="9"/>
    </row>
    <row r="474" spans="1:8" ht="24" customHeight="1">
      <c r="A474" s="5" t="str">
        <f t="shared" si="14"/>
        <v/>
      </c>
      <c r="B474" s="18"/>
      <c r="C474" s="9"/>
      <c r="D474" s="10" t="str">
        <f>IF($C474="","",ROUND(SUMIFS(الإدخالات!$D$2:$D$501,الإدخالات!$C$2:$C$501,$C474)+SUMIFS($F$1:F473,$C$1:C473,$C474)-SUMIFS('الصرف المباشر'!$D$2:$D$501,'الصرف المباشر'!$C$2:$C$501,$C474)-SUMPRODUCT((الطبخات!$B$2:$B$900=$C474)*الطبخات!$C$2:$C$900*COUNTIF('سجل الإنتاج'!$C$2:$C$501,الطبخات!$A$2:$A$900)),3))</f>
        <v/>
      </c>
      <c r="E474" s="15"/>
      <c r="F474" s="19" t="str">
        <f t="shared" si="15"/>
        <v/>
      </c>
      <c r="G474" s="9"/>
      <c r="H474" s="9"/>
    </row>
    <row r="475" spans="1:8" ht="24" customHeight="1">
      <c r="A475" s="5" t="str">
        <f t="shared" si="14"/>
        <v/>
      </c>
      <c r="B475" s="18"/>
      <c r="C475" s="9"/>
      <c r="D475" s="10" t="str">
        <f>IF($C475="","",ROUND(SUMIFS(الإدخالات!$D$2:$D$501,الإدخالات!$C$2:$C$501,$C475)+SUMIFS($F$1:F474,$C$1:C474,$C475)-SUMIFS('الصرف المباشر'!$D$2:$D$501,'الصرف المباشر'!$C$2:$C$501,$C475)-SUMPRODUCT((الطبخات!$B$2:$B$900=$C475)*الطبخات!$C$2:$C$900*COUNTIF('سجل الإنتاج'!$C$2:$C$501,الطبخات!$A$2:$A$900)),3))</f>
        <v/>
      </c>
      <c r="E475" s="15"/>
      <c r="F475" s="19" t="str">
        <f t="shared" si="15"/>
        <v/>
      </c>
      <c r="G475" s="9"/>
      <c r="H475" s="9"/>
    </row>
    <row r="476" spans="1:8" ht="24" customHeight="1">
      <c r="A476" s="5" t="str">
        <f t="shared" si="14"/>
        <v/>
      </c>
      <c r="B476" s="18"/>
      <c r="C476" s="9"/>
      <c r="D476" s="10" t="str">
        <f>IF($C476="","",ROUND(SUMIFS(الإدخالات!$D$2:$D$501,الإدخالات!$C$2:$C$501,$C476)+SUMIFS($F$1:F475,$C$1:C475,$C476)-SUMIFS('الصرف المباشر'!$D$2:$D$501,'الصرف المباشر'!$C$2:$C$501,$C476)-SUMPRODUCT((الطبخات!$B$2:$B$900=$C476)*الطبخات!$C$2:$C$900*COUNTIF('سجل الإنتاج'!$C$2:$C$501,الطبخات!$A$2:$A$900)),3))</f>
        <v/>
      </c>
      <c r="E476" s="15"/>
      <c r="F476" s="19" t="str">
        <f t="shared" si="15"/>
        <v/>
      </c>
      <c r="G476" s="9"/>
      <c r="H476" s="9"/>
    </row>
    <row r="477" spans="1:8" ht="24" customHeight="1">
      <c r="A477" s="5" t="str">
        <f t="shared" si="14"/>
        <v/>
      </c>
      <c r="B477" s="18"/>
      <c r="C477" s="9"/>
      <c r="D477" s="10" t="str">
        <f>IF($C477="","",ROUND(SUMIFS(الإدخالات!$D$2:$D$501,الإدخالات!$C$2:$C$501,$C477)+SUMIFS($F$1:F476,$C$1:C476,$C477)-SUMIFS('الصرف المباشر'!$D$2:$D$501,'الصرف المباشر'!$C$2:$C$501,$C477)-SUMPRODUCT((الطبخات!$B$2:$B$900=$C477)*الطبخات!$C$2:$C$900*COUNTIF('سجل الإنتاج'!$C$2:$C$501,الطبخات!$A$2:$A$900)),3))</f>
        <v/>
      </c>
      <c r="E477" s="15"/>
      <c r="F477" s="19" t="str">
        <f t="shared" si="15"/>
        <v/>
      </c>
      <c r="G477" s="9"/>
      <c r="H477" s="9"/>
    </row>
    <row r="478" spans="1:8" ht="24" customHeight="1">
      <c r="A478" s="5" t="str">
        <f t="shared" si="14"/>
        <v/>
      </c>
      <c r="B478" s="18"/>
      <c r="C478" s="9"/>
      <c r="D478" s="10" t="str">
        <f>IF($C478="","",ROUND(SUMIFS(الإدخالات!$D$2:$D$501,الإدخالات!$C$2:$C$501,$C478)+SUMIFS($F$1:F477,$C$1:C477,$C478)-SUMIFS('الصرف المباشر'!$D$2:$D$501,'الصرف المباشر'!$C$2:$C$501,$C478)-SUMPRODUCT((الطبخات!$B$2:$B$900=$C478)*الطبخات!$C$2:$C$900*COUNTIF('سجل الإنتاج'!$C$2:$C$501,الطبخات!$A$2:$A$900)),3))</f>
        <v/>
      </c>
      <c r="E478" s="15"/>
      <c r="F478" s="19" t="str">
        <f t="shared" si="15"/>
        <v/>
      </c>
      <c r="G478" s="9"/>
      <c r="H478" s="9"/>
    </row>
    <row r="479" spans="1:8" ht="24" customHeight="1">
      <c r="A479" s="5" t="str">
        <f t="shared" si="14"/>
        <v/>
      </c>
      <c r="B479" s="18"/>
      <c r="C479" s="9"/>
      <c r="D479" s="10" t="str">
        <f>IF($C479="","",ROUND(SUMIFS(الإدخالات!$D$2:$D$501,الإدخالات!$C$2:$C$501,$C479)+SUMIFS($F$1:F478,$C$1:C478,$C479)-SUMIFS('الصرف المباشر'!$D$2:$D$501,'الصرف المباشر'!$C$2:$C$501,$C479)-SUMPRODUCT((الطبخات!$B$2:$B$900=$C479)*الطبخات!$C$2:$C$900*COUNTIF('سجل الإنتاج'!$C$2:$C$501,الطبخات!$A$2:$A$900)),3))</f>
        <v/>
      </c>
      <c r="E479" s="15"/>
      <c r="F479" s="19" t="str">
        <f t="shared" si="15"/>
        <v/>
      </c>
      <c r="G479" s="9"/>
      <c r="H479" s="9"/>
    </row>
    <row r="480" spans="1:8" ht="24" customHeight="1">
      <c r="A480" s="5" t="str">
        <f t="shared" si="14"/>
        <v/>
      </c>
      <c r="B480" s="18"/>
      <c r="C480" s="9"/>
      <c r="D480" s="10" t="str">
        <f>IF($C480="","",ROUND(SUMIFS(الإدخالات!$D$2:$D$501,الإدخالات!$C$2:$C$501,$C480)+SUMIFS($F$1:F479,$C$1:C479,$C480)-SUMIFS('الصرف المباشر'!$D$2:$D$501,'الصرف المباشر'!$C$2:$C$501,$C480)-SUMPRODUCT((الطبخات!$B$2:$B$900=$C480)*الطبخات!$C$2:$C$900*COUNTIF('سجل الإنتاج'!$C$2:$C$501,الطبخات!$A$2:$A$900)),3))</f>
        <v/>
      </c>
      <c r="E480" s="15"/>
      <c r="F480" s="19" t="str">
        <f t="shared" si="15"/>
        <v/>
      </c>
      <c r="G480" s="9"/>
      <c r="H480" s="9"/>
    </row>
    <row r="481" spans="1:8" ht="24" customHeight="1">
      <c r="A481" s="5" t="str">
        <f t="shared" si="14"/>
        <v/>
      </c>
      <c r="B481" s="18"/>
      <c r="C481" s="9"/>
      <c r="D481" s="10" t="str">
        <f>IF($C481="","",ROUND(SUMIFS(الإدخالات!$D$2:$D$501,الإدخالات!$C$2:$C$501,$C481)+SUMIFS($F$1:F480,$C$1:C480,$C481)-SUMIFS('الصرف المباشر'!$D$2:$D$501,'الصرف المباشر'!$C$2:$C$501,$C481)-SUMPRODUCT((الطبخات!$B$2:$B$900=$C481)*الطبخات!$C$2:$C$900*COUNTIF('سجل الإنتاج'!$C$2:$C$501,الطبخات!$A$2:$A$900)),3))</f>
        <v/>
      </c>
      <c r="E481" s="15"/>
      <c r="F481" s="19" t="str">
        <f t="shared" si="15"/>
        <v/>
      </c>
      <c r="G481" s="9"/>
      <c r="H481" s="9"/>
    </row>
    <row r="482" spans="1:8" ht="24" customHeight="1">
      <c r="A482" s="5" t="str">
        <f t="shared" si="14"/>
        <v/>
      </c>
      <c r="B482" s="18"/>
      <c r="C482" s="9"/>
      <c r="D482" s="10" t="str">
        <f>IF($C482="","",ROUND(SUMIFS(الإدخالات!$D$2:$D$501,الإدخالات!$C$2:$C$501,$C482)+SUMIFS($F$1:F481,$C$1:C481,$C482)-SUMIFS('الصرف المباشر'!$D$2:$D$501,'الصرف المباشر'!$C$2:$C$501,$C482)-SUMPRODUCT((الطبخات!$B$2:$B$900=$C482)*الطبخات!$C$2:$C$900*COUNTIF('سجل الإنتاج'!$C$2:$C$501,الطبخات!$A$2:$A$900)),3))</f>
        <v/>
      </c>
      <c r="E482" s="15"/>
      <c r="F482" s="19" t="str">
        <f t="shared" si="15"/>
        <v/>
      </c>
      <c r="G482" s="9"/>
      <c r="H482" s="9"/>
    </row>
    <row r="483" spans="1:8" ht="24" customHeight="1">
      <c r="A483" s="5" t="str">
        <f t="shared" si="14"/>
        <v/>
      </c>
      <c r="B483" s="18"/>
      <c r="C483" s="9"/>
      <c r="D483" s="10" t="str">
        <f>IF($C483="","",ROUND(SUMIFS(الإدخالات!$D$2:$D$501,الإدخالات!$C$2:$C$501,$C483)+SUMIFS($F$1:F482,$C$1:C482,$C483)-SUMIFS('الصرف المباشر'!$D$2:$D$501,'الصرف المباشر'!$C$2:$C$501,$C483)-SUMPRODUCT((الطبخات!$B$2:$B$900=$C483)*الطبخات!$C$2:$C$900*COUNTIF('سجل الإنتاج'!$C$2:$C$501,الطبخات!$A$2:$A$900)),3))</f>
        <v/>
      </c>
      <c r="E483" s="15"/>
      <c r="F483" s="19" t="str">
        <f t="shared" si="15"/>
        <v/>
      </c>
      <c r="G483" s="9"/>
      <c r="H483" s="9"/>
    </row>
    <row r="484" spans="1:8" ht="24" customHeight="1">
      <c r="A484" s="5" t="str">
        <f t="shared" si="14"/>
        <v/>
      </c>
      <c r="B484" s="18"/>
      <c r="C484" s="9"/>
      <c r="D484" s="10" t="str">
        <f>IF($C484="","",ROUND(SUMIFS(الإدخالات!$D$2:$D$501,الإدخالات!$C$2:$C$501,$C484)+SUMIFS($F$1:F483,$C$1:C483,$C484)-SUMIFS('الصرف المباشر'!$D$2:$D$501,'الصرف المباشر'!$C$2:$C$501,$C484)-SUMPRODUCT((الطبخات!$B$2:$B$900=$C484)*الطبخات!$C$2:$C$900*COUNTIF('سجل الإنتاج'!$C$2:$C$501,الطبخات!$A$2:$A$900)),3))</f>
        <v/>
      </c>
      <c r="E484" s="15"/>
      <c r="F484" s="19" t="str">
        <f t="shared" si="15"/>
        <v/>
      </c>
      <c r="G484" s="9"/>
      <c r="H484" s="9"/>
    </row>
    <row r="485" spans="1:8" ht="24" customHeight="1">
      <c r="A485" s="5" t="str">
        <f t="shared" si="14"/>
        <v/>
      </c>
      <c r="B485" s="18"/>
      <c r="C485" s="9"/>
      <c r="D485" s="10" t="str">
        <f>IF($C485="","",ROUND(SUMIFS(الإدخالات!$D$2:$D$501,الإدخالات!$C$2:$C$501,$C485)+SUMIFS($F$1:F484,$C$1:C484,$C485)-SUMIFS('الصرف المباشر'!$D$2:$D$501,'الصرف المباشر'!$C$2:$C$501,$C485)-SUMPRODUCT((الطبخات!$B$2:$B$900=$C485)*الطبخات!$C$2:$C$900*COUNTIF('سجل الإنتاج'!$C$2:$C$501,الطبخات!$A$2:$A$900)),3))</f>
        <v/>
      </c>
      <c r="E485" s="15"/>
      <c r="F485" s="19" t="str">
        <f t="shared" si="15"/>
        <v/>
      </c>
      <c r="G485" s="9"/>
      <c r="H485" s="9"/>
    </row>
    <row r="486" spans="1:8" ht="24" customHeight="1">
      <c r="A486" s="5" t="str">
        <f t="shared" si="14"/>
        <v/>
      </c>
      <c r="B486" s="18"/>
      <c r="C486" s="9"/>
      <c r="D486" s="10" t="str">
        <f>IF($C486="","",ROUND(SUMIFS(الإدخالات!$D$2:$D$501,الإدخالات!$C$2:$C$501,$C486)+SUMIFS($F$1:F485,$C$1:C485,$C486)-SUMIFS('الصرف المباشر'!$D$2:$D$501,'الصرف المباشر'!$C$2:$C$501,$C486)-SUMPRODUCT((الطبخات!$B$2:$B$900=$C486)*الطبخات!$C$2:$C$900*COUNTIF('سجل الإنتاج'!$C$2:$C$501,الطبخات!$A$2:$A$900)),3))</f>
        <v/>
      </c>
      <c r="E486" s="15"/>
      <c r="F486" s="19" t="str">
        <f t="shared" si="15"/>
        <v/>
      </c>
      <c r="G486" s="9"/>
      <c r="H486" s="9"/>
    </row>
    <row r="487" spans="1:8" ht="24" customHeight="1">
      <c r="A487" s="5" t="str">
        <f t="shared" si="14"/>
        <v/>
      </c>
      <c r="B487" s="18"/>
      <c r="C487" s="9"/>
      <c r="D487" s="10" t="str">
        <f>IF($C487="","",ROUND(SUMIFS(الإدخالات!$D$2:$D$501,الإدخالات!$C$2:$C$501,$C487)+SUMIFS($F$1:F486,$C$1:C486,$C487)-SUMIFS('الصرف المباشر'!$D$2:$D$501,'الصرف المباشر'!$C$2:$C$501,$C487)-SUMPRODUCT((الطبخات!$B$2:$B$900=$C487)*الطبخات!$C$2:$C$900*COUNTIF('سجل الإنتاج'!$C$2:$C$501,الطبخات!$A$2:$A$900)),3))</f>
        <v/>
      </c>
      <c r="E487" s="15"/>
      <c r="F487" s="19" t="str">
        <f t="shared" si="15"/>
        <v/>
      </c>
      <c r="G487" s="9"/>
      <c r="H487" s="9"/>
    </row>
    <row r="488" spans="1:8" ht="24" customHeight="1">
      <c r="A488" s="5" t="str">
        <f t="shared" si="14"/>
        <v/>
      </c>
      <c r="B488" s="18"/>
      <c r="C488" s="9"/>
      <c r="D488" s="10" t="str">
        <f>IF($C488="","",ROUND(SUMIFS(الإدخالات!$D$2:$D$501,الإدخالات!$C$2:$C$501,$C488)+SUMIFS($F$1:F487,$C$1:C487,$C488)-SUMIFS('الصرف المباشر'!$D$2:$D$501,'الصرف المباشر'!$C$2:$C$501,$C488)-SUMPRODUCT((الطبخات!$B$2:$B$900=$C488)*الطبخات!$C$2:$C$900*COUNTIF('سجل الإنتاج'!$C$2:$C$501,الطبخات!$A$2:$A$900)),3))</f>
        <v/>
      </c>
      <c r="E488" s="15"/>
      <c r="F488" s="19" t="str">
        <f t="shared" si="15"/>
        <v/>
      </c>
      <c r="G488" s="9"/>
      <c r="H488" s="9"/>
    </row>
    <row r="489" spans="1:8" ht="24" customHeight="1">
      <c r="A489" s="5" t="str">
        <f t="shared" si="14"/>
        <v/>
      </c>
      <c r="B489" s="18"/>
      <c r="C489" s="9"/>
      <c r="D489" s="10" t="str">
        <f>IF($C489="","",ROUND(SUMIFS(الإدخالات!$D$2:$D$501,الإدخالات!$C$2:$C$501,$C489)+SUMIFS($F$1:F488,$C$1:C488,$C489)-SUMIFS('الصرف المباشر'!$D$2:$D$501,'الصرف المباشر'!$C$2:$C$501,$C489)-SUMPRODUCT((الطبخات!$B$2:$B$900=$C489)*الطبخات!$C$2:$C$900*COUNTIF('سجل الإنتاج'!$C$2:$C$501,الطبخات!$A$2:$A$900)),3))</f>
        <v/>
      </c>
      <c r="E489" s="15"/>
      <c r="F489" s="19" t="str">
        <f t="shared" si="15"/>
        <v/>
      </c>
      <c r="G489" s="9"/>
      <c r="H489" s="9"/>
    </row>
    <row r="490" spans="1:8" ht="24" customHeight="1">
      <c r="A490" s="5" t="str">
        <f t="shared" si="14"/>
        <v/>
      </c>
      <c r="B490" s="18"/>
      <c r="C490" s="9"/>
      <c r="D490" s="10" t="str">
        <f>IF($C490="","",ROUND(SUMIFS(الإدخالات!$D$2:$D$501,الإدخالات!$C$2:$C$501,$C490)+SUMIFS($F$1:F489,$C$1:C489,$C490)-SUMIFS('الصرف المباشر'!$D$2:$D$501,'الصرف المباشر'!$C$2:$C$501,$C490)-SUMPRODUCT((الطبخات!$B$2:$B$900=$C490)*الطبخات!$C$2:$C$900*COUNTIF('سجل الإنتاج'!$C$2:$C$501,الطبخات!$A$2:$A$900)),3))</f>
        <v/>
      </c>
      <c r="E490" s="15"/>
      <c r="F490" s="19" t="str">
        <f t="shared" si="15"/>
        <v/>
      </c>
      <c r="G490" s="9"/>
      <c r="H490" s="9"/>
    </row>
    <row r="491" spans="1:8" ht="24" customHeight="1">
      <c r="A491" s="5" t="str">
        <f t="shared" si="14"/>
        <v/>
      </c>
      <c r="B491" s="18"/>
      <c r="C491" s="9"/>
      <c r="D491" s="10" t="str">
        <f>IF($C491="","",ROUND(SUMIFS(الإدخالات!$D$2:$D$501,الإدخالات!$C$2:$C$501,$C491)+SUMIFS($F$1:F490,$C$1:C490,$C491)-SUMIFS('الصرف المباشر'!$D$2:$D$501,'الصرف المباشر'!$C$2:$C$501,$C491)-SUMPRODUCT((الطبخات!$B$2:$B$900=$C491)*الطبخات!$C$2:$C$900*COUNTIF('سجل الإنتاج'!$C$2:$C$501,الطبخات!$A$2:$A$900)),3))</f>
        <v/>
      </c>
      <c r="E491" s="15"/>
      <c r="F491" s="19" t="str">
        <f t="shared" si="15"/>
        <v/>
      </c>
      <c r="G491" s="9"/>
      <c r="H491" s="9"/>
    </row>
    <row r="492" spans="1:8" ht="24" customHeight="1">
      <c r="A492" s="5" t="str">
        <f t="shared" si="14"/>
        <v/>
      </c>
      <c r="B492" s="18"/>
      <c r="C492" s="9"/>
      <c r="D492" s="10" t="str">
        <f>IF($C492="","",ROUND(SUMIFS(الإدخالات!$D$2:$D$501,الإدخالات!$C$2:$C$501,$C492)+SUMIFS($F$1:F491,$C$1:C491,$C492)-SUMIFS('الصرف المباشر'!$D$2:$D$501,'الصرف المباشر'!$C$2:$C$501,$C492)-SUMPRODUCT((الطبخات!$B$2:$B$900=$C492)*الطبخات!$C$2:$C$900*COUNTIF('سجل الإنتاج'!$C$2:$C$501,الطبخات!$A$2:$A$900)),3))</f>
        <v/>
      </c>
      <c r="E492" s="15"/>
      <c r="F492" s="19" t="str">
        <f t="shared" si="15"/>
        <v/>
      </c>
      <c r="G492" s="9"/>
      <c r="H492" s="9"/>
    </row>
    <row r="493" spans="1:8" ht="24" customHeight="1">
      <c r="A493" s="5" t="str">
        <f t="shared" si="14"/>
        <v/>
      </c>
      <c r="B493" s="18"/>
      <c r="C493" s="9"/>
      <c r="D493" s="10" t="str">
        <f>IF($C493="","",ROUND(SUMIFS(الإدخالات!$D$2:$D$501,الإدخالات!$C$2:$C$501,$C493)+SUMIFS($F$1:F492,$C$1:C492,$C493)-SUMIFS('الصرف المباشر'!$D$2:$D$501,'الصرف المباشر'!$C$2:$C$501,$C493)-SUMPRODUCT((الطبخات!$B$2:$B$900=$C493)*الطبخات!$C$2:$C$900*COUNTIF('سجل الإنتاج'!$C$2:$C$501,الطبخات!$A$2:$A$900)),3))</f>
        <v/>
      </c>
      <c r="E493" s="15"/>
      <c r="F493" s="19" t="str">
        <f t="shared" si="15"/>
        <v/>
      </c>
      <c r="G493" s="9"/>
      <c r="H493" s="9"/>
    </row>
    <row r="494" spans="1:8" ht="24" customHeight="1">
      <c r="A494" s="5" t="str">
        <f t="shared" si="14"/>
        <v/>
      </c>
      <c r="B494" s="18"/>
      <c r="C494" s="9"/>
      <c r="D494" s="10" t="str">
        <f>IF($C494="","",ROUND(SUMIFS(الإدخالات!$D$2:$D$501,الإدخالات!$C$2:$C$501,$C494)+SUMIFS($F$1:F493,$C$1:C493,$C494)-SUMIFS('الصرف المباشر'!$D$2:$D$501,'الصرف المباشر'!$C$2:$C$501,$C494)-SUMPRODUCT((الطبخات!$B$2:$B$900=$C494)*الطبخات!$C$2:$C$900*COUNTIF('سجل الإنتاج'!$C$2:$C$501,الطبخات!$A$2:$A$900)),3))</f>
        <v/>
      </c>
      <c r="E494" s="15"/>
      <c r="F494" s="19" t="str">
        <f t="shared" si="15"/>
        <v/>
      </c>
      <c r="G494" s="9"/>
      <c r="H494" s="9"/>
    </row>
    <row r="495" spans="1:8" ht="24" customHeight="1">
      <c r="A495" s="5" t="str">
        <f t="shared" si="14"/>
        <v/>
      </c>
      <c r="B495" s="18"/>
      <c r="C495" s="9"/>
      <c r="D495" s="10" t="str">
        <f>IF($C495="","",ROUND(SUMIFS(الإدخالات!$D$2:$D$501,الإدخالات!$C$2:$C$501,$C495)+SUMIFS($F$1:F494,$C$1:C494,$C495)-SUMIFS('الصرف المباشر'!$D$2:$D$501,'الصرف المباشر'!$C$2:$C$501,$C495)-SUMPRODUCT((الطبخات!$B$2:$B$900=$C495)*الطبخات!$C$2:$C$900*COUNTIF('سجل الإنتاج'!$C$2:$C$501,الطبخات!$A$2:$A$900)),3))</f>
        <v/>
      </c>
      <c r="E495" s="15"/>
      <c r="F495" s="19" t="str">
        <f t="shared" si="15"/>
        <v/>
      </c>
      <c r="G495" s="9"/>
      <c r="H495" s="9"/>
    </row>
    <row r="496" spans="1:8" ht="24" customHeight="1">
      <c r="A496" s="5" t="str">
        <f t="shared" si="14"/>
        <v/>
      </c>
      <c r="B496" s="18"/>
      <c r="C496" s="9"/>
      <c r="D496" s="10" t="str">
        <f>IF($C496="","",ROUND(SUMIFS(الإدخالات!$D$2:$D$501,الإدخالات!$C$2:$C$501,$C496)+SUMIFS($F$1:F495,$C$1:C495,$C496)-SUMIFS('الصرف المباشر'!$D$2:$D$501,'الصرف المباشر'!$C$2:$C$501,$C496)-SUMPRODUCT((الطبخات!$B$2:$B$900=$C496)*الطبخات!$C$2:$C$900*COUNTIF('سجل الإنتاج'!$C$2:$C$501,الطبخات!$A$2:$A$900)),3))</f>
        <v/>
      </c>
      <c r="E496" s="15"/>
      <c r="F496" s="19" t="str">
        <f t="shared" si="15"/>
        <v/>
      </c>
      <c r="G496" s="9"/>
      <c r="H496" s="9"/>
    </row>
    <row r="497" spans="1:8" ht="24" customHeight="1">
      <c r="A497" s="5" t="str">
        <f t="shared" si="14"/>
        <v/>
      </c>
      <c r="B497" s="18"/>
      <c r="C497" s="9"/>
      <c r="D497" s="10" t="str">
        <f>IF($C497="","",ROUND(SUMIFS(الإدخالات!$D$2:$D$501,الإدخالات!$C$2:$C$501,$C497)+SUMIFS($F$1:F496,$C$1:C496,$C497)-SUMIFS('الصرف المباشر'!$D$2:$D$501,'الصرف المباشر'!$C$2:$C$501,$C497)-SUMPRODUCT((الطبخات!$B$2:$B$900=$C497)*الطبخات!$C$2:$C$900*COUNTIF('سجل الإنتاج'!$C$2:$C$501,الطبخات!$A$2:$A$900)),3))</f>
        <v/>
      </c>
      <c r="E497" s="15"/>
      <c r="F497" s="19" t="str">
        <f t="shared" si="15"/>
        <v/>
      </c>
      <c r="G497" s="9"/>
      <c r="H497" s="9"/>
    </row>
    <row r="498" spans="1:8" ht="24" customHeight="1">
      <c r="A498" s="5" t="str">
        <f t="shared" si="14"/>
        <v/>
      </c>
      <c r="B498" s="18"/>
      <c r="C498" s="9"/>
      <c r="D498" s="10" t="str">
        <f>IF($C498="","",ROUND(SUMIFS(الإدخالات!$D$2:$D$501,الإدخالات!$C$2:$C$501,$C498)+SUMIFS($F$1:F497,$C$1:C497,$C498)-SUMIFS('الصرف المباشر'!$D$2:$D$501,'الصرف المباشر'!$C$2:$C$501,$C498)-SUMPRODUCT((الطبخات!$B$2:$B$900=$C498)*الطبخات!$C$2:$C$900*COUNTIF('سجل الإنتاج'!$C$2:$C$501,الطبخات!$A$2:$A$900)),3))</f>
        <v/>
      </c>
      <c r="E498" s="15"/>
      <c r="F498" s="19" t="str">
        <f t="shared" si="15"/>
        <v/>
      </c>
      <c r="G498" s="9"/>
      <c r="H498" s="9"/>
    </row>
    <row r="499" spans="1:8" ht="24" customHeight="1">
      <c r="A499" s="5" t="str">
        <f t="shared" si="14"/>
        <v/>
      </c>
      <c r="B499" s="18"/>
      <c r="C499" s="9"/>
      <c r="D499" s="10" t="str">
        <f>IF($C499="","",ROUND(SUMIFS(الإدخالات!$D$2:$D$501,الإدخالات!$C$2:$C$501,$C499)+SUMIFS($F$1:F498,$C$1:C498,$C499)-SUMIFS('الصرف المباشر'!$D$2:$D$501,'الصرف المباشر'!$C$2:$C$501,$C499)-SUMPRODUCT((الطبخات!$B$2:$B$900=$C499)*الطبخات!$C$2:$C$900*COUNTIF('سجل الإنتاج'!$C$2:$C$501,الطبخات!$A$2:$A$900)),3))</f>
        <v/>
      </c>
      <c r="E499" s="15"/>
      <c r="F499" s="19" t="str">
        <f t="shared" si="15"/>
        <v/>
      </c>
      <c r="G499" s="9"/>
      <c r="H499" s="9"/>
    </row>
    <row r="500" spans="1:8" ht="24" customHeight="1">
      <c r="A500" s="5" t="str">
        <f t="shared" si="14"/>
        <v/>
      </c>
      <c r="B500" s="18"/>
      <c r="C500" s="9"/>
      <c r="D500" s="10" t="str">
        <f>IF($C500="","",ROUND(SUMIFS(الإدخالات!$D$2:$D$501,الإدخالات!$C$2:$C$501,$C500)+SUMIFS($F$1:F499,$C$1:C499,$C500)-SUMIFS('الصرف المباشر'!$D$2:$D$501,'الصرف المباشر'!$C$2:$C$501,$C500)-SUMPRODUCT((الطبخات!$B$2:$B$900=$C500)*الطبخات!$C$2:$C$900*COUNTIF('سجل الإنتاج'!$C$2:$C$501,الطبخات!$A$2:$A$900)),3))</f>
        <v/>
      </c>
      <c r="E500" s="15"/>
      <c r="F500" s="19" t="str">
        <f t="shared" si="15"/>
        <v/>
      </c>
      <c r="G500" s="9"/>
      <c r="H500" s="9"/>
    </row>
    <row r="501" spans="1:8" ht="24" customHeight="1">
      <c r="A501" s="5" t="str">
        <f t="shared" si="14"/>
        <v/>
      </c>
      <c r="B501" s="18"/>
      <c r="C501" s="9"/>
      <c r="D501" s="10" t="str">
        <f>IF($C501="","",ROUND(SUMIFS(الإدخالات!$D$2:$D$501,الإدخالات!$C$2:$C$501,$C501)+SUMIFS($F$1:F500,$C$1:C500,$C501)-SUMIFS('الصرف المباشر'!$D$2:$D$501,'الصرف المباشر'!$C$2:$C$501,$C501)-SUMPRODUCT((الطبخات!$B$2:$B$900=$C501)*الطبخات!$C$2:$C$900*COUNTIF('سجل الإنتاج'!$C$2:$C$501,الطبخات!$A$2:$A$900)),3))</f>
        <v/>
      </c>
      <c r="E501" s="15"/>
      <c r="F501" s="19" t="str">
        <f t="shared" si="15"/>
        <v/>
      </c>
      <c r="G501" s="9"/>
      <c r="H501" s="9"/>
    </row>
  </sheetData>
  <autoFilter ref="A1:H501" xr:uid="{00000000-0009-0000-0000-000006000000}"/>
  <conditionalFormatting sqref="A2:H501">
    <cfRule type="expression" dxfId="11" priority="1">
      <formula>AND(OR($C2&lt;&gt;"",$E2&lt;&gt;"",$B2&lt;&gt;""),OR($C2="",$E2="",$B2="",$G2=""))</formula>
    </cfRule>
  </conditionalFormatting>
  <conditionalFormatting sqref="F2:F501">
    <cfRule type="expression" dxfId="9" priority="3">
      <formula>AND($F2&lt;&gt;"",$F2&lt;0)</formula>
    </cfRule>
    <cfRule type="expression" dxfId="8" priority="4">
      <formula>AND($F2&lt;&gt;"",$F2&gt;0)</formula>
    </cfRule>
  </conditionalFormatting>
  <dataValidations count="2">
    <dataValidation type="decimal" operator="greaterThanOrEqual" allowBlank="1" showErrorMessage="1" errorTitle="قيمة سالبة" error="الكمية الفعلية لا يمكن أن تكون سالبة" sqref="E2:E501" xr:uid="{00000000-0002-0000-0600-000001000000}">
      <formula1>0</formula1>
    </dataValidation>
    <dataValidation type="list" allowBlank="1" showErrorMessage="1" errorTitle="سبب غير صحيح" error="اختر سبباً من القائمة" sqref="G2:G501" xr:uid="{00000000-0002-0000-0600-000002000000}">
      <formula1>"تلف,فقدان,خطأ إدخال سابق,سرقة,فرق جرد غير معروف السبب,أخرى"</formula1>
    </dataValidation>
  </dataValidations>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expression" priority="2" id="{00000000-000E-0000-0600-000002000000}">
            <xm:f>AND($C2&lt;&gt;"",COUNTIF(المواد!$A$2:$A$320,$C2)=0)</xm:f>
            <x14:dxf>
              <fill>
                <patternFill patternType="solid">
                  <fgColor rgb="FFFCE4E4"/>
                </patternFill>
              </fill>
            </x14:dxf>
          </x14:cfRule>
          <xm:sqref>A2:H501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ErrorMessage="1" errorTitle="مادة غير موجودة" error="اختر مادة من صفحة المواد" xr:uid="{00000000-0002-0000-0600-000000000000}">
          <x14:formula1>
            <xm:f>المواد!$A$2:$A$320</xm:f>
          </x14:formula1>
          <xm:sqref>C2:C501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D32"/>
  </sheetPr>
  <dimension ref="A1:F320"/>
  <sheetViews>
    <sheetView rightToLeft="1" workbookViewId="0">
      <pane ySplit="1" topLeftCell="A2" activePane="bottomLeft" state="frozen"/>
      <selection pane="bottomLeft"/>
    </sheetView>
  </sheetViews>
  <sheetFormatPr defaultRowHeight="14.25"/>
  <cols>
    <col min="1" max="1" width="32" customWidth="1"/>
    <col min="2" max="2" width="12" customWidth="1"/>
    <col min="3" max="3" width="16" customWidth="1"/>
    <col min="4" max="4" width="22" customWidth="1"/>
    <col min="5" max="5" width="20" customWidth="1"/>
    <col min="6" max="6" width="16" customWidth="1"/>
  </cols>
  <sheetData>
    <row r="1" spans="1:6" ht="26.1" customHeight="1">
      <c r="A1" s="2" t="s">
        <v>9</v>
      </c>
      <c r="B1" s="2" t="s">
        <v>11</v>
      </c>
      <c r="C1" s="2" t="s">
        <v>10</v>
      </c>
      <c r="D1" s="2" t="s">
        <v>179</v>
      </c>
      <c r="E1" s="2" t="s">
        <v>180</v>
      </c>
      <c r="F1" s="14" t="s">
        <v>181</v>
      </c>
    </row>
    <row r="2" spans="1:6" ht="24" customHeight="1">
      <c r="A2" s="3" t="str">
        <f>المواد!A2</f>
        <v>ملح</v>
      </c>
      <c r="B2" s="5" t="str">
        <f>المواد!B2</f>
        <v>كغ</v>
      </c>
      <c r="C2" s="4">
        <f>IF($A2="","",ROUND(SUMIFS(الإدخالات!$D$2:$D$501,الإدخالات!$C$2:$C$501,$A2)+SUMIFS('تعديل الجرد'!$F$2:$F$501,'تعديل الجرد'!$C$2:$C$501,$A2)-SUMIFS('الصرف المباشر'!$D$2:$D$501,'الصرف المباشر'!$C$2:$C$501,$A2)-SUMPRODUCT((الطبخات!$B$2:$B$900=$A2)*الطبخات!$C$2:$C$900*COUNTIF('سجل الإنتاج'!$C$2:$C$501,الطبخات!$A$2:$A$900)),3))</f>
        <v>38.04</v>
      </c>
      <c r="D2" s="4">
        <f>IF($A2="","",ROUND(SUMIFS('الصرف المباشر'!$D$2:$D$501,'الصرف المباشر'!$C$2:$C$501,$A2)+SUMPRODUCT((الطبخات!$B$2:$B$900=$A2)*الطبخات!$C$2:$C$900*COUNTIF('سجل الإنتاج'!$C$2:$C$501,الطبخات!$A$2:$A$900)),3))</f>
        <v>100</v>
      </c>
      <c r="E2" s="5" t="str">
        <f t="shared" ref="E2:E65" si="0">IF($A2="","",IF($C2&lt;0,"❌ رصيد سالب - يحتاج مراجعة","✔ طبيعي"))</f>
        <v>✔ طبيعي</v>
      </c>
      <c r="F2" s="5" t="str">
        <f>IF(AND($A2&lt;&gt;"",$E2&lt;&gt;"✔ طبيعي"),SUMPRODUCT(('الرصيد الحالي'!$E$2:$E2&lt;&gt;"✔ طبيعي")*('الرصيد الحالي'!$E$2:$E2&lt;&gt;"")*('الرصيد الحالي'!$A$2:$A2&lt;&gt;"")),"")</f>
        <v/>
      </c>
    </row>
    <row r="3" spans="1:6" ht="24" customHeight="1">
      <c r="A3" s="3" t="str">
        <f>المواد!A3</f>
        <v>مقصب</v>
      </c>
      <c r="B3" s="5" t="str">
        <f>المواد!B3</f>
        <v>كغ</v>
      </c>
      <c r="C3" s="4">
        <f>IF($A3="","",ROUND(SUMIFS(الإدخالات!$D$2:$D$501,الإدخالات!$C$2:$C$501,$A3)+SUMIFS('تعديل الجرد'!$F$2:$F$501,'تعديل الجرد'!$C$2:$C$501,$A3)-SUMIFS('الصرف المباشر'!$D$2:$D$501,'الصرف المباشر'!$C$2:$C$501,$A3)-SUMPRODUCT((الطبخات!$B$2:$B$900=$A3)*الطبخات!$C$2:$C$900*COUNTIF('سجل الإنتاج'!$C$2:$C$501,الطبخات!$A$2:$A$900)),3))</f>
        <v>2</v>
      </c>
      <c r="D3" s="4">
        <f>IF($A3="","",ROUND(SUMIFS('الصرف المباشر'!$D$2:$D$501,'الصرف المباشر'!$C$2:$C$501,$A3)+SUMPRODUCT((الطبخات!$B$2:$B$900=$A3)*الطبخات!$C$2:$C$900*COUNTIF('سجل الإنتاج'!$C$2:$C$501,الطبخات!$A$2:$A$900)),3))</f>
        <v>0</v>
      </c>
      <c r="E3" s="5" t="str">
        <f t="shared" si="0"/>
        <v>✔ طبيعي</v>
      </c>
      <c r="F3" s="5" t="str">
        <f>IF(AND($A3&lt;&gt;"",$E3&lt;&gt;"✔ طبيعي"),SUMPRODUCT(('الرصيد الحالي'!$E$2:$E3&lt;&gt;"✔ طبيعي")*('الرصيد الحالي'!$E$2:$E3&lt;&gt;"")*('الرصيد الحالي'!$A$2:$A3&lt;&gt;"")),"")</f>
        <v/>
      </c>
    </row>
    <row r="4" spans="1:6" ht="24" customHeight="1">
      <c r="A4" s="3" t="str">
        <f>المواد!A4</f>
        <v xml:space="preserve">مجمد </v>
      </c>
      <c r="B4" s="5" t="str">
        <f>المواد!B4</f>
        <v>كغ</v>
      </c>
      <c r="C4" s="4">
        <f>IF($A4="","",ROUND(SUMIFS(الإدخالات!$D$2:$D$501,الإدخالات!$C$2:$C$501,$A4)+SUMIFS('تعديل الجرد'!$F$2:$F$501,'تعديل الجرد'!$C$2:$C$501,$A4)-SUMIFS('الصرف المباشر'!$D$2:$D$501,'الصرف المباشر'!$C$2:$C$501,$A4)-SUMPRODUCT((الطبخات!$B$2:$B$900=$A4)*الطبخات!$C$2:$C$900*COUNTIF('سجل الإنتاج'!$C$2:$C$501,الطبخات!$A$2:$A$900)),3))</f>
        <v>63.5</v>
      </c>
      <c r="D4" s="4">
        <f>IF($A4="","",ROUND(SUMIFS('الصرف المباشر'!$D$2:$D$501,'الصرف المباشر'!$C$2:$C$501,$A4)+SUMPRODUCT((الطبخات!$B$2:$B$900=$A4)*الطبخات!$C$2:$C$900*COUNTIF('سجل الإنتاج'!$C$2:$C$501,الطبخات!$A$2:$A$900)),3))</f>
        <v>0</v>
      </c>
      <c r="E4" s="5" t="str">
        <f t="shared" si="0"/>
        <v>✔ طبيعي</v>
      </c>
      <c r="F4" s="5" t="str">
        <f>IF(AND($A4&lt;&gt;"",$E4&lt;&gt;"✔ طبيعي"),SUMPRODUCT(('الرصيد الحالي'!$E$2:$E4&lt;&gt;"✔ طبيعي")*('الرصيد الحالي'!$E$2:$E4&lt;&gt;"")*('الرصيد الحالي'!$A$2:$A4&lt;&gt;"")),"")</f>
        <v/>
      </c>
    </row>
    <row r="5" spans="1:6" ht="24" customHeight="1">
      <c r="A5" s="3" t="str">
        <f>المواد!A5</f>
        <v>مانع رغوة مائي</v>
      </c>
      <c r="B5" s="5" t="str">
        <f>المواد!B5</f>
        <v>كغ</v>
      </c>
      <c r="C5" s="4">
        <f>IF($A5="","",ROUND(SUMIFS(الإدخالات!$D$2:$D$501,الإدخالات!$C$2:$C$501,$A5)+SUMIFS('تعديل الجرد'!$F$2:$F$501,'تعديل الجرد'!$C$2:$C$501,$A5)-SUMIFS('الصرف المباشر'!$D$2:$D$501,'الصرف المباشر'!$C$2:$C$501,$A5)-SUMPRODUCT((الطبخات!$B$2:$B$900=$A5)*الطبخات!$C$2:$C$900*COUNTIF('سجل الإنتاج'!$C$2:$C$501,الطبخات!$A$2:$A$900)),3))</f>
        <v>0</v>
      </c>
      <c r="D5" s="4">
        <f>IF($A5="","",ROUND(SUMIFS('الصرف المباشر'!$D$2:$D$501,'الصرف المباشر'!$C$2:$C$501,$A5)+SUMPRODUCT((الطبخات!$B$2:$B$900=$A5)*الطبخات!$C$2:$C$900*COUNTIF('سجل الإنتاج'!$C$2:$C$501,الطبخات!$A$2:$A$900)),3))</f>
        <v>0</v>
      </c>
      <c r="E5" s="5" t="str">
        <f t="shared" si="0"/>
        <v>✔ طبيعي</v>
      </c>
      <c r="F5" s="5" t="str">
        <f>IF(AND($A5&lt;&gt;"",$E5&lt;&gt;"✔ طبيعي"),SUMPRODUCT(('الرصيد الحالي'!$E$2:$E5&lt;&gt;"✔ طبيعي")*('الرصيد الحالي'!$E$2:$E5&lt;&gt;"")*('الرصيد الحالي'!$A$2:$A5&lt;&gt;"")),"")</f>
        <v/>
      </c>
    </row>
    <row r="6" spans="1:6" ht="24" customHeight="1">
      <c r="A6" s="3" t="str">
        <f>المواد!A6</f>
        <v>مانع رغوة سيليكون</v>
      </c>
      <c r="B6" s="5" t="str">
        <f>المواد!B6</f>
        <v>كغ</v>
      </c>
      <c r="C6" s="4">
        <f>IF($A6="","",ROUND(SUMIFS(الإدخالات!$D$2:$D$501,الإدخالات!$C$2:$C$501,$A6)+SUMIFS('تعديل الجرد'!$F$2:$F$501,'تعديل الجرد'!$C$2:$C$501,$A6)-SUMIFS('الصرف المباشر'!$D$2:$D$501,'الصرف المباشر'!$C$2:$C$501,$A6)-SUMPRODUCT((الطبخات!$B$2:$B$900=$A6)*الطبخات!$C$2:$C$900*COUNTIF('سجل الإنتاج'!$C$2:$C$501,الطبخات!$A$2:$A$900)),3))</f>
        <v>0</v>
      </c>
      <c r="D6" s="4">
        <f>IF($A6="","",ROUND(SUMIFS('الصرف المباشر'!$D$2:$D$501,'الصرف المباشر'!$C$2:$C$501,$A6)+SUMPRODUCT((الطبخات!$B$2:$B$900=$A6)*الطبخات!$C$2:$C$900*COUNTIF('سجل الإنتاج'!$C$2:$C$501,الطبخات!$A$2:$A$900)),3))</f>
        <v>0</v>
      </c>
      <c r="E6" s="5" t="str">
        <f t="shared" si="0"/>
        <v>✔ طبيعي</v>
      </c>
      <c r="F6" s="5" t="str">
        <f>IF(AND($A6&lt;&gt;"",$E6&lt;&gt;"✔ طبيعي"),SUMPRODUCT(('الرصيد الحالي'!$E$2:$E6&lt;&gt;"✔ طبيعي")*('الرصيد الحالي'!$E$2:$E6&lt;&gt;"")*('الرصيد الحالي'!$A$2:$A6&lt;&gt;"")),"")</f>
        <v/>
      </c>
    </row>
    <row r="7" spans="1:6" ht="24" customHeight="1">
      <c r="A7" s="3" t="str">
        <f>المواد!A7</f>
        <v>ماء مقطرة</v>
      </c>
      <c r="B7" s="5" t="str">
        <f>المواد!B7</f>
        <v>كغ</v>
      </c>
      <c r="C7" s="4">
        <f>IF($A7="","",ROUND(SUMIFS(الإدخالات!$D$2:$D$501,الإدخالات!$C$2:$C$501,$A7)+SUMIFS('تعديل الجرد'!$F$2:$F$501,'تعديل الجرد'!$C$2:$C$501,$A7)-SUMIFS('الصرف المباشر'!$D$2:$D$501,'الصرف المباشر'!$C$2:$C$501,$A7)-SUMPRODUCT((الطبخات!$B$2:$B$900=$A7)*الطبخات!$C$2:$C$900*COUNTIF('سجل الإنتاج'!$C$2:$C$501,الطبخات!$A$2:$A$900)),3))</f>
        <v>27732</v>
      </c>
      <c r="D7" s="4">
        <f>IF($A7="","",ROUND(SUMIFS('الصرف المباشر'!$D$2:$D$501,'الصرف المباشر'!$C$2:$C$501,$A7)+SUMPRODUCT((الطبخات!$B$2:$B$900=$A7)*الطبخات!$C$2:$C$900*COUNTIF('سجل الإنتاج'!$C$2:$C$501,الطبخات!$A$2:$A$900)),3))</f>
        <v>890</v>
      </c>
      <c r="E7" s="5" t="str">
        <f t="shared" si="0"/>
        <v>✔ طبيعي</v>
      </c>
      <c r="F7" s="5" t="str">
        <f>IF(AND($A7&lt;&gt;"",$E7&lt;&gt;"✔ طبيعي"),SUMPRODUCT(('الرصيد الحالي'!$E$2:$E7&lt;&gt;"✔ طبيعي")*('الرصيد الحالي'!$E$2:$E7&lt;&gt;"")*('الرصيد الحالي'!$A$2:$A7&lt;&gt;"")),"")</f>
        <v/>
      </c>
    </row>
    <row r="8" spans="1:6" ht="24" customHeight="1">
      <c r="A8" s="3" t="str">
        <f>المواد!A8</f>
        <v xml:space="preserve">ماء بلسم </v>
      </c>
      <c r="B8" s="5" t="str">
        <f>المواد!B8</f>
        <v>كغ</v>
      </c>
      <c r="C8" s="4">
        <f>IF($A8="","",ROUND(SUMIFS(الإدخالات!$D$2:$D$501,الإدخالات!$C$2:$C$501,$A8)+SUMIFS('تعديل الجرد'!$F$2:$F$501,'تعديل الجرد'!$C$2:$C$501,$A8)-SUMIFS('الصرف المباشر'!$D$2:$D$501,'الصرف المباشر'!$C$2:$C$501,$A8)-SUMPRODUCT((الطبخات!$B$2:$B$900=$A8)*الطبخات!$C$2:$C$900*COUNTIF('سجل الإنتاج'!$C$2:$C$501,الطبخات!$A$2:$A$900)),3))</f>
        <v>3</v>
      </c>
      <c r="D8" s="4">
        <f>IF($A8="","",ROUND(SUMIFS('الصرف المباشر'!$D$2:$D$501,'الصرف المباشر'!$C$2:$C$501,$A8)+SUMPRODUCT((الطبخات!$B$2:$B$900=$A8)*الطبخات!$C$2:$C$900*COUNTIF('سجل الإنتاج'!$C$2:$C$501,الطبخات!$A$2:$A$900)),3))</f>
        <v>0</v>
      </c>
      <c r="E8" s="5" t="str">
        <f t="shared" si="0"/>
        <v>✔ طبيعي</v>
      </c>
      <c r="F8" s="5" t="str">
        <f>IF(AND($A8&lt;&gt;"",$E8&lt;&gt;"✔ طبيعي"),SUMPRODUCT(('الرصيد الحالي'!$E$2:$E8&lt;&gt;"✔ طبيعي")*('الرصيد الحالي'!$E$2:$E8&lt;&gt;"")*('الرصيد الحالي'!$A$2:$A8&lt;&gt;"")),"")</f>
        <v/>
      </c>
    </row>
    <row r="9" spans="1:6" ht="24" customHeight="1">
      <c r="A9" s="3" t="str">
        <f>المواد!A9</f>
        <v>لانيت 16 ماليزي</v>
      </c>
      <c r="B9" s="5" t="str">
        <f>المواد!B9</f>
        <v>كغ</v>
      </c>
      <c r="C9" s="4">
        <f>IF($A9="","",ROUND(SUMIFS(الإدخالات!$D$2:$D$501,الإدخالات!$C$2:$C$501,$A9)+SUMIFS('تعديل الجرد'!$F$2:$F$501,'تعديل الجرد'!$C$2:$C$501,$A9)-SUMIFS('الصرف المباشر'!$D$2:$D$501,'الصرف المباشر'!$C$2:$C$501,$A9)-SUMPRODUCT((الطبخات!$B$2:$B$900=$A9)*الطبخات!$C$2:$C$900*COUNTIF('سجل الإنتاج'!$C$2:$C$501,الطبخات!$A$2:$A$900)),3))</f>
        <v>0</v>
      </c>
      <c r="D9" s="4">
        <f>IF($A9="","",ROUND(SUMIFS('الصرف المباشر'!$D$2:$D$501,'الصرف المباشر'!$C$2:$C$501,$A9)+SUMPRODUCT((الطبخات!$B$2:$B$900=$A9)*الطبخات!$C$2:$C$900*COUNTIF('سجل الإنتاج'!$C$2:$C$501,الطبخات!$A$2:$A$900)),3))</f>
        <v>0</v>
      </c>
      <c r="E9" s="5" t="str">
        <f t="shared" si="0"/>
        <v>✔ طبيعي</v>
      </c>
      <c r="F9" s="5" t="str">
        <f>IF(AND($A9&lt;&gt;"",$E9&lt;&gt;"✔ طبيعي"),SUMPRODUCT(('الرصيد الحالي'!$E$2:$E9&lt;&gt;"✔ طبيعي")*('الرصيد الحالي'!$E$2:$E9&lt;&gt;"")*('الرصيد الحالي'!$A$2:$A9&lt;&gt;"")),"")</f>
        <v/>
      </c>
    </row>
    <row r="10" spans="1:6" ht="24" customHeight="1">
      <c r="A10" s="3" t="str">
        <f>المواد!A10</f>
        <v>كوستيك-قطرونة</v>
      </c>
      <c r="B10" s="5" t="str">
        <f>المواد!B10</f>
        <v>كغ</v>
      </c>
      <c r="C10" s="4">
        <f>IF($A10="","",ROUND(SUMIFS(الإدخالات!$D$2:$D$501,الإدخالات!$C$2:$C$501,$A10)+SUMIFS('تعديل الجرد'!$F$2:$F$501,'تعديل الجرد'!$C$2:$C$501,$A10)-SUMIFS('الصرف المباشر'!$D$2:$D$501,'الصرف المباشر'!$C$2:$C$501,$A10)-SUMPRODUCT((الطبخات!$B$2:$B$900=$A10)*الطبخات!$C$2:$C$900*COUNTIF('سجل الإنتاج'!$C$2:$C$501,الطبخات!$A$2:$A$900)),3))</f>
        <v>27.71</v>
      </c>
      <c r="D10" s="4">
        <f>IF($A10="","",ROUND(SUMIFS('الصرف المباشر'!$D$2:$D$501,'الصرف المباشر'!$C$2:$C$501,$A10)+SUMPRODUCT((الطبخات!$B$2:$B$900=$A10)*الطبخات!$C$2:$C$900*COUNTIF('سجل الإنتاج'!$C$2:$C$501,الطبخات!$A$2:$A$900)),3))</f>
        <v>0</v>
      </c>
      <c r="E10" s="5" t="str">
        <f t="shared" si="0"/>
        <v>✔ طبيعي</v>
      </c>
      <c r="F10" s="5" t="str">
        <f>IF(AND($A10&lt;&gt;"",$E10&lt;&gt;"✔ طبيعي"),SUMPRODUCT(('الرصيد الحالي'!$E$2:$E10&lt;&gt;"✔ طبيعي")*('الرصيد الحالي'!$E$2:$E10&lt;&gt;"")*('الرصيد الحالي'!$A$2:$A10&lt;&gt;"")),"")</f>
        <v/>
      </c>
    </row>
    <row r="11" spans="1:6" ht="24" customHeight="1">
      <c r="A11" s="3" t="str">
        <f>المواد!A11</f>
        <v>كمبرلان</v>
      </c>
      <c r="B11" s="5" t="str">
        <f>المواد!B11</f>
        <v>كغ</v>
      </c>
      <c r="C11" s="4">
        <f>IF($A11="","",ROUND(SUMIFS(الإدخالات!$D$2:$D$501,الإدخالات!$C$2:$C$501,$A11)+SUMIFS('تعديل الجرد'!$F$2:$F$501,'تعديل الجرد'!$C$2:$C$501,$A11)-SUMIFS('الصرف المباشر'!$D$2:$D$501,'الصرف المباشر'!$C$2:$C$501,$A11)-SUMPRODUCT((الطبخات!$B$2:$B$900=$A11)*الطبخات!$C$2:$C$900*COUNTIF('سجل الإنتاج'!$C$2:$C$501,الطبخات!$A$2:$A$900)),3))</f>
        <v>0</v>
      </c>
      <c r="D11" s="4">
        <f>IF($A11="","",ROUND(SUMIFS('الصرف المباشر'!$D$2:$D$501,'الصرف المباشر'!$C$2:$C$501,$A11)+SUMPRODUCT((الطبخات!$B$2:$B$900=$A11)*الطبخات!$C$2:$C$900*COUNTIF('سجل الإنتاج'!$C$2:$C$501,الطبخات!$A$2:$A$900)),3))</f>
        <v>0</v>
      </c>
      <c r="E11" s="5" t="str">
        <f t="shared" si="0"/>
        <v>✔ طبيعي</v>
      </c>
      <c r="F11" s="5" t="str">
        <f>IF(AND($A11&lt;&gt;"",$E11&lt;&gt;"✔ طبيعي"),SUMPRODUCT(('الرصيد الحالي'!$E$2:$E11&lt;&gt;"✔ طبيعي")*('الرصيد الحالي'!$E$2:$E11&lt;&gt;"")*('الرصيد الحالي'!$A$2:$A11&lt;&gt;"")),"")</f>
        <v/>
      </c>
    </row>
    <row r="12" spans="1:6" ht="24" customHeight="1">
      <c r="A12" s="3" t="str">
        <f>المواد!A12</f>
        <v>كليمازول</v>
      </c>
      <c r="B12" s="5" t="str">
        <f>المواد!B12</f>
        <v>كغ</v>
      </c>
      <c r="C12" s="4">
        <f>IF($A12="","",ROUND(SUMIFS(الإدخالات!$D$2:$D$501,الإدخالات!$C$2:$C$501,$A12)+SUMIFS('تعديل الجرد'!$F$2:$F$501,'تعديل الجرد'!$C$2:$C$501,$A12)-SUMIFS('الصرف المباشر'!$D$2:$D$501,'الصرف المباشر'!$C$2:$C$501,$A12)-SUMPRODUCT((الطبخات!$B$2:$B$900=$A12)*الطبخات!$C$2:$C$900*COUNTIF('سجل الإنتاج'!$C$2:$C$501,الطبخات!$A$2:$A$900)),3))</f>
        <v>0</v>
      </c>
      <c r="D12" s="4">
        <f>IF($A12="","",ROUND(SUMIFS('الصرف المباشر'!$D$2:$D$501,'الصرف المباشر'!$C$2:$C$501,$A12)+SUMPRODUCT((الطبخات!$B$2:$B$900=$A12)*الطبخات!$C$2:$C$900*COUNTIF('سجل الإنتاج'!$C$2:$C$501,الطبخات!$A$2:$A$900)),3))</f>
        <v>0</v>
      </c>
      <c r="E12" s="5" t="str">
        <f t="shared" si="0"/>
        <v>✔ طبيعي</v>
      </c>
      <c r="F12" s="5" t="str">
        <f>IF(AND($A12&lt;&gt;"",$E12&lt;&gt;"✔ طبيعي"),SUMPRODUCT(('الرصيد الحالي'!$E$2:$E12&lt;&gt;"✔ طبيعي")*('الرصيد الحالي'!$E$2:$E12&lt;&gt;"")*('الرصيد الحالي'!$A$2:$A12&lt;&gt;"")),"")</f>
        <v/>
      </c>
    </row>
    <row r="13" spans="1:6" ht="24" customHeight="1">
      <c r="A13" s="3" t="str">
        <f>المواد!A13</f>
        <v>كلور خام</v>
      </c>
      <c r="B13" s="5" t="str">
        <f>المواد!B13</f>
        <v>كغ</v>
      </c>
      <c r="C13" s="4">
        <f>IF($A13="","",ROUND(SUMIFS(الإدخالات!$D$2:$D$501,الإدخالات!$C$2:$C$501,$A13)+SUMIFS('تعديل الجرد'!$F$2:$F$501,'تعديل الجرد'!$C$2:$C$501,$A13)-SUMIFS('الصرف المباشر'!$D$2:$D$501,'الصرف المباشر'!$C$2:$C$501,$A13)-SUMPRODUCT((الطبخات!$B$2:$B$900=$A13)*الطبخات!$C$2:$C$900*COUNTIF('سجل الإنتاج'!$C$2:$C$501,الطبخات!$A$2:$A$900)),3))</f>
        <v>272</v>
      </c>
      <c r="D13" s="4">
        <f>IF($A13="","",ROUND(SUMIFS('الصرف المباشر'!$D$2:$D$501,'الصرف المباشر'!$C$2:$C$501,$A13)+SUMPRODUCT((الطبخات!$B$2:$B$900=$A13)*الطبخات!$C$2:$C$900*COUNTIF('سجل الإنتاج'!$C$2:$C$501,الطبخات!$A$2:$A$900)),3))</f>
        <v>0</v>
      </c>
      <c r="E13" s="5" t="str">
        <f t="shared" si="0"/>
        <v>✔ طبيعي</v>
      </c>
      <c r="F13" s="5" t="str">
        <f>IF(AND($A13&lt;&gt;"",$E13&lt;&gt;"✔ طبيعي"),SUMPRODUCT(('الرصيد الحالي'!$E$2:$E13&lt;&gt;"✔ طبيعي")*('الرصيد الحالي'!$E$2:$E13&lt;&gt;"")*('الرصيد الحالي'!$A$2:$A13&lt;&gt;"")),"")</f>
        <v/>
      </c>
    </row>
    <row r="14" spans="1:6" ht="24" customHeight="1">
      <c r="A14" s="3" t="str">
        <f>المواد!A14</f>
        <v>كحول (ايثانول)</v>
      </c>
      <c r="B14" s="5" t="str">
        <f>المواد!B14</f>
        <v>كغ</v>
      </c>
      <c r="C14" s="4">
        <f>IF($A14="","",ROUND(SUMIFS(الإدخالات!$D$2:$D$501,الإدخالات!$C$2:$C$501,$A14)+SUMIFS('تعديل الجرد'!$F$2:$F$501,'تعديل الجرد'!$C$2:$C$501,$A14)-SUMIFS('الصرف المباشر'!$D$2:$D$501,'الصرف المباشر'!$C$2:$C$501,$A14)-SUMPRODUCT((الطبخات!$B$2:$B$900=$A14)*الطبخات!$C$2:$C$900*COUNTIF('سجل الإنتاج'!$C$2:$C$501,الطبخات!$A$2:$A$900)),3))</f>
        <v>25</v>
      </c>
      <c r="D14" s="4">
        <f>IF($A14="","",ROUND(SUMIFS('الصرف المباشر'!$D$2:$D$501,'الصرف المباشر'!$C$2:$C$501,$A14)+SUMPRODUCT((الطبخات!$B$2:$B$900=$A14)*الطبخات!$C$2:$C$900*COUNTIF('سجل الإنتاج'!$C$2:$C$501,الطبخات!$A$2:$A$900)),3))</f>
        <v>0</v>
      </c>
      <c r="E14" s="5" t="str">
        <f t="shared" si="0"/>
        <v>✔ طبيعي</v>
      </c>
      <c r="F14" s="5" t="str">
        <f>IF(AND($A14&lt;&gt;"",$E14&lt;&gt;"✔ طبيعي"),SUMPRODUCT(('الرصيد الحالي'!$E$2:$E14&lt;&gt;"✔ طبيعي")*('الرصيد الحالي'!$E$2:$E14&lt;&gt;"")*('الرصيد الحالي'!$A$2:$A14&lt;&gt;"")),"")</f>
        <v/>
      </c>
    </row>
    <row r="15" spans="1:6" ht="24" customHeight="1">
      <c r="A15" s="3" t="str">
        <f>المواد!A15</f>
        <v>فورمول ( سم )</v>
      </c>
      <c r="B15" s="5" t="str">
        <f>المواد!B15</f>
        <v>كغ</v>
      </c>
      <c r="C15" s="4">
        <f>IF($A15="","",ROUND(SUMIFS(الإدخالات!$D$2:$D$501,الإدخالات!$C$2:$C$501,$A15)+SUMIFS('تعديل الجرد'!$F$2:$F$501,'تعديل الجرد'!$C$2:$C$501,$A15)-SUMIFS('الصرف المباشر'!$D$2:$D$501,'الصرف المباشر'!$C$2:$C$501,$A15)-SUMPRODUCT((الطبخات!$B$2:$B$900=$A15)*الطبخات!$C$2:$C$900*COUNTIF('سجل الإنتاج'!$C$2:$C$501,الطبخات!$A$2:$A$900)),3))</f>
        <v>0.14000000000000001</v>
      </c>
      <c r="D15" s="4">
        <f>IF($A15="","",ROUND(SUMIFS('الصرف المباشر'!$D$2:$D$501,'الصرف المباشر'!$C$2:$C$501,$A15)+SUMPRODUCT((الطبخات!$B$2:$B$900=$A15)*الطبخات!$C$2:$C$900*COUNTIF('سجل الإنتاج'!$C$2:$C$501,الطبخات!$A$2:$A$900)),3))</f>
        <v>1.5</v>
      </c>
      <c r="E15" s="5" t="str">
        <f t="shared" si="0"/>
        <v>✔ طبيعي</v>
      </c>
      <c r="F15" s="5" t="str">
        <f>IF(AND($A15&lt;&gt;"",$E15&lt;&gt;"✔ طبيعي"),SUMPRODUCT(('الرصيد الحالي'!$E$2:$E15&lt;&gt;"✔ طبيعي")*('الرصيد الحالي'!$E$2:$E15&lt;&gt;"")*('الرصيد الحالي'!$A$2:$A15&lt;&gt;"")),"")</f>
        <v/>
      </c>
    </row>
    <row r="16" spans="1:6" ht="24" customHeight="1">
      <c r="A16" s="3" t="str">
        <f>المواد!A16</f>
        <v>فاتي كحول</v>
      </c>
      <c r="B16" s="5" t="str">
        <f>المواد!B16</f>
        <v>كغ</v>
      </c>
      <c r="C16" s="4">
        <f>IF($A16="","",ROUND(SUMIFS(الإدخالات!$D$2:$D$501,الإدخالات!$C$2:$C$501,$A16)+SUMIFS('تعديل الجرد'!$F$2:$F$501,'تعديل الجرد'!$C$2:$C$501,$A16)-SUMIFS('الصرف المباشر'!$D$2:$D$501,'الصرف المباشر'!$C$2:$C$501,$A16)-SUMPRODUCT((الطبخات!$B$2:$B$900=$A16)*الطبخات!$C$2:$C$900*COUNTIF('سجل الإنتاج'!$C$2:$C$501,الطبخات!$A$2:$A$900)),3))</f>
        <v>251.4</v>
      </c>
      <c r="D16" s="4">
        <f>IF($A16="","",ROUND(SUMIFS('الصرف المباشر'!$D$2:$D$501,'الصرف المباشر'!$C$2:$C$501,$A16)+SUMPRODUCT((الطبخات!$B$2:$B$900=$A16)*الطبخات!$C$2:$C$900*COUNTIF('سجل الإنتاج'!$C$2:$C$501,الطبخات!$A$2:$A$900)),3))</f>
        <v>0</v>
      </c>
      <c r="E16" s="5" t="str">
        <f t="shared" si="0"/>
        <v>✔ طبيعي</v>
      </c>
      <c r="F16" s="5" t="str">
        <f>IF(AND($A16&lt;&gt;"",$E16&lt;&gt;"✔ طبيعي"),SUMPRODUCT(('الرصيد الحالي'!$E$2:$E16&lt;&gt;"✔ طبيعي")*('الرصيد الحالي'!$E$2:$E16&lt;&gt;"")*('الرصيد الحالي'!$A$2:$A16&lt;&gt;"")),"")</f>
        <v/>
      </c>
    </row>
    <row r="17" spans="1:6" ht="24" customHeight="1">
      <c r="A17" s="3" t="str">
        <f>المواد!A17</f>
        <v>غليسيرين</v>
      </c>
      <c r="B17" s="5" t="str">
        <f>المواد!B17</f>
        <v>كغ</v>
      </c>
      <c r="C17" s="4">
        <f>IF($A17="","",ROUND(SUMIFS(الإدخالات!$D$2:$D$501,الإدخالات!$C$2:$C$501,$A17)+SUMIFS('تعديل الجرد'!$F$2:$F$501,'تعديل الجرد'!$C$2:$C$501,$A17)-SUMIFS('الصرف المباشر'!$D$2:$D$501,'الصرف المباشر'!$C$2:$C$501,$A17)-SUMPRODUCT((الطبخات!$B$2:$B$900=$A17)*الطبخات!$C$2:$C$900*COUNTIF('سجل الإنتاج'!$C$2:$C$501,الطبخات!$A$2:$A$900)),3))</f>
        <v>0</v>
      </c>
      <c r="D17" s="4">
        <f>IF($A17="","",ROUND(SUMIFS('الصرف المباشر'!$D$2:$D$501,'الصرف المباشر'!$C$2:$C$501,$A17)+SUMPRODUCT((الطبخات!$B$2:$B$900=$A17)*الطبخات!$C$2:$C$900*COUNTIF('سجل الإنتاج'!$C$2:$C$501,الطبخات!$A$2:$A$900)),3))</f>
        <v>0</v>
      </c>
      <c r="E17" s="5" t="str">
        <f t="shared" si="0"/>
        <v>✔ طبيعي</v>
      </c>
      <c r="F17" s="5" t="str">
        <f>IF(AND($A17&lt;&gt;"",$E17&lt;&gt;"✔ طبيعي"),SUMPRODUCT(('الرصيد الحالي'!$E$2:$E17&lt;&gt;"✔ طبيعي")*('الرصيد الحالي'!$E$2:$E17&lt;&gt;"")*('الرصيد الحالي'!$A$2:$A17&lt;&gt;"")),"")</f>
        <v/>
      </c>
    </row>
    <row r="18" spans="1:6" ht="24" customHeight="1">
      <c r="A18" s="3" t="str">
        <f>المواد!A18</f>
        <v xml:space="preserve">عطر-نسيم-المحيط ocean-breeze - 327993 </v>
      </c>
      <c r="B18" s="5" t="str">
        <f>المواد!B18</f>
        <v>كغ</v>
      </c>
      <c r="C18" s="4">
        <f>IF($A18="","",ROUND(SUMIFS(الإدخالات!$D$2:$D$501,الإدخالات!$C$2:$C$501,$A18)+SUMIFS('تعديل الجرد'!$F$2:$F$501,'تعديل الجرد'!$C$2:$C$501,$A18)-SUMIFS('الصرف المباشر'!$D$2:$D$501,'الصرف المباشر'!$C$2:$C$501,$A18)-SUMPRODUCT((الطبخات!$B$2:$B$900=$A18)*الطبخات!$C$2:$C$900*COUNTIF('سجل الإنتاج'!$C$2:$C$501,الطبخات!$A$2:$A$900)),3))</f>
        <v>0.59</v>
      </c>
      <c r="D18" s="4">
        <f>IF($A18="","",ROUND(SUMIFS('الصرف المباشر'!$D$2:$D$501,'الصرف المباشر'!$C$2:$C$501,$A18)+SUMPRODUCT((الطبخات!$B$2:$B$900=$A18)*الطبخات!$C$2:$C$900*COUNTIF('سجل الإنتاج'!$C$2:$C$501,الطبخات!$A$2:$A$900)),3))</f>
        <v>0</v>
      </c>
      <c r="E18" s="5" t="str">
        <f t="shared" si="0"/>
        <v>✔ طبيعي</v>
      </c>
      <c r="F18" s="5" t="str">
        <f>IF(AND($A18&lt;&gt;"",$E18&lt;&gt;"✔ طبيعي"),SUMPRODUCT(('الرصيد الحالي'!$E$2:$E18&lt;&gt;"✔ طبيعي")*('الرصيد الحالي'!$E$2:$E18&lt;&gt;"")*('الرصيد الحالي'!$A$2:$A18&lt;&gt;"")),"")</f>
        <v/>
      </c>
    </row>
    <row r="19" spans="1:6" ht="24" customHeight="1">
      <c r="A19" s="3" t="str">
        <f>المواد!A19</f>
        <v>عطر-ليمون shiny-star - 485764</v>
      </c>
      <c r="B19" s="5" t="str">
        <f>المواد!B19</f>
        <v>كغ</v>
      </c>
      <c r="C19" s="4">
        <f>IF($A19="","",ROUND(SUMIFS(الإدخالات!$D$2:$D$501,الإدخالات!$C$2:$C$501,$A19)+SUMIFS('تعديل الجرد'!$F$2:$F$501,'تعديل الجرد'!$C$2:$C$501,$A19)-SUMIFS('الصرف المباشر'!$D$2:$D$501,'الصرف المباشر'!$C$2:$C$501,$A19)-SUMPRODUCT((الطبخات!$B$2:$B$900=$A19)*الطبخات!$C$2:$C$900*COUNTIF('سجل الإنتاج'!$C$2:$C$501,الطبخات!$A$2:$A$900)),3))</f>
        <v>0.52</v>
      </c>
      <c r="D19" s="4">
        <f>IF($A19="","",ROUND(SUMIFS('الصرف المباشر'!$D$2:$D$501,'الصرف المباشر'!$C$2:$C$501,$A19)+SUMPRODUCT((الطبخات!$B$2:$B$900=$A19)*الطبخات!$C$2:$C$900*COUNTIF('سجل الإنتاج'!$C$2:$C$501,الطبخات!$A$2:$A$900)),3))</f>
        <v>0</v>
      </c>
      <c r="E19" s="5" t="str">
        <f t="shared" si="0"/>
        <v>✔ طبيعي</v>
      </c>
      <c r="F19" s="5" t="str">
        <f>IF(AND($A19&lt;&gt;"",$E19&lt;&gt;"✔ طبيعي"),SUMPRODUCT(('الرصيد الحالي'!$E$2:$E19&lt;&gt;"✔ طبيعي")*('الرصيد الحالي'!$E$2:$E19&lt;&gt;"")*('الرصيد الحالي'!$A$2:$A19&lt;&gt;"")),"")</f>
        <v/>
      </c>
    </row>
    <row r="20" spans="1:6" ht="24" customHeight="1">
      <c r="A20" s="3" t="str">
        <f>المواد!A20</f>
        <v>عطر-ليمون citrus lemon new - 321639</v>
      </c>
      <c r="B20" s="5" t="str">
        <f>المواد!B20</f>
        <v>غ</v>
      </c>
      <c r="C20" s="4">
        <f>IF($A20="","",ROUND(SUMIFS(الإدخالات!$D$2:$D$501,الإدخالات!$C$2:$C$501,$A20)+SUMIFS('تعديل الجرد'!$F$2:$F$501,'تعديل الجرد'!$C$2:$C$501,$A20)-SUMIFS('الصرف المباشر'!$D$2:$D$501,'الصرف المباشر'!$C$2:$C$501,$A20)-SUMPRODUCT((الطبخات!$B$2:$B$900=$A20)*الطبخات!$C$2:$C$900*COUNTIF('سجل الإنتاج'!$C$2:$C$501,الطبخات!$A$2:$A$900)),3))</f>
        <v>0.36</v>
      </c>
      <c r="D20" s="4">
        <f>IF($A20="","",ROUND(SUMIFS('الصرف المباشر'!$D$2:$D$501,'الصرف المباشر'!$C$2:$C$501,$A20)+SUMPRODUCT((الطبخات!$B$2:$B$900=$A20)*الطبخات!$C$2:$C$900*COUNTIF('سجل الإنتاج'!$C$2:$C$501,الطبخات!$A$2:$A$900)),3))</f>
        <v>0</v>
      </c>
      <c r="E20" s="5" t="str">
        <f t="shared" si="0"/>
        <v>✔ طبيعي</v>
      </c>
      <c r="F20" s="5" t="str">
        <f>IF(AND($A20&lt;&gt;"",$E20&lt;&gt;"✔ طبيعي"),SUMPRODUCT(('الرصيد الحالي'!$E$2:$E20&lt;&gt;"✔ طبيعي")*('الرصيد الحالي'!$E$2:$E20&lt;&gt;"")*('الرصيد الحالي'!$A$2:$A20&lt;&gt;"")),"")</f>
        <v/>
      </c>
    </row>
    <row r="21" spans="1:6" ht="24" customHeight="1">
      <c r="A21" s="3" t="str">
        <f>المواد!A21</f>
        <v>عطر-ليلك ariel-sensation - 318728</v>
      </c>
      <c r="B21" s="5" t="str">
        <f>المواد!B21</f>
        <v>كغ</v>
      </c>
      <c r="C21" s="4">
        <f>IF($A21="","",ROUND(SUMIFS(الإدخالات!$D$2:$D$501,الإدخالات!$C$2:$C$501,$A21)+SUMIFS('تعديل الجرد'!$F$2:$F$501,'تعديل الجرد'!$C$2:$C$501,$A21)-SUMIFS('الصرف المباشر'!$D$2:$D$501,'الصرف المباشر'!$C$2:$C$501,$A21)-SUMPRODUCT((الطبخات!$B$2:$B$900=$A21)*الطبخات!$C$2:$C$900*COUNTIF('سجل الإنتاج'!$C$2:$C$501,الطبخات!$A$2:$A$900)),3))</f>
        <v>0.74</v>
      </c>
      <c r="D21" s="4">
        <f>IF($A21="","",ROUND(SUMIFS('الصرف المباشر'!$D$2:$D$501,'الصرف المباشر'!$C$2:$C$501,$A21)+SUMPRODUCT((الطبخات!$B$2:$B$900=$A21)*الطبخات!$C$2:$C$900*COUNTIF('سجل الإنتاج'!$C$2:$C$501,الطبخات!$A$2:$A$900)),3))</f>
        <v>0</v>
      </c>
      <c r="E21" s="5" t="str">
        <f t="shared" si="0"/>
        <v>✔ طبيعي</v>
      </c>
      <c r="F21" s="5" t="str">
        <f>IF(AND($A21&lt;&gt;"",$E21&lt;&gt;"✔ طبيعي"),SUMPRODUCT(('الرصيد الحالي'!$E$2:$E21&lt;&gt;"✔ طبيعي")*('الرصيد الحالي'!$E$2:$E21&lt;&gt;"")*('الرصيد الحالي'!$A$2:$A21&lt;&gt;"")),"")</f>
        <v/>
      </c>
    </row>
    <row r="22" spans="1:6" ht="24" customHeight="1">
      <c r="A22" s="3" t="str">
        <f>المواد!A22</f>
        <v xml:space="preserve">عطر-سلطان </v>
      </c>
      <c r="B22" s="5" t="str">
        <f>المواد!B22</f>
        <v>كغ</v>
      </c>
      <c r="C22" s="4">
        <f>IF($A22="","",ROUND(SUMIFS(الإدخالات!$D$2:$D$501,الإدخالات!$C$2:$C$501,$A22)+SUMIFS('تعديل الجرد'!$F$2:$F$501,'تعديل الجرد'!$C$2:$C$501,$A22)-SUMIFS('الصرف المباشر'!$D$2:$D$501,'الصرف المباشر'!$C$2:$C$501,$A22)-SUMPRODUCT((الطبخات!$B$2:$B$900=$A22)*الطبخات!$C$2:$C$900*COUNTIF('سجل الإنتاج'!$C$2:$C$501,الطبخات!$A$2:$A$900)),3))</f>
        <v>2.59</v>
      </c>
      <c r="D22" s="4">
        <f>IF($A22="","",ROUND(SUMIFS('الصرف المباشر'!$D$2:$D$501,'الصرف المباشر'!$C$2:$C$501,$A22)+SUMPRODUCT((الطبخات!$B$2:$B$900=$A22)*الطبخات!$C$2:$C$900*COUNTIF('سجل الإنتاج'!$C$2:$C$501,الطبخات!$A$2:$A$900)),3))</f>
        <v>0</v>
      </c>
      <c r="E22" s="5" t="str">
        <f t="shared" si="0"/>
        <v>✔ طبيعي</v>
      </c>
      <c r="F22" s="5" t="str">
        <f>IF(AND($A22&lt;&gt;"",$E22&lt;&gt;"✔ طبيعي"),SUMPRODUCT(('الرصيد الحالي'!$E$2:$E22&lt;&gt;"✔ طبيعي")*('الرصيد الحالي'!$E$2:$E22&lt;&gt;"")*('الرصيد الحالي'!$A$2:$A22&lt;&gt;"")),"")</f>
        <v/>
      </c>
    </row>
    <row r="23" spans="1:6" ht="24" customHeight="1">
      <c r="A23" s="3" t="str">
        <f>المواد!A23</f>
        <v>عطر-زهور lovely-petals - 485718</v>
      </c>
      <c r="B23" s="5" t="str">
        <f>المواد!B23</f>
        <v>كغ</v>
      </c>
      <c r="C23" s="4">
        <f>IF($A23="","",ROUND(SUMIFS(الإدخالات!$D$2:$D$501,الإدخالات!$C$2:$C$501,$A23)+SUMIFS('تعديل الجرد'!$F$2:$F$501,'تعديل الجرد'!$C$2:$C$501,$A23)-SUMIFS('الصرف المباشر'!$D$2:$D$501,'الصرف المباشر'!$C$2:$C$501,$A23)-SUMPRODUCT((الطبخات!$B$2:$B$900=$A23)*الطبخات!$C$2:$C$900*COUNTIF('سجل الإنتاج'!$C$2:$C$501,الطبخات!$A$2:$A$900)),3))</f>
        <v>0.53</v>
      </c>
      <c r="D23" s="4">
        <f>IF($A23="","",ROUND(SUMIFS('الصرف المباشر'!$D$2:$D$501,'الصرف المباشر'!$C$2:$C$501,$A23)+SUMPRODUCT((الطبخات!$B$2:$B$900=$A23)*الطبخات!$C$2:$C$900*COUNTIF('سجل الإنتاج'!$C$2:$C$501,الطبخات!$A$2:$A$900)),3))</f>
        <v>0</v>
      </c>
      <c r="E23" s="5" t="str">
        <f t="shared" si="0"/>
        <v>✔ طبيعي</v>
      </c>
      <c r="F23" s="5" t="str">
        <f>IF(AND($A23&lt;&gt;"",$E23&lt;&gt;"✔ طبيعي"),SUMPRODUCT(('الرصيد الحالي'!$E$2:$E23&lt;&gt;"✔ طبيعي")*('الرصيد الحالي'!$E$2:$E23&lt;&gt;"")*('الرصيد الحالي'!$A$2:$A23&lt;&gt;"")),"")</f>
        <v/>
      </c>
    </row>
    <row r="24" spans="1:6" ht="24" customHeight="1">
      <c r="A24" s="3" t="str">
        <f>المواد!A24</f>
        <v>عطر-رمان apple grandada - 322730</v>
      </c>
      <c r="B24" s="5" t="str">
        <f>المواد!B24</f>
        <v>كغ</v>
      </c>
      <c r="C24" s="4">
        <f>IF($A24="","",ROUND(SUMIFS(الإدخالات!$D$2:$D$501,الإدخالات!$C$2:$C$501,$A24)+SUMIFS('تعديل الجرد'!$F$2:$F$501,'تعديل الجرد'!$C$2:$C$501,$A24)-SUMIFS('الصرف المباشر'!$D$2:$D$501,'الصرف المباشر'!$C$2:$C$501,$A24)-SUMPRODUCT((الطبخات!$B$2:$B$900=$A24)*الطبخات!$C$2:$C$900*COUNTIF('سجل الإنتاج'!$C$2:$C$501,الطبخات!$A$2:$A$900)),3))</f>
        <v>0.66</v>
      </c>
      <c r="D24" s="4">
        <f>IF($A24="","",ROUND(SUMIFS('الصرف المباشر'!$D$2:$D$501,'الصرف المباشر'!$C$2:$C$501,$A24)+SUMPRODUCT((الطبخات!$B$2:$B$900=$A24)*الطبخات!$C$2:$C$900*COUNTIF('سجل الإنتاج'!$C$2:$C$501,الطبخات!$A$2:$A$900)),3))</f>
        <v>0</v>
      </c>
      <c r="E24" s="5" t="str">
        <f t="shared" si="0"/>
        <v>✔ طبيعي</v>
      </c>
      <c r="F24" s="5" t="str">
        <f>IF(AND($A24&lt;&gt;"",$E24&lt;&gt;"✔ طبيعي"),SUMPRODUCT(('الرصيد الحالي'!$E$2:$E24&lt;&gt;"✔ طبيعي")*('الرصيد الحالي'!$E$2:$E24&lt;&gt;"")*('الرصيد الحالي'!$A$2:$A24&lt;&gt;"")),"")</f>
        <v/>
      </c>
    </row>
    <row r="25" spans="1:6" ht="24" customHeight="1">
      <c r="A25" s="3" t="str">
        <f>المواد!A25</f>
        <v>عطر-توليب fresh-scent-amour - 485833</v>
      </c>
      <c r="B25" s="5" t="str">
        <f>المواد!B25</f>
        <v>كغ</v>
      </c>
      <c r="C25" s="4">
        <f>IF($A25="","",ROUND(SUMIFS(الإدخالات!$D$2:$D$501,الإدخالات!$C$2:$C$501,$A25)+SUMIFS('تعديل الجرد'!$F$2:$F$501,'تعديل الجرد'!$C$2:$C$501,$A25)-SUMIFS('الصرف المباشر'!$D$2:$D$501,'الصرف المباشر'!$C$2:$C$501,$A25)-SUMPRODUCT((الطبخات!$B$2:$B$900=$A25)*الطبخات!$C$2:$C$900*COUNTIF('سجل الإنتاج'!$C$2:$C$501,الطبخات!$A$2:$A$900)),3))</f>
        <v>0.6</v>
      </c>
      <c r="D25" s="4">
        <f>IF($A25="","",ROUND(SUMIFS('الصرف المباشر'!$D$2:$D$501,'الصرف المباشر'!$C$2:$C$501,$A25)+SUMPRODUCT((الطبخات!$B$2:$B$900=$A25)*الطبخات!$C$2:$C$900*COUNTIF('سجل الإنتاج'!$C$2:$C$501,الطبخات!$A$2:$A$900)),3))</f>
        <v>0</v>
      </c>
      <c r="E25" s="5" t="str">
        <f t="shared" si="0"/>
        <v>✔ طبيعي</v>
      </c>
      <c r="F25" s="5" t="str">
        <f>IF(AND($A25&lt;&gt;"",$E25&lt;&gt;"✔ طبيعي"),SUMPRODUCT(('الرصيد الحالي'!$E$2:$E25&lt;&gt;"✔ طبيعي")*('الرصيد الحالي'!$E$2:$E25&lt;&gt;"")*('الرصيد الحالي'!$A$2:$A25&lt;&gt;"")),"")</f>
        <v/>
      </c>
    </row>
    <row r="26" spans="1:6" ht="24" customHeight="1">
      <c r="A26" s="3" t="str">
        <f>المواد!A26</f>
        <v xml:space="preserve">عطر-تفاح apple - 317691 </v>
      </c>
      <c r="B26" s="5" t="str">
        <f>المواد!B26</f>
        <v>كغ</v>
      </c>
      <c r="C26" s="4">
        <f>IF($A26="","",ROUND(SUMIFS(الإدخالات!$D$2:$D$501,الإدخالات!$C$2:$C$501,$A26)+SUMIFS('تعديل الجرد'!$F$2:$F$501,'تعديل الجرد'!$C$2:$C$501,$A26)-SUMIFS('الصرف المباشر'!$D$2:$D$501,'الصرف المباشر'!$C$2:$C$501,$A26)-SUMPRODUCT((الطبخات!$B$2:$B$900=$A26)*الطبخات!$C$2:$C$900*COUNTIF('سجل الإنتاج'!$C$2:$C$501,الطبخات!$A$2:$A$900)),3))</f>
        <v>0.47</v>
      </c>
      <c r="D26" s="4">
        <f>IF($A26="","",ROUND(SUMIFS('الصرف المباشر'!$D$2:$D$501,'الصرف المباشر'!$C$2:$C$501,$A26)+SUMPRODUCT((الطبخات!$B$2:$B$900=$A26)*الطبخات!$C$2:$C$900*COUNTIF('سجل الإنتاج'!$C$2:$C$501,الطبخات!$A$2:$A$900)),3))</f>
        <v>0</v>
      </c>
      <c r="E26" s="5" t="str">
        <f t="shared" si="0"/>
        <v>✔ طبيعي</v>
      </c>
      <c r="F26" s="5" t="str">
        <f>IF(AND($A26&lt;&gt;"",$E26&lt;&gt;"✔ طبيعي"),SUMPRODUCT(('الرصيد الحالي'!$E$2:$E26&lt;&gt;"✔ طبيعي")*('الرصيد الحالي'!$E$2:$E26&lt;&gt;"")*('الرصيد الحالي'!$A$2:$A26&lt;&gt;"")),"")</f>
        <v/>
      </c>
    </row>
    <row r="27" spans="1:6" ht="24" customHeight="1">
      <c r="A27" s="3" t="str">
        <f>المواد!A27</f>
        <v>عطر-برنس</v>
      </c>
      <c r="B27" s="5" t="str">
        <f>المواد!B27</f>
        <v>غ</v>
      </c>
      <c r="C27" s="4">
        <f>IF($A27="","",ROUND(SUMIFS(الإدخالات!$D$2:$D$501,الإدخالات!$C$2:$C$501,$A27)+SUMIFS('تعديل الجرد'!$F$2:$F$501,'تعديل الجرد'!$C$2:$C$501,$A27)-SUMIFS('الصرف المباشر'!$D$2:$D$501,'الصرف المباشر'!$C$2:$C$501,$A27)-SUMPRODUCT((الطبخات!$B$2:$B$900=$A27)*الطبخات!$C$2:$C$900*COUNTIF('سجل الإنتاج'!$C$2:$C$501,الطبخات!$A$2:$A$900)),3))</f>
        <v>0</v>
      </c>
      <c r="D27" s="4">
        <f>IF($A27="","",ROUND(SUMIFS('الصرف المباشر'!$D$2:$D$501,'الصرف المباشر'!$C$2:$C$501,$A27)+SUMPRODUCT((الطبخات!$B$2:$B$900=$A27)*الطبخات!$C$2:$C$900*COUNTIF('سجل الإنتاج'!$C$2:$C$501,الطبخات!$A$2:$A$900)),3))</f>
        <v>0</v>
      </c>
      <c r="E27" s="5" t="str">
        <f t="shared" si="0"/>
        <v>✔ طبيعي</v>
      </c>
      <c r="F27" s="5" t="str">
        <f>IF(AND($A27&lt;&gt;"",$E27&lt;&gt;"✔ طبيعي"),SUMPRODUCT(('الرصيد الحالي'!$E$2:$E27&lt;&gt;"✔ طبيعي")*('الرصيد الحالي'!$E$2:$E27&lt;&gt;"")*('الرصيد الحالي'!$A$2:$A27&lt;&gt;"")),"")</f>
        <v/>
      </c>
    </row>
    <row r="28" spans="1:6" ht="24" customHeight="1">
      <c r="A28" s="3" t="str">
        <f>المواد!A28</f>
        <v>عطر-ببوري ultimate-mixture - 485797</v>
      </c>
      <c r="B28" s="5" t="str">
        <f>المواد!B28</f>
        <v>كغ</v>
      </c>
      <c r="C28" s="4">
        <f>IF($A28="","",ROUND(SUMIFS(الإدخالات!$D$2:$D$501,الإدخالات!$C$2:$C$501,$A28)+SUMIFS('تعديل الجرد'!$F$2:$F$501,'تعديل الجرد'!$C$2:$C$501,$A28)-SUMIFS('الصرف المباشر'!$D$2:$D$501,'الصرف المباشر'!$C$2:$C$501,$A28)-SUMPRODUCT((الطبخات!$B$2:$B$900=$A28)*الطبخات!$C$2:$C$900*COUNTIF('سجل الإنتاج'!$C$2:$C$501,الطبخات!$A$2:$A$900)),3))</f>
        <v>20</v>
      </c>
      <c r="D28" s="4">
        <f>IF($A28="","",ROUND(SUMIFS('الصرف المباشر'!$D$2:$D$501,'الصرف المباشر'!$C$2:$C$501,$A28)+SUMPRODUCT((الطبخات!$B$2:$B$900=$A28)*الطبخات!$C$2:$C$900*COUNTIF('سجل الإنتاج'!$C$2:$C$501,الطبخات!$A$2:$A$900)),3))</f>
        <v>0</v>
      </c>
      <c r="E28" s="5" t="str">
        <f t="shared" si="0"/>
        <v>✔ طبيعي</v>
      </c>
      <c r="F28" s="5" t="str">
        <f>IF(AND($A28&lt;&gt;"",$E28&lt;&gt;"✔ طبيعي"),SUMPRODUCT(('الرصيد الحالي'!$E$2:$E28&lt;&gt;"✔ طبيعي")*('الرصيد الحالي'!$E$2:$E28&lt;&gt;"")*('الرصيد الحالي'!$A$2:$A28&lt;&gt;"")),"")</f>
        <v/>
      </c>
    </row>
    <row r="29" spans="1:6" ht="24" customHeight="1">
      <c r="A29" s="3" t="str">
        <f>المواد!A29</f>
        <v>عطر-ازهار-الربيع spring - 318643</v>
      </c>
      <c r="B29" s="5" t="str">
        <f>المواد!B29</f>
        <v>كغ</v>
      </c>
      <c r="C29" s="4">
        <f>IF($A29="","",ROUND(SUMIFS(الإدخالات!$D$2:$D$501,الإدخالات!$C$2:$C$501,$A29)+SUMIFS('تعديل الجرد'!$F$2:$F$501,'تعديل الجرد'!$C$2:$C$501,$A29)-SUMIFS('الصرف المباشر'!$D$2:$D$501,'الصرف المباشر'!$C$2:$C$501,$A29)-SUMPRODUCT((الطبخات!$B$2:$B$900=$A29)*الطبخات!$C$2:$C$900*COUNTIF('سجل الإنتاج'!$C$2:$C$501,الطبخات!$A$2:$A$900)),3))</f>
        <v>21.4</v>
      </c>
      <c r="D29" s="4">
        <f>IF($A29="","",ROUND(SUMIFS('الصرف المباشر'!$D$2:$D$501,'الصرف المباشر'!$C$2:$C$501,$A29)+SUMPRODUCT((الطبخات!$B$2:$B$900=$A29)*الطبخات!$C$2:$C$900*COUNTIF('سجل الإنتاج'!$C$2:$C$501,الطبخات!$A$2:$A$900)),3))</f>
        <v>0</v>
      </c>
      <c r="E29" s="5" t="str">
        <f t="shared" si="0"/>
        <v>✔ طبيعي</v>
      </c>
      <c r="F29" s="5" t="str">
        <f>IF(AND($A29&lt;&gt;"",$E29&lt;&gt;"✔ طبيعي"),SUMPRODUCT(('الرصيد الحالي'!$E$2:$E29&lt;&gt;"✔ طبيعي")*('الرصيد الحالي'!$E$2:$E29&lt;&gt;"")*('الرصيد الحالي'!$A$2:$A29&lt;&gt;"")),"")</f>
        <v/>
      </c>
    </row>
    <row r="30" spans="1:6" ht="24" customHeight="1">
      <c r="A30" s="3" t="str">
        <f>المواد!A30</f>
        <v>عطر هامول</v>
      </c>
      <c r="B30" s="5" t="str">
        <f>المواد!B30</f>
        <v>كغ</v>
      </c>
      <c r="C30" s="4">
        <f>IF($A30="","",ROUND(SUMIFS(الإدخالات!$D$2:$D$501,الإدخالات!$C$2:$C$501,$A30)+SUMIFS('تعديل الجرد'!$F$2:$F$501,'تعديل الجرد'!$C$2:$C$501,$A30)-SUMIFS('الصرف المباشر'!$D$2:$D$501,'الصرف المباشر'!$C$2:$C$501,$A30)-SUMPRODUCT((الطبخات!$B$2:$B$900=$A30)*الطبخات!$C$2:$C$900*COUNTIF('سجل الإنتاج'!$C$2:$C$501,الطبخات!$A$2:$A$900)),3))</f>
        <v>0</v>
      </c>
      <c r="D30" s="4">
        <f>IF($A30="","",ROUND(SUMIFS('الصرف المباشر'!$D$2:$D$501,'الصرف المباشر'!$C$2:$C$501,$A30)+SUMPRODUCT((الطبخات!$B$2:$B$900=$A30)*الطبخات!$C$2:$C$900*COUNTIF('سجل الإنتاج'!$C$2:$C$501,الطبخات!$A$2:$A$900)),3))</f>
        <v>0</v>
      </c>
      <c r="E30" s="5" t="str">
        <f t="shared" si="0"/>
        <v>✔ طبيعي</v>
      </c>
      <c r="F30" s="5" t="str">
        <f>IF(AND($A30&lt;&gt;"",$E30&lt;&gt;"✔ طبيعي"),SUMPRODUCT(('الرصيد الحالي'!$E$2:$E30&lt;&gt;"✔ طبيعي")*('الرصيد الحالي'!$E$2:$E30&lt;&gt;"")*('الرصيد الحالي'!$A$2:$A30&lt;&gt;"")),"")</f>
        <v/>
      </c>
    </row>
    <row r="31" spans="1:6" ht="24" customHeight="1">
      <c r="A31" s="3" t="str">
        <f>المواد!A31</f>
        <v>عطر مسك احمر</v>
      </c>
      <c r="B31" s="5" t="str">
        <f>المواد!B31</f>
        <v>كغ</v>
      </c>
      <c r="C31" s="4">
        <f>IF($A31="","",ROUND(SUMIFS(الإدخالات!$D$2:$D$501,الإدخالات!$C$2:$C$501,$A31)+SUMIFS('تعديل الجرد'!$F$2:$F$501,'تعديل الجرد'!$C$2:$C$501,$A31)-SUMIFS('الصرف المباشر'!$D$2:$D$501,'الصرف المباشر'!$C$2:$C$501,$A31)-SUMPRODUCT((الطبخات!$B$2:$B$900=$A31)*الطبخات!$C$2:$C$900*COUNTIF('سجل الإنتاج'!$C$2:$C$501,الطبخات!$A$2:$A$900)),3))</f>
        <v>2</v>
      </c>
      <c r="D31" s="4">
        <f>IF($A31="","",ROUND(SUMIFS('الصرف المباشر'!$D$2:$D$501,'الصرف المباشر'!$C$2:$C$501,$A31)+SUMPRODUCT((الطبخات!$B$2:$B$900=$A31)*الطبخات!$C$2:$C$900*COUNTIF('سجل الإنتاج'!$C$2:$C$501,الطبخات!$A$2:$A$900)),3))</f>
        <v>0</v>
      </c>
      <c r="E31" s="5" t="str">
        <f t="shared" si="0"/>
        <v>✔ طبيعي</v>
      </c>
      <c r="F31" s="5" t="str">
        <f>IF(AND($A31&lt;&gt;"",$E31&lt;&gt;"✔ طبيعي"),SUMPRODUCT(('الرصيد الحالي'!$E$2:$E31&lt;&gt;"✔ طبيعي")*('الرصيد الحالي'!$E$2:$E31&lt;&gt;"")*('الرصيد الحالي'!$A$2:$A31&lt;&gt;"")),"")</f>
        <v/>
      </c>
    </row>
    <row r="32" spans="1:6" ht="24" customHeight="1">
      <c r="A32" s="3" t="str">
        <f>المواد!A32</f>
        <v>عطر مسك</v>
      </c>
      <c r="B32" s="5" t="str">
        <f>المواد!B32</f>
        <v>كغ</v>
      </c>
      <c r="C32" s="4">
        <f>IF($A32="","",ROUND(SUMIFS(الإدخالات!$D$2:$D$501,الإدخالات!$C$2:$C$501,$A32)+SUMIFS('تعديل الجرد'!$F$2:$F$501,'تعديل الجرد'!$C$2:$C$501,$A32)-SUMIFS('الصرف المباشر'!$D$2:$D$501,'الصرف المباشر'!$C$2:$C$501,$A32)-SUMPRODUCT((الطبخات!$B$2:$B$900=$A32)*الطبخات!$C$2:$C$900*COUNTIF('سجل الإنتاج'!$C$2:$C$501,الطبخات!$A$2:$A$900)),3))</f>
        <v>3</v>
      </c>
      <c r="D32" s="4">
        <f>IF($A32="","",ROUND(SUMIFS('الصرف المباشر'!$D$2:$D$501,'الصرف المباشر'!$C$2:$C$501,$A32)+SUMPRODUCT((الطبخات!$B$2:$B$900=$A32)*الطبخات!$C$2:$C$900*COUNTIF('سجل الإنتاج'!$C$2:$C$501,الطبخات!$A$2:$A$900)),3))</f>
        <v>0</v>
      </c>
      <c r="E32" s="5" t="str">
        <f t="shared" si="0"/>
        <v>✔ طبيعي</v>
      </c>
      <c r="F32" s="5" t="str">
        <f>IF(AND($A32&lt;&gt;"",$E32&lt;&gt;"✔ طبيعي"),SUMPRODUCT(('الرصيد الحالي'!$E$2:$E32&lt;&gt;"✔ طبيعي")*('الرصيد الحالي'!$E$2:$E32&lt;&gt;"")*('الرصيد الحالي'!$A$2:$A32&lt;&gt;"")),"")</f>
        <v/>
      </c>
    </row>
    <row r="33" spans="1:6" ht="24" customHeight="1">
      <c r="A33" s="3" t="str">
        <f>المواد!A33</f>
        <v>عطر ليمون ماكسي</v>
      </c>
      <c r="B33" s="5" t="str">
        <f>المواد!B33</f>
        <v>كغ</v>
      </c>
      <c r="C33" s="4">
        <f>IF($A33="","",ROUND(SUMIFS(الإدخالات!$D$2:$D$501,الإدخالات!$C$2:$C$501,$A33)+SUMIFS('تعديل الجرد'!$F$2:$F$501,'تعديل الجرد'!$C$2:$C$501,$A33)-SUMIFS('الصرف المباشر'!$D$2:$D$501,'الصرف المباشر'!$C$2:$C$501,$A33)-SUMPRODUCT((الطبخات!$B$2:$B$900=$A33)*الطبخات!$C$2:$C$900*COUNTIF('سجل الإنتاج'!$C$2:$C$501,الطبخات!$A$2:$A$900)),3))</f>
        <v>0.42</v>
      </c>
      <c r="D33" s="4">
        <f>IF($A33="","",ROUND(SUMIFS('الصرف المباشر'!$D$2:$D$501,'الصرف المباشر'!$C$2:$C$501,$A33)+SUMPRODUCT((الطبخات!$B$2:$B$900=$A33)*الطبخات!$C$2:$C$900*COUNTIF('سجل الإنتاج'!$C$2:$C$501,الطبخات!$A$2:$A$900)),3))</f>
        <v>0</v>
      </c>
      <c r="E33" s="5" t="str">
        <f t="shared" si="0"/>
        <v>✔ طبيعي</v>
      </c>
      <c r="F33" s="5" t="str">
        <f>IF(AND($A33&lt;&gt;"",$E33&lt;&gt;"✔ طبيعي"),SUMPRODUCT(('الرصيد الحالي'!$E$2:$E33&lt;&gt;"✔ طبيعي")*('الرصيد الحالي'!$E$2:$E33&lt;&gt;"")*('الرصيد الحالي'!$A$2:$A33&lt;&gt;"")),"")</f>
        <v/>
      </c>
    </row>
    <row r="34" spans="1:6" ht="24" customHeight="1">
      <c r="A34" s="3" t="str">
        <f>المواد!A34</f>
        <v>عطر عسل</v>
      </c>
      <c r="B34" s="5" t="str">
        <f>المواد!B34</f>
        <v>كغ</v>
      </c>
      <c r="C34" s="4">
        <f>IF($A34="","",ROUND(SUMIFS(الإدخالات!$D$2:$D$501,الإدخالات!$C$2:$C$501,$A34)+SUMIFS('تعديل الجرد'!$F$2:$F$501,'تعديل الجرد'!$C$2:$C$501,$A34)-SUMIFS('الصرف المباشر'!$D$2:$D$501,'الصرف المباشر'!$C$2:$C$501,$A34)-SUMPRODUCT((الطبخات!$B$2:$B$900=$A34)*الطبخات!$C$2:$C$900*COUNTIF('سجل الإنتاج'!$C$2:$C$501,الطبخات!$A$2:$A$900)),3))</f>
        <v>1</v>
      </c>
      <c r="D34" s="4">
        <f>IF($A34="","",ROUND(SUMIFS('الصرف المباشر'!$D$2:$D$501,'الصرف المباشر'!$C$2:$C$501,$A34)+SUMPRODUCT((الطبخات!$B$2:$B$900=$A34)*الطبخات!$C$2:$C$900*COUNTIF('سجل الإنتاج'!$C$2:$C$501,الطبخات!$A$2:$A$900)),3))</f>
        <v>0</v>
      </c>
      <c r="E34" s="5" t="str">
        <f t="shared" si="0"/>
        <v>✔ طبيعي</v>
      </c>
      <c r="F34" s="5" t="str">
        <f>IF(AND($A34&lt;&gt;"",$E34&lt;&gt;"✔ طبيعي"),SUMPRODUCT(('الرصيد الحالي'!$E$2:$E34&lt;&gt;"✔ طبيعي")*('الرصيد الحالي'!$E$2:$E34&lt;&gt;"")*('الرصيد الحالي'!$A$2:$A34&lt;&gt;"")),"")</f>
        <v/>
      </c>
    </row>
    <row r="35" spans="1:6" ht="24" customHeight="1">
      <c r="A35" s="3" t="str">
        <f>المواد!A35</f>
        <v>عطر جوز الهند</v>
      </c>
      <c r="B35" s="5" t="str">
        <f>المواد!B35</f>
        <v>كغ</v>
      </c>
      <c r="C35" s="4">
        <f>IF($A35="","",ROUND(SUMIFS(الإدخالات!$D$2:$D$501,الإدخالات!$C$2:$C$501,$A35)+SUMIFS('تعديل الجرد'!$F$2:$F$501,'تعديل الجرد'!$C$2:$C$501,$A35)-SUMIFS('الصرف المباشر'!$D$2:$D$501,'الصرف المباشر'!$C$2:$C$501,$A35)-SUMPRODUCT((الطبخات!$B$2:$B$900=$A35)*الطبخات!$C$2:$C$900*COUNTIF('سجل الإنتاج'!$C$2:$C$501,الطبخات!$A$2:$A$900)),3))</f>
        <v>0</v>
      </c>
      <c r="D35" s="4">
        <f>IF($A35="","",ROUND(SUMIFS('الصرف المباشر'!$D$2:$D$501,'الصرف المباشر'!$C$2:$C$501,$A35)+SUMPRODUCT((الطبخات!$B$2:$B$900=$A35)*الطبخات!$C$2:$C$900*COUNTIF('سجل الإنتاج'!$C$2:$C$501,الطبخات!$A$2:$A$900)),3))</f>
        <v>0</v>
      </c>
      <c r="E35" s="5" t="str">
        <f t="shared" si="0"/>
        <v>✔ طبيعي</v>
      </c>
      <c r="F35" s="5" t="str">
        <f>IF(AND($A35&lt;&gt;"",$E35&lt;&gt;"✔ طبيعي"),SUMPRODUCT(('الرصيد الحالي'!$E$2:$E35&lt;&gt;"✔ طبيعي")*('الرصيد الحالي'!$E$2:$E35&lt;&gt;"")*('الرصيد الحالي'!$A$2:$A35&lt;&gt;"")),"")</f>
        <v/>
      </c>
    </row>
    <row r="36" spans="1:6" ht="24" customHeight="1">
      <c r="A36" s="3" t="str">
        <f>المواد!A36</f>
        <v>عطر بانتين</v>
      </c>
      <c r="B36" s="5" t="str">
        <f>المواد!B36</f>
        <v>كغ</v>
      </c>
      <c r="C36" s="4">
        <f>IF($A36="","",ROUND(SUMIFS(الإدخالات!$D$2:$D$501,الإدخالات!$C$2:$C$501,$A36)+SUMIFS('تعديل الجرد'!$F$2:$F$501,'تعديل الجرد'!$C$2:$C$501,$A36)-SUMIFS('الصرف المباشر'!$D$2:$D$501,'الصرف المباشر'!$C$2:$C$501,$A36)-SUMPRODUCT((الطبخات!$B$2:$B$900=$A36)*الطبخات!$C$2:$C$900*COUNTIF('سجل الإنتاج'!$C$2:$C$501,الطبخات!$A$2:$A$900)),3))</f>
        <v>0</v>
      </c>
      <c r="D36" s="4">
        <f>IF($A36="","",ROUND(SUMIFS('الصرف المباشر'!$D$2:$D$501,'الصرف المباشر'!$C$2:$C$501,$A36)+SUMPRODUCT((الطبخات!$B$2:$B$900=$A36)*الطبخات!$C$2:$C$900*COUNTIF('سجل الإنتاج'!$C$2:$C$501,الطبخات!$A$2:$A$900)),3))</f>
        <v>0</v>
      </c>
      <c r="E36" s="5" t="str">
        <f t="shared" si="0"/>
        <v>✔ طبيعي</v>
      </c>
      <c r="F36" s="5" t="str">
        <f>IF(AND($A36&lt;&gt;"",$E36&lt;&gt;"✔ طبيعي"),SUMPRODUCT(('الرصيد الحالي'!$E$2:$E36&lt;&gt;"✔ طبيعي")*('الرصيد الحالي'!$E$2:$E36&lt;&gt;"")*('الرصيد الحالي'!$A$2:$A36&lt;&gt;"")),"")</f>
        <v/>
      </c>
    </row>
    <row r="37" spans="1:6" ht="24" customHeight="1">
      <c r="A37" s="3" t="str">
        <f>المواد!A37</f>
        <v>عطر اوليفا</v>
      </c>
      <c r="B37" s="5" t="str">
        <f>المواد!B37</f>
        <v>كغ</v>
      </c>
      <c r="C37" s="4">
        <f>IF($A37="","",ROUND(SUMIFS(الإدخالات!$D$2:$D$501,الإدخالات!$C$2:$C$501,$A37)+SUMIFS('تعديل الجرد'!$F$2:$F$501,'تعديل الجرد'!$C$2:$C$501,$A37)-SUMIFS('الصرف المباشر'!$D$2:$D$501,'الصرف المباشر'!$C$2:$C$501,$A37)-SUMPRODUCT((الطبخات!$B$2:$B$900=$A37)*الطبخات!$C$2:$C$900*COUNTIF('سجل الإنتاج'!$C$2:$C$501,الطبخات!$A$2:$A$900)),3))</f>
        <v>0</v>
      </c>
      <c r="D37" s="4">
        <f>IF($A37="","",ROUND(SUMIFS('الصرف المباشر'!$D$2:$D$501,'الصرف المباشر'!$C$2:$C$501,$A37)+SUMPRODUCT((الطبخات!$B$2:$B$900=$A37)*الطبخات!$C$2:$C$900*COUNTIF('سجل الإنتاج'!$C$2:$C$501,الطبخات!$A$2:$A$900)),3))</f>
        <v>0</v>
      </c>
      <c r="E37" s="5" t="str">
        <f t="shared" si="0"/>
        <v>✔ طبيعي</v>
      </c>
      <c r="F37" s="5" t="str">
        <f>IF(AND($A37&lt;&gt;"",$E37&lt;&gt;"✔ طبيعي"),SUMPRODUCT(('الرصيد الحالي'!$E$2:$E37&lt;&gt;"✔ طبيعي")*('الرصيد الحالي'!$E$2:$E37&lt;&gt;"")*('الرصيد الحالي'!$A$2:$A37&lt;&gt;"")),"")</f>
        <v/>
      </c>
    </row>
    <row r="38" spans="1:6" ht="24" customHeight="1">
      <c r="A38" s="3" t="str">
        <f>المواد!A38</f>
        <v>عطر ramani-kodi-000110</v>
      </c>
      <c r="B38" s="5" t="str">
        <f>المواد!B38</f>
        <v>كغ</v>
      </c>
      <c r="C38" s="4">
        <f>IF($A38="","",ROUND(SUMIFS(الإدخالات!$D$2:$D$501,الإدخالات!$C$2:$C$501,$A38)+SUMIFS('تعديل الجرد'!$F$2:$F$501,'تعديل الجرد'!$C$2:$C$501,$A38)-SUMIFS('الصرف المباشر'!$D$2:$D$501,'الصرف المباشر'!$C$2:$C$501,$A38)-SUMPRODUCT((الطبخات!$B$2:$B$900=$A38)*الطبخات!$C$2:$C$900*COUNTIF('سجل الإنتاج'!$C$2:$C$501,الطبخات!$A$2:$A$900)),3))</f>
        <v>2</v>
      </c>
      <c r="D38" s="4">
        <f>IF($A38="","",ROUND(SUMIFS('الصرف المباشر'!$D$2:$D$501,'الصرف المباشر'!$C$2:$C$501,$A38)+SUMPRODUCT((الطبخات!$B$2:$B$900=$A38)*الطبخات!$C$2:$C$900*COUNTIF('سجل الإنتاج'!$C$2:$C$501,الطبخات!$A$2:$A$900)),3))</f>
        <v>0</v>
      </c>
      <c r="E38" s="5" t="str">
        <f t="shared" si="0"/>
        <v>✔ طبيعي</v>
      </c>
      <c r="F38" s="5" t="str">
        <f>IF(AND($A38&lt;&gt;"",$E38&lt;&gt;"✔ طبيعي"),SUMPRODUCT(('الرصيد الحالي'!$E$2:$E38&lt;&gt;"✔ طبيعي")*('الرصيد الحالي'!$E$2:$E38&lt;&gt;"")*('الرصيد الحالي'!$A$2:$A38&lt;&gt;"")),"")</f>
        <v/>
      </c>
    </row>
    <row r="39" spans="1:6" ht="24" customHeight="1">
      <c r="A39" s="3" t="str">
        <f>المواد!A39</f>
        <v>عطر magic sprel - 6168581</v>
      </c>
      <c r="B39" s="5" t="str">
        <f>المواد!B39</f>
        <v>كغ</v>
      </c>
      <c r="C39" s="4">
        <f>IF($A39="","",ROUND(SUMIFS(الإدخالات!$D$2:$D$501,الإدخالات!$C$2:$C$501,$A39)+SUMIFS('تعديل الجرد'!$F$2:$F$501,'تعديل الجرد'!$C$2:$C$501,$A39)-SUMIFS('الصرف المباشر'!$D$2:$D$501,'الصرف المباشر'!$C$2:$C$501,$A39)-SUMPRODUCT((الطبخات!$B$2:$B$900=$A39)*الطبخات!$C$2:$C$900*COUNTIF('سجل الإنتاج'!$C$2:$C$501,الطبخات!$A$2:$A$900)),3))</f>
        <v>50</v>
      </c>
      <c r="D39" s="4">
        <f>IF($A39="","",ROUND(SUMIFS('الصرف المباشر'!$D$2:$D$501,'الصرف المباشر'!$C$2:$C$501,$A39)+SUMPRODUCT((الطبخات!$B$2:$B$900=$A39)*الطبخات!$C$2:$C$900*COUNTIF('سجل الإنتاج'!$C$2:$C$501,الطبخات!$A$2:$A$900)),3))</f>
        <v>0</v>
      </c>
      <c r="E39" s="5" t="str">
        <f t="shared" si="0"/>
        <v>✔ طبيعي</v>
      </c>
      <c r="F39" s="5" t="str">
        <f>IF(AND($A39&lt;&gt;"",$E39&lt;&gt;"✔ طبيعي"),SUMPRODUCT(('الرصيد الحالي'!$E$2:$E39&lt;&gt;"✔ طبيعي")*('الرصيد الحالي'!$E$2:$E39&lt;&gt;"")*('الرصيد الحالي'!$A$2:$A39&lt;&gt;"")),"")</f>
        <v/>
      </c>
    </row>
    <row r="40" spans="1:6" ht="24" customHeight="1">
      <c r="A40" s="3" t="str">
        <f>المواد!A40</f>
        <v>عطر kavien-clein-eforia-000020</v>
      </c>
      <c r="B40" s="5" t="str">
        <f>المواد!B40</f>
        <v>كغ</v>
      </c>
      <c r="C40" s="4">
        <f>IF($A40="","",ROUND(SUMIFS(الإدخالات!$D$2:$D$501,الإدخالات!$C$2:$C$501,$A40)+SUMIFS('تعديل الجرد'!$F$2:$F$501,'تعديل الجرد'!$C$2:$C$501,$A40)-SUMIFS('الصرف المباشر'!$D$2:$D$501,'الصرف المباشر'!$C$2:$C$501,$A40)-SUMPRODUCT((الطبخات!$B$2:$B$900=$A40)*الطبخات!$C$2:$C$900*COUNTIF('سجل الإنتاج'!$C$2:$C$501,الطبخات!$A$2:$A$900)),3))</f>
        <v>4</v>
      </c>
      <c r="D40" s="4">
        <f>IF($A40="","",ROUND(SUMIFS('الصرف المباشر'!$D$2:$D$501,'الصرف المباشر'!$C$2:$C$501,$A40)+SUMPRODUCT((الطبخات!$B$2:$B$900=$A40)*الطبخات!$C$2:$C$900*COUNTIF('سجل الإنتاج'!$C$2:$C$501,الطبخات!$A$2:$A$900)),3))</f>
        <v>0</v>
      </c>
      <c r="E40" s="5" t="str">
        <f t="shared" si="0"/>
        <v>✔ طبيعي</v>
      </c>
      <c r="F40" s="5" t="str">
        <f>IF(AND($A40&lt;&gt;"",$E40&lt;&gt;"✔ طبيعي"),SUMPRODUCT(('الرصيد الحالي'!$E$2:$E40&lt;&gt;"✔ طبيعي")*('الرصيد الحالي'!$E$2:$E40&lt;&gt;"")*('الرصيد الحالي'!$A$2:$A40&lt;&gt;"")),"")</f>
        <v/>
      </c>
    </row>
    <row r="41" spans="1:6" ht="24" customHeight="1">
      <c r="A41" s="3" t="str">
        <f>المواد!A41</f>
        <v>عطر energy-000400</v>
      </c>
      <c r="B41" s="5" t="str">
        <f>المواد!B41</f>
        <v>كغ</v>
      </c>
      <c r="C41" s="4">
        <f>IF($A41="","",ROUND(SUMIFS(الإدخالات!$D$2:$D$501,الإدخالات!$C$2:$C$501,$A41)+SUMIFS('تعديل الجرد'!$F$2:$F$501,'تعديل الجرد'!$C$2:$C$501,$A41)-SUMIFS('الصرف المباشر'!$D$2:$D$501,'الصرف المباشر'!$C$2:$C$501,$A41)-SUMPRODUCT((الطبخات!$B$2:$B$900=$A41)*الطبخات!$C$2:$C$900*COUNTIF('سجل الإنتاج'!$C$2:$C$501,الطبخات!$A$2:$A$900)),3))</f>
        <v>1.44</v>
      </c>
      <c r="D41" s="4">
        <f>IF($A41="","",ROUND(SUMIFS('الصرف المباشر'!$D$2:$D$501,'الصرف المباشر'!$C$2:$C$501,$A41)+SUMPRODUCT((الطبخات!$B$2:$B$900=$A41)*الطبخات!$C$2:$C$900*COUNTIF('سجل الإنتاج'!$C$2:$C$501,الطبخات!$A$2:$A$900)),3))</f>
        <v>0</v>
      </c>
      <c r="E41" s="5" t="str">
        <f t="shared" si="0"/>
        <v>✔ طبيعي</v>
      </c>
      <c r="F41" s="5" t="str">
        <f>IF(AND($A41&lt;&gt;"",$E41&lt;&gt;"✔ طبيعي"),SUMPRODUCT(('الرصيد الحالي'!$E$2:$E41&lt;&gt;"✔ طبيعي")*('الرصيد الحالي'!$E$2:$E41&lt;&gt;"")*('الرصيد الحالي'!$A$2:$A41&lt;&gt;"")),"")</f>
        <v/>
      </c>
    </row>
    <row r="42" spans="1:6" ht="24" customHeight="1">
      <c r="A42" s="3" t="str">
        <f>المواد!A42</f>
        <v>عطر Blue APC - 0001198620</v>
      </c>
      <c r="B42" s="5" t="str">
        <f>المواد!B42</f>
        <v>كغ</v>
      </c>
      <c r="C42" s="4">
        <f>IF($A42="","",ROUND(SUMIFS(الإدخالات!$D$2:$D$501,الإدخالات!$C$2:$C$501,$A42)+SUMIFS('تعديل الجرد'!$F$2:$F$501,'تعديل الجرد'!$C$2:$C$501,$A42)-SUMIFS('الصرف المباشر'!$D$2:$D$501,'الصرف المباشر'!$C$2:$C$501,$A42)-SUMPRODUCT((الطبخات!$B$2:$B$900=$A42)*الطبخات!$C$2:$C$900*COUNTIF('سجل الإنتاج'!$C$2:$C$501,الطبخات!$A$2:$A$900)),3))</f>
        <v>105</v>
      </c>
      <c r="D42" s="4">
        <f>IF($A42="","",ROUND(SUMIFS('الصرف المباشر'!$D$2:$D$501,'الصرف المباشر'!$C$2:$C$501,$A42)+SUMPRODUCT((الطبخات!$B$2:$B$900=$A42)*الطبخات!$C$2:$C$900*COUNTIF('سجل الإنتاج'!$C$2:$C$501,الطبخات!$A$2:$A$900)),3))</f>
        <v>0</v>
      </c>
      <c r="E42" s="5" t="str">
        <f t="shared" si="0"/>
        <v>✔ طبيعي</v>
      </c>
      <c r="F42" s="5" t="str">
        <f>IF(AND($A42&lt;&gt;"",$E42&lt;&gt;"✔ طبيعي"),SUMPRODUCT(('الرصيد الحالي'!$E$2:$E42&lt;&gt;"✔ طبيعي")*('الرصيد الحالي'!$E$2:$E42&lt;&gt;"")*('الرصيد الحالي'!$A$2:$A42&lt;&gt;"")),"")</f>
        <v/>
      </c>
    </row>
    <row r="43" spans="1:6" ht="24" customHeight="1">
      <c r="A43" s="3" t="str">
        <f>المواد!A43</f>
        <v>عطر billionair-000250</v>
      </c>
      <c r="B43" s="5" t="str">
        <f>المواد!B43</f>
        <v>كغ</v>
      </c>
      <c r="C43" s="4">
        <f>IF($A43="","",ROUND(SUMIFS(الإدخالات!$D$2:$D$501,الإدخالات!$C$2:$C$501,$A43)+SUMIFS('تعديل الجرد'!$F$2:$F$501,'تعديل الجرد'!$C$2:$C$501,$A43)-SUMIFS('الصرف المباشر'!$D$2:$D$501,'الصرف المباشر'!$C$2:$C$501,$A43)-SUMPRODUCT((الطبخات!$B$2:$B$900=$A43)*الطبخات!$C$2:$C$900*COUNTIF('سجل الإنتاج'!$C$2:$C$501,الطبخات!$A$2:$A$900)),3))</f>
        <v>4</v>
      </c>
      <c r="D43" s="4">
        <f>IF($A43="","",ROUND(SUMIFS('الصرف المباشر'!$D$2:$D$501,'الصرف المباشر'!$C$2:$C$501,$A43)+SUMPRODUCT((الطبخات!$B$2:$B$900=$A43)*الطبخات!$C$2:$C$900*COUNTIF('سجل الإنتاج'!$C$2:$C$501,الطبخات!$A$2:$A$900)),3))</f>
        <v>0</v>
      </c>
      <c r="E43" s="5" t="str">
        <f t="shared" si="0"/>
        <v>✔ طبيعي</v>
      </c>
      <c r="F43" s="5" t="str">
        <f>IF(AND($A43&lt;&gt;"",$E43&lt;&gt;"✔ طبيعي"),SUMPRODUCT(('الرصيد الحالي'!$E$2:$E43&lt;&gt;"✔ طبيعي")*('الرصيد الحالي'!$E$2:$E43&lt;&gt;"")*('الرصيد الحالي'!$A$2:$A43&lt;&gt;"")),"")</f>
        <v/>
      </c>
    </row>
    <row r="44" spans="1:6" ht="24" customHeight="1">
      <c r="A44" s="3" t="str">
        <f>المواد!A44</f>
        <v>عطر be-apple-000320</v>
      </c>
      <c r="B44" s="5" t="str">
        <f>المواد!B44</f>
        <v>كغ</v>
      </c>
      <c r="C44" s="4">
        <f>IF($A44="","",ROUND(SUMIFS(الإدخالات!$D$2:$D$501,الإدخالات!$C$2:$C$501,$A44)+SUMIFS('تعديل الجرد'!$F$2:$F$501,'تعديل الجرد'!$C$2:$C$501,$A44)-SUMIFS('الصرف المباشر'!$D$2:$D$501,'الصرف المباشر'!$C$2:$C$501,$A44)-SUMPRODUCT((الطبخات!$B$2:$B$900=$A44)*الطبخات!$C$2:$C$900*COUNTIF('سجل الإنتاج'!$C$2:$C$501,الطبخات!$A$2:$A$900)),3))</f>
        <v>2</v>
      </c>
      <c r="D44" s="4">
        <f>IF($A44="","",ROUND(SUMIFS('الصرف المباشر'!$D$2:$D$501,'الصرف المباشر'!$C$2:$C$501,$A44)+SUMPRODUCT((الطبخات!$B$2:$B$900=$A44)*الطبخات!$C$2:$C$900*COUNTIF('سجل الإنتاج'!$C$2:$C$501,الطبخات!$A$2:$A$900)),3))</f>
        <v>0</v>
      </c>
      <c r="E44" s="5" t="str">
        <f t="shared" si="0"/>
        <v>✔ طبيعي</v>
      </c>
      <c r="F44" s="5" t="str">
        <f>IF(AND($A44&lt;&gt;"",$E44&lt;&gt;"✔ طبيعي"),SUMPRODUCT(('الرصيد الحالي'!$E$2:$E44&lt;&gt;"✔ طبيعي")*('الرصيد الحالي'!$E$2:$E44&lt;&gt;"")*('الرصيد الحالي'!$A$2:$A44&lt;&gt;"")),"")</f>
        <v/>
      </c>
    </row>
    <row r="45" spans="1:6" ht="24" customHeight="1">
      <c r="A45" s="3" t="str">
        <f>المواد!A45</f>
        <v xml:space="preserve">عبوة 1 لتر </v>
      </c>
      <c r="B45" s="5" t="str">
        <f>المواد!B45</f>
        <v>عدد</v>
      </c>
      <c r="C45" s="4">
        <f>IF($A45="","",ROUND(SUMIFS(الإدخالات!$D$2:$D$501,الإدخالات!$C$2:$C$501,$A45)+SUMIFS('تعديل الجرد'!$F$2:$F$501,'تعديل الجرد'!$C$2:$C$501,$A45)-SUMIFS('الصرف المباشر'!$D$2:$D$501,'الصرف المباشر'!$C$2:$C$501,$A45)-SUMPRODUCT((الطبخات!$B$2:$B$900=$A45)*الطبخات!$C$2:$C$900*COUNTIF('سجل الإنتاج'!$C$2:$C$501,الطبخات!$A$2:$A$900)),3))</f>
        <v>0</v>
      </c>
      <c r="D45" s="4">
        <f>IF($A45="","",ROUND(SUMIFS('الصرف المباشر'!$D$2:$D$501,'الصرف المباشر'!$C$2:$C$501,$A45)+SUMPRODUCT((الطبخات!$B$2:$B$900=$A45)*الطبخات!$C$2:$C$900*COUNTIF('سجل الإنتاج'!$C$2:$C$501,الطبخات!$A$2:$A$900)),3))</f>
        <v>0</v>
      </c>
      <c r="E45" s="5" t="str">
        <f t="shared" si="0"/>
        <v>✔ طبيعي</v>
      </c>
      <c r="F45" s="5" t="str">
        <f>IF(AND($A45&lt;&gt;"",$E45&lt;&gt;"✔ طبيعي"),SUMPRODUCT(('الرصيد الحالي'!$E$2:$E45&lt;&gt;"✔ طبيعي")*('الرصيد الحالي'!$E$2:$E45&lt;&gt;"")*('الرصيد الحالي'!$A$2:$A45&lt;&gt;"")),"")</f>
        <v/>
      </c>
    </row>
    <row r="46" spans="1:6" ht="24" customHeight="1">
      <c r="A46" s="3" t="str">
        <f>المواد!A46</f>
        <v>طبالي خشب</v>
      </c>
      <c r="B46" s="5" t="str">
        <f>المواد!B46</f>
        <v>كغ</v>
      </c>
      <c r="C46" s="4">
        <f>IF($A46="","",ROUND(SUMIFS(الإدخالات!$D$2:$D$501,الإدخالات!$C$2:$C$501,$A46)+SUMIFS('تعديل الجرد'!$F$2:$F$501,'تعديل الجرد'!$C$2:$C$501,$A46)-SUMIFS('الصرف المباشر'!$D$2:$D$501,'الصرف المباشر'!$C$2:$C$501,$A46)-SUMPRODUCT((الطبخات!$B$2:$B$900=$A46)*الطبخات!$C$2:$C$900*COUNTIF('سجل الإنتاج'!$C$2:$C$501,الطبخات!$A$2:$A$900)),3))</f>
        <v>17</v>
      </c>
      <c r="D46" s="4">
        <f>IF($A46="","",ROUND(SUMIFS('الصرف المباشر'!$D$2:$D$501,'الصرف المباشر'!$C$2:$C$501,$A46)+SUMPRODUCT((الطبخات!$B$2:$B$900=$A46)*الطبخات!$C$2:$C$900*COUNTIF('سجل الإنتاج'!$C$2:$C$501,الطبخات!$A$2:$A$900)),3))</f>
        <v>0</v>
      </c>
      <c r="E46" s="5" t="str">
        <f t="shared" si="0"/>
        <v>✔ طبيعي</v>
      </c>
      <c r="F46" s="5" t="str">
        <f>IF(AND($A46&lt;&gt;"",$E46&lt;&gt;"✔ طبيعي"),SUMPRODUCT(('الرصيد الحالي'!$E$2:$E46&lt;&gt;"✔ طبيعي")*('الرصيد الحالي'!$E$2:$E46&lt;&gt;"")*('الرصيد الحالي'!$A$2:$A46&lt;&gt;"")),"")</f>
        <v/>
      </c>
    </row>
    <row r="47" spans="1:6" ht="24" customHeight="1">
      <c r="A47" s="3" t="str">
        <f>المواد!A47</f>
        <v xml:space="preserve">صودا أش </v>
      </c>
      <c r="B47" s="5" t="str">
        <f>المواد!B47</f>
        <v>كغ</v>
      </c>
      <c r="C47" s="4">
        <f>IF($A47="","",ROUND(SUMIFS(الإدخالات!$D$2:$D$501,الإدخالات!$C$2:$C$501,$A47)+SUMIFS('تعديل الجرد'!$F$2:$F$501,'تعديل الجرد'!$C$2:$C$501,$A47)-SUMIFS('الصرف المباشر'!$D$2:$D$501,'الصرف المباشر'!$C$2:$C$501,$A47)-SUMPRODUCT((الطبخات!$B$2:$B$900=$A47)*الطبخات!$C$2:$C$900*COUNTIF('سجل الإنتاج'!$C$2:$C$501,الطبخات!$A$2:$A$900)),3))</f>
        <v>0</v>
      </c>
      <c r="D47" s="4">
        <f>IF($A47="","",ROUND(SUMIFS('الصرف المباشر'!$D$2:$D$501,'الصرف المباشر'!$C$2:$C$501,$A47)+SUMPRODUCT((الطبخات!$B$2:$B$900=$A47)*الطبخات!$C$2:$C$900*COUNTIF('سجل الإنتاج'!$C$2:$C$501,الطبخات!$A$2:$A$900)),3))</f>
        <v>0</v>
      </c>
      <c r="E47" s="5" t="str">
        <f t="shared" si="0"/>
        <v>✔ طبيعي</v>
      </c>
      <c r="F47" s="5" t="str">
        <f>IF(AND($A47&lt;&gt;"",$E47&lt;&gt;"✔ طبيعي"),SUMPRODUCT(('الرصيد الحالي'!$E$2:$E47&lt;&gt;"✔ طبيعي")*('الرصيد الحالي'!$E$2:$E47&lt;&gt;"")*('الرصيد الحالي'!$A$2:$A47&lt;&gt;"")),"")</f>
        <v/>
      </c>
    </row>
    <row r="48" spans="1:6" ht="24" customHeight="1">
      <c r="A48" s="3" t="str">
        <f>المواد!A48</f>
        <v xml:space="preserve">صبغة </v>
      </c>
      <c r="B48" s="5" t="str">
        <f>المواد!B48</f>
        <v>كغ</v>
      </c>
      <c r="C48" s="4">
        <f>IF($A48="","",ROUND(SUMIFS(الإدخالات!$D$2:$D$501,الإدخالات!$C$2:$C$501,$A48)+SUMIFS('تعديل الجرد'!$F$2:$F$501,'تعديل الجرد'!$C$2:$C$501,$A48)-SUMIFS('الصرف المباشر'!$D$2:$D$501,'الصرف المباشر'!$C$2:$C$501,$A48)-SUMPRODUCT((الطبخات!$B$2:$B$900=$A48)*الطبخات!$C$2:$C$900*COUNTIF('سجل الإنتاج'!$C$2:$C$501,الطبخات!$A$2:$A$900)),3))</f>
        <v>1.42</v>
      </c>
      <c r="D48" s="4">
        <f>IF($A48="","",ROUND(SUMIFS('الصرف المباشر'!$D$2:$D$501,'الصرف المباشر'!$C$2:$C$501,$A48)+SUMPRODUCT((الطبخات!$B$2:$B$900=$A48)*الطبخات!$C$2:$C$900*COUNTIF('سجل الإنتاج'!$C$2:$C$501,الطبخات!$A$2:$A$900)),3))</f>
        <v>0</v>
      </c>
      <c r="E48" s="5" t="str">
        <f t="shared" si="0"/>
        <v>✔ طبيعي</v>
      </c>
      <c r="F48" s="5" t="str">
        <f>IF(AND($A48&lt;&gt;"",$E48&lt;&gt;"✔ طبيعي"),SUMPRODUCT(('الرصيد الحالي'!$E$2:$E48&lt;&gt;"✔ طبيعي")*('الرصيد الحالي'!$E$2:$E48&lt;&gt;"")*('الرصيد الحالي'!$A$2:$A48&lt;&gt;"")),"")</f>
        <v/>
      </c>
    </row>
    <row r="49" spans="1:6" ht="24" customHeight="1">
      <c r="A49" s="3" t="str">
        <f>المواد!A49</f>
        <v xml:space="preserve">سيليكات سائلة </v>
      </c>
      <c r="B49" s="5" t="str">
        <f>المواد!B49</f>
        <v>كغ</v>
      </c>
      <c r="C49" s="4">
        <f>IF($A49="","",ROUND(SUMIFS(الإدخالات!$D$2:$D$501,الإدخالات!$C$2:$C$501,$A49)+SUMIFS('تعديل الجرد'!$F$2:$F$501,'تعديل الجرد'!$C$2:$C$501,$A49)-SUMIFS('الصرف المباشر'!$D$2:$D$501,'الصرف المباشر'!$C$2:$C$501,$A49)-SUMPRODUCT((الطبخات!$B$2:$B$900=$A49)*الطبخات!$C$2:$C$900*COUNTIF('سجل الإنتاج'!$C$2:$C$501,الطبخات!$A$2:$A$900)),3))</f>
        <v>0</v>
      </c>
      <c r="D49" s="4">
        <f>IF($A49="","",ROUND(SUMIFS('الصرف المباشر'!$D$2:$D$501,'الصرف المباشر'!$C$2:$C$501,$A49)+SUMPRODUCT((الطبخات!$B$2:$B$900=$A49)*الطبخات!$C$2:$C$900*COUNTIF('سجل الإنتاج'!$C$2:$C$501,الطبخات!$A$2:$A$900)),3))</f>
        <v>0</v>
      </c>
      <c r="E49" s="5" t="str">
        <f t="shared" si="0"/>
        <v>✔ طبيعي</v>
      </c>
      <c r="F49" s="5" t="str">
        <f>IF(AND($A49&lt;&gt;"",$E49&lt;&gt;"✔ طبيعي"),SUMPRODUCT(('الرصيد الحالي'!$E$2:$E49&lt;&gt;"✔ طبيعي")*('الرصيد الحالي'!$E$2:$E49&lt;&gt;"")*('الرصيد الحالي'!$A$2:$A49&lt;&gt;"")),"")</f>
        <v/>
      </c>
    </row>
    <row r="50" spans="1:6" ht="24" customHeight="1">
      <c r="A50" s="3" t="str">
        <f>المواد!A50</f>
        <v>زيت الصنوبر</v>
      </c>
      <c r="B50" s="5" t="str">
        <f>المواد!B50</f>
        <v>كغ</v>
      </c>
      <c r="C50" s="4">
        <f>IF($A50="","",ROUND(SUMIFS(الإدخالات!$D$2:$D$501,الإدخالات!$C$2:$C$501,$A50)+SUMIFS('تعديل الجرد'!$F$2:$F$501,'تعديل الجرد'!$C$2:$C$501,$A50)-SUMIFS('الصرف المباشر'!$D$2:$D$501,'الصرف المباشر'!$C$2:$C$501,$A50)-SUMPRODUCT((الطبخات!$B$2:$B$900=$A50)*الطبخات!$C$2:$C$900*COUNTIF('سجل الإنتاج'!$C$2:$C$501,الطبخات!$A$2:$A$900)),3))</f>
        <v>24</v>
      </c>
      <c r="D50" s="4">
        <f>IF($A50="","",ROUND(SUMIFS('الصرف المباشر'!$D$2:$D$501,'الصرف المباشر'!$C$2:$C$501,$A50)+SUMPRODUCT((الطبخات!$B$2:$B$900=$A50)*الطبخات!$C$2:$C$900*COUNTIF('سجل الإنتاج'!$C$2:$C$501,الطبخات!$A$2:$A$900)),3))</f>
        <v>0</v>
      </c>
      <c r="E50" s="5" t="str">
        <f t="shared" si="0"/>
        <v>✔ طبيعي</v>
      </c>
      <c r="F50" s="5" t="str">
        <f>IF(AND($A50&lt;&gt;"",$E50&lt;&gt;"✔ طبيعي"),SUMPRODUCT(('الرصيد الحالي'!$E$2:$E50&lt;&gt;"✔ طبيعي")*('الرصيد الحالي'!$E$2:$E50&lt;&gt;"")*('الرصيد الحالي'!$A$2:$A50&lt;&gt;"")),"")</f>
        <v/>
      </c>
    </row>
    <row r="51" spans="1:6" ht="24" customHeight="1">
      <c r="A51" s="3" t="str">
        <f>المواد!A51</f>
        <v>زفتة</v>
      </c>
      <c r="B51" s="5" t="str">
        <f>المواد!B51</f>
        <v>كغ</v>
      </c>
      <c r="C51" s="4">
        <f>IF($A51="","",ROUND(SUMIFS(الإدخالات!$D$2:$D$501,الإدخالات!$C$2:$C$501,$A51)+SUMIFS('تعديل الجرد'!$F$2:$F$501,'تعديل الجرد'!$C$2:$C$501,$A51)-SUMIFS('الصرف المباشر'!$D$2:$D$501,'الصرف المباشر'!$C$2:$C$501,$A51)-SUMPRODUCT((الطبخات!$B$2:$B$900=$A51)*الطبخات!$C$2:$C$900*COUNTIF('سجل الإنتاج'!$C$2:$C$501,الطبخات!$A$2:$A$900)),3))</f>
        <v>88</v>
      </c>
      <c r="D51" s="4">
        <f>IF($A51="","",ROUND(SUMIFS('الصرف المباشر'!$D$2:$D$501,'الصرف المباشر'!$C$2:$C$501,$A51)+SUMPRODUCT((الطبخات!$B$2:$B$900=$A51)*الطبخات!$C$2:$C$900*COUNTIF('سجل الإنتاج'!$C$2:$C$501,الطبخات!$A$2:$A$900)),3))</f>
        <v>40</v>
      </c>
      <c r="E51" s="5" t="str">
        <f t="shared" si="0"/>
        <v>✔ طبيعي</v>
      </c>
      <c r="F51" s="5" t="str">
        <f>IF(AND($A51&lt;&gt;"",$E51&lt;&gt;"✔ طبيعي"),SUMPRODUCT(('الرصيد الحالي'!$E$2:$E51&lt;&gt;"✔ طبيعي")*('الرصيد الحالي'!$E$2:$E51&lt;&gt;"")*('الرصيد الحالي'!$A$2:$A51&lt;&gt;"")),"")</f>
        <v/>
      </c>
    </row>
    <row r="52" spans="1:6" ht="24" customHeight="1">
      <c r="A52" s="3" t="str">
        <f>المواد!A52</f>
        <v>ديباتيول فينب</v>
      </c>
      <c r="B52" s="5" t="str">
        <f>المواد!B52</f>
        <v>كغ</v>
      </c>
      <c r="C52" s="4">
        <f>IF($A52="","",ROUND(SUMIFS(الإدخالات!$D$2:$D$501,الإدخالات!$C$2:$C$501,$A52)+SUMIFS('تعديل الجرد'!$F$2:$F$501,'تعديل الجرد'!$C$2:$C$501,$A52)-SUMIFS('الصرف المباشر'!$D$2:$D$501,'الصرف المباشر'!$C$2:$C$501,$A52)-SUMPRODUCT((الطبخات!$B$2:$B$900=$A52)*الطبخات!$C$2:$C$900*COUNTIF('سجل الإنتاج'!$C$2:$C$501,الطبخات!$A$2:$A$900)),3))</f>
        <v>0</v>
      </c>
      <c r="D52" s="4">
        <f>IF($A52="","",ROUND(SUMIFS('الصرف المباشر'!$D$2:$D$501,'الصرف المباشر'!$C$2:$C$501,$A52)+SUMPRODUCT((الطبخات!$B$2:$B$900=$A52)*الطبخات!$C$2:$C$900*COUNTIF('سجل الإنتاج'!$C$2:$C$501,الطبخات!$A$2:$A$900)),3))</f>
        <v>0</v>
      </c>
      <c r="E52" s="5" t="str">
        <f t="shared" si="0"/>
        <v>✔ طبيعي</v>
      </c>
      <c r="F52" s="5" t="str">
        <f>IF(AND($A52&lt;&gt;"",$E52&lt;&gt;"✔ طبيعي"),SUMPRODUCT(('الرصيد الحالي'!$E$2:$E52&lt;&gt;"✔ طبيعي")*('الرصيد الحالي'!$E$2:$E52&lt;&gt;"")*('الرصيد الحالي'!$A$2:$A52&lt;&gt;"")),"")</f>
        <v/>
      </c>
    </row>
    <row r="53" spans="1:6" ht="24" customHeight="1">
      <c r="A53" s="3" t="str">
        <f>المواد!A53</f>
        <v>دواء غسيل نصف مصنع</v>
      </c>
      <c r="B53" s="5" t="str">
        <f>المواد!B53</f>
        <v>كغ</v>
      </c>
      <c r="C53" s="4">
        <f>IF($A53="","",ROUND(SUMIFS(الإدخالات!$D$2:$D$501,الإدخالات!$C$2:$C$501,$A53)+SUMIFS('تعديل الجرد'!$F$2:$F$501,'تعديل الجرد'!$C$2:$C$501,$A53)-SUMIFS('الصرف المباشر'!$D$2:$D$501,'الصرف المباشر'!$C$2:$C$501,$A53)-SUMPRODUCT((الطبخات!$B$2:$B$900=$A53)*الطبخات!$C$2:$C$900*COUNTIF('سجل الإنتاج'!$C$2:$C$501,الطبخات!$A$2:$A$900)),3))</f>
        <v>34</v>
      </c>
      <c r="D53" s="4">
        <f>IF($A53="","",ROUND(SUMIFS('الصرف المباشر'!$D$2:$D$501,'الصرف المباشر'!$C$2:$C$501,$A53)+SUMPRODUCT((الطبخات!$B$2:$B$900=$A53)*الطبخات!$C$2:$C$900*COUNTIF('سجل الإنتاج'!$C$2:$C$501,الطبخات!$A$2:$A$900)),3))</f>
        <v>0</v>
      </c>
      <c r="E53" s="5" t="str">
        <f t="shared" si="0"/>
        <v>✔ طبيعي</v>
      </c>
      <c r="F53" s="5" t="str">
        <f>IF(AND($A53&lt;&gt;"",$E53&lt;&gt;"✔ طبيعي"),SUMPRODUCT(('الرصيد الحالي'!$E$2:$E53&lt;&gt;"✔ طبيعي")*('الرصيد الحالي'!$E$2:$E53&lt;&gt;"")*('الرصيد الحالي'!$A$2:$A53&lt;&gt;"")),"")</f>
        <v/>
      </c>
    </row>
    <row r="54" spans="1:6" ht="24" customHeight="1">
      <c r="A54" s="3" t="str">
        <f>المواد!A54</f>
        <v>حمض الليمون</v>
      </c>
      <c r="B54" s="5" t="str">
        <f>المواد!B54</f>
        <v>كغ</v>
      </c>
      <c r="C54" s="4">
        <f>IF($A54="","",ROUND(SUMIFS(الإدخالات!$D$2:$D$501,الإدخالات!$C$2:$C$501,$A54)+SUMIFS('تعديل الجرد'!$F$2:$F$501,'تعديل الجرد'!$C$2:$C$501,$A54)-SUMIFS('الصرف المباشر'!$D$2:$D$501,'الصرف المباشر'!$C$2:$C$501,$A54)-SUMPRODUCT((الطبخات!$B$2:$B$900=$A54)*الطبخات!$C$2:$C$900*COUNTIF('سجل الإنتاج'!$C$2:$C$501,الطبخات!$A$2:$A$900)),3))</f>
        <v>1</v>
      </c>
      <c r="D54" s="4">
        <f>IF($A54="","",ROUND(SUMIFS('الصرف المباشر'!$D$2:$D$501,'الصرف المباشر'!$C$2:$C$501,$A54)+SUMPRODUCT((الطبخات!$B$2:$B$900=$A54)*الطبخات!$C$2:$C$900*COUNTIF('سجل الإنتاج'!$C$2:$C$501,الطبخات!$A$2:$A$900)),3))</f>
        <v>0</v>
      </c>
      <c r="E54" s="5" t="str">
        <f t="shared" si="0"/>
        <v>✔ طبيعي</v>
      </c>
      <c r="F54" s="5" t="str">
        <f>IF(AND($A54&lt;&gt;"",$E54&lt;&gt;"✔ طبيعي"),SUMPRODUCT(('الرصيد الحالي'!$E$2:$E54&lt;&gt;"✔ طبيعي")*('الرصيد الحالي'!$E$2:$E54&lt;&gt;"")*('الرصيد الحالي'!$A$2:$A54&lt;&gt;"")),"")</f>
        <v/>
      </c>
    </row>
    <row r="55" spans="1:6" ht="24" customHeight="1">
      <c r="A55" s="3" t="str">
        <f>المواد!A55</f>
        <v>حمض الكبريت</v>
      </c>
      <c r="B55" s="5" t="str">
        <f>المواد!B55</f>
        <v>كغ</v>
      </c>
      <c r="C55" s="4">
        <f>IF($A55="","",ROUND(SUMIFS(الإدخالات!$D$2:$D$501,الإدخالات!$C$2:$C$501,$A55)+SUMIFS('تعديل الجرد'!$F$2:$F$501,'تعديل الجرد'!$C$2:$C$501,$A55)-SUMIFS('الصرف المباشر'!$D$2:$D$501,'الصرف المباشر'!$C$2:$C$501,$A55)-SUMPRODUCT((الطبخات!$B$2:$B$900=$A55)*الطبخات!$C$2:$C$900*COUNTIF('سجل الإنتاج'!$C$2:$C$501,الطبخات!$A$2:$A$900)),3))</f>
        <v>0</v>
      </c>
      <c r="D55" s="4">
        <f>IF($A55="","",ROUND(SUMIFS('الصرف المباشر'!$D$2:$D$501,'الصرف المباشر'!$C$2:$C$501,$A55)+SUMPRODUCT((الطبخات!$B$2:$B$900=$A55)*الطبخات!$C$2:$C$900*COUNTIF('سجل الإنتاج'!$C$2:$C$501,الطبخات!$A$2:$A$900)),3))</f>
        <v>0</v>
      </c>
      <c r="E55" s="5" t="str">
        <f t="shared" si="0"/>
        <v>✔ طبيعي</v>
      </c>
      <c r="F55" s="5" t="str">
        <f>IF(AND($A55&lt;&gt;"",$E55&lt;&gt;"✔ طبيعي"),SUMPRODUCT(('الرصيد الحالي'!$E$2:$E55&lt;&gt;"✔ طبيعي")*('الرصيد الحالي'!$E$2:$E55&lt;&gt;"")*('الرصيد الحالي'!$A$2:$A55&lt;&gt;"")),"")</f>
        <v/>
      </c>
    </row>
    <row r="56" spans="1:6" ht="24" customHeight="1">
      <c r="A56" s="3" t="str">
        <f>المواد!A56</f>
        <v>حمض الخل</v>
      </c>
      <c r="B56" s="5" t="str">
        <f>المواد!B56</f>
        <v>كغ</v>
      </c>
      <c r="C56" s="4">
        <f>IF($A56="","",ROUND(SUMIFS(الإدخالات!$D$2:$D$501,الإدخالات!$C$2:$C$501,$A56)+SUMIFS('تعديل الجرد'!$F$2:$F$501,'تعديل الجرد'!$C$2:$C$501,$A56)-SUMIFS('الصرف المباشر'!$D$2:$D$501,'الصرف المباشر'!$C$2:$C$501,$A56)-SUMPRODUCT((الطبخات!$B$2:$B$900=$A56)*الطبخات!$C$2:$C$900*COUNTIF('سجل الإنتاج'!$C$2:$C$501,الطبخات!$A$2:$A$900)),3))</f>
        <v>1</v>
      </c>
      <c r="D56" s="4">
        <f>IF($A56="","",ROUND(SUMIFS('الصرف المباشر'!$D$2:$D$501,'الصرف المباشر'!$C$2:$C$501,$A56)+SUMPRODUCT((الطبخات!$B$2:$B$900=$A56)*الطبخات!$C$2:$C$900*COUNTIF('سجل الإنتاج'!$C$2:$C$501,الطبخات!$A$2:$A$900)),3))</f>
        <v>0</v>
      </c>
      <c r="E56" s="5" t="str">
        <f t="shared" si="0"/>
        <v>✔ طبيعي</v>
      </c>
      <c r="F56" s="5" t="str">
        <f>IF(AND($A56&lt;&gt;"",$E56&lt;&gt;"✔ طبيعي"),SUMPRODUCT(('الرصيد الحالي'!$E$2:$E56&lt;&gt;"✔ طبيعي")*('الرصيد الحالي'!$E$2:$E56&lt;&gt;"")*('الرصيد الحالي'!$A$2:$A56&lt;&gt;"")),"")</f>
        <v/>
      </c>
    </row>
    <row r="57" spans="1:6" ht="24" customHeight="1">
      <c r="A57" s="3" t="str">
        <f>المواد!A57</f>
        <v>حليب التين</v>
      </c>
      <c r="B57" s="5" t="str">
        <f>المواد!B57</f>
        <v>كغ</v>
      </c>
      <c r="C57" s="4">
        <f>IF($A57="","",ROUND(SUMIFS(الإدخالات!$D$2:$D$501,الإدخالات!$C$2:$C$501,$A57)+SUMIFS('تعديل الجرد'!$F$2:$F$501,'تعديل الجرد'!$C$2:$C$501,$A57)-SUMIFS('الصرف المباشر'!$D$2:$D$501,'الصرف المباشر'!$C$2:$C$501,$A57)-SUMPRODUCT((الطبخات!$B$2:$B$900=$A57)*الطبخات!$C$2:$C$900*COUNTIF('سجل الإنتاج'!$C$2:$C$501,الطبخات!$A$2:$A$900)),3))</f>
        <v>0.83</v>
      </c>
      <c r="D57" s="4">
        <f>IF($A57="","",ROUND(SUMIFS('الصرف المباشر'!$D$2:$D$501,'الصرف المباشر'!$C$2:$C$501,$A57)+SUMPRODUCT((الطبخات!$B$2:$B$900=$A57)*الطبخات!$C$2:$C$900*COUNTIF('سجل الإنتاج'!$C$2:$C$501,الطبخات!$A$2:$A$900)),3))</f>
        <v>0</v>
      </c>
      <c r="E57" s="5" t="str">
        <f t="shared" si="0"/>
        <v>✔ طبيعي</v>
      </c>
      <c r="F57" s="5" t="str">
        <f>IF(AND($A57&lt;&gt;"",$E57&lt;&gt;"✔ طبيعي"),SUMPRODUCT(('الرصيد الحالي'!$E$2:$E57&lt;&gt;"✔ طبيعي")*('الرصيد الحالي'!$E$2:$E57&lt;&gt;"")*('الرصيد الحالي'!$A$2:$A57&lt;&gt;"")),"")</f>
        <v/>
      </c>
    </row>
    <row r="58" spans="1:6" ht="24" customHeight="1">
      <c r="A58" s="3" t="str">
        <f>المواد!A58</f>
        <v xml:space="preserve">حبيبات ملونة </v>
      </c>
      <c r="B58" s="5" t="str">
        <f>المواد!B58</f>
        <v>كغ</v>
      </c>
      <c r="C58" s="4">
        <f>IF($A58="","",ROUND(SUMIFS(الإدخالات!$D$2:$D$501,الإدخالات!$C$2:$C$501,$A58)+SUMIFS('تعديل الجرد'!$F$2:$F$501,'تعديل الجرد'!$C$2:$C$501,$A58)-SUMIFS('الصرف المباشر'!$D$2:$D$501,'الصرف المباشر'!$C$2:$C$501,$A58)-SUMPRODUCT((الطبخات!$B$2:$B$900=$A58)*الطبخات!$C$2:$C$900*COUNTIF('سجل الإنتاج'!$C$2:$C$501,الطبخات!$A$2:$A$900)),3))</f>
        <v>0</v>
      </c>
      <c r="D58" s="4">
        <f>IF($A58="","",ROUND(SUMIFS('الصرف المباشر'!$D$2:$D$501,'الصرف المباشر'!$C$2:$C$501,$A58)+SUMPRODUCT((الطبخات!$B$2:$B$900=$A58)*الطبخات!$C$2:$C$900*COUNTIF('سجل الإنتاج'!$C$2:$C$501,الطبخات!$A$2:$A$900)),3))</f>
        <v>0</v>
      </c>
      <c r="E58" s="5" t="str">
        <f t="shared" si="0"/>
        <v>✔ طبيعي</v>
      </c>
      <c r="F58" s="5" t="str">
        <f>IF(AND($A58&lt;&gt;"",$E58&lt;&gt;"✔ طبيعي"),SUMPRODUCT(('الرصيد الحالي'!$E$2:$E58&lt;&gt;"✔ طبيعي")*('الرصيد الحالي'!$E$2:$E58&lt;&gt;"")*('الرصيد الحالي'!$A$2:$A58&lt;&gt;"")),"")</f>
        <v/>
      </c>
    </row>
    <row r="59" spans="1:6" ht="24" customHeight="1">
      <c r="A59" s="3" t="str">
        <f>المواد!A59</f>
        <v>تكسبون</v>
      </c>
      <c r="B59" s="5" t="str">
        <f>المواد!B59</f>
        <v>كغ</v>
      </c>
      <c r="C59" s="4">
        <f>IF($A59="","",ROUND(SUMIFS(الإدخالات!$D$2:$D$501,الإدخالات!$C$2:$C$501,$A59)+SUMIFS('تعديل الجرد'!$F$2:$F$501,'تعديل الجرد'!$C$2:$C$501,$A59)-SUMIFS('الصرف المباشر'!$D$2:$D$501,'الصرف المباشر'!$C$2:$C$501,$A59)-SUMPRODUCT((الطبخات!$B$2:$B$900=$A59)*الطبخات!$C$2:$C$900*COUNTIF('سجل الإنتاج'!$C$2:$C$501,الطبخات!$A$2:$A$900)),3))</f>
        <v>425</v>
      </c>
      <c r="D59" s="4">
        <f>IF($A59="","",ROUND(SUMIFS('الصرف المباشر'!$D$2:$D$501,'الصرف المباشر'!$C$2:$C$501,$A59)+SUMPRODUCT((الطبخات!$B$2:$B$900=$A59)*الطبخات!$C$2:$C$900*COUNTIF('سجل الإنتاج'!$C$2:$C$501,الطبخات!$A$2:$A$900)),3))</f>
        <v>43</v>
      </c>
      <c r="E59" s="5" t="str">
        <f t="shared" si="0"/>
        <v>✔ طبيعي</v>
      </c>
      <c r="F59" s="5" t="str">
        <f>IF(AND($A59&lt;&gt;"",$E59&lt;&gt;"✔ طبيعي"),SUMPRODUCT(('الرصيد الحالي'!$E$2:$E59&lt;&gt;"✔ طبيعي")*('الرصيد الحالي'!$E$2:$E59&lt;&gt;"")*('الرصيد الحالي'!$A$2:$A59&lt;&gt;"")),"")</f>
        <v/>
      </c>
    </row>
    <row r="60" spans="1:6" ht="24" customHeight="1">
      <c r="A60" s="3" t="str">
        <f>المواد!A60</f>
        <v xml:space="preserve">بيدون 4 لتر </v>
      </c>
      <c r="B60" s="5" t="str">
        <f>المواد!B60</f>
        <v>عدد</v>
      </c>
      <c r="C60" s="4">
        <f>IF($A60="","",ROUND(SUMIFS(الإدخالات!$D$2:$D$501,الإدخالات!$C$2:$C$501,$A60)+SUMIFS('تعديل الجرد'!$F$2:$F$501,'تعديل الجرد'!$C$2:$C$501,$A60)-SUMIFS('الصرف المباشر'!$D$2:$D$501,'الصرف المباشر'!$C$2:$C$501,$A60)-SUMPRODUCT((الطبخات!$B$2:$B$900=$A60)*الطبخات!$C$2:$C$900*COUNTIF('سجل الإنتاج'!$C$2:$C$501,الطبخات!$A$2:$A$900)),3))</f>
        <v>12</v>
      </c>
      <c r="D60" s="4">
        <f>IF($A60="","",ROUND(SUMIFS('الصرف المباشر'!$D$2:$D$501,'الصرف المباشر'!$C$2:$C$501,$A60)+SUMPRODUCT((الطبخات!$B$2:$B$900=$A60)*الطبخات!$C$2:$C$900*COUNTIF('سجل الإنتاج'!$C$2:$C$501,الطبخات!$A$2:$A$900)),3))</f>
        <v>0</v>
      </c>
      <c r="E60" s="5" t="str">
        <f t="shared" si="0"/>
        <v>✔ طبيعي</v>
      </c>
      <c r="F60" s="5" t="str">
        <f>IF(AND($A60&lt;&gt;"",$E60&lt;&gt;"✔ طبيعي"),SUMPRODUCT(('الرصيد الحالي'!$E$2:$E60&lt;&gt;"✔ طبيعي")*('الرصيد الحالي'!$E$2:$E60&lt;&gt;"")*('الرصيد الحالي'!$A$2:$A60&lt;&gt;"")),"")</f>
        <v/>
      </c>
    </row>
    <row r="61" spans="1:6" ht="24" customHeight="1">
      <c r="A61" s="3" t="str">
        <f>المواد!A61</f>
        <v>بيتائين</v>
      </c>
      <c r="B61" s="5" t="str">
        <f>المواد!B61</f>
        <v>كغ</v>
      </c>
      <c r="C61" s="4">
        <f>IF($A61="","",ROUND(SUMIFS(الإدخالات!$D$2:$D$501,الإدخالات!$C$2:$C$501,$A61)+SUMIFS('تعديل الجرد'!$F$2:$F$501,'تعديل الجرد'!$C$2:$C$501,$A61)-SUMIFS('الصرف المباشر'!$D$2:$D$501,'الصرف المباشر'!$C$2:$C$501,$A61)-SUMPRODUCT((الطبخات!$B$2:$B$900=$A61)*الطبخات!$C$2:$C$900*COUNTIF('سجل الإنتاج'!$C$2:$C$501,الطبخات!$A$2:$A$900)),3))</f>
        <v>292.5</v>
      </c>
      <c r="D61" s="4">
        <f>IF($A61="","",ROUND(SUMIFS('الصرف المباشر'!$D$2:$D$501,'الصرف المباشر'!$C$2:$C$501,$A61)+SUMPRODUCT((الطبخات!$B$2:$B$900=$A61)*الطبخات!$C$2:$C$900*COUNTIF('سجل الإنتاج'!$C$2:$C$501,الطبخات!$A$2:$A$900)),3))</f>
        <v>15</v>
      </c>
      <c r="E61" s="5" t="str">
        <f t="shared" si="0"/>
        <v>✔ طبيعي</v>
      </c>
      <c r="F61" s="5" t="str">
        <f>IF(AND($A61&lt;&gt;"",$E61&lt;&gt;"✔ طبيعي"),SUMPRODUCT(('الرصيد الحالي'!$E$2:$E61&lt;&gt;"✔ طبيعي")*('الرصيد الحالي'!$E$2:$E61&lt;&gt;"")*('الرصيد الحالي'!$A$2:$A61&lt;&gt;"")),"")</f>
        <v/>
      </c>
    </row>
    <row r="62" spans="1:6" ht="24" customHeight="1">
      <c r="A62" s="3" t="str">
        <f>المواد!A62</f>
        <v>بوتيل غليكول</v>
      </c>
      <c r="B62" s="5" t="str">
        <f>المواد!B62</f>
        <v>كغ</v>
      </c>
      <c r="C62" s="4">
        <f>IF($A62="","",ROUND(SUMIFS(الإدخالات!$D$2:$D$501,الإدخالات!$C$2:$C$501,$A62)+SUMIFS('تعديل الجرد'!$F$2:$F$501,'تعديل الجرد'!$C$2:$C$501,$A62)-SUMIFS('الصرف المباشر'!$D$2:$D$501,'الصرف المباشر'!$C$2:$C$501,$A62)-SUMPRODUCT((الطبخات!$B$2:$B$900=$A62)*الطبخات!$C$2:$C$900*COUNTIF('سجل الإنتاج'!$C$2:$C$501,الطبخات!$A$2:$A$900)),3))</f>
        <v>0</v>
      </c>
      <c r="D62" s="4">
        <f>IF($A62="","",ROUND(SUMIFS('الصرف المباشر'!$D$2:$D$501,'الصرف المباشر'!$C$2:$C$501,$A62)+SUMPRODUCT((الطبخات!$B$2:$B$900=$A62)*الطبخات!$C$2:$C$900*COUNTIF('سجل الإنتاج'!$C$2:$C$501,الطبخات!$A$2:$A$900)),3))</f>
        <v>0</v>
      </c>
      <c r="E62" s="5" t="str">
        <f t="shared" si="0"/>
        <v>✔ طبيعي</v>
      </c>
      <c r="F62" s="5" t="str">
        <f>IF(AND($A62&lt;&gt;"",$E62&lt;&gt;"✔ طبيعي"),SUMPRODUCT(('الرصيد الحالي'!$E$2:$E62&lt;&gt;"✔ طبيعي")*('الرصيد الحالي'!$E$2:$E62&lt;&gt;"")*('الرصيد الحالي'!$A$2:$A62&lt;&gt;"")),"")</f>
        <v/>
      </c>
    </row>
    <row r="63" spans="1:6" ht="24" customHeight="1">
      <c r="A63" s="3" t="str">
        <f>المواد!A63</f>
        <v>بلسم جامد</v>
      </c>
      <c r="B63" s="5" t="str">
        <f>المواد!B63</f>
        <v>كغ</v>
      </c>
      <c r="C63" s="4">
        <f>IF($A63="","",ROUND(SUMIFS(الإدخالات!$D$2:$D$501,الإدخالات!$C$2:$C$501,$A63)+SUMIFS('تعديل الجرد'!$F$2:$F$501,'تعديل الجرد'!$C$2:$C$501,$A63)-SUMIFS('الصرف المباشر'!$D$2:$D$501,'الصرف المباشر'!$C$2:$C$501,$A63)-SUMPRODUCT((الطبخات!$B$2:$B$900=$A63)*الطبخات!$C$2:$C$900*COUNTIF('سجل الإنتاج'!$C$2:$C$501,الطبخات!$A$2:$A$900)),3))</f>
        <v>3</v>
      </c>
      <c r="D63" s="4">
        <f>IF($A63="","",ROUND(SUMIFS('الصرف المباشر'!$D$2:$D$501,'الصرف المباشر'!$C$2:$C$501,$A63)+SUMPRODUCT((الطبخات!$B$2:$B$900=$A63)*الطبخات!$C$2:$C$900*COUNTIF('سجل الإنتاج'!$C$2:$C$501,الطبخات!$A$2:$A$900)),3))</f>
        <v>0</v>
      </c>
      <c r="E63" s="5" t="str">
        <f t="shared" si="0"/>
        <v>✔ طبيعي</v>
      </c>
      <c r="F63" s="5" t="str">
        <f>IF(AND($A63&lt;&gt;"",$E63&lt;&gt;"✔ طبيعي"),SUMPRODUCT(('الرصيد الحالي'!$E$2:$E63&lt;&gt;"✔ طبيعي")*('الرصيد الحالي'!$E$2:$E63&lt;&gt;"")*('الرصيد الحالي'!$A$2:$A63&lt;&gt;"")),"")</f>
        <v/>
      </c>
    </row>
    <row r="64" spans="1:6" ht="24" customHeight="1">
      <c r="A64" s="3" t="str">
        <f>المواد!A64</f>
        <v>بروبلين - فينب</v>
      </c>
      <c r="B64" s="5" t="str">
        <f>المواد!B64</f>
        <v>كغ</v>
      </c>
      <c r="C64" s="4">
        <f>IF($A64="","",ROUND(SUMIFS(الإدخالات!$D$2:$D$501,الإدخالات!$C$2:$C$501,$A64)+SUMIFS('تعديل الجرد'!$F$2:$F$501,'تعديل الجرد'!$C$2:$C$501,$A64)-SUMIFS('الصرف المباشر'!$D$2:$D$501,'الصرف المباشر'!$C$2:$C$501,$A64)-SUMPRODUCT((الطبخات!$B$2:$B$900=$A64)*الطبخات!$C$2:$C$900*COUNTIF('سجل الإنتاج'!$C$2:$C$501,الطبخات!$A$2:$A$900)),3))</f>
        <v>0</v>
      </c>
      <c r="D64" s="4">
        <f>IF($A64="","",ROUND(SUMIFS('الصرف المباشر'!$D$2:$D$501,'الصرف المباشر'!$C$2:$C$501,$A64)+SUMPRODUCT((الطبخات!$B$2:$B$900=$A64)*الطبخات!$C$2:$C$900*COUNTIF('سجل الإنتاج'!$C$2:$C$501,الطبخات!$A$2:$A$900)),3))</f>
        <v>0</v>
      </c>
      <c r="E64" s="5" t="str">
        <f t="shared" si="0"/>
        <v>✔ طبيعي</v>
      </c>
      <c r="F64" s="5" t="str">
        <f>IF(AND($A64&lt;&gt;"",$E64&lt;&gt;"✔ طبيعي"),SUMPRODUCT(('الرصيد الحالي'!$E$2:$E64&lt;&gt;"✔ طبيعي")*('الرصيد الحالي'!$E$2:$E64&lt;&gt;"")*('الرصيد الحالي'!$A$2:$A64&lt;&gt;"")),"")</f>
        <v/>
      </c>
    </row>
    <row r="65" spans="1:6" ht="24" customHeight="1">
      <c r="A65" s="3" t="str">
        <f>المواد!A65</f>
        <v>ايمولجين</v>
      </c>
      <c r="B65" s="5" t="str">
        <f>المواد!B65</f>
        <v>كغ</v>
      </c>
      <c r="C65" s="4">
        <f>IF($A65="","",ROUND(SUMIFS(الإدخالات!$D$2:$D$501,الإدخالات!$C$2:$C$501,$A65)+SUMIFS('تعديل الجرد'!$F$2:$F$501,'تعديل الجرد'!$C$2:$C$501,$A65)-SUMIFS('الصرف المباشر'!$D$2:$D$501,'الصرف المباشر'!$C$2:$C$501,$A65)-SUMPRODUCT((الطبخات!$B$2:$B$900=$A65)*الطبخات!$C$2:$C$900*COUNTIF('سجل الإنتاج'!$C$2:$C$501,الطبخات!$A$2:$A$900)),3))</f>
        <v>6</v>
      </c>
      <c r="D65" s="4">
        <f>IF($A65="","",ROUND(SUMIFS('الصرف المباشر'!$D$2:$D$501,'الصرف المباشر'!$C$2:$C$501,$A65)+SUMPRODUCT((الطبخات!$B$2:$B$900=$A65)*الطبخات!$C$2:$C$900*COUNTIF('سجل الإنتاج'!$C$2:$C$501,الطبخات!$A$2:$A$900)),3))</f>
        <v>0</v>
      </c>
      <c r="E65" s="5" t="str">
        <f t="shared" si="0"/>
        <v>✔ طبيعي</v>
      </c>
      <c r="F65" s="5" t="str">
        <f>IF(AND($A65&lt;&gt;"",$E65&lt;&gt;"✔ طبيعي"),SUMPRODUCT(('الرصيد الحالي'!$E$2:$E65&lt;&gt;"✔ طبيعي")*('الرصيد الحالي'!$E$2:$E65&lt;&gt;"")*('الرصيد الحالي'!$A$2:$A65&lt;&gt;"")),"")</f>
        <v/>
      </c>
    </row>
    <row r="66" spans="1:6" ht="24" customHeight="1">
      <c r="A66" s="3" t="str">
        <f>المواد!A66</f>
        <v>ايديتا</v>
      </c>
      <c r="B66" s="5" t="str">
        <f>المواد!B66</f>
        <v>كغ</v>
      </c>
      <c r="C66" s="4">
        <f>IF($A66="","",ROUND(SUMIFS(الإدخالات!$D$2:$D$501,الإدخالات!$C$2:$C$501,$A66)+SUMIFS('تعديل الجرد'!$F$2:$F$501,'تعديل الجرد'!$C$2:$C$501,$A66)-SUMIFS('الصرف المباشر'!$D$2:$D$501,'الصرف المباشر'!$C$2:$C$501,$A66)-SUMPRODUCT((الطبخات!$B$2:$B$900=$A66)*الطبخات!$C$2:$C$900*COUNTIF('سجل الإنتاج'!$C$2:$C$501,الطبخات!$A$2:$A$900)),3))</f>
        <v>16.5</v>
      </c>
      <c r="D66" s="4">
        <f>IF($A66="","",ROUND(SUMIFS('الصرف المباشر'!$D$2:$D$501,'الصرف المباشر'!$C$2:$C$501,$A66)+SUMPRODUCT((الطبخات!$B$2:$B$900=$A66)*الطبخات!$C$2:$C$900*COUNTIF('سجل الإنتاج'!$C$2:$C$501,الطبخات!$A$2:$A$900)),3))</f>
        <v>0</v>
      </c>
      <c r="E66" s="5" t="str">
        <f t="shared" ref="E66:E129" si="1">IF($A66="","",IF($C66&lt;0,"❌ رصيد سالب - يحتاج مراجعة","✔ طبيعي"))</f>
        <v>✔ طبيعي</v>
      </c>
      <c r="F66" s="5" t="str">
        <f>IF(AND($A66&lt;&gt;"",$E66&lt;&gt;"✔ طبيعي"),SUMPRODUCT(('الرصيد الحالي'!$E$2:$E66&lt;&gt;"✔ طبيعي")*('الرصيد الحالي'!$E$2:$E66&lt;&gt;"")*('الرصيد الحالي'!$A$2:$A66&lt;&gt;"")),"")</f>
        <v/>
      </c>
    </row>
    <row r="67" spans="1:6" ht="24" customHeight="1">
      <c r="A67" s="3" t="str">
        <f>المواد!A67</f>
        <v>اسيد - روح الملح - حمض كلور الماء</v>
      </c>
      <c r="B67" s="5" t="str">
        <f>المواد!B67</f>
        <v>كغ</v>
      </c>
      <c r="C67" s="4">
        <f>IF($A67="","",ROUND(SUMIFS(الإدخالات!$D$2:$D$501,الإدخالات!$C$2:$C$501,$A67)+SUMIFS('تعديل الجرد'!$F$2:$F$501,'تعديل الجرد'!$C$2:$C$501,$A67)-SUMIFS('الصرف المباشر'!$D$2:$D$501,'الصرف المباشر'!$C$2:$C$501,$A67)-SUMPRODUCT((الطبخات!$B$2:$B$900=$A67)*الطبخات!$C$2:$C$900*COUNTIF('سجل الإنتاج'!$C$2:$C$501,الطبخات!$A$2:$A$900)),3))</f>
        <v>57</v>
      </c>
      <c r="D67" s="4">
        <f>IF($A67="","",ROUND(SUMIFS('الصرف المباشر'!$D$2:$D$501,'الصرف المباشر'!$C$2:$C$501,$A67)+SUMPRODUCT((الطبخات!$B$2:$B$900=$A67)*الطبخات!$C$2:$C$900*COUNTIF('سجل الإنتاج'!$C$2:$C$501,الطبخات!$A$2:$A$900)),3))</f>
        <v>0</v>
      </c>
      <c r="E67" s="5" t="str">
        <f t="shared" si="1"/>
        <v>✔ طبيعي</v>
      </c>
      <c r="F67" s="5" t="str">
        <f>IF(AND($A67&lt;&gt;"",$E67&lt;&gt;"✔ طبيعي"),SUMPRODUCT(('الرصيد الحالي'!$E$2:$E67&lt;&gt;"✔ طبيعي")*('الرصيد الحالي'!$E$2:$E67&lt;&gt;"")*('الرصيد الحالي'!$A$2:$A67&lt;&gt;"")),"")</f>
        <v/>
      </c>
    </row>
    <row r="68" spans="1:6" ht="24" customHeight="1">
      <c r="A68" s="3" t="str">
        <f>المواد!A68</f>
        <v>اسيتون</v>
      </c>
      <c r="B68" s="5" t="str">
        <f>المواد!B68</f>
        <v>كغ</v>
      </c>
      <c r="C68" s="4">
        <f>IF($A68="","",ROUND(SUMIFS(الإدخالات!$D$2:$D$501,الإدخالات!$C$2:$C$501,$A68)+SUMIFS('تعديل الجرد'!$F$2:$F$501,'تعديل الجرد'!$C$2:$C$501,$A68)-SUMIFS('الصرف المباشر'!$D$2:$D$501,'الصرف المباشر'!$C$2:$C$501,$A68)-SUMPRODUCT((الطبخات!$B$2:$B$900=$A68)*الطبخات!$C$2:$C$900*COUNTIF('سجل الإنتاج'!$C$2:$C$501,الطبخات!$A$2:$A$900)),3))</f>
        <v>207.5</v>
      </c>
      <c r="D68" s="4">
        <f>IF($A68="","",ROUND(SUMIFS('الصرف المباشر'!$D$2:$D$501,'الصرف المباشر'!$C$2:$C$501,$A68)+SUMPRODUCT((الطبخات!$B$2:$B$900=$A68)*الطبخات!$C$2:$C$900*COUNTIF('سجل الإنتاج'!$C$2:$C$501,الطبخات!$A$2:$A$900)),3))</f>
        <v>0</v>
      </c>
      <c r="E68" s="5" t="str">
        <f t="shared" si="1"/>
        <v>✔ طبيعي</v>
      </c>
      <c r="F68" s="5" t="str">
        <f>IF(AND($A68&lt;&gt;"",$E68&lt;&gt;"✔ طبيعي"),SUMPRODUCT(('الرصيد الحالي'!$E$2:$E68&lt;&gt;"✔ طبيعي")*('الرصيد الحالي'!$E$2:$E68&lt;&gt;"")*('الرصيد الحالي'!$A$2:$A68&lt;&gt;"")),"")</f>
        <v/>
      </c>
    </row>
    <row r="69" spans="1:6" ht="24" customHeight="1">
      <c r="A69" s="3" t="str">
        <f>المواد!A69</f>
        <v>لصاقة طابعة</v>
      </c>
      <c r="B69" s="5" t="str">
        <f>المواد!B69</f>
        <v>كغ</v>
      </c>
      <c r="C69" s="4">
        <f>IF($A69="","",ROUND(SUMIFS(الإدخالات!$D$2:$D$501,الإدخالات!$C$2:$C$501,$A69)+SUMIFS('تعديل الجرد'!$F$2:$F$501,'تعديل الجرد'!$C$2:$C$501,$A69)-SUMIFS('الصرف المباشر'!$D$2:$D$501,'الصرف المباشر'!$C$2:$C$501,$A69)-SUMPRODUCT((الطبخات!$B$2:$B$900=$A69)*الطبخات!$C$2:$C$900*COUNTIF('سجل الإنتاج'!$C$2:$C$501,الطبخات!$A$2:$A$900)),3))</f>
        <v>0</v>
      </c>
      <c r="D69" s="4">
        <f>IF($A69="","",ROUND(SUMIFS('الصرف المباشر'!$D$2:$D$501,'الصرف المباشر'!$C$2:$C$501,$A69)+SUMPRODUCT((الطبخات!$B$2:$B$900=$A69)*الطبخات!$C$2:$C$900*COUNTIF('سجل الإنتاج'!$C$2:$C$501,الطبخات!$A$2:$A$900)),3))</f>
        <v>0</v>
      </c>
      <c r="E69" s="5" t="str">
        <f t="shared" si="1"/>
        <v>✔ طبيعي</v>
      </c>
      <c r="F69" s="5" t="str">
        <f>IF(AND($A69&lt;&gt;"",$E69&lt;&gt;"✔ طبيعي"),SUMPRODUCT(('الرصيد الحالي'!$E$2:$E69&lt;&gt;"✔ طبيعي")*('الرصيد الحالي'!$E$2:$E69&lt;&gt;"")*('الرصيد الحالي'!$A$2:$A69&lt;&gt;"")),"")</f>
        <v/>
      </c>
    </row>
    <row r="70" spans="1:6" ht="24" customHeight="1">
      <c r="A70" s="3" t="str">
        <f>المواد!A70</f>
        <v>كريك بلاستيك</v>
      </c>
      <c r="B70" s="5" t="str">
        <f>المواد!B70</f>
        <v>كغ</v>
      </c>
      <c r="C70" s="4">
        <f>IF($A70="","",ROUND(SUMIFS(الإدخالات!$D$2:$D$501,الإدخالات!$C$2:$C$501,$A70)+SUMIFS('تعديل الجرد'!$F$2:$F$501,'تعديل الجرد'!$C$2:$C$501,$A70)-SUMIFS('الصرف المباشر'!$D$2:$D$501,'الصرف المباشر'!$C$2:$C$501,$A70)-SUMPRODUCT((الطبخات!$B$2:$B$900=$A70)*الطبخات!$C$2:$C$900*COUNTIF('سجل الإنتاج'!$C$2:$C$501,الطبخات!$A$2:$A$900)),3))</f>
        <v>1</v>
      </c>
      <c r="D70" s="4">
        <f>IF($A70="","",ROUND(SUMIFS('الصرف المباشر'!$D$2:$D$501,'الصرف المباشر'!$C$2:$C$501,$A70)+SUMPRODUCT((الطبخات!$B$2:$B$900=$A70)*الطبخات!$C$2:$C$900*COUNTIF('سجل الإنتاج'!$C$2:$C$501,الطبخات!$A$2:$A$900)),3))</f>
        <v>0</v>
      </c>
      <c r="E70" s="5" t="str">
        <f t="shared" si="1"/>
        <v>✔ طبيعي</v>
      </c>
      <c r="F70" s="5" t="str">
        <f>IF(AND($A70&lt;&gt;"",$E70&lt;&gt;"✔ طبيعي"),SUMPRODUCT(('الرصيد الحالي'!$E$2:$E70&lt;&gt;"✔ طبيعي")*('الرصيد الحالي'!$E$2:$E70&lt;&gt;"")*('الرصيد الحالي'!$A$2:$A70&lt;&gt;"")),"")</f>
        <v/>
      </c>
    </row>
    <row r="71" spans="1:6" ht="24" customHeight="1">
      <c r="A71" s="3" t="str">
        <f>المواد!A71</f>
        <v>فازلين</v>
      </c>
      <c r="B71" s="5" t="str">
        <f>المواد!B71</f>
        <v>كغ</v>
      </c>
      <c r="C71" s="4">
        <f>IF($A71="","",ROUND(SUMIFS(الإدخالات!$D$2:$D$501,الإدخالات!$C$2:$C$501,$A71)+SUMIFS('تعديل الجرد'!$F$2:$F$501,'تعديل الجرد'!$C$2:$C$501,$A71)-SUMIFS('الصرف المباشر'!$D$2:$D$501,'الصرف المباشر'!$C$2:$C$501,$A71)-SUMPRODUCT((الطبخات!$B$2:$B$900=$A71)*الطبخات!$C$2:$C$900*COUNTIF('سجل الإنتاج'!$C$2:$C$501,الطبخات!$A$2:$A$900)),3))</f>
        <v>0</v>
      </c>
      <c r="D71" s="4">
        <f>IF($A71="","",ROUND(SUMIFS('الصرف المباشر'!$D$2:$D$501,'الصرف المباشر'!$C$2:$C$501,$A71)+SUMPRODUCT((الطبخات!$B$2:$B$900=$A71)*الطبخات!$C$2:$C$900*COUNTIF('سجل الإنتاج'!$C$2:$C$501,الطبخات!$A$2:$A$900)),3))</f>
        <v>0</v>
      </c>
      <c r="E71" s="5" t="str">
        <f t="shared" si="1"/>
        <v>✔ طبيعي</v>
      </c>
      <c r="F71" s="5" t="str">
        <f>IF(AND($A71&lt;&gt;"",$E71&lt;&gt;"✔ طبيعي"),SUMPRODUCT(('الرصيد الحالي'!$E$2:$E71&lt;&gt;"✔ طبيعي")*('الرصيد الحالي'!$E$2:$E71&lt;&gt;"")*('الرصيد الحالي'!$A$2:$A71&lt;&gt;"")),"")</f>
        <v/>
      </c>
    </row>
    <row r="72" spans="1:6" ht="24" customHeight="1">
      <c r="A72" s="3" t="str">
        <f>المواد!A72</f>
        <v xml:space="preserve">عبوات كلور + فلاش فارغة </v>
      </c>
      <c r="B72" s="5" t="str">
        <f>المواد!B72</f>
        <v>عدد</v>
      </c>
      <c r="C72" s="4">
        <f>IF($A72="","",ROUND(SUMIFS(الإدخالات!$D$2:$D$501,الإدخالات!$C$2:$C$501,$A72)+SUMIFS('تعديل الجرد'!$F$2:$F$501,'تعديل الجرد'!$C$2:$C$501,$A72)-SUMIFS('الصرف المباشر'!$D$2:$D$501,'الصرف المباشر'!$C$2:$C$501,$A72)-SUMPRODUCT((الطبخات!$B$2:$B$900=$A72)*الطبخات!$C$2:$C$900*COUNTIF('سجل الإنتاج'!$C$2:$C$501,الطبخات!$A$2:$A$900)),3))</f>
        <v>19.829999999999998</v>
      </c>
      <c r="D72" s="4">
        <f>IF($A72="","",ROUND(SUMIFS('الصرف المباشر'!$D$2:$D$501,'الصرف المباشر'!$C$2:$C$501,$A72)+SUMPRODUCT((الطبخات!$B$2:$B$900=$A72)*الطبخات!$C$2:$C$900*COUNTIF('سجل الإنتاج'!$C$2:$C$501,الطبخات!$A$2:$A$900)),3))</f>
        <v>0</v>
      </c>
      <c r="E72" s="5" t="str">
        <f t="shared" si="1"/>
        <v>✔ طبيعي</v>
      </c>
      <c r="F72" s="5" t="str">
        <f>IF(AND($A72&lt;&gt;"",$E72&lt;&gt;"✔ طبيعي"),SUMPRODUCT(('الرصيد الحالي'!$E$2:$E72&lt;&gt;"✔ طبيعي")*('الرصيد الحالي'!$E$2:$E72&lt;&gt;"")*('الرصيد الحالي'!$A$2:$A72&lt;&gt;"")),"")</f>
        <v/>
      </c>
    </row>
    <row r="73" spans="1:6" ht="24" customHeight="1">
      <c r="A73" s="3" t="str">
        <f>المواد!A73</f>
        <v>عبوات شفافة 3 لتر</v>
      </c>
      <c r="B73" s="5" t="str">
        <f>المواد!B73</f>
        <v>عدد</v>
      </c>
      <c r="C73" s="4">
        <f>IF($A73="","",ROUND(SUMIFS(الإدخالات!$D$2:$D$501,الإدخالات!$C$2:$C$501,$A73)+SUMIFS('تعديل الجرد'!$F$2:$F$501,'تعديل الجرد'!$C$2:$C$501,$A73)-SUMIFS('الصرف المباشر'!$D$2:$D$501,'الصرف المباشر'!$C$2:$C$501,$A73)-SUMPRODUCT((الطبخات!$B$2:$B$900=$A73)*الطبخات!$C$2:$C$900*COUNTIF('سجل الإنتاج'!$C$2:$C$501,الطبخات!$A$2:$A$900)),3))</f>
        <v>11.16</v>
      </c>
      <c r="D73" s="4">
        <f>IF($A73="","",ROUND(SUMIFS('الصرف المباشر'!$D$2:$D$501,'الصرف المباشر'!$C$2:$C$501,$A73)+SUMPRODUCT((الطبخات!$B$2:$B$900=$A73)*الطبخات!$C$2:$C$900*COUNTIF('سجل الإنتاج'!$C$2:$C$501,الطبخات!$A$2:$A$900)),3))</f>
        <v>0</v>
      </c>
      <c r="E73" s="5" t="str">
        <f t="shared" si="1"/>
        <v>✔ طبيعي</v>
      </c>
      <c r="F73" s="5" t="str">
        <f>IF(AND($A73&lt;&gt;"",$E73&lt;&gt;"✔ طبيعي"),SUMPRODUCT(('الرصيد الحالي'!$E$2:$E73&lt;&gt;"✔ طبيعي")*('الرصيد الحالي'!$E$2:$E73&lt;&gt;"")*('الرصيد الحالي'!$A$2:$A73&lt;&gt;"")),"")</f>
        <v/>
      </c>
    </row>
    <row r="74" spans="1:6" ht="24" customHeight="1">
      <c r="A74" s="3" t="str">
        <f>المواد!A74</f>
        <v>عبوات حليبي</v>
      </c>
      <c r="B74" s="5" t="str">
        <f>المواد!B74</f>
        <v>عدد</v>
      </c>
      <c r="C74" s="4">
        <f>IF($A74="","",ROUND(SUMIFS(الإدخالات!$D$2:$D$501,الإدخالات!$C$2:$C$501,$A74)+SUMIFS('تعديل الجرد'!$F$2:$F$501,'تعديل الجرد'!$C$2:$C$501,$A74)-SUMIFS('الصرف المباشر'!$D$2:$D$501,'الصرف المباشر'!$C$2:$C$501,$A74)-SUMPRODUCT((الطبخات!$B$2:$B$900=$A74)*الطبخات!$C$2:$C$900*COUNTIF('سجل الإنتاج'!$C$2:$C$501,الطبخات!$A$2:$A$900)),3))</f>
        <v>93.75</v>
      </c>
      <c r="D74" s="4">
        <f>IF($A74="","",ROUND(SUMIFS('الصرف المباشر'!$D$2:$D$501,'الصرف المباشر'!$C$2:$C$501,$A74)+SUMPRODUCT((الطبخات!$B$2:$B$900=$A74)*الطبخات!$C$2:$C$900*COUNTIF('سجل الإنتاج'!$C$2:$C$501,الطبخات!$A$2:$A$900)),3))</f>
        <v>0</v>
      </c>
      <c r="E74" s="5" t="str">
        <f t="shared" si="1"/>
        <v>✔ طبيعي</v>
      </c>
      <c r="F74" s="5" t="str">
        <f>IF(AND($A74&lt;&gt;"",$E74&lt;&gt;"✔ طبيعي"),SUMPRODUCT(('الرصيد الحالي'!$E$2:$E74&lt;&gt;"✔ طبيعي")*('الرصيد الحالي'!$E$2:$E74&lt;&gt;"")*('الرصيد الحالي'!$A$2:$A74&lt;&gt;"")),"")</f>
        <v/>
      </c>
    </row>
    <row r="75" spans="1:6" ht="24" customHeight="1">
      <c r="A75" s="3" t="str">
        <f>المواد!A75</f>
        <v>ديتول خام</v>
      </c>
      <c r="B75" s="5" t="str">
        <f>المواد!B75</f>
        <v>كغ</v>
      </c>
      <c r="C75" s="4">
        <f>IF($A75="","",ROUND(SUMIFS(الإدخالات!$D$2:$D$501,الإدخالات!$C$2:$C$501,$A75)+SUMIFS('تعديل الجرد'!$F$2:$F$501,'تعديل الجرد'!$C$2:$C$501,$A75)-SUMIFS('الصرف المباشر'!$D$2:$D$501,'الصرف المباشر'!$C$2:$C$501,$A75)-SUMPRODUCT((الطبخات!$B$2:$B$900=$A75)*الطبخات!$C$2:$C$900*COUNTIF('سجل الإنتاج'!$C$2:$C$501,الطبخات!$A$2:$A$900)),3))</f>
        <v>0</v>
      </c>
      <c r="D75" s="4">
        <f>IF($A75="","",ROUND(SUMIFS('الصرف المباشر'!$D$2:$D$501,'الصرف المباشر'!$C$2:$C$501,$A75)+SUMPRODUCT((الطبخات!$B$2:$B$900=$A75)*الطبخات!$C$2:$C$900*COUNTIF('سجل الإنتاج'!$C$2:$C$501,الطبخات!$A$2:$A$900)),3))</f>
        <v>0</v>
      </c>
      <c r="E75" s="5" t="str">
        <f t="shared" si="1"/>
        <v>✔ طبيعي</v>
      </c>
      <c r="F75" s="5" t="str">
        <f>IF(AND($A75&lt;&gt;"",$E75&lt;&gt;"✔ طبيعي"),SUMPRODUCT(('الرصيد الحالي'!$E$2:$E75&lt;&gt;"✔ طبيعي")*('الرصيد الحالي'!$E$2:$E75&lt;&gt;"")*('الرصيد الحالي'!$A$2:$A75&lt;&gt;"")),"")</f>
        <v/>
      </c>
    </row>
    <row r="76" spans="1:6" ht="24" customHeight="1">
      <c r="A76" s="3">
        <f>المواد!A76</f>
        <v>0</v>
      </c>
      <c r="B76" s="5">
        <f>المواد!B76</f>
        <v>0</v>
      </c>
      <c r="C76" s="4">
        <f>IF($A76="","",ROUND(SUMIFS(الإدخالات!$D$2:$D$501,الإدخالات!$C$2:$C$501,$A76)+SUMIFS('تعديل الجرد'!$F$2:$F$501,'تعديل الجرد'!$C$2:$C$501,$A76)-SUMIFS('الصرف المباشر'!$D$2:$D$501,'الصرف المباشر'!$C$2:$C$501,$A76)-SUMPRODUCT((الطبخات!$B$2:$B$900=$A76)*الطبخات!$C$2:$C$900*COUNTIF('سجل الإنتاج'!$C$2:$C$501,الطبخات!$A$2:$A$900)),3))</f>
        <v>0</v>
      </c>
      <c r="D76" s="4">
        <f>IF($A76="","",ROUND(SUMIFS('الصرف المباشر'!$D$2:$D$501,'الصرف المباشر'!$C$2:$C$501,$A76)+SUMPRODUCT((الطبخات!$B$2:$B$900=$A76)*الطبخات!$C$2:$C$900*COUNTIF('سجل الإنتاج'!$C$2:$C$501,الطبخات!$A$2:$A$900)),3))</f>
        <v>0</v>
      </c>
      <c r="E76" s="5" t="str">
        <f t="shared" si="1"/>
        <v>✔ طبيعي</v>
      </c>
      <c r="F76" s="5" t="str">
        <f>IF(AND($A76&lt;&gt;"",$E76&lt;&gt;"✔ طبيعي"),SUMPRODUCT(('الرصيد الحالي'!$E$2:$E76&lt;&gt;"✔ طبيعي")*('الرصيد الحالي'!$E$2:$E76&lt;&gt;"")*('الرصيد الحالي'!$A$2:$A76&lt;&gt;"")),"")</f>
        <v/>
      </c>
    </row>
    <row r="77" spans="1:6" ht="24" customHeight="1">
      <c r="A77" s="3">
        <f>المواد!A77</f>
        <v>0</v>
      </c>
      <c r="B77" s="5">
        <f>المواد!B77</f>
        <v>0</v>
      </c>
      <c r="C77" s="4">
        <f>IF($A77="","",ROUND(SUMIFS(الإدخالات!$D$2:$D$501,الإدخالات!$C$2:$C$501,$A77)+SUMIFS('تعديل الجرد'!$F$2:$F$501,'تعديل الجرد'!$C$2:$C$501,$A77)-SUMIFS('الصرف المباشر'!$D$2:$D$501,'الصرف المباشر'!$C$2:$C$501,$A77)-SUMPRODUCT((الطبخات!$B$2:$B$900=$A77)*الطبخات!$C$2:$C$900*COUNTIF('سجل الإنتاج'!$C$2:$C$501,الطبخات!$A$2:$A$900)),3))</f>
        <v>0</v>
      </c>
      <c r="D77" s="4">
        <f>IF($A77="","",ROUND(SUMIFS('الصرف المباشر'!$D$2:$D$501,'الصرف المباشر'!$C$2:$C$501,$A77)+SUMPRODUCT((الطبخات!$B$2:$B$900=$A77)*الطبخات!$C$2:$C$900*COUNTIF('سجل الإنتاج'!$C$2:$C$501,الطبخات!$A$2:$A$900)),3))</f>
        <v>0</v>
      </c>
      <c r="E77" s="5" t="str">
        <f t="shared" si="1"/>
        <v>✔ طبيعي</v>
      </c>
      <c r="F77" s="5" t="str">
        <f>IF(AND($A77&lt;&gt;"",$E77&lt;&gt;"✔ طبيعي"),SUMPRODUCT(('الرصيد الحالي'!$E$2:$E77&lt;&gt;"✔ طبيعي")*('الرصيد الحالي'!$E$2:$E77&lt;&gt;"")*('الرصيد الحالي'!$A$2:$A77&lt;&gt;"")),"")</f>
        <v/>
      </c>
    </row>
    <row r="78" spans="1:6" ht="24" customHeight="1">
      <c r="A78" s="3">
        <f>المواد!A78</f>
        <v>0</v>
      </c>
      <c r="B78" s="5">
        <f>المواد!B78</f>
        <v>0</v>
      </c>
      <c r="C78" s="4">
        <f>IF($A78="","",ROUND(SUMIFS(الإدخالات!$D$2:$D$501,الإدخالات!$C$2:$C$501,$A78)+SUMIFS('تعديل الجرد'!$F$2:$F$501,'تعديل الجرد'!$C$2:$C$501,$A78)-SUMIFS('الصرف المباشر'!$D$2:$D$501,'الصرف المباشر'!$C$2:$C$501,$A78)-SUMPRODUCT((الطبخات!$B$2:$B$900=$A78)*الطبخات!$C$2:$C$900*COUNTIF('سجل الإنتاج'!$C$2:$C$501,الطبخات!$A$2:$A$900)),3))</f>
        <v>0</v>
      </c>
      <c r="D78" s="4">
        <f>IF($A78="","",ROUND(SUMIFS('الصرف المباشر'!$D$2:$D$501,'الصرف المباشر'!$C$2:$C$501,$A78)+SUMPRODUCT((الطبخات!$B$2:$B$900=$A78)*الطبخات!$C$2:$C$900*COUNTIF('سجل الإنتاج'!$C$2:$C$501,الطبخات!$A$2:$A$900)),3))</f>
        <v>0</v>
      </c>
      <c r="E78" s="5" t="str">
        <f t="shared" si="1"/>
        <v>✔ طبيعي</v>
      </c>
      <c r="F78" s="5" t="str">
        <f>IF(AND($A78&lt;&gt;"",$E78&lt;&gt;"✔ طبيعي"),SUMPRODUCT(('الرصيد الحالي'!$E$2:$E78&lt;&gt;"✔ طبيعي")*('الرصيد الحالي'!$E$2:$E78&lt;&gt;"")*('الرصيد الحالي'!$A$2:$A78&lt;&gt;"")),"")</f>
        <v/>
      </c>
    </row>
    <row r="79" spans="1:6" ht="24" customHeight="1">
      <c r="A79" s="3">
        <f>المواد!A79</f>
        <v>0</v>
      </c>
      <c r="B79" s="5">
        <f>المواد!B79</f>
        <v>0</v>
      </c>
      <c r="C79" s="4">
        <f>IF($A79="","",ROUND(SUMIFS(الإدخالات!$D$2:$D$501,الإدخالات!$C$2:$C$501,$A79)+SUMIFS('تعديل الجرد'!$F$2:$F$501,'تعديل الجرد'!$C$2:$C$501,$A79)-SUMIFS('الصرف المباشر'!$D$2:$D$501,'الصرف المباشر'!$C$2:$C$501,$A79)-SUMPRODUCT((الطبخات!$B$2:$B$900=$A79)*الطبخات!$C$2:$C$900*COUNTIF('سجل الإنتاج'!$C$2:$C$501,الطبخات!$A$2:$A$900)),3))</f>
        <v>0</v>
      </c>
      <c r="D79" s="4">
        <f>IF($A79="","",ROUND(SUMIFS('الصرف المباشر'!$D$2:$D$501,'الصرف المباشر'!$C$2:$C$501,$A79)+SUMPRODUCT((الطبخات!$B$2:$B$900=$A79)*الطبخات!$C$2:$C$900*COUNTIF('سجل الإنتاج'!$C$2:$C$501,الطبخات!$A$2:$A$900)),3))</f>
        <v>0</v>
      </c>
      <c r="E79" s="5" t="str">
        <f t="shared" si="1"/>
        <v>✔ طبيعي</v>
      </c>
      <c r="F79" s="5" t="str">
        <f>IF(AND($A79&lt;&gt;"",$E79&lt;&gt;"✔ طبيعي"),SUMPRODUCT(('الرصيد الحالي'!$E$2:$E79&lt;&gt;"✔ طبيعي")*('الرصيد الحالي'!$E$2:$E79&lt;&gt;"")*('الرصيد الحالي'!$A$2:$A79&lt;&gt;"")),"")</f>
        <v/>
      </c>
    </row>
    <row r="80" spans="1:6" ht="24" customHeight="1">
      <c r="A80" s="3">
        <f>المواد!A80</f>
        <v>0</v>
      </c>
      <c r="B80" s="5">
        <f>المواد!B80</f>
        <v>0</v>
      </c>
      <c r="C80" s="4">
        <f>IF($A80="","",ROUND(SUMIFS(الإدخالات!$D$2:$D$501,الإدخالات!$C$2:$C$501,$A80)+SUMIFS('تعديل الجرد'!$F$2:$F$501,'تعديل الجرد'!$C$2:$C$501,$A80)-SUMIFS('الصرف المباشر'!$D$2:$D$501,'الصرف المباشر'!$C$2:$C$501,$A80)-SUMPRODUCT((الطبخات!$B$2:$B$900=$A80)*الطبخات!$C$2:$C$900*COUNTIF('سجل الإنتاج'!$C$2:$C$501,الطبخات!$A$2:$A$900)),3))</f>
        <v>0</v>
      </c>
      <c r="D80" s="4">
        <f>IF($A80="","",ROUND(SUMIFS('الصرف المباشر'!$D$2:$D$501,'الصرف المباشر'!$C$2:$C$501,$A80)+SUMPRODUCT((الطبخات!$B$2:$B$900=$A80)*الطبخات!$C$2:$C$900*COUNTIF('سجل الإنتاج'!$C$2:$C$501,الطبخات!$A$2:$A$900)),3))</f>
        <v>0</v>
      </c>
      <c r="E80" s="5" t="str">
        <f t="shared" si="1"/>
        <v>✔ طبيعي</v>
      </c>
      <c r="F80" s="5" t="str">
        <f>IF(AND($A80&lt;&gt;"",$E80&lt;&gt;"✔ طبيعي"),SUMPRODUCT(('الرصيد الحالي'!$E$2:$E80&lt;&gt;"✔ طبيعي")*('الرصيد الحالي'!$E$2:$E80&lt;&gt;"")*('الرصيد الحالي'!$A$2:$A80&lt;&gt;"")),"")</f>
        <v/>
      </c>
    </row>
    <row r="81" spans="1:6" ht="24" customHeight="1">
      <c r="A81" s="3">
        <f>المواد!A81</f>
        <v>0</v>
      </c>
      <c r="B81" s="5">
        <f>المواد!B81</f>
        <v>0</v>
      </c>
      <c r="C81" s="4">
        <f>IF($A81="","",ROUND(SUMIFS(الإدخالات!$D$2:$D$501,الإدخالات!$C$2:$C$501,$A81)+SUMIFS('تعديل الجرد'!$F$2:$F$501,'تعديل الجرد'!$C$2:$C$501,$A81)-SUMIFS('الصرف المباشر'!$D$2:$D$501,'الصرف المباشر'!$C$2:$C$501,$A81)-SUMPRODUCT((الطبخات!$B$2:$B$900=$A81)*الطبخات!$C$2:$C$900*COUNTIF('سجل الإنتاج'!$C$2:$C$501,الطبخات!$A$2:$A$900)),3))</f>
        <v>0</v>
      </c>
      <c r="D81" s="4">
        <f>IF($A81="","",ROUND(SUMIFS('الصرف المباشر'!$D$2:$D$501,'الصرف المباشر'!$C$2:$C$501,$A81)+SUMPRODUCT((الطبخات!$B$2:$B$900=$A81)*الطبخات!$C$2:$C$900*COUNTIF('سجل الإنتاج'!$C$2:$C$501,الطبخات!$A$2:$A$900)),3))</f>
        <v>0</v>
      </c>
      <c r="E81" s="5" t="str">
        <f t="shared" si="1"/>
        <v>✔ طبيعي</v>
      </c>
      <c r="F81" s="5" t="str">
        <f>IF(AND($A81&lt;&gt;"",$E81&lt;&gt;"✔ طبيعي"),SUMPRODUCT(('الرصيد الحالي'!$E$2:$E81&lt;&gt;"✔ طبيعي")*('الرصيد الحالي'!$E$2:$E81&lt;&gt;"")*('الرصيد الحالي'!$A$2:$A81&lt;&gt;"")),"")</f>
        <v/>
      </c>
    </row>
    <row r="82" spans="1:6" ht="24" customHeight="1">
      <c r="A82" s="3">
        <f>المواد!A82</f>
        <v>0</v>
      </c>
      <c r="B82" s="5">
        <f>المواد!B82</f>
        <v>0</v>
      </c>
      <c r="C82" s="4">
        <f>IF($A82="","",ROUND(SUMIFS(الإدخالات!$D$2:$D$501,الإدخالات!$C$2:$C$501,$A82)+SUMIFS('تعديل الجرد'!$F$2:$F$501,'تعديل الجرد'!$C$2:$C$501,$A82)-SUMIFS('الصرف المباشر'!$D$2:$D$501,'الصرف المباشر'!$C$2:$C$501,$A82)-SUMPRODUCT((الطبخات!$B$2:$B$900=$A82)*الطبخات!$C$2:$C$900*COUNTIF('سجل الإنتاج'!$C$2:$C$501,الطبخات!$A$2:$A$900)),3))</f>
        <v>0</v>
      </c>
      <c r="D82" s="4">
        <f>IF($A82="","",ROUND(SUMIFS('الصرف المباشر'!$D$2:$D$501,'الصرف المباشر'!$C$2:$C$501,$A82)+SUMPRODUCT((الطبخات!$B$2:$B$900=$A82)*الطبخات!$C$2:$C$900*COUNTIF('سجل الإنتاج'!$C$2:$C$501,الطبخات!$A$2:$A$900)),3))</f>
        <v>0</v>
      </c>
      <c r="E82" s="5" t="str">
        <f t="shared" si="1"/>
        <v>✔ طبيعي</v>
      </c>
      <c r="F82" s="5" t="str">
        <f>IF(AND($A82&lt;&gt;"",$E82&lt;&gt;"✔ طبيعي"),SUMPRODUCT(('الرصيد الحالي'!$E$2:$E82&lt;&gt;"✔ طبيعي")*('الرصيد الحالي'!$E$2:$E82&lt;&gt;"")*('الرصيد الحالي'!$A$2:$A82&lt;&gt;"")),"")</f>
        <v/>
      </c>
    </row>
    <row r="83" spans="1:6" ht="24" customHeight="1">
      <c r="A83" s="3">
        <f>المواد!A83</f>
        <v>0</v>
      </c>
      <c r="B83" s="5">
        <f>المواد!B83</f>
        <v>0</v>
      </c>
      <c r="C83" s="4">
        <f>IF($A83="","",ROUND(SUMIFS(الإدخالات!$D$2:$D$501,الإدخالات!$C$2:$C$501,$A83)+SUMIFS('تعديل الجرد'!$F$2:$F$501,'تعديل الجرد'!$C$2:$C$501,$A83)-SUMIFS('الصرف المباشر'!$D$2:$D$501,'الصرف المباشر'!$C$2:$C$501,$A83)-SUMPRODUCT((الطبخات!$B$2:$B$900=$A83)*الطبخات!$C$2:$C$900*COUNTIF('سجل الإنتاج'!$C$2:$C$501,الطبخات!$A$2:$A$900)),3))</f>
        <v>0</v>
      </c>
      <c r="D83" s="4">
        <f>IF($A83="","",ROUND(SUMIFS('الصرف المباشر'!$D$2:$D$501,'الصرف المباشر'!$C$2:$C$501,$A83)+SUMPRODUCT((الطبخات!$B$2:$B$900=$A83)*الطبخات!$C$2:$C$900*COUNTIF('سجل الإنتاج'!$C$2:$C$501,الطبخات!$A$2:$A$900)),3))</f>
        <v>0</v>
      </c>
      <c r="E83" s="5" t="str">
        <f t="shared" si="1"/>
        <v>✔ طبيعي</v>
      </c>
      <c r="F83" s="5" t="str">
        <f>IF(AND($A83&lt;&gt;"",$E83&lt;&gt;"✔ طبيعي"),SUMPRODUCT(('الرصيد الحالي'!$E$2:$E83&lt;&gt;"✔ طبيعي")*('الرصيد الحالي'!$E$2:$E83&lt;&gt;"")*('الرصيد الحالي'!$A$2:$A83&lt;&gt;"")),"")</f>
        <v/>
      </c>
    </row>
    <row r="84" spans="1:6" ht="24" customHeight="1">
      <c r="A84" s="3">
        <f>المواد!A84</f>
        <v>0</v>
      </c>
      <c r="B84" s="5">
        <f>المواد!B84</f>
        <v>0</v>
      </c>
      <c r="C84" s="4">
        <f>IF($A84="","",ROUND(SUMIFS(الإدخالات!$D$2:$D$501,الإدخالات!$C$2:$C$501,$A84)+SUMIFS('تعديل الجرد'!$F$2:$F$501,'تعديل الجرد'!$C$2:$C$501,$A84)-SUMIFS('الصرف المباشر'!$D$2:$D$501,'الصرف المباشر'!$C$2:$C$501,$A84)-SUMPRODUCT((الطبخات!$B$2:$B$900=$A84)*الطبخات!$C$2:$C$900*COUNTIF('سجل الإنتاج'!$C$2:$C$501,الطبخات!$A$2:$A$900)),3))</f>
        <v>0</v>
      </c>
      <c r="D84" s="4">
        <f>IF($A84="","",ROUND(SUMIFS('الصرف المباشر'!$D$2:$D$501,'الصرف المباشر'!$C$2:$C$501,$A84)+SUMPRODUCT((الطبخات!$B$2:$B$900=$A84)*الطبخات!$C$2:$C$900*COUNTIF('سجل الإنتاج'!$C$2:$C$501,الطبخات!$A$2:$A$900)),3))</f>
        <v>0</v>
      </c>
      <c r="E84" s="5" t="str">
        <f t="shared" si="1"/>
        <v>✔ طبيعي</v>
      </c>
      <c r="F84" s="5" t="str">
        <f>IF(AND($A84&lt;&gt;"",$E84&lt;&gt;"✔ طبيعي"),SUMPRODUCT(('الرصيد الحالي'!$E$2:$E84&lt;&gt;"✔ طبيعي")*('الرصيد الحالي'!$E$2:$E84&lt;&gt;"")*('الرصيد الحالي'!$A$2:$A84&lt;&gt;"")),"")</f>
        <v/>
      </c>
    </row>
    <row r="85" spans="1:6" ht="24" customHeight="1">
      <c r="A85" s="3">
        <f>المواد!A85</f>
        <v>0</v>
      </c>
      <c r="B85" s="5">
        <f>المواد!B85</f>
        <v>0</v>
      </c>
      <c r="C85" s="4">
        <f>IF($A85="","",ROUND(SUMIFS(الإدخالات!$D$2:$D$501,الإدخالات!$C$2:$C$501,$A85)+SUMIFS('تعديل الجرد'!$F$2:$F$501,'تعديل الجرد'!$C$2:$C$501,$A85)-SUMIFS('الصرف المباشر'!$D$2:$D$501,'الصرف المباشر'!$C$2:$C$501,$A85)-SUMPRODUCT((الطبخات!$B$2:$B$900=$A85)*الطبخات!$C$2:$C$900*COUNTIF('سجل الإنتاج'!$C$2:$C$501,الطبخات!$A$2:$A$900)),3))</f>
        <v>0</v>
      </c>
      <c r="D85" s="4">
        <f>IF($A85="","",ROUND(SUMIFS('الصرف المباشر'!$D$2:$D$501,'الصرف المباشر'!$C$2:$C$501,$A85)+SUMPRODUCT((الطبخات!$B$2:$B$900=$A85)*الطبخات!$C$2:$C$900*COUNTIF('سجل الإنتاج'!$C$2:$C$501,الطبخات!$A$2:$A$900)),3))</f>
        <v>0</v>
      </c>
      <c r="E85" s="5" t="str">
        <f t="shared" si="1"/>
        <v>✔ طبيعي</v>
      </c>
      <c r="F85" s="5" t="str">
        <f>IF(AND($A85&lt;&gt;"",$E85&lt;&gt;"✔ طبيعي"),SUMPRODUCT(('الرصيد الحالي'!$E$2:$E85&lt;&gt;"✔ طبيعي")*('الرصيد الحالي'!$E$2:$E85&lt;&gt;"")*('الرصيد الحالي'!$A$2:$A85&lt;&gt;"")),"")</f>
        <v/>
      </c>
    </row>
    <row r="86" spans="1:6" ht="24" customHeight="1">
      <c r="A86" s="3">
        <f>المواد!A86</f>
        <v>0</v>
      </c>
      <c r="B86" s="5">
        <f>المواد!B86</f>
        <v>0</v>
      </c>
      <c r="C86" s="4">
        <f>IF($A86="","",ROUND(SUMIFS(الإدخالات!$D$2:$D$501,الإدخالات!$C$2:$C$501,$A86)+SUMIFS('تعديل الجرد'!$F$2:$F$501,'تعديل الجرد'!$C$2:$C$501,$A86)-SUMIFS('الصرف المباشر'!$D$2:$D$501,'الصرف المباشر'!$C$2:$C$501,$A86)-SUMPRODUCT((الطبخات!$B$2:$B$900=$A86)*الطبخات!$C$2:$C$900*COUNTIF('سجل الإنتاج'!$C$2:$C$501,الطبخات!$A$2:$A$900)),3))</f>
        <v>0</v>
      </c>
      <c r="D86" s="4">
        <f>IF($A86="","",ROUND(SUMIFS('الصرف المباشر'!$D$2:$D$501,'الصرف المباشر'!$C$2:$C$501,$A86)+SUMPRODUCT((الطبخات!$B$2:$B$900=$A86)*الطبخات!$C$2:$C$900*COUNTIF('سجل الإنتاج'!$C$2:$C$501,الطبخات!$A$2:$A$900)),3))</f>
        <v>0</v>
      </c>
      <c r="E86" s="5" t="str">
        <f t="shared" si="1"/>
        <v>✔ طبيعي</v>
      </c>
      <c r="F86" s="5" t="str">
        <f>IF(AND($A86&lt;&gt;"",$E86&lt;&gt;"✔ طبيعي"),SUMPRODUCT(('الرصيد الحالي'!$E$2:$E86&lt;&gt;"✔ طبيعي")*('الرصيد الحالي'!$E$2:$E86&lt;&gt;"")*('الرصيد الحالي'!$A$2:$A86&lt;&gt;"")),"")</f>
        <v/>
      </c>
    </row>
    <row r="87" spans="1:6" ht="24" customHeight="1">
      <c r="A87" s="3">
        <f>المواد!A87</f>
        <v>0</v>
      </c>
      <c r="B87" s="5">
        <f>المواد!B87</f>
        <v>0</v>
      </c>
      <c r="C87" s="4">
        <f>IF($A87="","",ROUND(SUMIFS(الإدخالات!$D$2:$D$501,الإدخالات!$C$2:$C$501,$A87)+SUMIFS('تعديل الجرد'!$F$2:$F$501,'تعديل الجرد'!$C$2:$C$501,$A87)-SUMIFS('الصرف المباشر'!$D$2:$D$501,'الصرف المباشر'!$C$2:$C$501,$A87)-SUMPRODUCT((الطبخات!$B$2:$B$900=$A87)*الطبخات!$C$2:$C$900*COUNTIF('سجل الإنتاج'!$C$2:$C$501,الطبخات!$A$2:$A$900)),3))</f>
        <v>0</v>
      </c>
      <c r="D87" s="4">
        <f>IF($A87="","",ROUND(SUMIFS('الصرف المباشر'!$D$2:$D$501,'الصرف المباشر'!$C$2:$C$501,$A87)+SUMPRODUCT((الطبخات!$B$2:$B$900=$A87)*الطبخات!$C$2:$C$900*COUNTIF('سجل الإنتاج'!$C$2:$C$501,الطبخات!$A$2:$A$900)),3))</f>
        <v>0</v>
      </c>
      <c r="E87" s="5" t="str">
        <f t="shared" si="1"/>
        <v>✔ طبيعي</v>
      </c>
      <c r="F87" s="5" t="str">
        <f>IF(AND($A87&lt;&gt;"",$E87&lt;&gt;"✔ طبيعي"),SUMPRODUCT(('الرصيد الحالي'!$E$2:$E87&lt;&gt;"✔ طبيعي")*('الرصيد الحالي'!$E$2:$E87&lt;&gt;"")*('الرصيد الحالي'!$A$2:$A87&lt;&gt;"")),"")</f>
        <v/>
      </c>
    </row>
    <row r="88" spans="1:6" ht="24" customHeight="1">
      <c r="A88" s="3">
        <f>المواد!A88</f>
        <v>0</v>
      </c>
      <c r="B88" s="5">
        <f>المواد!B88</f>
        <v>0</v>
      </c>
      <c r="C88" s="4">
        <f>IF($A88="","",ROUND(SUMIFS(الإدخالات!$D$2:$D$501,الإدخالات!$C$2:$C$501,$A88)+SUMIFS('تعديل الجرد'!$F$2:$F$501,'تعديل الجرد'!$C$2:$C$501,$A88)-SUMIFS('الصرف المباشر'!$D$2:$D$501,'الصرف المباشر'!$C$2:$C$501,$A88)-SUMPRODUCT((الطبخات!$B$2:$B$900=$A88)*الطبخات!$C$2:$C$900*COUNTIF('سجل الإنتاج'!$C$2:$C$501,الطبخات!$A$2:$A$900)),3))</f>
        <v>0</v>
      </c>
      <c r="D88" s="4">
        <f>IF($A88="","",ROUND(SUMIFS('الصرف المباشر'!$D$2:$D$501,'الصرف المباشر'!$C$2:$C$501,$A88)+SUMPRODUCT((الطبخات!$B$2:$B$900=$A88)*الطبخات!$C$2:$C$900*COUNTIF('سجل الإنتاج'!$C$2:$C$501,الطبخات!$A$2:$A$900)),3))</f>
        <v>0</v>
      </c>
      <c r="E88" s="5" t="str">
        <f t="shared" si="1"/>
        <v>✔ طبيعي</v>
      </c>
      <c r="F88" s="5" t="str">
        <f>IF(AND($A88&lt;&gt;"",$E88&lt;&gt;"✔ طبيعي"),SUMPRODUCT(('الرصيد الحالي'!$E$2:$E88&lt;&gt;"✔ طبيعي")*('الرصيد الحالي'!$E$2:$E88&lt;&gt;"")*('الرصيد الحالي'!$A$2:$A88&lt;&gt;"")),"")</f>
        <v/>
      </c>
    </row>
    <row r="89" spans="1:6" ht="24" customHeight="1">
      <c r="A89" s="3">
        <f>المواد!A89</f>
        <v>0</v>
      </c>
      <c r="B89" s="5">
        <f>المواد!B89</f>
        <v>0</v>
      </c>
      <c r="C89" s="4">
        <f>IF($A89="","",ROUND(SUMIFS(الإدخالات!$D$2:$D$501,الإدخالات!$C$2:$C$501,$A89)+SUMIFS('تعديل الجرد'!$F$2:$F$501,'تعديل الجرد'!$C$2:$C$501,$A89)-SUMIFS('الصرف المباشر'!$D$2:$D$501,'الصرف المباشر'!$C$2:$C$501,$A89)-SUMPRODUCT((الطبخات!$B$2:$B$900=$A89)*الطبخات!$C$2:$C$900*COUNTIF('سجل الإنتاج'!$C$2:$C$501,الطبخات!$A$2:$A$900)),3))</f>
        <v>0</v>
      </c>
      <c r="D89" s="4">
        <f>IF($A89="","",ROUND(SUMIFS('الصرف المباشر'!$D$2:$D$501,'الصرف المباشر'!$C$2:$C$501,$A89)+SUMPRODUCT((الطبخات!$B$2:$B$900=$A89)*الطبخات!$C$2:$C$900*COUNTIF('سجل الإنتاج'!$C$2:$C$501,الطبخات!$A$2:$A$900)),3))</f>
        <v>0</v>
      </c>
      <c r="E89" s="5" t="str">
        <f t="shared" si="1"/>
        <v>✔ طبيعي</v>
      </c>
      <c r="F89" s="5" t="str">
        <f>IF(AND($A89&lt;&gt;"",$E89&lt;&gt;"✔ طبيعي"),SUMPRODUCT(('الرصيد الحالي'!$E$2:$E89&lt;&gt;"✔ طبيعي")*('الرصيد الحالي'!$E$2:$E89&lt;&gt;"")*('الرصيد الحالي'!$A$2:$A89&lt;&gt;"")),"")</f>
        <v/>
      </c>
    </row>
    <row r="90" spans="1:6" ht="24" customHeight="1">
      <c r="A90" s="3">
        <f>المواد!A90</f>
        <v>0</v>
      </c>
      <c r="B90" s="5">
        <f>المواد!B90</f>
        <v>0</v>
      </c>
      <c r="C90" s="4">
        <f>IF($A90="","",ROUND(SUMIFS(الإدخالات!$D$2:$D$501,الإدخالات!$C$2:$C$501,$A90)+SUMIFS('تعديل الجرد'!$F$2:$F$501,'تعديل الجرد'!$C$2:$C$501,$A90)-SUMIFS('الصرف المباشر'!$D$2:$D$501,'الصرف المباشر'!$C$2:$C$501,$A90)-SUMPRODUCT((الطبخات!$B$2:$B$900=$A90)*الطبخات!$C$2:$C$900*COUNTIF('سجل الإنتاج'!$C$2:$C$501,الطبخات!$A$2:$A$900)),3))</f>
        <v>0</v>
      </c>
      <c r="D90" s="4">
        <f>IF($A90="","",ROUND(SUMIFS('الصرف المباشر'!$D$2:$D$501,'الصرف المباشر'!$C$2:$C$501,$A90)+SUMPRODUCT((الطبخات!$B$2:$B$900=$A90)*الطبخات!$C$2:$C$900*COUNTIF('سجل الإنتاج'!$C$2:$C$501,الطبخات!$A$2:$A$900)),3))</f>
        <v>0</v>
      </c>
      <c r="E90" s="5" t="str">
        <f t="shared" si="1"/>
        <v>✔ طبيعي</v>
      </c>
      <c r="F90" s="5" t="str">
        <f>IF(AND($A90&lt;&gt;"",$E90&lt;&gt;"✔ طبيعي"),SUMPRODUCT(('الرصيد الحالي'!$E$2:$E90&lt;&gt;"✔ طبيعي")*('الرصيد الحالي'!$E$2:$E90&lt;&gt;"")*('الرصيد الحالي'!$A$2:$A90&lt;&gt;"")),"")</f>
        <v/>
      </c>
    </row>
    <row r="91" spans="1:6" ht="24" customHeight="1">
      <c r="A91" s="3">
        <f>المواد!A91</f>
        <v>0</v>
      </c>
      <c r="B91" s="5">
        <f>المواد!B91</f>
        <v>0</v>
      </c>
      <c r="C91" s="4">
        <f>IF($A91="","",ROUND(SUMIFS(الإدخالات!$D$2:$D$501,الإدخالات!$C$2:$C$501,$A91)+SUMIFS('تعديل الجرد'!$F$2:$F$501,'تعديل الجرد'!$C$2:$C$501,$A91)-SUMIFS('الصرف المباشر'!$D$2:$D$501,'الصرف المباشر'!$C$2:$C$501,$A91)-SUMPRODUCT((الطبخات!$B$2:$B$900=$A91)*الطبخات!$C$2:$C$900*COUNTIF('سجل الإنتاج'!$C$2:$C$501,الطبخات!$A$2:$A$900)),3))</f>
        <v>0</v>
      </c>
      <c r="D91" s="4">
        <f>IF($A91="","",ROUND(SUMIFS('الصرف المباشر'!$D$2:$D$501,'الصرف المباشر'!$C$2:$C$501,$A91)+SUMPRODUCT((الطبخات!$B$2:$B$900=$A91)*الطبخات!$C$2:$C$900*COUNTIF('سجل الإنتاج'!$C$2:$C$501,الطبخات!$A$2:$A$900)),3))</f>
        <v>0</v>
      </c>
      <c r="E91" s="5" t="str">
        <f t="shared" si="1"/>
        <v>✔ طبيعي</v>
      </c>
      <c r="F91" s="5" t="str">
        <f>IF(AND($A91&lt;&gt;"",$E91&lt;&gt;"✔ طبيعي"),SUMPRODUCT(('الرصيد الحالي'!$E$2:$E91&lt;&gt;"✔ طبيعي")*('الرصيد الحالي'!$E$2:$E91&lt;&gt;"")*('الرصيد الحالي'!$A$2:$A91&lt;&gt;"")),"")</f>
        <v/>
      </c>
    </row>
    <row r="92" spans="1:6" ht="24" customHeight="1">
      <c r="A92" s="3">
        <f>المواد!A92</f>
        <v>0</v>
      </c>
      <c r="B92" s="5">
        <f>المواد!B92</f>
        <v>0</v>
      </c>
      <c r="C92" s="4">
        <f>IF($A92="","",ROUND(SUMIFS(الإدخالات!$D$2:$D$501,الإدخالات!$C$2:$C$501,$A92)+SUMIFS('تعديل الجرد'!$F$2:$F$501,'تعديل الجرد'!$C$2:$C$501,$A92)-SUMIFS('الصرف المباشر'!$D$2:$D$501,'الصرف المباشر'!$C$2:$C$501,$A92)-SUMPRODUCT((الطبخات!$B$2:$B$900=$A92)*الطبخات!$C$2:$C$900*COUNTIF('سجل الإنتاج'!$C$2:$C$501,الطبخات!$A$2:$A$900)),3))</f>
        <v>0</v>
      </c>
      <c r="D92" s="4">
        <f>IF($A92="","",ROUND(SUMIFS('الصرف المباشر'!$D$2:$D$501,'الصرف المباشر'!$C$2:$C$501,$A92)+SUMPRODUCT((الطبخات!$B$2:$B$900=$A92)*الطبخات!$C$2:$C$900*COUNTIF('سجل الإنتاج'!$C$2:$C$501,الطبخات!$A$2:$A$900)),3))</f>
        <v>0</v>
      </c>
      <c r="E92" s="5" t="str">
        <f t="shared" si="1"/>
        <v>✔ طبيعي</v>
      </c>
      <c r="F92" s="5" t="str">
        <f>IF(AND($A92&lt;&gt;"",$E92&lt;&gt;"✔ طبيعي"),SUMPRODUCT(('الرصيد الحالي'!$E$2:$E92&lt;&gt;"✔ طبيعي")*('الرصيد الحالي'!$E$2:$E92&lt;&gt;"")*('الرصيد الحالي'!$A$2:$A92&lt;&gt;"")),"")</f>
        <v/>
      </c>
    </row>
    <row r="93" spans="1:6" ht="24" customHeight="1">
      <c r="A93" s="3">
        <f>المواد!A93</f>
        <v>0</v>
      </c>
      <c r="B93" s="5">
        <f>المواد!B93</f>
        <v>0</v>
      </c>
      <c r="C93" s="4">
        <f>IF($A93="","",ROUND(SUMIFS(الإدخالات!$D$2:$D$501,الإدخالات!$C$2:$C$501,$A93)+SUMIFS('تعديل الجرد'!$F$2:$F$501,'تعديل الجرد'!$C$2:$C$501,$A93)-SUMIFS('الصرف المباشر'!$D$2:$D$501,'الصرف المباشر'!$C$2:$C$501,$A93)-SUMPRODUCT((الطبخات!$B$2:$B$900=$A93)*الطبخات!$C$2:$C$900*COUNTIF('سجل الإنتاج'!$C$2:$C$501,الطبخات!$A$2:$A$900)),3))</f>
        <v>0</v>
      </c>
      <c r="D93" s="4">
        <f>IF($A93="","",ROUND(SUMIFS('الصرف المباشر'!$D$2:$D$501,'الصرف المباشر'!$C$2:$C$501,$A93)+SUMPRODUCT((الطبخات!$B$2:$B$900=$A93)*الطبخات!$C$2:$C$900*COUNTIF('سجل الإنتاج'!$C$2:$C$501,الطبخات!$A$2:$A$900)),3))</f>
        <v>0</v>
      </c>
      <c r="E93" s="5" t="str">
        <f t="shared" si="1"/>
        <v>✔ طبيعي</v>
      </c>
      <c r="F93" s="5" t="str">
        <f>IF(AND($A93&lt;&gt;"",$E93&lt;&gt;"✔ طبيعي"),SUMPRODUCT(('الرصيد الحالي'!$E$2:$E93&lt;&gt;"✔ طبيعي")*('الرصيد الحالي'!$E$2:$E93&lt;&gt;"")*('الرصيد الحالي'!$A$2:$A93&lt;&gt;"")),"")</f>
        <v/>
      </c>
    </row>
    <row r="94" spans="1:6" ht="24" customHeight="1">
      <c r="A94" s="3">
        <f>المواد!A94</f>
        <v>0</v>
      </c>
      <c r="B94" s="5">
        <f>المواد!B94</f>
        <v>0</v>
      </c>
      <c r="C94" s="4">
        <f>IF($A94="","",ROUND(SUMIFS(الإدخالات!$D$2:$D$501,الإدخالات!$C$2:$C$501,$A94)+SUMIFS('تعديل الجرد'!$F$2:$F$501,'تعديل الجرد'!$C$2:$C$501,$A94)-SUMIFS('الصرف المباشر'!$D$2:$D$501,'الصرف المباشر'!$C$2:$C$501,$A94)-SUMPRODUCT((الطبخات!$B$2:$B$900=$A94)*الطبخات!$C$2:$C$900*COUNTIF('سجل الإنتاج'!$C$2:$C$501,الطبخات!$A$2:$A$900)),3))</f>
        <v>0</v>
      </c>
      <c r="D94" s="4">
        <f>IF($A94="","",ROUND(SUMIFS('الصرف المباشر'!$D$2:$D$501,'الصرف المباشر'!$C$2:$C$501,$A94)+SUMPRODUCT((الطبخات!$B$2:$B$900=$A94)*الطبخات!$C$2:$C$900*COUNTIF('سجل الإنتاج'!$C$2:$C$501,الطبخات!$A$2:$A$900)),3))</f>
        <v>0</v>
      </c>
      <c r="E94" s="5" t="str">
        <f t="shared" si="1"/>
        <v>✔ طبيعي</v>
      </c>
      <c r="F94" s="5" t="str">
        <f>IF(AND($A94&lt;&gt;"",$E94&lt;&gt;"✔ طبيعي"),SUMPRODUCT(('الرصيد الحالي'!$E$2:$E94&lt;&gt;"✔ طبيعي")*('الرصيد الحالي'!$E$2:$E94&lt;&gt;"")*('الرصيد الحالي'!$A$2:$A94&lt;&gt;"")),"")</f>
        <v/>
      </c>
    </row>
    <row r="95" spans="1:6" ht="24" customHeight="1">
      <c r="A95" s="3">
        <f>المواد!A95</f>
        <v>0</v>
      </c>
      <c r="B95" s="5">
        <f>المواد!B95</f>
        <v>0</v>
      </c>
      <c r="C95" s="4">
        <f>IF($A95="","",ROUND(SUMIFS(الإدخالات!$D$2:$D$501,الإدخالات!$C$2:$C$501,$A95)+SUMIFS('تعديل الجرد'!$F$2:$F$501,'تعديل الجرد'!$C$2:$C$501,$A95)-SUMIFS('الصرف المباشر'!$D$2:$D$501,'الصرف المباشر'!$C$2:$C$501,$A95)-SUMPRODUCT((الطبخات!$B$2:$B$900=$A95)*الطبخات!$C$2:$C$900*COUNTIF('سجل الإنتاج'!$C$2:$C$501,الطبخات!$A$2:$A$900)),3))</f>
        <v>0</v>
      </c>
      <c r="D95" s="4">
        <f>IF($A95="","",ROUND(SUMIFS('الصرف المباشر'!$D$2:$D$501,'الصرف المباشر'!$C$2:$C$501,$A95)+SUMPRODUCT((الطبخات!$B$2:$B$900=$A95)*الطبخات!$C$2:$C$900*COUNTIF('سجل الإنتاج'!$C$2:$C$501,الطبخات!$A$2:$A$900)),3))</f>
        <v>0</v>
      </c>
      <c r="E95" s="5" t="str">
        <f t="shared" si="1"/>
        <v>✔ طبيعي</v>
      </c>
      <c r="F95" s="5" t="str">
        <f>IF(AND($A95&lt;&gt;"",$E95&lt;&gt;"✔ طبيعي"),SUMPRODUCT(('الرصيد الحالي'!$E$2:$E95&lt;&gt;"✔ طبيعي")*('الرصيد الحالي'!$E$2:$E95&lt;&gt;"")*('الرصيد الحالي'!$A$2:$A95&lt;&gt;"")),"")</f>
        <v/>
      </c>
    </row>
    <row r="96" spans="1:6" ht="24" customHeight="1">
      <c r="A96" s="3">
        <f>المواد!A96</f>
        <v>0</v>
      </c>
      <c r="B96" s="5">
        <f>المواد!B96</f>
        <v>0</v>
      </c>
      <c r="C96" s="4">
        <f>IF($A96="","",ROUND(SUMIFS(الإدخالات!$D$2:$D$501,الإدخالات!$C$2:$C$501,$A96)+SUMIFS('تعديل الجرد'!$F$2:$F$501,'تعديل الجرد'!$C$2:$C$501,$A96)-SUMIFS('الصرف المباشر'!$D$2:$D$501,'الصرف المباشر'!$C$2:$C$501,$A96)-SUMPRODUCT((الطبخات!$B$2:$B$900=$A96)*الطبخات!$C$2:$C$900*COUNTIF('سجل الإنتاج'!$C$2:$C$501,الطبخات!$A$2:$A$900)),3))</f>
        <v>0</v>
      </c>
      <c r="D96" s="4">
        <f>IF($A96="","",ROUND(SUMIFS('الصرف المباشر'!$D$2:$D$501,'الصرف المباشر'!$C$2:$C$501,$A96)+SUMPRODUCT((الطبخات!$B$2:$B$900=$A96)*الطبخات!$C$2:$C$900*COUNTIF('سجل الإنتاج'!$C$2:$C$501,الطبخات!$A$2:$A$900)),3))</f>
        <v>0</v>
      </c>
      <c r="E96" s="5" t="str">
        <f t="shared" si="1"/>
        <v>✔ طبيعي</v>
      </c>
      <c r="F96" s="5" t="str">
        <f>IF(AND($A96&lt;&gt;"",$E96&lt;&gt;"✔ طبيعي"),SUMPRODUCT(('الرصيد الحالي'!$E$2:$E96&lt;&gt;"✔ طبيعي")*('الرصيد الحالي'!$E$2:$E96&lt;&gt;"")*('الرصيد الحالي'!$A$2:$A96&lt;&gt;"")),"")</f>
        <v/>
      </c>
    </row>
    <row r="97" spans="1:6" ht="24" customHeight="1">
      <c r="A97" s="3">
        <f>المواد!A97</f>
        <v>0</v>
      </c>
      <c r="B97" s="5">
        <f>المواد!B97</f>
        <v>0</v>
      </c>
      <c r="C97" s="4">
        <f>IF($A97="","",ROUND(SUMIFS(الإدخالات!$D$2:$D$501,الإدخالات!$C$2:$C$501,$A97)+SUMIFS('تعديل الجرد'!$F$2:$F$501,'تعديل الجرد'!$C$2:$C$501,$A97)-SUMIFS('الصرف المباشر'!$D$2:$D$501,'الصرف المباشر'!$C$2:$C$501,$A97)-SUMPRODUCT((الطبخات!$B$2:$B$900=$A97)*الطبخات!$C$2:$C$900*COUNTIF('سجل الإنتاج'!$C$2:$C$501,الطبخات!$A$2:$A$900)),3))</f>
        <v>0</v>
      </c>
      <c r="D97" s="4">
        <f>IF($A97="","",ROUND(SUMIFS('الصرف المباشر'!$D$2:$D$501,'الصرف المباشر'!$C$2:$C$501,$A97)+SUMPRODUCT((الطبخات!$B$2:$B$900=$A97)*الطبخات!$C$2:$C$900*COUNTIF('سجل الإنتاج'!$C$2:$C$501,الطبخات!$A$2:$A$900)),3))</f>
        <v>0</v>
      </c>
      <c r="E97" s="5" t="str">
        <f t="shared" si="1"/>
        <v>✔ طبيعي</v>
      </c>
      <c r="F97" s="5" t="str">
        <f>IF(AND($A97&lt;&gt;"",$E97&lt;&gt;"✔ طبيعي"),SUMPRODUCT(('الرصيد الحالي'!$E$2:$E97&lt;&gt;"✔ طبيعي")*('الرصيد الحالي'!$E$2:$E97&lt;&gt;"")*('الرصيد الحالي'!$A$2:$A97&lt;&gt;"")),"")</f>
        <v/>
      </c>
    </row>
    <row r="98" spans="1:6" ht="24" customHeight="1">
      <c r="A98" s="3">
        <f>المواد!A98</f>
        <v>0</v>
      </c>
      <c r="B98" s="5">
        <f>المواد!B98</f>
        <v>0</v>
      </c>
      <c r="C98" s="4">
        <f>IF($A98="","",ROUND(SUMIFS(الإدخالات!$D$2:$D$501,الإدخالات!$C$2:$C$501,$A98)+SUMIFS('تعديل الجرد'!$F$2:$F$501,'تعديل الجرد'!$C$2:$C$501,$A98)-SUMIFS('الصرف المباشر'!$D$2:$D$501,'الصرف المباشر'!$C$2:$C$501,$A98)-SUMPRODUCT((الطبخات!$B$2:$B$900=$A98)*الطبخات!$C$2:$C$900*COUNTIF('سجل الإنتاج'!$C$2:$C$501,الطبخات!$A$2:$A$900)),3))</f>
        <v>0</v>
      </c>
      <c r="D98" s="4">
        <f>IF($A98="","",ROUND(SUMIFS('الصرف المباشر'!$D$2:$D$501,'الصرف المباشر'!$C$2:$C$501,$A98)+SUMPRODUCT((الطبخات!$B$2:$B$900=$A98)*الطبخات!$C$2:$C$900*COUNTIF('سجل الإنتاج'!$C$2:$C$501,الطبخات!$A$2:$A$900)),3))</f>
        <v>0</v>
      </c>
      <c r="E98" s="5" t="str">
        <f t="shared" si="1"/>
        <v>✔ طبيعي</v>
      </c>
      <c r="F98" s="5" t="str">
        <f>IF(AND($A98&lt;&gt;"",$E98&lt;&gt;"✔ طبيعي"),SUMPRODUCT(('الرصيد الحالي'!$E$2:$E98&lt;&gt;"✔ طبيعي")*('الرصيد الحالي'!$E$2:$E98&lt;&gt;"")*('الرصيد الحالي'!$A$2:$A98&lt;&gt;"")),"")</f>
        <v/>
      </c>
    </row>
    <row r="99" spans="1:6" ht="24" customHeight="1">
      <c r="A99" s="3">
        <f>المواد!A99</f>
        <v>0</v>
      </c>
      <c r="B99" s="5">
        <f>المواد!B99</f>
        <v>0</v>
      </c>
      <c r="C99" s="4">
        <f>IF($A99="","",ROUND(SUMIFS(الإدخالات!$D$2:$D$501,الإدخالات!$C$2:$C$501,$A99)+SUMIFS('تعديل الجرد'!$F$2:$F$501,'تعديل الجرد'!$C$2:$C$501,$A99)-SUMIFS('الصرف المباشر'!$D$2:$D$501,'الصرف المباشر'!$C$2:$C$501,$A99)-SUMPRODUCT((الطبخات!$B$2:$B$900=$A99)*الطبخات!$C$2:$C$900*COUNTIF('سجل الإنتاج'!$C$2:$C$501,الطبخات!$A$2:$A$900)),3))</f>
        <v>0</v>
      </c>
      <c r="D99" s="4">
        <f>IF($A99="","",ROUND(SUMIFS('الصرف المباشر'!$D$2:$D$501,'الصرف المباشر'!$C$2:$C$501,$A99)+SUMPRODUCT((الطبخات!$B$2:$B$900=$A99)*الطبخات!$C$2:$C$900*COUNTIF('سجل الإنتاج'!$C$2:$C$501,الطبخات!$A$2:$A$900)),3))</f>
        <v>0</v>
      </c>
      <c r="E99" s="5" t="str">
        <f t="shared" si="1"/>
        <v>✔ طبيعي</v>
      </c>
      <c r="F99" s="5" t="str">
        <f>IF(AND($A99&lt;&gt;"",$E99&lt;&gt;"✔ طبيعي"),SUMPRODUCT(('الرصيد الحالي'!$E$2:$E99&lt;&gt;"✔ طبيعي")*('الرصيد الحالي'!$E$2:$E99&lt;&gt;"")*('الرصيد الحالي'!$A$2:$A99&lt;&gt;"")),"")</f>
        <v/>
      </c>
    </row>
    <row r="100" spans="1:6" ht="24" customHeight="1">
      <c r="A100" s="3">
        <f>المواد!A100</f>
        <v>0</v>
      </c>
      <c r="B100" s="5">
        <f>المواد!B100</f>
        <v>0</v>
      </c>
      <c r="C100" s="4">
        <f>IF($A100="","",ROUND(SUMIFS(الإدخالات!$D$2:$D$501,الإدخالات!$C$2:$C$501,$A100)+SUMIFS('تعديل الجرد'!$F$2:$F$501,'تعديل الجرد'!$C$2:$C$501,$A100)-SUMIFS('الصرف المباشر'!$D$2:$D$501,'الصرف المباشر'!$C$2:$C$501,$A100)-SUMPRODUCT((الطبخات!$B$2:$B$900=$A100)*الطبخات!$C$2:$C$900*COUNTIF('سجل الإنتاج'!$C$2:$C$501,الطبخات!$A$2:$A$900)),3))</f>
        <v>0</v>
      </c>
      <c r="D100" s="4">
        <f>IF($A100="","",ROUND(SUMIFS('الصرف المباشر'!$D$2:$D$501,'الصرف المباشر'!$C$2:$C$501,$A100)+SUMPRODUCT((الطبخات!$B$2:$B$900=$A100)*الطبخات!$C$2:$C$900*COUNTIF('سجل الإنتاج'!$C$2:$C$501,الطبخات!$A$2:$A$900)),3))</f>
        <v>0</v>
      </c>
      <c r="E100" s="5" t="str">
        <f t="shared" si="1"/>
        <v>✔ طبيعي</v>
      </c>
      <c r="F100" s="5" t="str">
        <f>IF(AND($A100&lt;&gt;"",$E100&lt;&gt;"✔ طبيعي"),SUMPRODUCT(('الرصيد الحالي'!$E$2:$E100&lt;&gt;"✔ طبيعي")*('الرصيد الحالي'!$E$2:$E100&lt;&gt;"")*('الرصيد الحالي'!$A$2:$A100&lt;&gt;"")),"")</f>
        <v/>
      </c>
    </row>
    <row r="101" spans="1:6" ht="24" customHeight="1">
      <c r="A101" s="3">
        <f>المواد!A101</f>
        <v>0</v>
      </c>
      <c r="B101" s="5">
        <f>المواد!B101</f>
        <v>0</v>
      </c>
      <c r="C101" s="4">
        <f>IF($A101="","",ROUND(SUMIFS(الإدخالات!$D$2:$D$501,الإدخالات!$C$2:$C$501,$A101)+SUMIFS('تعديل الجرد'!$F$2:$F$501,'تعديل الجرد'!$C$2:$C$501,$A101)-SUMIFS('الصرف المباشر'!$D$2:$D$501,'الصرف المباشر'!$C$2:$C$501,$A101)-SUMPRODUCT((الطبخات!$B$2:$B$900=$A101)*الطبخات!$C$2:$C$900*COUNTIF('سجل الإنتاج'!$C$2:$C$501,الطبخات!$A$2:$A$900)),3))</f>
        <v>0</v>
      </c>
      <c r="D101" s="4">
        <f>IF($A101="","",ROUND(SUMIFS('الصرف المباشر'!$D$2:$D$501,'الصرف المباشر'!$C$2:$C$501,$A101)+SUMPRODUCT((الطبخات!$B$2:$B$900=$A101)*الطبخات!$C$2:$C$900*COUNTIF('سجل الإنتاج'!$C$2:$C$501,الطبخات!$A$2:$A$900)),3))</f>
        <v>0</v>
      </c>
      <c r="E101" s="5" t="str">
        <f t="shared" si="1"/>
        <v>✔ طبيعي</v>
      </c>
      <c r="F101" s="5" t="str">
        <f>IF(AND($A101&lt;&gt;"",$E101&lt;&gt;"✔ طبيعي"),SUMPRODUCT(('الرصيد الحالي'!$E$2:$E101&lt;&gt;"✔ طبيعي")*('الرصيد الحالي'!$E$2:$E101&lt;&gt;"")*('الرصيد الحالي'!$A$2:$A101&lt;&gt;"")),"")</f>
        <v/>
      </c>
    </row>
    <row r="102" spans="1:6" ht="24" customHeight="1">
      <c r="A102" s="3">
        <f>المواد!A102</f>
        <v>0</v>
      </c>
      <c r="B102" s="5">
        <f>المواد!B102</f>
        <v>0</v>
      </c>
      <c r="C102" s="4">
        <f>IF($A102="","",ROUND(SUMIFS(الإدخالات!$D$2:$D$501,الإدخالات!$C$2:$C$501,$A102)+SUMIFS('تعديل الجرد'!$F$2:$F$501,'تعديل الجرد'!$C$2:$C$501,$A102)-SUMIFS('الصرف المباشر'!$D$2:$D$501,'الصرف المباشر'!$C$2:$C$501,$A102)-SUMPRODUCT((الطبخات!$B$2:$B$900=$A102)*الطبخات!$C$2:$C$900*COUNTIF('سجل الإنتاج'!$C$2:$C$501,الطبخات!$A$2:$A$900)),3))</f>
        <v>0</v>
      </c>
      <c r="D102" s="4">
        <f>IF($A102="","",ROUND(SUMIFS('الصرف المباشر'!$D$2:$D$501,'الصرف المباشر'!$C$2:$C$501,$A102)+SUMPRODUCT((الطبخات!$B$2:$B$900=$A102)*الطبخات!$C$2:$C$900*COUNTIF('سجل الإنتاج'!$C$2:$C$501,الطبخات!$A$2:$A$900)),3))</f>
        <v>0</v>
      </c>
      <c r="E102" s="5" t="str">
        <f t="shared" si="1"/>
        <v>✔ طبيعي</v>
      </c>
      <c r="F102" s="5" t="str">
        <f>IF(AND($A102&lt;&gt;"",$E102&lt;&gt;"✔ طبيعي"),SUMPRODUCT(('الرصيد الحالي'!$E$2:$E102&lt;&gt;"✔ طبيعي")*('الرصيد الحالي'!$E$2:$E102&lt;&gt;"")*('الرصيد الحالي'!$A$2:$A102&lt;&gt;"")),"")</f>
        <v/>
      </c>
    </row>
    <row r="103" spans="1:6" ht="24" customHeight="1">
      <c r="A103" s="3">
        <f>المواد!A103</f>
        <v>0</v>
      </c>
      <c r="B103" s="5">
        <f>المواد!B103</f>
        <v>0</v>
      </c>
      <c r="C103" s="4">
        <f>IF($A103="","",ROUND(SUMIFS(الإدخالات!$D$2:$D$501,الإدخالات!$C$2:$C$501,$A103)+SUMIFS('تعديل الجرد'!$F$2:$F$501,'تعديل الجرد'!$C$2:$C$501,$A103)-SUMIFS('الصرف المباشر'!$D$2:$D$501,'الصرف المباشر'!$C$2:$C$501,$A103)-SUMPRODUCT((الطبخات!$B$2:$B$900=$A103)*الطبخات!$C$2:$C$900*COUNTIF('سجل الإنتاج'!$C$2:$C$501,الطبخات!$A$2:$A$900)),3))</f>
        <v>0</v>
      </c>
      <c r="D103" s="4">
        <f>IF($A103="","",ROUND(SUMIFS('الصرف المباشر'!$D$2:$D$501,'الصرف المباشر'!$C$2:$C$501,$A103)+SUMPRODUCT((الطبخات!$B$2:$B$900=$A103)*الطبخات!$C$2:$C$900*COUNTIF('سجل الإنتاج'!$C$2:$C$501,الطبخات!$A$2:$A$900)),3))</f>
        <v>0</v>
      </c>
      <c r="E103" s="5" t="str">
        <f t="shared" si="1"/>
        <v>✔ طبيعي</v>
      </c>
      <c r="F103" s="5" t="str">
        <f>IF(AND($A103&lt;&gt;"",$E103&lt;&gt;"✔ طبيعي"),SUMPRODUCT(('الرصيد الحالي'!$E$2:$E103&lt;&gt;"✔ طبيعي")*('الرصيد الحالي'!$E$2:$E103&lt;&gt;"")*('الرصيد الحالي'!$A$2:$A103&lt;&gt;"")),"")</f>
        <v/>
      </c>
    </row>
    <row r="104" spans="1:6" ht="24" customHeight="1">
      <c r="A104" s="3">
        <f>المواد!A104</f>
        <v>0</v>
      </c>
      <c r="B104" s="5">
        <f>المواد!B104</f>
        <v>0</v>
      </c>
      <c r="C104" s="4">
        <f>IF($A104="","",ROUND(SUMIFS(الإدخالات!$D$2:$D$501,الإدخالات!$C$2:$C$501,$A104)+SUMIFS('تعديل الجرد'!$F$2:$F$501,'تعديل الجرد'!$C$2:$C$501,$A104)-SUMIFS('الصرف المباشر'!$D$2:$D$501,'الصرف المباشر'!$C$2:$C$501,$A104)-SUMPRODUCT((الطبخات!$B$2:$B$900=$A104)*الطبخات!$C$2:$C$900*COUNTIF('سجل الإنتاج'!$C$2:$C$501,الطبخات!$A$2:$A$900)),3))</f>
        <v>0</v>
      </c>
      <c r="D104" s="4">
        <f>IF($A104="","",ROUND(SUMIFS('الصرف المباشر'!$D$2:$D$501,'الصرف المباشر'!$C$2:$C$501,$A104)+SUMPRODUCT((الطبخات!$B$2:$B$900=$A104)*الطبخات!$C$2:$C$900*COUNTIF('سجل الإنتاج'!$C$2:$C$501,الطبخات!$A$2:$A$900)),3))</f>
        <v>0</v>
      </c>
      <c r="E104" s="5" t="str">
        <f t="shared" si="1"/>
        <v>✔ طبيعي</v>
      </c>
      <c r="F104" s="5" t="str">
        <f>IF(AND($A104&lt;&gt;"",$E104&lt;&gt;"✔ طبيعي"),SUMPRODUCT(('الرصيد الحالي'!$E$2:$E104&lt;&gt;"✔ طبيعي")*('الرصيد الحالي'!$E$2:$E104&lt;&gt;"")*('الرصيد الحالي'!$A$2:$A104&lt;&gt;"")),"")</f>
        <v/>
      </c>
    </row>
    <row r="105" spans="1:6" ht="24" customHeight="1">
      <c r="A105" s="3">
        <f>المواد!A105</f>
        <v>0</v>
      </c>
      <c r="B105" s="5">
        <f>المواد!B105</f>
        <v>0</v>
      </c>
      <c r="C105" s="4">
        <f>IF($A105="","",ROUND(SUMIFS(الإدخالات!$D$2:$D$501,الإدخالات!$C$2:$C$501,$A105)+SUMIFS('تعديل الجرد'!$F$2:$F$501,'تعديل الجرد'!$C$2:$C$501,$A105)-SUMIFS('الصرف المباشر'!$D$2:$D$501,'الصرف المباشر'!$C$2:$C$501,$A105)-SUMPRODUCT((الطبخات!$B$2:$B$900=$A105)*الطبخات!$C$2:$C$900*COUNTIF('سجل الإنتاج'!$C$2:$C$501,الطبخات!$A$2:$A$900)),3))</f>
        <v>0</v>
      </c>
      <c r="D105" s="4">
        <f>IF($A105="","",ROUND(SUMIFS('الصرف المباشر'!$D$2:$D$501,'الصرف المباشر'!$C$2:$C$501,$A105)+SUMPRODUCT((الطبخات!$B$2:$B$900=$A105)*الطبخات!$C$2:$C$900*COUNTIF('سجل الإنتاج'!$C$2:$C$501,الطبخات!$A$2:$A$900)),3))</f>
        <v>0</v>
      </c>
      <c r="E105" s="5" t="str">
        <f t="shared" si="1"/>
        <v>✔ طبيعي</v>
      </c>
      <c r="F105" s="5" t="str">
        <f>IF(AND($A105&lt;&gt;"",$E105&lt;&gt;"✔ طبيعي"),SUMPRODUCT(('الرصيد الحالي'!$E$2:$E105&lt;&gt;"✔ طبيعي")*('الرصيد الحالي'!$E$2:$E105&lt;&gt;"")*('الرصيد الحالي'!$A$2:$A105&lt;&gt;"")),"")</f>
        <v/>
      </c>
    </row>
    <row r="106" spans="1:6" ht="24" customHeight="1">
      <c r="A106" s="3">
        <f>المواد!A106</f>
        <v>0</v>
      </c>
      <c r="B106" s="5">
        <f>المواد!B106</f>
        <v>0</v>
      </c>
      <c r="C106" s="4">
        <f>IF($A106="","",ROUND(SUMIFS(الإدخالات!$D$2:$D$501,الإدخالات!$C$2:$C$501,$A106)+SUMIFS('تعديل الجرد'!$F$2:$F$501,'تعديل الجرد'!$C$2:$C$501,$A106)-SUMIFS('الصرف المباشر'!$D$2:$D$501,'الصرف المباشر'!$C$2:$C$501,$A106)-SUMPRODUCT((الطبخات!$B$2:$B$900=$A106)*الطبخات!$C$2:$C$900*COUNTIF('سجل الإنتاج'!$C$2:$C$501,الطبخات!$A$2:$A$900)),3))</f>
        <v>0</v>
      </c>
      <c r="D106" s="4">
        <f>IF($A106="","",ROUND(SUMIFS('الصرف المباشر'!$D$2:$D$501,'الصرف المباشر'!$C$2:$C$501,$A106)+SUMPRODUCT((الطبخات!$B$2:$B$900=$A106)*الطبخات!$C$2:$C$900*COUNTIF('سجل الإنتاج'!$C$2:$C$501,الطبخات!$A$2:$A$900)),3))</f>
        <v>0</v>
      </c>
      <c r="E106" s="5" t="str">
        <f t="shared" si="1"/>
        <v>✔ طبيعي</v>
      </c>
      <c r="F106" s="5" t="str">
        <f>IF(AND($A106&lt;&gt;"",$E106&lt;&gt;"✔ طبيعي"),SUMPRODUCT(('الرصيد الحالي'!$E$2:$E106&lt;&gt;"✔ طبيعي")*('الرصيد الحالي'!$E$2:$E106&lt;&gt;"")*('الرصيد الحالي'!$A$2:$A106&lt;&gt;"")),"")</f>
        <v/>
      </c>
    </row>
    <row r="107" spans="1:6" ht="24" customHeight="1">
      <c r="A107" s="3">
        <f>المواد!A107</f>
        <v>0</v>
      </c>
      <c r="B107" s="5">
        <f>المواد!B107</f>
        <v>0</v>
      </c>
      <c r="C107" s="4">
        <f>IF($A107="","",ROUND(SUMIFS(الإدخالات!$D$2:$D$501,الإدخالات!$C$2:$C$501,$A107)+SUMIFS('تعديل الجرد'!$F$2:$F$501,'تعديل الجرد'!$C$2:$C$501,$A107)-SUMIFS('الصرف المباشر'!$D$2:$D$501,'الصرف المباشر'!$C$2:$C$501,$A107)-SUMPRODUCT((الطبخات!$B$2:$B$900=$A107)*الطبخات!$C$2:$C$900*COUNTIF('سجل الإنتاج'!$C$2:$C$501,الطبخات!$A$2:$A$900)),3))</f>
        <v>0</v>
      </c>
      <c r="D107" s="4">
        <f>IF($A107="","",ROUND(SUMIFS('الصرف المباشر'!$D$2:$D$501,'الصرف المباشر'!$C$2:$C$501,$A107)+SUMPRODUCT((الطبخات!$B$2:$B$900=$A107)*الطبخات!$C$2:$C$900*COUNTIF('سجل الإنتاج'!$C$2:$C$501,الطبخات!$A$2:$A$900)),3))</f>
        <v>0</v>
      </c>
      <c r="E107" s="5" t="str">
        <f t="shared" si="1"/>
        <v>✔ طبيعي</v>
      </c>
      <c r="F107" s="5" t="str">
        <f>IF(AND($A107&lt;&gt;"",$E107&lt;&gt;"✔ طبيعي"),SUMPRODUCT(('الرصيد الحالي'!$E$2:$E107&lt;&gt;"✔ طبيعي")*('الرصيد الحالي'!$E$2:$E107&lt;&gt;"")*('الرصيد الحالي'!$A$2:$A107&lt;&gt;"")),"")</f>
        <v/>
      </c>
    </row>
    <row r="108" spans="1:6" ht="24" customHeight="1">
      <c r="A108" s="3">
        <f>المواد!A108</f>
        <v>0</v>
      </c>
      <c r="B108" s="5">
        <f>المواد!B108</f>
        <v>0</v>
      </c>
      <c r="C108" s="4">
        <f>IF($A108="","",ROUND(SUMIFS(الإدخالات!$D$2:$D$501,الإدخالات!$C$2:$C$501,$A108)+SUMIFS('تعديل الجرد'!$F$2:$F$501,'تعديل الجرد'!$C$2:$C$501,$A108)-SUMIFS('الصرف المباشر'!$D$2:$D$501,'الصرف المباشر'!$C$2:$C$501,$A108)-SUMPRODUCT((الطبخات!$B$2:$B$900=$A108)*الطبخات!$C$2:$C$900*COUNTIF('سجل الإنتاج'!$C$2:$C$501,الطبخات!$A$2:$A$900)),3))</f>
        <v>0</v>
      </c>
      <c r="D108" s="4">
        <f>IF($A108="","",ROUND(SUMIFS('الصرف المباشر'!$D$2:$D$501,'الصرف المباشر'!$C$2:$C$501,$A108)+SUMPRODUCT((الطبخات!$B$2:$B$900=$A108)*الطبخات!$C$2:$C$900*COUNTIF('سجل الإنتاج'!$C$2:$C$501,الطبخات!$A$2:$A$900)),3))</f>
        <v>0</v>
      </c>
      <c r="E108" s="5" t="str">
        <f t="shared" si="1"/>
        <v>✔ طبيعي</v>
      </c>
      <c r="F108" s="5" t="str">
        <f>IF(AND($A108&lt;&gt;"",$E108&lt;&gt;"✔ طبيعي"),SUMPRODUCT(('الرصيد الحالي'!$E$2:$E108&lt;&gt;"✔ طبيعي")*('الرصيد الحالي'!$E$2:$E108&lt;&gt;"")*('الرصيد الحالي'!$A$2:$A108&lt;&gt;"")),"")</f>
        <v/>
      </c>
    </row>
    <row r="109" spans="1:6" ht="24" customHeight="1">
      <c r="A109" s="3">
        <f>المواد!A109</f>
        <v>0</v>
      </c>
      <c r="B109" s="5">
        <f>المواد!B109</f>
        <v>0</v>
      </c>
      <c r="C109" s="4">
        <f>IF($A109="","",ROUND(SUMIFS(الإدخالات!$D$2:$D$501,الإدخالات!$C$2:$C$501,$A109)+SUMIFS('تعديل الجرد'!$F$2:$F$501,'تعديل الجرد'!$C$2:$C$501,$A109)-SUMIFS('الصرف المباشر'!$D$2:$D$501,'الصرف المباشر'!$C$2:$C$501,$A109)-SUMPRODUCT((الطبخات!$B$2:$B$900=$A109)*الطبخات!$C$2:$C$900*COUNTIF('سجل الإنتاج'!$C$2:$C$501,الطبخات!$A$2:$A$900)),3))</f>
        <v>0</v>
      </c>
      <c r="D109" s="4">
        <f>IF($A109="","",ROUND(SUMIFS('الصرف المباشر'!$D$2:$D$501,'الصرف المباشر'!$C$2:$C$501,$A109)+SUMPRODUCT((الطبخات!$B$2:$B$900=$A109)*الطبخات!$C$2:$C$900*COUNTIF('سجل الإنتاج'!$C$2:$C$501,الطبخات!$A$2:$A$900)),3))</f>
        <v>0</v>
      </c>
      <c r="E109" s="5" t="str">
        <f t="shared" si="1"/>
        <v>✔ طبيعي</v>
      </c>
      <c r="F109" s="5" t="str">
        <f>IF(AND($A109&lt;&gt;"",$E109&lt;&gt;"✔ طبيعي"),SUMPRODUCT(('الرصيد الحالي'!$E$2:$E109&lt;&gt;"✔ طبيعي")*('الرصيد الحالي'!$E$2:$E109&lt;&gt;"")*('الرصيد الحالي'!$A$2:$A109&lt;&gt;"")),"")</f>
        <v/>
      </c>
    </row>
    <row r="110" spans="1:6" ht="24" customHeight="1">
      <c r="A110" s="3">
        <f>المواد!A110</f>
        <v>0</v>
      </c>
      <c r="B110" s="5">
        <f>المواد!B110</f>
        <v>0</v>
      </c>
      <c r="C110" s="4">
        <f>IF($A110="","",ROUND(SUMIFS(الإدخالات!$D$2:$D$501,الإدخالات!$C$2:$C$501,$A110)+SUMIFS('تعديل الجرد'!$F$2:$F$501,'تعديل الجرد'!$C$2:$C$501,$A110)-SUMIFS('الصرف المباشر'!$D$2:$D$501,'الصرف المباشر'!$C$2:$C$501,$A110)-SUMPRODUCT((الطبخات!$B$2:$B$900=$A110)*الطبخات!$C$2:$C$900*COUNTIF('سجل الإنتاج'!$C$2:$C$501,الطبخات!$A$2:$A$900)),3))</f>
        <v>0</v>
      </c>
      <c r="D110" s="4">
        <f>IF($A110="","",ROUND(SUMIFS('الصرف المباشر'!$D$2:$D$501,'الصرف المباشر'!$C$2:$C$501,$A110)+SUMPRODUCT((الطبخات!$B$2:$B$900=$A110)*الطبخات!$C$2:$C$900*COUNTIF('سجل الإنتاج'!$C$2:$C$501,الطبخات!$A$2:$A$900)),3))</f>
        <v>0</v>
      </c>
      <c r="E110" s="5" t="str">
        <f t="shared" si="1"/>
        <v>✔ طبيعي</v>
      </c>
      <c r="F110" s="5" t="str">
        <f>IF(AND($A110&lt;&gt;"",$E110&lt;&gt;"✔ طبيعي"),SUMPRODUCT(('الرصيد الحالي'!$E$2:$E110&lt;&gt;"✔ طبيعي")*('الرصيد الحالي'!$E$2:$E110&lt;&gt;"")*('الرصيد الحالي'!$A$2:$A110&lt;&gt;"")),"")</f>
        <v/>
      </c>
    </row>
    <row r="111" spans="1:6" ht="24" customHeight="1">
      <c r="A111" s="3">
        <f>المواد!A111</f>
        <v>0</v>
      </c>
      <c r="B111" s="5">
        <f>المواد!B111</f>
        <v>0</v>
      </c>
      <c r="C111" s="4">
        <f>IF($A111="","",ROUND(SUMIFS(الإدخالات!$D$2:$D$501,الإدخالات!$C$2:$C$501,$A111)+SUMIFS('تعديل الجرد'!$F$2:$F$501,'تعديل الجرد'!$C$2:$C$501,$A111)-SUMIFS('الصرف المباشر'!$D$2:$D$501,'الصرف المباشر'!$C$2:$C$501,$A111)-SUMPRODUCT((الطبخات!$B$2:$B$900=$A111)*الطبخات!$C$2:$C$900*COUNTIF('سجل الإنتاج'!$C$2:$C$501,الطبخات!$A$2:$A$900)),3))</f>
        <v>0</v>
      </c>
      <c r="D111" s="4">
        <f>IF($A111="","",ROUND(SUMIFS('الصرف المباشر'!$D$2:$D$501,'الصرف المباشر'!$C$2:$C$501,$A111)+SUMPRODUCT((الطبخات!$B$2:$B$900=$A111)*الطبخات!$C$2:$C$900*COUNTIF('سجل الإنتاج'!$C$2:$C$501,الطبخات!$A$2:$A$900)),3))</f>
        <v>0</v>
      </c>
      <c r="E111" s="5" t="str">
        <f t="shared" si="1"/>
        <v>✔ طبيعي</v>
      </c>
      <c r="F111" s="5" t="str">
        <f>IF(AND($A111&lt;&gt;"",$E111&lt;&gt;"✔ طبيعي"),SUMPRODUCT(('الرصيد الحالي'!$E$2:$E111&lt;&gt;"✔ طبيعي")*('الرصيد الحالي'!$E$2:$E111&lt;&gt;"")*('الرصيد الحالي'!$A$2:$A111&lt;&gt;"")),"")</f>
        <v/>
      </c>
    </row>
    <row r="112" spans="1:6" ht="24" customHeight="1">
      <c r="A112" s="3">
        <f>المواد!A112</f>
        <v>0</v>
      </c>
      <c r="B112" s="5">
        <f>المواد!B112</f>
        <v>0</v>
      </c>
      <c r="C112" s="4">
        <f>IF($A112="","",ROUND(SUMIFS(الإدخالات!$D$2:$D$501,الإدخالات!$C$2:$C$501,$A112)+SUMIFS('تعديل الجرد'!$F$2:$F$501,'تعديل الجرد'!$C$2:$C$501,$A112)-SUMIFS('الصرف المباشر'!$D$2:$D$501,'الصرف المباشر'!$C$2:$C$501,$A112)-SUMPRODUCT((الطبخات!$B$2:$B$900=$A112)*الطبخات!$C$2:$C$900*COUNTIF('سجل الإنتاج'!$C$2:$C$501,الطبخات!$A$2:$A$900)),3))</f>
        <v>0</v>
      </c>
      <c r="D112" s="4">
        <f>IF($A112="","",ROUND(SUMIFS('الصرف المباشر'!$D$2:$D$501,'الصرف المباشر'!$C$2:$C$501,$A112)+SUMPRODUCT((الطبخات!$B$2:$B$900=$A112)*الطبخات!$C$2:$C$900*COUNTIF('سجل الإنتاج'!$C$2:$C$501,الطبخات!$A$2:$A$900)),3))</f>
        <v>0</v>
      </c>
      <c r="E112" s="5" t="str">
        <f t="shared" si="1"/>
        <v>✔ طبيعي</v>
      </c>
      <c r="F112" s="5" t="str">
        <f>IF(AND($A112&lt;&gt;"",$E112&lt;&gt;"✔ طبيعي"),SUMPRODUCT(('الرصيد الحالي'!$E$2:$E112&lt;&gt;"✔ طبيعي")*('الرصيد الحالي'!$E$2:$E112&lt;&gt;"")*('الرصيد الحالي'!$A$2:$A112&lt;&gt;"")),"")</f>
        <v/>
      </c>
    </row>
    <row r="113" spans="1:6" ht="24" customHeight="1">
      <c r="A113" s="3">
        <f>المواد!A113</f>
        <v>0</v>
      </c>
      <c r="B113" s="5">
        <f>المواد!B113</f>
        <v>0</v>
      </c>
      <c r="C113" s="4">
        <f>IF($A113="","",ROUND(SUMIFS(الإدخالات!$D$2:$D$501,الإدخالات!$C$2:$C$501,$A113)+SUMIFS('تعديل الجرد'!$F$2:$F$501,'تعديل الجرد'!$C$2:$C$501,$A113)-SUMIFS('الصرف المباشر'!$D$2:$D$501,'الصرف المباشر'!$C$2:$C$501,$A113)-SUMPRODUCT((الطبخات!$B$2:$B$900=$A113)*الطبخات!$C$2:$C$900*COUNTIF('سجل الإنتاج'!$C$2:$C$501,الطبخات!$A$2:$A$900)),3))</f>
        <v>0</v>
      </c>
      <c r="D113" s="4">
        <f>IF($A113="","",ROUND(SUMIFS('الصرف المباشر'!$D$2:$D$501,'الصرف المباشر'!$C$2:$C$501,$A113)+SUMPRODUCT((الطبخات!$B$2:$B$900=$A113)*الطبخات!$C$2:$C$900*COUNTIF('سجل الإنتاج'!$C$2:$C$501,الطبخات!$A$2:$A$900)),3))</f>
        <v>0</v>
      </c>
      <c r="E113" s="5" t="str">
        <f t="shared" si="1"/>
        <v>✔ طبيعي</v>
      </c>
      <c r="F113" s="5" t="str">
        <f>IF(AND($A113&lt;&gt;"",$E113&lt;&gt;"✔ طبيعي"),SUMPRODUCT(('الرصيد الحالي'!$E$2:$E113&lt;&gt;"✔ طبيعي")*('الرصيد الحالي'!$E$2:$E113&lt;&gt;"")*('الرصيد الحالي'!$A$2:$A113&lt;&gt;"")),"")</f>
        <v/>
      </c>
    </row>
    <row r="114" spans="1:6" ht="24" customHeight="1">
      <c r="A114" s="3">
        <f>المواد!A114</f>
        <v>0</v>
      </c>
      <c r="B114" s="5">
        <f>المواد!B114</f>
        <v>0</v>
      </c>
      <c r="C114" s="4">
        <f>IF($A114="","",ROUND(SUMIFS(الإدخالات!$D$2:$D$501,الإدخالات!$C$2:$C$501,$A114)+SUMIFS('تعديل الجرد'!$F$2:$F$501,'تعديل الجرد'!$C$2:$C$501,$A114)-SUMIFS('الصرف المباشر'!$D$2:$D$501,'الصرف المباشر'!$C$2:$C$501,$A114)-SUMPRODUCT((الطبخات!$B$2:$B$900=$A114)*الطبخات!$C$2:$C$900*COUNTIF('سجل الإنتاج'!$C$2:$C$501,الطبخات!$A$2:$A$900)),3))</f>
        <v>0</v>
      </c>
      <c r="D114" s="4">
        <f>IF($A114="","",ROUND(SUMIFS('الصرف المباشر'!$D$2:$D$501,'الصرف المباشر'!$C$2:$C$501,$A114)+SUMPRODUCT((الطبخات!$B$2:$B$900=$A114)*الطبخات!$C$2:$C$900*COUNTIF('سجل الإنتاج'!$C$2:$C$501,الطبخات!$A$2:$A$900)),3))</f>
        <v>0</v>
      </c>
      <c r="E114" s="5" t="str">
        <f t="shared" si="1"/>
        <v>✔ طبيعي</v>
      </c>
      <c r="F114" s="5" t="str">
        <f>IF(AND($A114&lt;&gt;"",$E114&lt;&gt;"✔ طبيعي"),SUMPRODUCT(('الرصيد الحالي'!$E$2:$E114&lt;&gt;"✔ طبيعي")*('الرصيد الحالي'!$E$2:$E114&lt;&gt;"")*('الرصيد الحالي'!$A$2:$A114&lt;&gt;"")),"")</f>
        <v/>
      </c>
    </row>
    <row r="115" spans="1:6" ht="24" customHeight="1">
      <c r="A115" s="3">
        <f>المواد!A115</f>
        <v>0</v>
      </c>
      <c r="B115" s="5">
        <f>المواد!B115</f>
        <v>0</v>
      </c>
      <c r="C115" s="4">
        <f>IF($A115="","",ROUND(SUMIFS(الإدخالات!$D$2:$D$501,الإدخالات!$C$2:$C$501,$A115)+SUMIFS('تعديل الجرد'!$F$2:$F$501,'تعديل الجرد'!$C$2:$C$501,$A115)-SUMIFS('الصرف المباشر'!$D$2:$D$501,'الصرف المباشر'!$C$2:$C$501,$A115)-SUMPRODUCT((الطبخات!$B$2:$B$900=$A115)*الطبخات!$C$2:$C$900*COUNTIF('سجل الإنتاج'!$C$2:$C$501,الطبخات!$A$2:$A$900)),3))</f>
        <v>0</v>
      </c>
      <c r="D115" s="4">
        <f>IF($A115="","",ROUND(SUMIFS('الصرف المباشر'!$D$2:$D$501,'الصرف المباشر'!$C$2:$C$501,$A115)+SUMPRODUCT((الطبخات!$B$2:$B$900=$A115)*الطبخات!$C$2:$C$900*COUNTIF('سجل الإنتاج'!$C$2:$C$501,الطبخات!$A$2:$A$900)),3))</f>
        <v>0</v>
      </c>
      <c r="E115" s="5" t="str">
        <f t="shared" si="1"/>
        <v>✔ طبيعي</v>
      </c>
      <c r="F115" s="5" t="str">
        <f>IF(AND($A115&lt;&gt;"",$E115&lt;&gt;"✔ طبيعي"),SUMPRODUCT(('الرصيد الحالي'!$E$2:$E115&lt;&gt;"✔ طبيعي")*('الرصيد الحالي'!$E$2:$E115&lt;&gt;"")*('الرصيد الحالي'!$A$2:$A115&lt;&gt;"")),"")</f>
        <v/>
      </c>
    </row>
    <row r="116" spans="1:6" ht="24" customHeight="1">
      <c r="A116" s="3">
        <f>المواد!A116</f>
        <v>0</v>
      </c>
      <c r="B116" s="5">
        <f>المواد!B116</f>
        <v>0</v>
      </c>
      <c r="C116" s="4">
        <f>IF($A116="","",ROUND(SUMIFS(الإدخالات!$D$2:$D$501,الإدخالات!$C$2:$C$501,$A116)+SUMIFS('تعديل الجرد'!$F$2:$F$501,'تعديل الجرد'!$C$2:$C$501,$A116)-SUMIFS('الصرف المباشر'!$D$2:$D$501,'الصرف المباشر'!$C$2:$C$501,$A116)-SUMPRODUCT((الطبخات!$B$2:$B$900=$A116)*الطبخات!$C$2:$C$900*COUNTIF('سجل الإنتاج'!$C$2:$C$501,الطبخات!$A$2:$A$900)),3))</f>
        <v>0</v>
      </c>
      <c r="D116" s="4">
        <f>IF($A116="","",ROUND(SUMIFS('الصرف المباشر'!$D$2:$D$501,'الصرف المباشر'!$C$2:$C$501,$A116)+SUMPRODUCT((الطبخات!$B$2:$B$900=$A116)*الطبخات!$C$2:$C$900*COUNTIF('سجل الإنتاج'!$C$2:$C$501,الطبخات!$A$2:$A$900)),3))</f>
        <v>0</v>
      </c>
      <c r="E116" s="5" t="str">
        <f t="shared" si="1"/>
        <v>✔ طبيعي</v>
      </c>
      <c r="F116" s="5" t="str">
        <f>IF(AND($A116&lt;&gt;"",$E116&lt;&gt;"✔ طبيعي"),SUMPRODUCT(('الرصيد الحالي'!$E$2:$E116&lt;&gt;"✔ طبيعي")*('الرصيد الحالي'!$E$2:$E116&lt;&gt;"")*('الرصيد الحالي'!$A$2:$A116&lt;&gt;"")),"")</f>
        <v/>
      </c>
    </row>
    <row r="117" spans="1:6" ht="24" customHeight="1">
      <c r="A117" s="3">
        <f>المواد!A117</f>
        <v>0</v>
      </c>
      <c r="B117" s="5">
        <f>المواد!B117</f>
        <v>0</v>
      </c>
      <c r="C117" s="4">
        <f>IF($A117="","",ROUND(SUMIFS(الإدخالات!$D$2:$D$501,الإدخالات!$C$2:$C$501,$A117)+SUMIFS('تعديل الجرد'!$F$2:$F$501,'تعديل الجرد'!$C$2:$C$501,$A117)-SUMIFS('الصرف المباشر'!$D$2:$D$501,'الصرف المباشر'!$C$2:$C$501,$A117)-SUMPRODUCT((الطبخات!$B$2:$B$900=$A117)*الطبخات!$C$2:$C$900*COUNTIF('سجل الإنتاج'!$C$2:$C$501,الطبخات!$A$2:$A$900)),3))</f>
        <v>0</v>
      </c>
      <c r="D117" s="4">
        <f>IF($A117="","",ROUND(SUMIFS('الصرف المباشر'!$D$2:$D$501,'الصرف المباشر'!$C$2:$C$501,$A117)+SUMPRODUCT((الطبخات!$B$2:$B$900=$A117)*الطبخات!$C$2:$C$900*COUNTIF('سجل الإنتاج'!$C$2:$C$501,الطبخات!$A$2:$A$900)),3))</f>
        <v>0</v>
      </c>
      <c r="E117" s="5" t="str">
        <f t="shared" si="1"/>
        <v>✔ طبيعي</v>
      </c>
      <c r="F117" s="5" t="str">
        <f>IF(AND($A117&lt;&gt;"",$E117&lt;&gt;"✔ طبيعي"),SUMPRODUCT(('الرصيد الحالي'!$E$2:$E117&lt;&gt;"✔ طبيعي")*('الرصيد الحالي'!$E$2:$E117&lt;&gt;"")*('الرصيد الحالي'!$A$2:$A117&lt;&gt;"")),"")</f>
        <v/>
      </c>
    </row>
    <row r="118" spans="1:6" ht="24" customHeight="1">
      <c r="A118" s="3">
        <f>المواد!A118</f>
        <v>0</v>
      </c>
      <c r="B118" s="5">
        <f>المواد!B118</f>
        <v>0</v>
      </c>
      <c r="C118" s="4">
        <f>IF($A118="","",ROUND(SUMIFS(الإدخالات!$D$2:$D$501,الإدخالات!$C$2:$C$501,$A118)+SUMIFS('تعديل الجرد'!$F$2:$F$501,'تعديل الجرد'!$C$2:$C$501,$A118)-SUMIFS('الصرف المباشر'!$D$2:$D$501,'الصرف المباشر'!$C$2:$C$501,$A118)-SUMPRODUCT((الطبخات!$B$2:$B$900=$A118)*الطبخات!$C$2:$C$900*COUNTIF('سجل الإنتاج'!$C$2:$C$501,الطبخات!$A$2:$A$900)),3))</f>
        <v>0</v>
      </c>
      <c r="D118" s="4">
        <f>IF($A118="","",ROUND(SUMIFS('الصرف المباشر'!$D$2:$D$501,'الصرف المباشر'!$C$2:$C$501,$A118)+SUMPRODUCT((الطبخات!$B$2:$B$900=$A118)*الطبخات!$C$2:$C$900*COUNTIF('سجل الإنتاج'!$C$2:$C$501,الطبخات!$A$2:$A$900)),3))</f>
        <v>0</v>
      </c>
      <c r="E118" s="5" t="str">
        <f t="shared" si="1"/>
        <v>✔ طبيعي</v>
      </c>
      <c r="F118" s="5" t="str">
        <f>IF(AND($A118&lt;&gt;"",$E118&lt;&gt;"✔ طبيعي"),SUMPRODUCT(('الرصيد الحالي'!$E$2:$E118&lt;&gt;"✔ طبيعي")*('الرصيد الحالي'!$E$2:$E118&lt;&gt;"")*('الرصيد الحالي'!$A$2:$A118&lt;&gt;"")),"")</f>
        <v/>
      </c>
    </row>
    <row r="119" spans="1:6" ht="24" customHeight="1">
      <c r="A119" s="3">
        <f>المواد!A119</f>
        <v>0</v>
      </c>
      <c r="B119" s="5">
        <f>المواد!B119</f>
        <v>0</v>
      </c>
      <c r="C119" s="4">
        <f>IF($A119="","",ROUND(SUMIFS(الإدخالات!$D$2:$D$501,الإدخالات!$C$2:$C$501,$A119)+SUMIFS('تعديل الجرد'!$F$2:$F$501,'تعديل الجرد'!$C$2:$C$501,$A119)-SUMIFS('الصرف المباشر'!$D$2:$D$501,'الصرف المباشر'!$C$2:$C$501,$A119)-SUMPRODUCT((الطبخات!$B$2:$B$900=$A119)*الطبخات!$C$2:$C$900*COUNTIF('سجل الإنتاج'!$C$2:$C$501,الطبخات!$A$2:$A$900)),3))</f>
        <v>0</v>
      </c>
      <c r="D119" s="4">
        <f>IF($A119="","",ROUND(SUMIFS('الصرف المباشر'!$D$2:$D$501,'الصرف المباشر'!$C$2:$C$501,$A119)+SUMPRODUCT((الطبخات!$B$2:$B$900=$A119)*الطبخات!$C$2:$C$900*COUNTIF('سجل الإنتاج'!$C$2:$C$501,الطبخات!$A$2:$A$900)),3))</f>
        <v>0</v>
      </c>
      <c r="E119" s="5" t="str">
        <f t="shared" si="1"/>
        <v>✔ طبيعي</v>
      </c>
      <c r="F119" s="5" t="str">
        <f>IF(AND($A119&lt;&gt;"",$E119&lt;&gt;"✔ طبيعي"),SUMPRODUCT(('الرصيد الحالي'!$E$2:$E119&lt;&gt;"✔ طبيعي")*('الرصيد الحالي'!$E$2:$E119&lt;&gt;"")*('الرصيد الحالي'!$A$2:$A119&lt;&gt;"")),"")</f>
        <v/>
      </c>
    </row>
    <row r="120" spans="1:6" ht="24" customHeight="1">
      <c r="A120" s="3">
        <f>المواد!A120</f>
        <v>0</v>
      </c>
      <c r="B120" s="5">
        <f>المواد!B120</f>
        <v>0</v>
      </c>
      <c r="C120" s="4">
        <f>IF($A120="","",ROUND(SUMIFS(الإدخالات!$D$2:$D$501,الإدخالات!$C$2:$C$501,$A120)+SUMIFS('تعديل الجرد'!$F$2:$F$501,'تعديل الجرد'!$C$2:$C$501,$A120)-SUMIFS('الصرف المباشر'!$D$2:$D$501,'الصرف المباشر'!$C$2:$C$501,$A120)-SUMPRODUCT((الطبخات!$B$2:$B$900=$A120)*الطبخات!$C$2:$C$900*COUNTIF('سجل الإنتاج'!$C$2:$C$501,الطبخات!$A$2:$A$900)),3))</f>
        <v>0</v>
      </c>
      <c r="D120" s="4">
        <f>IF($A120="","",ROUND(SUMIFS('الصرف المباشر'!$D$2:$D$501,'الصرف المباشر'!$C$2:$C$501,$A120)+SUMPRODUCT((الطبخات!$B$2:$B$900=$A120)*الطبخات!$C$2:$C$900*COUNTIF('سجل الإنتاج'!$C$2:$C$501,الطبخات!$A$2:$A$900)),3))</f>
        <v>0</v>
      </c>
      <c r="E120" s="5" t="str">
        <f t="shared" si="1"/>
        <v>✔ طبيعي</v>
      </c>
      <c r="F120" s="5" t="str">
        <f>IF(AND($A120&lt;&gt;"",$E120&lt;&gt;"✔ طبيعي"),SUMPRODUCT(('الرصيد الحالي'!$E$2:$E120&lt;&gt;"✔ طبيعي")*('الرصيد الحالي'!$E$2:$E120&lt;&gt;"")*('الرصيد الحالي'!$A$2:$A120&lt;&gt;"")),"")</f>
        <v/>
      </c>
    </row>
    <row r="121" spans="1:6" ht="24" customHeight="1">
      <c r="A121" s="3">
        <f>المواد!A121</f>
        <v>0</v>
      </c>
      <c r="B121" s="5">
        <f>المواد!B121</f>
        <v>0</v>
      </c>
      <c r="C121" s="4">
        <f>IF($A121="","",ROUND(SUMIFS(الإدخالات!$D$2:$D$501,الإدخالات!$C$2:$C$501,$A121)+SUMIFS('تعديل الجرد'!$F$2:$F$501,'تعديل الجرد'!$C$2:$C$501,$A121)-SUMIFS('الصرف المباشر'!$D$2:$D$501,'الصرف المباشر'!$C$2:$C$501,$A121)-SUMPRODUCT((الطبخات!$B$2:$B$900=$A121)*الطبخات!$C$2:$C$900*COUNTIF('سجل الإنتاج'!$C$2:$C$501,الطبخات!$A$2:$A$900)),3))</f>
        <v>0</v>
      </c>
      <c r="D121" s="4">
        <f>IF($A121="","",ROUND(SUMIFS('الصرف المباشر'!$D$2:$D$501,'الصرف المباشر'!$C$2:$C$501,$A121)+SUMPRODUCT((الطبخات!$B$2:$B$900=$A121)*الطبخات!$C$2:$C$900*COUNTIF('سجل الإنتاج'!$C$2:$C$501,الطبخات!$A$2:$A$900)),3))</f>
        <v>0</v>
      </c>
      <c r="E121" s="5" t="str">
        <f t="shared" si="1"/>
        <v>✔ طبيعي</v>
      </c>
      <c r="F121" s="5" t="str">
        <f>IF(AND($A121&lt;&gt;"",$E121&lt;&gt;"✔ طبيعي"),SUMPRODUCT(('الرصيد الحالي'!$E$2:$E121&lt;&gt;"✔ طبيعي")*('الرصيد الحالي'!$E$2:$E121&lt;&gt;"")*('الرصيد الحالي'!$A$2:$A121&lt;&gt;"")),"")</f>
        <v/>
      </c>
    </row>
    <row r="122" spans="1:6" ht="24" customHeight="1">
      <c r="A122" s="3">
        <f>المواد!A122</f>
        <v>0</v>
      </c>
      <c r="B122" s="5">
        <f>المواد!B122</f>
        <v>0</v>
      </c>
      <c r="C122" s="4">
        <f>IF($A122="","",ROUND(SUMIFS(الإدخالات!$D$2:$D$501,الإدخالات!$C$2:$C$501,$A122)+SUMIFS('تعديل الجرد'!$F$2:$F$501,'تعديل الجرد'!$C$2:$C$501,$A122)-SUMIFS('الصرف المباشر'!$D$2:$D$501,'الصرف المباشر'!$C$2:$C$501,$A122)-SUMPRODUCT((الطبخات!$B$2:$B$900=$A122)*الطبخات!$C$2:$C$900*COUNTIF('سجل الإنتاج'!$C$2:$C$501,الطبخات!$A$2:$A$900)),3))</f>
        <v>0</v>
      </c>
      <c r="D122" s="4">
        <f>IF($A122="","",ROUND(SUMIFS('الصرف المباشر'!$D$2:$D$501,'الصرف المباشر'!$C$2:$C$501,$A122)+SUMPRODUCT((الطبخات!$B$2:$B$900=$A122)*الطبخات!$C$2:$C$900*COUNTIF('سجل الإنتاج'!$C$2:$C$501,الطبخات!$A$2:$A$900)),3))</f>
        <v>0</v>
      </c>
      <c r="E122" s="5" t="str">
        <f t="shared" si="1"/>
        <v>✔ طبيعي</v>
      </c>
      <c r="F122" s="5" t="str">
        <f>IF(AND($A122&lt;&gt;"",$E122&lt;&gt;"✔ طبيعي"),SUMPRODUCT(('الرصيد الحالي'!$E$2:$E122&lt;&gt;"✔ طبيعي")*('الرصيد الحالي'!$E$2:$E122&lt;&gt;"")*('الرصيد الحالي'!$A$2:$A122&lt;&gt;"")),"")</f>
        <v/>
      </c>
    </row>
    <row r="123" spans="1:6" ht="24" customHeight="1">
      <c r="A123" s="3">
        <f>المواد!A123</f>
        <v>0</v>
      </c>
      <c r="B123" s="5">
        <f>المواد!B123</f>
        <v>0</v>
      </c>
      <c r="C123" s="4">
        <f>IF($A123="","",ROUND(SUMIFS(الإدخالات!$D$2:$D$501,الإدخالات!$C$2:$C$501,$A123)+SUMIFS('تعديل الجرد'!$F$2:$F$501,'تعديل الجرد'!$C$2:$C$501,$A123)-SUMIFS('الصرف المباشر'!$D$2:$D$501,'الصرف المباشر'!$C$2:$C$501,$A123)-SUMPRODUCT((الطبخات!$B$2:$B$900=$A123)*الطبخات!$C$2:$C$900*COUNTIF('سجل الإنتاج'!$C$2:$C$501,الطبخات!$A$2:$A$900)),3))</f>
        <v>0</v>
      </c>
      <c r="D123" s="4">
        <f>IF($A123="","",ROUND(SUMIFS('الصرف المباشر'!$D$2:$D$501,'الصرف المباشر'!$C$2:$C$501,$A123)+SUMPRODUCT((الطبخات!$B$2:$B$900=$A123)*الطبخات!$C$2:$C$900*COUNTIF('سجل الإنتاج'!$C$2:$C$501,الطبخات!$A$2:$A$900)),3))</f>
        <v>0</v>
      </c>
      <c r="E123" s="5" t="str">
        <f t="shared" si="1"/>
        <v>✔ طبيعي</v>
      </c>
      <c r="F123" s="5" t="str">
        <f>IF(AND($A123&lt;&gt;"",$E123&lt;&gt;"✔ طبيعي"),SUMPRODUCT(('الرصيد الحالي'!$E$2:$E123&lt;&gt;"✔ طبيعي")*('الرصيد الحالي'!$E$2:$E123&lt;&gt;"")*('الرصيد الحالي'!$A$2:$A123&lt;&gt;"")),"")</f>
        <v/>
      </c>
    </row>
    <row r="124" spans="1:6" ht="24" customHeight="1">
      <c r="A124" s="3">
        <f>المواد!A124</f>
        <v>0</v>
      </c>
      <c r="B124" s="5">
        <f>المواد!B124</f>
        <v>0</v>
      </c>
      <c r="C124" s="4">
        <f>IF($A124="","",ROUND(SUMIFS(الإدخالات!$D$2:$D$501,الإدخالات!$C$2:$C$501,$A124)+SUMIFS('تعديل الجرد'!$F$2:$F$501,'تعديل الجرد'!$C$2:$C$501,$A124)-SUMIFS('الصرف المباشر'!$D$2:$D$501,'الصرف المباشر'!$C$2:$C$501,$A124)-SUMPRODUCT((الطبخات!$B$2:$B$900=$A124)*الطبخات!$C$2:$C$900*COUNTIF('سجل الإنتاج'!$C$2:$C$501,الطبخات!$A$2:$A$900)),3))</f>
        <v>0</v>
      </c>
      <c r="D124" s="4">
        <f>IF($A124="","",ROUND(SUMIFS('الصرف المباشر'!$D$2:$D$501,'الصرف المباشر'!$C$2:$C$501,$A124)+SUMPRODUCT((الطبخات!$B$2:$B$900=$A124)*الطبخات!$C$2:$C$900*COUNTIF('سجل الإنتاج'!$C$2:$C$501,الطبخات!$A$2:$A$900)),3))</f>
        <v>0</v>
      </c>
      <c r="E124" s="5" t="str">
        <f t="shared" si="1"/>
        <v>✔ طبيعي</v>
      </c>
      <c r="F124" s="5" t="str">
        <f>IF(AND($A124&lt;&gt;"",$E124&lt;&gt;"✔ طبيعي"),SUMPRODUCT(('الرصيد الحالي'!$E$2:$E124&lt;&gt;"✔ طبيعي")*('الرصيد الحالي'!$E$2:$E124&lt;&gt;"")*('الرصيد الحالي'!$A$2:$A124&lt;&gt;"")),"")</f>
        <v/>
      </c>
    </row>
    <row r="125" spans="1:6" ht="24" customHeight="1">
      <c r="A125" s="3">
        <f>المواد!A125</f>
        <v>0</v>
      </c>
      <c r="B125" s="5">
        <f>المواد!B125</f>
        <v>0</v>
      </c>
      <c r="C125" s="4">
        <f>IF($A125="","",ROUND(SUMIFS(الإدخالات!$D$2:$D$501,الإدخالات!$C$2:$C$501,$A125)+SUMIFS('تعديل الجرد'!$F$2:$F$501,'تعديل الجرد'!$C$2:$C$501,$A125)-SUMIFS('الصرف المباشر'!$D$2:$D$501,'الصرف المباشر'!$C$2:$C$501,$A125)-SUMPRODUCT((الطبخات!$B$2:$B$900=$A125)*الطبخات!$C$2:$C$900*COUNTIF('سجل الإنتاج'!$C$2:$C$501,الطبخات!$A$2:$A$900)),3))</f>
        <v>0</v>
      </c>
      <c r="D125" s="4">
        <f>IF($A125="","",ROUND(SUMIFS('الصرف المباشر'!$D$2:$D$501,'الصرف المباشر'!$C$2:$C$501,$A125)+SUMPRODUCT((الطبخات!$B$2:$B$900=$A125)*الطبخات!$C$2:$C$900*COUNTIF('سجل الإنتاج'!$C$2:$C$501,الطبخات!$A$2:$A$900)),3))</f>
        <v>0</v>
      </c>
      <c r="E125" s="5" t="str">
        <f t="shared" si="1"/>
        <v>✔ طبيعي</v>
      </c>
      <c r="F125" s="5" t="str">
        <f>IF(AND($A125&lt;&gt;"",$E125&lt;&gt;"✔ طبيعي"),SUMPRODUCT(('الرصيد الحالي'!$E$2:$E125&lt;&gt;"✔ طبيعي")*('الرصيد الحالي'!$E$2:$E125&lt;&gt;"")*('الرصيد الحالي'!$A$2:$A125&lt;&gt;"")),"")</f>
        <v/>
      </c>
    </row>
    <row r="126" spans="1:6" ht="24" customHeight="1">
      <c r="A126" s="3">
        <f>المواد!A126</f>
        <v>0</v>
      </c>
      <c r="B126" s="5">
        <f>المواد!B126</f>
        <v>0</v>
      </c>
      <c r="C126" s="4">
        <f>IF($A126="","",ROUND(SUMIFS(الإدخالات!$D$2:$D$501,الإدخالات!$C$2:$C$501,$A126)+SUMIFS('تعديل الجرد'!$F$2:$F$501,'تعديل الجرد'!$C$2:$C$501,$A126)-SUMIFS('الصرف المباشر'!$D$2:$D$501,'الصرف المباشر'!$C$2:$C$501,$A126)-SUMPRODUCT((الطبخات!$B$2:$B$900=$A126)*الطبخات!$C$2:$C$900*COUNTIF('سجل الإنتاج'!$C$2:$C$501,الطبخات!$A$2:$A$900)),3))</f>
        <v>0</v>
      </c>
      <c r="D126" s="4">
        <f>IF($A126="","",ROUND(SUMIFS('الصرف المباشر'!$D$2:$D$501,'الصرف المباشر'!$C$2:$C$501,$A126)+SUMPRODUCT((الطبخات!$B$2:$B$900=$A126)*الطبخات!$C$2:$C$900*COUNTIF('سجل الإنتاج'!$C$2:$C$501,الطبخات!$A$2:$A$900)),3))</f>
        <v>0</v>
      </c>
      <c r="E126" s="5" t="str">
        <f t="shared" si="1"/>
        <v>✔ طبيعي</v>
      </c>
      <c r="F126" s="5" t="str">
        <f>IF(AND($A126&lt;&gt;"",$E126&lt;&gt;"✔ طبيعي"),SUMPRODUCT(('الرصيد الحالي'!$E$2:$E126&lt;&gt;"✔ طبيعي")*('الرصيد الحالي'!$E$2:$E126&lt;&gt;"")*('الرصيد الحالي'!$A$2:$A126&lt;&gt;"")),"")</f>
        <v/>
      </c>
    </row>
    <row r="127" spans="1:6" ht="24" customHeight="1">
      <c r="A127" s="3">
        <f>المواد!A127</f>
        <v>0</v>
      </c>
      <c r="B127" s="5">
        <f>المواد!B127</f>
        <v>0</v>
      </c>
      <c r="C127" s="4">
        <f>IF($A127="","",ROUND(SUMIFS(الإدخالات!$D$2:$D$501,الإدخالات!$C$2:$C$501,$A127)+SUMIFS('تعديل الجرد'!$F$2:$F$501,'تعديل الجرد'!$C$2:$C$501,$A127)-SUMIFS('الصرف المباشر'!$D$2:$D$501,'الصرف المباشر'!$C$2:$C$501,$A127)-SUMPRODUCT((الطبخات!$B$2:$B$900=$A127)*الطبخات!$C$2:$C$900*COUNTIF('سجل الإنتاج'!$C$2:$C$501,الطبخات!$A$2:$A$900)),3))</f>
        <v>0</v>
      </c>
      <c r="D127" s="4">
        <f>IF($A127="","",ROUND(SUMIFS('الصرف المباشر'!$D$2:$D$501,'الصرف المباشر'!$C$2:$C$501,$A127)+SUMPRODUCT((الطبخات!$B$2:$B$900=$A127)*الطبخات!$C$2:$C$900*COUNTIF('سجل الإنتاج'!$C$2:$C$501,الطبخات!$A$2:$A$900)),3))</f>
        <v>0</v>
      </c>
      <c r="E127" s="5" t="str">
        <f t="shared" si="1"/>
        <v>✔ طبيعي</v>
      </c>
      <c r="F127" s="5" t="str">
        <f>IF(AND($A127&lt;&gt;"",$E127&lt;&gt;"✔ طبيعي"),SUMPRODUCT(('الرصيد الحالي'!$E$2:$E127&lt;&gt;"✔ طبيعي")*('الرصيد الحالي'!$E$2:$E127&lt;&gt;"")*('الرصيد الحالي'!$A$2:$A127&lt;&gt;"")),"")</f>
        <v/>
      </c>
    </row>
    <row r="128" spans="1:6" ht="24" customHeight="1">
      <c r="A128" s="3">
        <f>المواد!A128</f>
        <v>0</v>
      </c>
      <c r="B128" s="5">
        <f>المواد!B128</f>
        <v>0</v>
      </c>
      <c r="C128" s="4">
        <f>IF($A128="","",ROUND(SUMIFS(الإدخالات!$D$2:$D$501,الإدخالات!$C$2:$C$501,$A128)+SUMIFS('تعديل الجرد'!$F$2:$F$501,'تعديل الجرد'!$C$2:$C$501,$A128)-SUMIFS('الصرف المباشر'!$D$2:$D$501,'الصرف المباشر'!$C$2:$C$501,$A128)-SUMPRODUCT((الطبخات!$B$2:$B$900=$A128)*الطبخات!$C$2:$C$900*COUNTIF('سجل الإنتاج'!$C$2:$C$501,الطبخات!$A$2:$A$900)),3))</f>
        <v>0</v>
      </c>
      <c r="D128" s="4">
        <f>IF($A128="","",ROUND(SUMIFS('الصرف المباشر'!$D$2:$D$501,'الصرف المباشر'!$C$2:$C$501,$A128)+SUMPRODUCT((الطبخات!$B$2:$B$900=$A128)*الطبخات!$C$2:$C$900*COUNTIF('سجل الإنتاج'!$C$2:$C$501,الطبخات!$A$2:$A$900)),3))</f>
        <v>0</v>
      </c>
      <c r="E128" s="5" t="str">
        <f t="shared" si="1"/>
        <v>✔ طبيعي</v>
      </c>
      <c r="F128" s="5" t="str">
        <f>IF(AND($A128&lt;&gt;"",$E128&lt;&gt;"✔ طبيعي"),SUMPRODUCT(('الرصيد الحالي'!$E$2:$E128&lt;&gt;"✔ طبيعي")*('الرصيد الحالي'!$E$2:$E128&lt;&gt;"")*('الرصيد الحالي'!$A$2:$A128&lt;&gt;"")),"")</f>
        <v/>
      </c>
    </row>
    <row r="129" spans="1:6" ht="24" customHeight="1">
      <c r="A129" s="3">
        <f>المواد!A129</f>
        <v>0</v>
      </c>
      <c r="B129" s="5">
        <f>المواد!B129</f>
        <v>0</v>
      </c>
      <c r="C129" s="4">
        <f>IF($A129="","",ROUND(SUMIFS(الإدخالات!$D$2:$D$501,الإدخالات!$C$2:$C$501,$A129)+SUMIFS('تعديل الجرد'!$F$2:$F$501,'تعديل الجرد'!$C$2:$C$501,$A129)-SUMIFS('الصرف المباشر'!$D$2:$D$501,'الصرف المباشر'!$C$2:$C$501,$A129)-SUMPRODUCT((الطبخات!$B$2:$B$900=$A129)*الطبخات!$C$2:$C$900*COUNTIF('سجل الإنتاج'!$C$2:$C$501,الطبخات!$A$2:$A$900)),3))</f>
        <v>0</v>
      </c>
      <c r="D129" s="4">
        <f>IF($A129="","",ROUND(SUMIFS('الصرف المباشر'!$D$2:$D$501,'الصرف المباشر'!$C$2:$C$501,$A129)+SUMPRODUCT((الطبخات!$B$2:$B$900=$A129)*الطبخات!$C$2:$C$900*COUNTIF('سجل الإنتاج'!$C$2:$C$501,الطبخات!$A$2:$A$900)),3))</f>
        <v>0</v>
      </c>
      <c r="E129" s="5" t="str">
        <f t="shared" si="1"/>
        <v>✔ طبيعي</v>
      </c>
      <c r="F129" s="5" t="str">
        <f>IF(AND($A129&lt;&gt;"",$E129&lt;&gt;"✔ طبيعي"),SUMPRODUCT(('الرصيد الحالي'!$E$2:$E129&lt;&gt;"✔ طبيعي")*('الرصيد الحالي'!$E$2:$E129&lt;&gt;"")*('الرصيد الحالي'!$A$2:$A129&lt;&gt;"")),"")</f>
        <v/>
      </c>
    </row>
    <row r="130" spans="1:6" ht="24" customHeight="1">
      <c r="A130" s="3">
        <f>المواد!A130</f>
        <v>0</v>
      </c>
      <c r="B130" s="5">
        <f>المواد!B130</f>
        <v>0</v>
      </c>
      <c r="C130" s="4">
        <f>IF($A130="","",ROUND(SUMIFS(الإدخالات!$D$2:$D$501,الإدخالات!$C$2:$C$501,$A130)+SUMIFS('تعديل الجرد'!$F$2:$F$501,'تعديل الجرد'!$C$2:$C$501,$A130)-SUMIFS('الصرف المباشر'!$D$2:$D$501,'الصرف المباشر'!$C$2:$C$501,$A130)-SUMPRODUCT((الطبخات!$B$2:$B$900=$A130)*الطبخات!$C$2:$C$900*COUNTIF('سجل الإنتاج'!$C$2:$C$501,الطبخات!$A$2:$A$900)),3))</f>
        <v>0</v>
      </c>
      <c r="D130" s="4">
        <f>IF($A130="","",ROUND(SUMIFS('الصرف المباشر'!$D$2:$D$501,'الصرف المباشر'!$C$2:$C$501,$A130)+SUMPRODUCT((الطبخات!$B$2:$B$900=$A130)*الطبخات!$C$2:$C$900*COUNTIF('سجل الإنتاج'!$C$2:$C$501,الطبخات!$A$2:$A$900)),3))</f>
        <v>0</v>
      </c>
      <c r="E130" s="5" t="str">
        <f t="shared" ref="E130:E193" si="2">IF($A130="","",IF($C130&lt;0,"❌ رصيد سالب - يحتاج مراجعة","✔ طبيعي"))</f>
        <v>✔ طبيعي</v>
      </c>
      <c r="F130" s="5" t="str">
        <f>IF(AND($A130&lt;&gt;"",$E130&lt;&gt;"✔ طبيعي"),SUMPRODUCT(('الرصيد الحالي'!$E$2:$E130&lt;&gt;"✔ طبيعي")*('الرصيد الحالي'!$E$2:$E130&lt;&gt;"")*('الرصيد الحالي'!$A$2:$A130&lt;&gt;"")),"")</f>
        <v/>
      </c>
    </row>
    <row r="131" spans="1:6" ht="24" customHeight="1">
      <c r="A131" s="3">
        <f>المواد!A131</f>
        <v>0</v>
      </c>
      <c r="B131" s="5">
        <f>المواد!B131</f>
        <v>0</v>
      </c>
      <c r="C131" s="4">
        <f>IF($A131="","",ROUND(SUMIFS(الإدخالات!$D$2:$D$501,الإدخالات!$C$2:$C$501,$A131)+SUMIFS('تعديل الجرد'!$F$2:$F$501,'تعديل الجرد'!$C$2:$C$501,$A131)-SUMIFS('الصرف المباشر'!$D$2:$D$501,'الصرف المباشر'!$C$2:$C$501,$A131)-SUMPRODUCT((الطبخات!$B$2:$B$900=$A131)*الطبخات!$C$2:$C$900*COUNTIF('سجل الإنتاج'!$C$2:$C$501,الطبخات!$A$2:$A$900)),3))</f>
        <v>0</v>
      </c>
      <c r="D131" s="4">
        <f>IF($A131="","",ROUND(SUMIFS('الصرف المباشر'!$D$2:$D$501,'الصرف المباشر'!$C$2:$C$501,$A131)+SUMPRODUCT((الطبخات!$B$2:$B$900=$A131)*الطبخات!$C$2:$C$900*COUNTIF('سجل الإنتاج'!$C$2:$C$501,الطبخات!$A$2:$A$900)),3))</f>
        <v>0</v>
      </c>
      <c r="E131" s="5" t="str">
        <f t="shared" si="2"/>
        <v>✔ طبيعي</v>
      </c>
      <c r="F131" s="5" t="str">
        <f>IF(AND($A131&lt;&gt;"",$E131&lt;&gt;"✔ طبيعي"),SUMPRODUCT(('الرصيد الحالي'!$E$2:$E131&lt;&gt;"✔ طبيعي")*('الرصيد الحالي'!$E$2:$E131&lt;&gt;"")*('الرصيد الحالي'!$A$2:$A131&lt;&gt;"")),"")</f>
        <v/>
      </c>
    </row>
    <row r="132" spans="1:6" ht="24" customHeight="1">
      <c r="A132" s="3">
        <f>المواد!A132</f>
        <v>0</v>
      </c>
      <c r="B132" s="5">
        <f>المواد!B132</f>
        <v>0</v>
      </c>
      <c r="C132" s="4">
        <f>IF($A132="","",ROUND(SUMIFS(الإدخالات!$D$2:$D$501,الإدخالات!$C$2:$C$501,$A132)+SUMIFS('تعديل الجرد'!$F$2:$F$501,'تعديل الجرد'!$C$2:$C$501,$A132)-SUMIFS('الصرف المباشر'!$D$2:$D$501,'الصرف المباشر'!$C$2:$C$501,$A132)-SUMPRODUCT((الطبخات!$B$2:$B$900=$A132)*الطبخات!$C$2:$C$900*COUNTIF('سجل الإنتاج'!$C$2:$C$501,الطبخات!$A$2:$A$900)),3))</f>
        <v>0</v>
      </c>
      <c r="D132" s="4">
        <f>IF($A132="","",ROUND(SUMIFS('الصرف المباشر'!$D$2:$D$501,'الصرف المباشر'!$C$2:$C$501,$A132)+SUMPRODUCT((الطبخات!$B$2:$B$900=$A132)*الطبخات!$C$2:$C$900*COUNTIF('سجل الإنتاج'!$C$2:$C$501,الطبخات!$A$2:$A$900)),3))</f>
        <v>0</v>
      </c>
      <c r="E132" s="5" t="str">
        <f t="shared" si="2"/>
        <v>✔ طبيعي</v>
      </c>
      <c r="F132" s="5" t="str">
        <f>IF(AND($A132&lt;&gt;"",$E132&lt;&gt;"✔ طبيعي"),SUMPRODUCT(('الرصيد الحالي'!$E$2:$E132&lt;&gt;"✔ طبيعي")*('الرصيد الحالي'!$E$2:$E132&lt;&gt;"")*('الرصيد الحالي'!$A$2:$A132&lt;&gt;"")),"")</f>
        <v/>
      </c>
    </row>
    <row r="133" spans="1:6" ht="24" customHeight="1">
      <c r="A133" s="3">
        <f>المواد!A133</f>
        <v>0</v>
      </c>
      <c r="B133" s="5">
        <f>المواد!B133</f>
        <v>0</v>
      </c>
      <c r="C133" s="4">
        <f>IF($A133="","",ROUND(SUMIFS(الإدخالات!$D$2:$D$501,الإدخالات!$C$2:$C$501,$A133)+SUMIFS('تعديل الجرد'!$F$2:$F$501,'تعديل الجرد'!$C$2:$C$501,$A133)-SUMIFS('الصرف المباشر'!$D$2:$D$501,'الصرف المباشر'!$C$2:$C$501,$A133)-SUMPRODUCT((الطبخات!$B$2:$B$900=$A133)*الطبخات!$C$2:$C$900*COUNTIF('سجل الإنتاج'!$C$2:$C$501,الطبخات!$A$2:$A$900)),3))</f>
        <v>0</v>
      </c>
      <c r="D133" s="4">
        <f>IF($A133="","",ROUND(SUMIFS('الصرف المباشر'!$D$2:$D$501,'الصرف المباشر'!$C$2:$C$501,$A133)+SUMPRODUCT((الطبخات!$B$2:$B$900=$A133)*الطبخات!$C$2:$C$900*COUNTIF('سجل الإنتاج'!$C$2:$C$501,الطبخات!$A$2:$A$900)),3))</f>
        <v>0</v>
      </c>
      <c r="E133" s="5" t="str">
        <f t="shared" si="2"/>
        <v>✔ طبيعي</v>
      </c>
      <c r="F133" s="5" t="str">
        <f>IF(AND($A133&lt;&gt;"",$E133&lt;&gt;"✔ طبيعي"),SUMPRODUCT(('الرصيد الحالي'!$E$2:$E133&lt;&gt;"✔ طبيعي")*('الرصيد الحالي'!$E$2:$E133&lt;&gt;"")*('الرصيد الحالي'!$A$2:$A133&lt;&gt;"")),"")</f>
        <v/>
      </c>
    </row>
    <row r="134" spans="1:6" ht="24" customHeight="1">
      <c r="A134" s="3">
        <f>المواد!A134</f>
        <v>0</v>
      </c>
      <c r="B134" s="5">
        <f>المواد!B134</f>
        <v>0</v>
      </c>
      <c r="C134" s="4">
        <f>IF($A134="","",ROUND(SUMIFS(الإدخالات!$D$2:$D$501,الإدخالات!$C$2:$C$501,$A134)+SUMIFS('تعديل الجرد'!$F$2:$F$501,'تعديل الجرد'!$C$2:$C$501,$A134)-SUMIFS('الصرف المباشر'!$D$2:$D$501,'الصرف المباشر'!$C$2:$C$501,$A134)-SUMPRODUCT((الطبخات!$B$2:$B$900=$A134)*الطبخات!$C$2:$C$900*COUNTIF('سجل الإنتاج'!$C$2:$C$501,الطبخات!$A$2:$A$900)),3))</f>
        <v>0</v>
      </c>
      <c r="D134" s="4">
        <f>IF($A134="","",ROUND(SUMIFS('الصرف المباشر'!$D$2:$D$501,'الصرف المباشر'!$C$2:$C$501,$A134)+SUMPRODUCT((الطبخات!$B$2:$B$900=$A134)*الطبخات!$C$2:$C$900*COUNTIF('سجل الإنتاج'!$C$2:$C$501,الطبخات!$A$2:$A$900)),3))</f>
        <v>0</v>
      </c>
      <c r="E134" s="5" t="str">
        <f t="shared" si="2"/>
        <v>✔ طبيعي</v>
      </c>
      <c r="F134" s="5" t="str">
        <f>IF(AND($A134&lt;&gt;"",$E134&lt;&gt;"✔ طبيعي"),SUMPRODUCT(('الرصيد الحالي'!$E$2:$E134&lt;&gt;"✔ طبيعي")*('الرصيد الحالي'!$E$2:$E134&lt;&gt;"")*('الرصيد الحالي'!$A$2:$A134&lt;&gt;"")),"")</f>
        <v/>
      </c>
    </row>
    <row r="135" spans="1:6" ht="24" customHeight="1">
      <c r="A135" s="3">
        <f>المواد!A135</f>
        <v>0</v>
      </c>
      <c r="B135" s="5">
        <f>المواد!B135</f>
        <v>0</v>
      </c>
      <c r="C135" s="4">
        <f>IF($A135="","",ROUND(SUMIFS(الإدخالات!$D$2:$D$501,الإدخالات!$C$2:$C$501,$A135)+SUMIFS('تعديل الجرد'!$F$2:$F$501,'تعديل الجرد'!$C$2:$C$501,$A135)-SUMIFS('الصرف المباشر'!$D$2:$D$501,'الصرف المباشر'!$C$2:$C$501,$A135)-SUMPRODUCT((الطبخات!$B$2:$B$900=$A135)*الطبخات!$C$2:$C$900*COUNTIF('سجل الإنتاج'!$C$2:$C$501,الطبخات!$A$2:$A$900)),3))</f>
        <v>0</v>
      </c>
      <c r="D135" s="4">
        <f>IF($A135="","",ROUND(SUMIFS('الصرف المباشر'!$D$2:$D$501,'الصرف المباشر'!$C$2:$C$501,$A135)+SUMPRODUCT((الطبخات!$B$2:$B$900=$A135)*الطبخات!$C$2:$C$900*COUNTIF('سجل الإنتاج'!$C$2:$C$501,الطبخات!$A$2:$A$900)),3))</f>
        <v>0</v>
      </c>
      <c r="E135" s="5" t="str">
        <f t="shared" si="2"/>
        <v>✔ طبيعي</v>
      </c>
      <c r="F135" s="5" t="str">
        <f>IF(AND($A135&lt;&gt;"",$E135&lt;&gt;"✔ طبيعي"),SUMPRODUCT(('الرصيد الحالي'!$E$2:$E135&lt;&gt;"✔ طبيعي")*('الرصيد الحالي'!$E$2:$E135&lt;&gt;"")*('الرصيد الحالي'!$A$2:$A135&lt;&gt;"")),"")</f>
        <v/>
      </c>
    </row>
    <row r="136" spans="1:6" ht="24" customHeight="1">
      <c r="A136" s="3">
        <f>المواد!A136</f>
        <v>0</v>
      </c>
      <c r="B136" s="5">
        <f>المواد!B136</f>
        <v>0</v>
      </c>
      <c r="C136" s="4">
        <f>IF($A136="","",ROUND(SUMIFS(الإدخالات!$D$2:$D$501,الإدخالات!$C$2:$C$501,$A136)+SUMIFS('تعديل الجرد'!$F$2:$F$501,'تعديل الجرد'!$C$2:$C$501,$A136)-SUMIFS('الصرف المباشر'!$D$2:$D$501,'الصرف المباشر'!$C$2:$C$501,$A136)-SUMPRODUCT((الطبخات!$B$2:$B$900=$A136)*الطبخات!$C$2:$C$900*COUNTIF('سجل الإنتاج'!$C$2:$C$501,الطبخات!$A$2:$A$900)),3))</f>
        <v>0</v>
      </c>
      <c r="D136" s="4">
        <f>IF($A136="","",ROUND(SUMIFS('الصرف المباشر'!$D$2:$D$501,'الصرف المباشر'!$C$2:$C$501,$A136)+SUMPRODUCT((الطبخات!$B$2:$B$900=$A136)*الطبخات!$C$2:$C$900*COUNTIF('سجل الإنتاج'!$C$2:$C$501,الطبخات!$A$2:$A$900)),3))</f>
        <v>0</v>
      </c>
      <c r="E136" s="5" t="str">
        <f t="shared" si="2"/>
        <v>✔ طبيعي</v>
      </c>
      <c r="F136" s="5" t="str">
        <f>IF(AND($A136&lt;&gt;"",$E136&lt;&gt;"✔ طبيعي"),SUMPRODUCT(('الرصيد الحالي'!$E$2:$E136&lt;&gt;"✔ طبيعي")*('الرصيد الحالي'!$E$2:$E136&lt;&gt;"")*('الرصيد الحالي'!$A$2:$A136&lt;&gt;"")),"")</f>
        <v/>
      </c>
    </row>
    <row r="137" spans="1:6" ht="24" customHeight="1">
      <c r="A137" s="3">
        <f>المواد!A137</f>
        <v>0</v>
      </c>
      <c r="B137" s="5">
        <f>المواد!B137</f>
        <v>0</v>
      </c>
      <c r="C137" s="4">
        <f>IF($A137="","",ROUND(SUMIFS(الإدخالات!$D$2:$D$501,الإدخالات!$C$2:$C$501,$A137)+SUMIFS('تعديل الجرد'!$F$2:$F$501,'تعديل الجرد'!$C$2:$C$501,$A137)-SUMIFS('الصرف المباشر'!$D$2:$D$501,'الصرف المباشر'!$C$2:$C$501,$A137)-SUMPRODUCT((الطبخات!$B$2:$B$900=$A137)*الطبخات!$C$2:$C$900*COUNTIF('سجل الإنتاج'!$C$2:$C$501,الطبخات!$A$2:$A$900)),3))</f>
        <v>0</v>
      </c>
      <c r="D137" s="4">
        <f>IF($A137="","",ROUND(SUMIFS('الصرف المباشر'!$D$2:$D$501,'الصرف المباشر'!$C$2:$C$501,$A137)+SUMPRODUCT((الطبخات!$B$2:$B$900=$A137)*الطبخات!$C$2:$C$900*COUNTIF('سجل الإنتاج'!$C$2:$C$501,الطبخات!$A$2:$A$900)),3))</f>
        <v>0</v>
      </c>
      <c r="E137" s="5" t="str">
        <f t="shared" si="2"/>
        <v>✔ طبيعي</v>
      </c>
      <c r="F137" s="5" t="str">
        <f>IF(AND($A137&lt;&gt;"",$E137&lt;&gt;"✔ طبيعي"),SUMPRODUCT(('الرصيد الحالي'!$E$2:$E137&lt;&gt;"✔ طبيعي")*('الرصيد الحالي'!$E$2:$E137&lt;&gt;"")*('الرصيد الحالي'!$A$2:$A137&lt;&gt;"")),"")</f>
        <v/>
      </c>
    </row>
    <row r="138" spans="1:6" ht="24" customHeight="1">
      <c r="A138" s="3">
        <f>المواد!A138</f>
        <v>0</v>
      </c>
      <c r="B138" s="5">
        <f>المواد!B138</f>
        <v>0</v>
      </c>
      <c r="C138" s="4">
        <f>IF($A138="","",ROUND(SUMIFS(الإدخالات!$D$2:$D$501,الإدخالات!$C$2:$C$501,$A138)+SUMIFS('تعديل الجرد'!$F$2:$F$501,'تعديل الجرد'!$C$2:$C$501,$A138)-SUMIFS('الصرف المباشر'!$D$2:$D$501,'الصرف المباشر'!$C$2:$C$501,$A138)-SUMPRODUCT((الطبخات!$B$2:$B$900=$A138)*الطبخات!$C$2:$C$900*COUNTIF('سجل الإنتاج'!$C$2:$C$501,الطبخات!$A$2:$A$900)),3))</f>
        <v>0</v>
      </c>
      <c r="D138" s="4">
        <f>IF($A138="","",ROUND(SUMIFS('الصرف المباشر'!$D$2:$D$501,'الصرف المباشر'!$C$2:$C$501,$A138)+SUMPRODUCT((الطبخات!$B$2:$B$900=$A138)*الطبخات!$C$2:$C$900*COUNTIF('سجل الإنتاج'!$C$2:$C$501,الطبخات!$A$2:$A$900)),3))</f>
        <v>0</v>
      </c>
      <c r="E138" s="5" t="str">
        <f t="shared" si="2"/>
        <v>✔ طبيعي</v>
      </c>
      <c r="F138" s="5" t="str">
        <f>IF(AND($A138&lt;&gt;"",$E138&lt;&gt;"✔ طبيعي"),SUMPRODUCT(('الرصيد الحالي'!$E$2:$E138&lt;&gt;"✔ طبيعي")*('الرصيد الحالي'!$E$2:$E138&lt;&gt;"")*('الرصيد الحالي'!$A$2:$A138&lt;&gt;"")),"")</f>
        <v/>
      </c>
    </row>
    <row r="139" spans="1:6" ht="24" customHeight="1">
      <c r="A139" s="3">
        <f>المواد!A139</f>
        <v>0</v>
      </c>
      <c r="B139" s="5">
        <f>المواد!B139</f>
        <v>0</v>
      </c>
      <c r="C139" s="4">
        <f>IF($A139="","",ROUND(SUMIFS(الإدخالات!$D$2:$D$501,الإدخالات!$C$2:$C$501,$A139)+SUMIFS('تعديل الجرد'!$F$2:$F$501,'تعديل الجرد'!$C$2:$C$501,$A139)-SUMIFS('الصرف المباشر'!$D$2:$D$501,'الصرف المباشر'!$C$2:$C$501,$A139)-SUMPRODUCT((الطبخات!$B$2:$B$900=$A139)*الطبخات!$C$2:$C$900*COUNTIF('سجل الإنتاج'!$C$2:$C$501,الطبخات!$A$2:$A$900)),3))</f>
        <v>0</v>
      </c>
      <c r="D139" s="4">
        <f>IF($A139="","",ROUND(SUMIFS('الصرف المباشر'!$D$2:$D$501,'الصرف المباشر'!$C$2:$C$501,$A139)+SUMPRODUCT((الطبخات!$B$2:$B$900=$A139)*الطبخات!$C$2:$C$900*COUNTIF('سجل الإنتاج'!$C$2:$C$501,الطبخات!$A$2:$A$900)),3))</f>
        <v>0</v>
      </c>
      <c r="E139" s="5" t="str">
        <f t="shared" si="2"/>
        <v>✔ طبيعي</v>
      </c>
      <c r="F139" s="5" t="str">
        <f>IF(AND($A139&lt;&gt;"",$E139&lt;&gt;"✔ طبيعي"),SUMPRODUCT(('الرصيد الحالي'!$E$2:$E139&lt;&gt;"✔ طبيعي")*('الرصيد الحالي'!$E$2:$E139&lt;&gt;"")*('الرصيد الحالي'!$A$2:$A139&lt;&gt;"")),"")</f>
        <v/>
      </c>
    </row>
    <row r="140" spans="1:6" ht="24" customHeight="1">
      <c r="A140" s="3">
        <f>المواد!A140</f>
        <v>0</v>
      </c>
      <c r="B140" s="5">
        <f>المواد!B140</f>
        <v>0</v>
      </c>
      <c r="C140" s="4">
        <f>IF($A140="","",ROUND(SUMIFS(الإدخالات!$D$2:$D$501,الإدخالات!$C$2:$C$501,$A140)+SUMIFS('تعديل الجرد'!$F$2:$F$501,'تعديل الجرد'!$C$2:$C$501,$A140)-SUMIFS('الصرف المباشر'!$D$2:$D$501,'الصرف المباشر'!$C$2:$C$501,$A140)-SUMPRODUCT((الطبخات!$B$2:$B$900=$A140)*الطبخات!$C$2:$C$900*COUNTIF('سجل الإنتاج'!$C$2:$C$501,الطبخات!$A$2:$A$900)),3))</f>
        <v>0</v>
      </c>
      <c r="D140" s="4">
        <f>IF($A140="","",ROUND(SUMIFS('الصرف المباشر'!$D$2:$D$501,'الصرف المباشر'!$C$2:$C$501,$A140)+SUMPRODUCT((الطبخات!$B$2:$B$900=$A140)*الطبخات!$C$2:$C$900*COUNTIF('سجل الإنتاج'!$C$2:$C$501,الطبخات!$A$2:$A$900)),3))</f>
        <v>0</v>
      </c>
      <c r="E140" s="5" t="str">
        <f t="shared" si="2"/>
        <v>✔ طبيعي</v>
      </c>
      <c r="F140" s="5" t="str">
        <f>IF(AND($A140&lt;&gt;"",$E140&lt;&gt;"✔ طبيعي"),SUMPRODUCT(('الرصيد الحالي'!$E$2:$E140&lt;&gt;"✔ طبيعي")*('الرصيد الحالي'!$E$2:$E140&lt;&gt;"")*('الرصيد الحالي'!$A$2:$A140&lt;&gt;"")),"")</f>
        <v/>
      </c>
    </row>
    <row r="141" spans="1:6" ht="24" customHeight="1">
      <c r="A141" s="3">
        <f>المواد!A141</f>
        <v>0</v>
      </c>
      <c r="B141" s="5">
        <f>المواد!B141</f>
        <v>0</v>
      </c>
      <c r="C141" s="4">
        <f>IF($A141="","",ROUND(SUMIFS(الإدخالات!$D$2:$D$501,الإدخالات!$C$2:$C$501,$A141)+SUMIFS('تعديل الجرد'!$F$2:$F$501,'تعديل الجرد'!$C$2:$C$501,$A141)-SUMIFS('الصرف المباشر'!$D$2:$D$501,'الصرف المباشر'!$C$2:$C$501,$A141)-SUMPRODUCT((الطبخات!$B$2:$B$900=$A141)*الطبخات!$C$2:$C$900*COUNTIF('سجل الإنتاج'!$C$2:$C$501,الطبخات!$A$2:$A$900)),3))</f>
        <v>0</v>
      </c>
      <c r="D141" s="4">
        <f>IF($A141="","",ROUND(SUMIFS('الصرف المباشر'!$D$2:$D$501,'الصرف المباشر'!$C$2:$C$501,$A141)+SUMPRODUCT((الطبخات!$B$2:$B$900=$A141)*الطبخات!$C$2:$C$900*COUNTIF('سجل الإنتاج'!$C$2:$C$501,الطبخات!$A$2:$A$900)),3))</f>
        <v>0</v>
      </c>
      <c r="E141" s="5" t="str">
        <f t="shared" si="2"/>
        <v>✔ طبيعي</v>
      </c>
      <c r="F141" s="5" t="str">
        <f>IF(AND($A141&lt;&gt;"",$E141&lt;&gt;"✔ طبيعي"),SUMPRODUCT(('الرصيد الحالي'!$E$2:$E141&lt;&gt;"✔ طبيعي")*('الرصيد الحالي'!$E$2:$E141&lt;&gt;"")*('الرصيد الحالي'!$A$2:$A141&lt;&gt;"")),"")</f>
        <v/>
      </c>
    </row>
    <row r="142" spans="1:6" ht="24" customHeight="1">
      <c r="A142" s="3">
        <f>المواد!A142</f>
        <v>0</v>
      </c>
      <c r="B142" s="5">
        <f>المواد!B142</f>
        <v>0</v>
      </c>
      <c r="C142" s="4">
        <f>IF($A142="","",ROUND(SUMIFS(الإدخالات!$D$2:$D$501,الإدخالات!$C$2:$C$501,$A142)+SUMIFS('تعديل الجرد'!$F$2:$F$501,'تعديل الجرد'!$C$2:$C$501,$A142)-SUMIFS('الصرف المباشر'!$D$2:$D$501,'الصرف المباشر'!$C$2:$C$501,$A142)-SUMPRODUCT((الطبخات!$B$2:$B$900=$A142)*الطبخات!$C$2:$C$900*COUNTIF('سجل الإنتاج'!$C$2:$C$501,الطبخات!$A$2:$A$900)),3))</f>
        <v>0</v>
      </c>
      <c r="D142" s="4">
        <f>IF($A142="","",ROUND(SUMIFS('الصرف المباشر'!$D$2:$D$501,'الصرف المباشر'!$C$2:$C$501,$A142)+SUMPRODUCT((الطبخات!$B$2:$B$900=$A142)*الطبخات!$C$2:$C$900*COUNTIF('سجل الإنتاج'!$C$2:$C$501,الطبخات!$A$2:$A$900)),3))</f>
        <v>0</v>
      </c>
      <c r="E142" s="5" t="str">
        <f t="shared" si="2"/>
        <v>✔ طبيعي</v>
      </c>
      <c r="F142" s="5" t="str">
        <f>IF(AND($A142&lt;&gt;"",$E142&lt;&gt;"✔ طبيعي"),SUMPRODUCT(('الرصيد الحالي'!$E$2:$E142&lt;&gt;"✔ طبيعي")*('الرصيد الحالي'!$E$2:$E142&lt;&gt;"")*('الرصيد الحالي'!$A$2:$A142&lt;&gt;"")),"")</f>
        <v/>
      </c>
    </row>
    <row r="143" spans="1:6" ht="24" customHeight="1">
      <c r="A143" s="3">
        <f>المواد!A143</f>
        <v>0</v>
      </c>
      <c r="B143" s="5">
        <f>المواد!B143</f>
        <v>0</v>
      </c>
      <c r="C143" s="4">
        <f>IF($A143="","",ROUND(SUMIFS(الإدخالات!$D$2:$D$501,الإدخالات!$C$2:$C$501,$A143)+SUMIFS('تعديل الجرد'!$F$2:$F$501,'تعديل الجرد'!$C$2:$C$501,$A143)-SUMIFS('الصرف المباشر'!$D$2:$D$501,'الصرف المباشر'!$C$2:$C$501,$A143)-SUMPRODUCT((الطبخات!$B$2:$B$900=$A143)*الطبخات!$C$2:$C$900*COUNTIF('سجل الإنتاج'!$C$2:$C$501,الطبخات!$A$2:$A$900)),3))</f>
        <v>0</v>
      </c>
      <c r="D143" s="4">
        <f>IF($A143="","",ROUND(SUMIFS('الصرف المباشر'!$D$2:$D$501,'الصرف المباشر'!$C$2:$C$501,$A143)+SUMPRODUCT((الطبخات!$B$2:$B$900=$A143)*الطبخات!$C$2:$C$900*COUNTIF('سجل الإنتاج'!$C$2:$C$501,الطبخات!$A$2:$A$900)),3))</f>
        <v>0</v>
      </c>
      <c r="E143" s="5" t="str">
        <f t="shared" si="2"/>
        <v>✔ طبيعي</v>
      </c>
      <c r="F143" s="5" t="str">
        <f>IF(AND($A143&lt;&gt;"",$E143&lt;&gt;"✔ طبيعي"),SUMPRODUCT(('الرصيد الحالي'!$E$2:$E143&lt;&gt;"✔ طبيعي")*('الرصيد الحالي'!$E$2:$E143&lt;&gt;"")*('الرصيد الحالي'!$A$2:$A143&lt;&gt;"")),"")</f>
        <v/>
      </c>
    </row>
    <row r="144" spans="1:6" ht="24" customHeight="1">
      <c r="A144" s="3">
        <f>المواد!A144</f>
        <v>0</v>
      </c>
      <c r="B144" s="5">
        <f>المواد!B144</f>
        <v>0</v>
      </c>
      <c r="C144" s="4">
        <f>IF($A144="","",ROUND(SUMIFS(الإدخالات!$D$2:$D$501,الإدخالات!$C$2:$C$501,$A144)+SUMIFS('تعديل الجرد'!$F$2:$F$501,'تعديل الجرد'!$C$2:$C$501,$A144)-SUMIFS('الصرف المباشر'!$D$2:$D$501,'الصرف المباشر'!$C$2:$C$501,$A144)-SUMPRODUCT((الطبخات!$B$2:$B$900=$A144)*الطبخات!$C$2:$C$900*COUNTIF('سجل الإنتاج'!$C$2:$C$501,الطبخات!$A$2:$A$900)),3))</f>
        <v>0</v>
      </c>
      <c r="D144" s="4">
        <f>IF($A144="","",ROUND(SUMIFS('الصرف المباشر'!$D$2:$D$501,'الصرف المباشر'!$C$2:$C$501,$A144)+SUMPRODUCT((الطبخات!$B$2:$B$900=$A144)*الطبخات!$C$2:$C$900*COUNTIF('سجل الإنتاج'!$C$2:$C$501,الطبخات!$A$2:$A$900)),3))</f>
        <v>0</v>
      </c>
      <c r="E144" s="5" t="str">
        <f t="shared" si="2"/>
        <v>✔ طبيعي</v>
      </c>
      <c r="F144" s="5" t="str">
        <f>IF(AND($A144&lt;&gt;"",$E144&lt;&gt;"✔ طبيعي"),SUMPRODUCT(('الرصيد الحالي'!$E$2:$E144&lt;&gt;"✔ طبيعي")*('الرصيد الحالي'!$E$2:$E144&lt;&gt;"")*('الرصيد الحالي'!$A$2:$A144&lt;&gt;"")),"")</f>
        <v/>
      </c>
    </row>
    <row r="145" spans="1:6" ht="24" customHeight="1">
      <c r="A145" s="3">
        <f>المواد!A145</f>
        <v>0</v>
      </c>
      <c r="B145" s="5">
        <f>المواد!B145</f>
        <v>0</v>
      </c>
      <c r="C145" s="4">
        <f>IF($A145="","",ROUND(SUMIFS(الإدخالات!$D$2:$D$501,الإدخالات!$C$2:$C$501,$A145)+SUMIFS('تعديل الجرد'!$F$2:$F$501,'تعديل الجرد'!$C$2:$C$501,$A145)-SUMIFS('الصرف المباشر'!$D$2:$D$501,'الصرف المباشر'!$C$2:$C$501,$A145)-SUMPRODUCT((الطبخات!$B$2:$B$900=$A145)*الطبخات!$C$2:$C$900*COUNTIF('سجل الإنتاج'!$C$2:$C$501,الطبخات!$A$2:$A$900)),3))</f>
        <v>0</v>
      </c>
      <c r="D145" s="4">
        <f>IF($A145="","",ROUND(SUMIFS('الصرف المباشر'!$D$2:$D$501,'الصرف المباشر'!$C$2:$C$501,$A145)+SUMPRODUCT((الطبخات!$B$2:$B$900=$A145)*الطبخات!$C$2:$C$900*COUNTIF('سجل الإنتاج'!$C$2:$C$501,الطبخات!$A$2:$A$900)),3))</f>
        <v>0</v>
      </c>
      <c r="E145" s="5" t="str">
        <f t="shared" si="2"/>
        <v>✔ طبيعي</v>
      </c>
      <c r="F145" s="5" t="str">
        <f>IF(AND($A145&lt;&gt;"",$E145&lt;&gt;"✔ طبيعي"),SUMPRODUCT(('الرصيد الحالي'!$E$2:$E145&lt;&gt;"✔ طبيعي")*('الرصيد الحالي'!$E$2:$E145&lt;&gt;"")*('الرصيد الحالي'!$A$2:$A145&lt;&gt;"")),"")</f>
        <v/>
      </c>
    </row>
    <row r="146" spans="1:6" ht="24" customHeight="1">
      <c r="A146" s="3">
        <f>المواد!A146</f>
        <v>0</v>
      </c>
      <c r="B146" s="5">
        <f>المواد!B146</f>
        <v>0</v>
      </c>
      <c r="C146" s="4">
        <f>IF($A146="","",ROUND(SUMIFS(الإدخالات!$D$2:$D$501,الإدخالات!$C$2:$C$501,$A146)+SUMIFS('تعديل الجرد'!$F$2:$F$501,'تعديل الجرد'!$C$2:$C$501,$A146)-SUMIFS('الصرف المباشر'!$D$2:$D$501,'الصرف المباشر'!$C$2:$C$501,$A146)-SUMPRODUCT((الطبخات!$B$2:$B$900=$A146)*الطبخات!$C$2:$C$900*COUNTIF('سجل الإنتاج'!$C$2:$C$501,الطبخات!$A$2:$A$900)),3))</f>
        <v>0</v>
      </c>
      <c r="D146" s="4">
        <f>IF($A146="","",ROUND(SUMIFS('الصرف المباشر'!$D$2:$D$501,'الصرف المباشر'!$C$2:$C$501,$A146)+SUMPRODUCT((الطبخات!$B$2:$B$900=$A146)*الطبخات!$C$2:$C$900*COUNTIF('سجل الإنتاج'!$C$2:$C$501,الطبخات!$A$2:$A$900)),3))</f>
        <v>0</v>
      </c>
      <c r="E146" s="5" t="str">
        <f t="shared" si="2"/>
        <v>✔ طبيعي</v>
      </c>
      <c r="F146" s="5" t="str">
        <f>IF(AND($A146&lt;&gt;"",$E146&lt;&gt;"✔ طبيعي"),SUMPRODUCT(('الرصيد الحالي'!$E$2:$E146&lt;&gt;"✔ طبيعي")*('الرصيد الحالي'!$E$2:$E146&lt;&gt;"")*('الرصيد الحالي'!$A$2:$A146&lt;&gt;"")),"")</f>
        <v/>
      </c>
    </row>
    <row r="147" spans="1:6" ht="24" customHeight="1">
      <c r="A147" s="3">
        <f>المواد!A147</f>
        <v>0</v>
      </c>
      <c r="B147" s="5">
        <f>المواد!B147</f>
        <v>0</v>
      </c>
      <c r="C147" s="4">
        <f>IF($A147="","",ROUND(SUMIFS(الإدخالات!$D$2:$D$501,الإدخالات!$C$2:$C$501,$A147)+SUMIFS('تعديل الجرد'!$F$2:$F$501,'تعديل الجرد'!$C$2:$C$501,$A147)-SUMIFS('الصرف المباشر'!$D$2:$D$501,'الصرف المباشر'!$C$2:$C$501,$A147)-SUMPRODUCT((الطبخات!$B$2:$B$900=$A147)*الطبخات!$C$2:$C$900*COUNTIF('سجل الإنتاج'!$C$2:$C$501,الطبخات!$A$2:$A$900)),3))</f>
        <v>0</v>
      </c>
      <c r="D147" s="4">
        <f>IF($A147="","",ROUND(SUMIFS('الصرف المباشر'!$D$2:$D$501,'الصرف المباشر'!$C$2:$C$501,$A147)+SUMPRODUCT((الطبخات!$B$2:$B$900=$A147)*الطبخات!$C$2:$C$900*COUNTIF('سجل الإنتاج'!$C$2:$C$501,الطبخات!$A$2:$A$900)),3))</f>
        <v>0</v>
      </c>
      <c r="E147" s="5" t="str">
        <f t="shared" si="2"/>
        <v>✔ طبيعي</v>
      </c>
      <c r="F147" s="5" t="str">
        <f>IF(AND($A147&lt;&gt;"",$E147&lt;&gt;"✔ طبيعي"),SUMPRODUCT(('الرصيد الحالي'!$E$2:$E147&lt;&gt;"✔ طبيعي")*('الرصيد الحالي'!$E$2:$E147&lt;&gt;"")*('الرصيد الحالي'!$A$2:$A147&lt;&gt;"")),"")</f>
        <v/>
      </c>
    </row>
    <row r="148" spans="1:6" ht="24" customHeight="1">
      <c r="A148" s="3">
        <f>المواد!A148</f>
        <v>0</v>
      </c>
      <c r="B148" s="5">
        <f>المواد!B148</f>
        <v>0</v>
      </c>
      <c r="C148" s="4">
        <f>IF($A148="","",ROUND(SUMIFS(الإدخالات!$D$2:$D$501,الإدخالات!$C$2:$C$501,$A148)+SUMIFS('تعديل الجرد'!$F$2:$F$501,'تعديل الجرد'!$C$2:$C$501,$A148)-SUMIFS('الصرف المباشر'!$D$2:$D$501,'الصرف المباشر'!$C$2:$C$501,$A148)-SUMPRODUCT((الطبخات!$B$2:$B$900=$A148)*الطبخات!$C$2:$C$900*COUNTIF('سجل الإنتاج'!$C$2:$C$501,الطبخات!$A$2:$A$900)),3))</f>
        <v>0</v>
      </c>
      <c r="D148" s="4">
        <f>IF($A148="","",ROUND(SUMIFS('الصرف المباشر'!$D$2:$D$501,'الصرف المباشر'!$C$2:$C$501,$A148)+SUMPRODUCT((الطبخات!$B$2:$B$900=$A148)*الطبخات!$C$2:$C$900*COUNTIF('سجل الإنتاج'!$C$2:$C$501,الطبخات!$A$2:$A$900)),3))</f>
        <v>0</v>
      </c>
      <c r="E148" s="5" t="str">
        <f t="shared" si="2"/>
        <v>✔ طبيعي</v>
      </c>
      <c r="F148" s="5" t="str">
        <f>IF(AND($A148&lt;&gt;"",$E148&lt;&gt;"✔ طبيعي"),SUMPRODUCT(('الرصيد الحالي'!$E$2:$E148&lt;&gt;"✔ طبيعي")*('الرصيد الحالي'!$E$2:$E148&lt;&gt;"")*('الرصيد الحالي'!$A$2:$A148&lt;&gt;"")),"")</f>
        <v/>
      </c>
    </row>
    <row r="149" spans="1:6" ht="24" customHeight="1">
      <c r="A149" s="3">
        <f>المواد!A149</f>
        <v>0</v>
      </c>
      <c r="B149" s="5">
        <f>المواد!B149</f>
        <v>0</v>
      </c>
      <c r="C149" s="4">
        <f>IF($A149="","",ROUND(SUMIFS(الإدخالات!$D$2:$D$501,الإدخالات!$C$2:$C$501,$A149)+SUMIFS('تعديل الجرد'!$F$2:$F$501,'تعديل الجرد'!$C$2:$C$501,$A149)-SUMIFS('الصرف المباشر'!$D$2:$D$501,'الصرف المباشر'!$C$2:$C$501,$A149)-SUMPRODUCT((الطبخات!$B$2:$B$900=$A149)*الطبخات!$C$2:$C$900*COUNTIF('سجل الإنتاج'!$C$2:$C$501,الطبخات!$A$2:$A$900)),3))</f>
        <v>0</v>
      </c>
      <c r="D149" s="4">
        <f>IF($A149="","",ROUND(SUMIFS('الصرف المباشر'!$D$2:$D$501,'الصرف المباشر'!$C$2:$C$501,$A149)+SUMPRODUCT((الطبخات!$B$2:$B$900=$A149)*الطبخات!$C$2:$C$900*COUNTIF('سجل الإنتاج'!$C$2:$C$501,الطبخات!$A$2:$A$900)),3))</f>
        <v>0</v>
      </c>
      <c r="E149" s="5" t="str">
        <f t="shared" si="2"/>
        <v>✔ طبيعي</v>
      </c>
      <c r="F149" s="5" t="str">
        <f>IF(AND($A149&lt;&gt;"",$E149&lt;&gt;"✔ طبيعي"),SUMPRODUCT(('الرصيد الحالي'!$E$2:$E149&lt;&gt;"✔ طبيعي")*('الرصيد الحالي'!$E$2:$E149&lt;&gt;"")*('الرصيد الحالي'!$A$2:$A149&lt;&gt;"")),"")</f>
        <v/>
      </c>
    </row>
    <row r="150" spans="1:6" ht="24" customHeight="1">
      <c r="A150" s="3">
        <f>المواد!A150</f>
        <v>0</v>
      </c>
      <c r="B150" s="5">
        <f>المواد!B150</f>
        <v>0</v>
      </c>
      <c r="C150" s="4">
        <f>IF($A150="","",ROUND(SUMIFS(الإدخالات!$D$2:$D$501,الإدخالات!$C$2:$C$501,$A150)+SUMIFS('تعديل الجرد'!$F$2:$F$501,'تعديل الجرد'!$C$2:$C$501,$A150)-SUMIFS('الصرف المباشر'!$D$2:$D$501,'الصرف المباشر'!$C$2:$C$501,$A150)-SUMPRODUCT((الطبخات!$B$2:$B$900=$A150)*الطبخات!$C$2:$C$900*COUNTIF('سجل الإنتاج'!$C$2:$C$501,الطبخات!$A$2:$A$900)),3))</f>
        <v>0</v>
      </c>
      <c r="D150" s="4">
        <f>IF($A150="","",ROUND(SUMIFS('الصرف المباشر'!$D$2:$D$501,'الصرف المباشر'!$C$2:$C$501,$A150)+SUMPRODUCT((الطبخات!$B$2:$B$900=$A150)*الطبخات!$C$2:$C$900*COUNTIF('سجل الإنتاج'!$C$2:$C$501,الطبخات!$A$2:$A$900)),3))</f>
        <v>0</v>
      </c>
      <c r="E150" s="5" t="str">
        <f t="shared" si="2"/>
        <v>✔ طبيعي</v>
      </c>
      <c r="F150" s="5" t="str">
        <f>IF(AND($A150&lt;&gt;"",$E150&lt;&gt;"✔ طبيعي"),SUMPRODUCT(('الرصيد الحالي'!$E$2:$E150&lt;&gt;"✔ طبيعي")*('الرصيد الحالي'!$E$2:$E150&lt;&gt;"")*('الرصيد الحالي'!$A$2:$A150&lt;&gt;"")),"")</f>
        <v/>
      </c>
    </row>
    <row r="151" spans="1:6" ht="24" customHeight="1">
      <c r="A151" s="3">
        <f>المواد!A151</f>
        <v>0</v>
      </c>
      <c r="B151" s="5">
        <f>المواد!B151</f>
        <v>0</v>
      </c>
      <c r="C151" s="4">
        <f>IF($A151="","",ROUND(SUMIFS(الإدخالات!$D$2:$D$501,الإدخالات!$C$2:$C$501,$A151)+SUMIFS('تعديل الجرد'!$F$2:$F$501,'تعديل الجرد'!$C$2:$C$501,$A151)-SUMIFS('الصرف المباشر'!$D$2:$D$501,'الصرف المباشر'!$C$2:$C$501,$A151)-SUMPRODUCT((الطبخات!$B$2:$B$900=$A151)*الطبخات!$C$2:$C$900*COUNTIF('سجل الإنتاج'!$C$2:$C$501,الطبخات!$A$2:$A$900)),3))</f>
        <v>0</v>
      </c>
      <c r="D151" s="4">
        <f>IF($A151="","",ROUND(SUMIFS('الصرف المباشر'!$D$2:$D$501,'الصرف المباشر'!$C$2:$C$501,$A151)+SUMPRODUCT((الطبخات!$B$2:$B$900=$A151)*الطبخات!$C$2:$C$900*COUNTIF('سجل الإنتاج'!$C$2:$C$501,الطبخات!$A$2:$A$900)),3))</f>
        <v>0</v>
      </c>
      <c r="E151" s="5" t="str">
        <f t="shared" si="2"/>
        <v>✔ طبيعي</v>
      </c>
      <c r="F151" s="5" t="str">
        <f>IF(AND($A151&lt;&gt;"",$E151&lt;&gt;"✔ طبيعي"),SUMPRODUCT(('الرصيد الحالي'!$E$2:$E151&lt;&gt;"✔ طبيعي")*('الرصيد الحالي'!$E$2:$E151&lt;&gt;"")*('الرصيد الحالي'!$A$2:$A151&lt;&gt;"")),"")</f>
        <v/>
      </c>
    </row>
    <row r="152" spans="1:6" ht="24" customHeight="1">
      <c r="A152" s="3">
        <f>المواد!A152</f>
        <v>0</v>
      </c>
      <c r="B152" s="5">
        <f>المواد!B152</f>
        <v>0</v>
      </c>
      <c r="C152" s="4">
        <f>IF($A152="","",ROUND(SUMIFS(الإدخالات!$D$2:$D$501,الإدخالات!$C$2:$C$501,$A152)+SUMIFS('تعديل الجرد'!$F$2:$F$501,'تعديل الجرد'!$C$2:$C$501,$A152)-SUMIFS('الصرف المباشر'!$D$2:$D$501,'الصرف المباشر'!$C$2:$C$501,$A152)-SUMPRODUCT((الطبخات!$B$2:$B$900=$A152)*الطبخات!$C$2:$C$900*COUNTIF('سجل الإنتاج'!$C$2:$C$501,الطبخات!$A$2:$A$900)),3))</f>
        <v>0</v>
      </c>
      <c r="D152" s="4">
        <f>IF($A152="","",ROUND(SUMIFS('الصرف المباشر'!$D$2:$D$501,'الصرف المباشر'!$C$2:$C$501,$A152)+SUMPRODUCT((الطبخات!$B$2:$B$900=$A152)*الطبخات!$C$2:$C$900*COUNTIF('سجل الإنتاج'!$C$2:$C$501,الطبخات!$A$2:$A$900)),3))</f>
        <v>0</v>
      </c>
      <c r="E152" s="5" t="str">
        <f t="shared" si="2"/>
        <v>✔ طبيعي</v>
      </c>
      <c r="F152" s="5" t="str">
        <f>IF(AND($A152&lt;&gt;"",$E152&lt;&gt;"✔ طبيعي"),SUMPRODUCT(('الرصيد الحالي'!$E$2:$E152&lt;&gt;"✔ طبيعي")*('الرصيد الحالي'!$E$2:$E152&lt;&gt;"")*('الرصيد الحالي'!$A$2:$A152&lt;&gt;"")),"")</f>
        <v/>
      </c>
    </row>
    <row r="153" spans="1:6" ht="24" customHeight="1">
      <c r="A153" s="3">
        <f>المواد!A153</f>
        <v>0</v>
      </c>
      <c r="B153" s="5">
        <f>المواد!B153</f>
        <v>0</v>
      </c>
      <c r="C153" s="4">
        <f>IF($A153="","",ROUND(SUMIFS(الإدخالات!$D$2:$D$501,الإدخالات!$C$2:$C$501,$A153)+SUMIFS('تعديل الجرد'!$F$2:$F$501,'تعديل الجرد'!$C$2:$C$501,$A153)-SUMIFS('الصرف المباشر'!$D$2:$D$501,'الصرف المباشر'!$C$2:$C$501,$A153)-SUMPRODUCT((الطبخات!$B$2:$B$900=$A153)*الطبخات!$C$2:$C$900*COUNTIF('سجل الإنتاج'!$C$2:$C$501,الطبخات!$A$2:$A$900)),3))</f>
        <v>0</v>
      </c>
      <c r="D153" s="4">
        <f>IF($A153="","",ROUND(SUMIFS('الصرف المباشر'!$D$2:$D$501,'الصرف المباشر'!$C$2:$C$501,$A153)+SUMPRODUCT((الطبخات!$B$2:$B$900=$A153)*الطبخات!$C$2:$C$900*COUNTIF('سجل الإنتاج'!$C$2:$C$501,الطبخات!$A$2:$A$900)),3))</f>
        <v>0</v>
      </c>
      <c r="E153" s="5" t="str">
        <f t="shared" si="2"/>
        <v>✔ طبيعي</v>
      </c>
      <c r="F153" s="5" t="str">
        <f>IF(AND($A153&lt;&gt;"",$E153&lt;&gt;"✔ طبيعي"),SUMPRODUCT(('الرصيد الحالي'!$E$2:$E153&lt;&gt;"✔ طبيعي")*('الرصيد الحالي'!$E$2:$E153&lt;&gt;"")*('الرصيد الحالي'!$A$2:$A153&lt;&gt;"")),"")</f>
        <v/>
      </c>
    </row>
    <row r="154" spans="1:6" ht="24" customHeight="1">
      <c r="A154" s="3">
        <f>المواد!A154</f>
        <v>0</v>
      </c>
      <c r="B154" s="5">
        <f>المواد!B154</f>
        <v>0</v>
      </c>
      <c r="C154" s="4">
        <f>IF($A154="","",ROUND(SUMIFS(الإدخالات!$D$2:$D$501,الإدخالات!$C$2:$C$501,$A154)+SUMIFS('تعديل الجرد'!$F$2:$F$501,'تعديل الجرد'!$C$2:$C$501,$A154)-SUMIFS('الصرف المباشر'!$D$2:$D$501,'الصرف المباشر'!$C$2:$C$501,$A154)-SUMPRODUCT((الطبخات!$B$2:$B$900=$A154)*الطبخات!$C$2:$C$900*COUNTIF('سجل الإنتاج'!$C$2:$C$501,الطبخات!$A$2:$A$900)),3))</f>
        <v>0</v>
      </c>
      <c r="D154" s="4">
        <f>IF($A154="","",ROUND(SUMIFS('الصرف المباشر'!$D$2:$D$501,'الصرف المباشر'!$C$2:$C$501,$A154)+SUMPRODUCT((الطبخات!$B$2:$B$900=$A154)*الطبخات!$C$2:$C$900*COUNTIF('سجل الإنتاج'!$C$2:$C$501,الطبخات!$A$2:$A$900)),3))</f>
        <v>0</v>
      </c>
      <c r="E154" s="5" t="str">
        <f t="shared" si="2"/>
        <v>✔ طبيعي</v>
      </c>
      <c r="F154" s="5" t="str">
        <f>IF(AND($A154&lt;&gt;"",$E154&lt;&gt;"✔ طبيعي"),SUMPRODUCT(('الرصيد الحالي'!$E$2:$E154&lt;&gt;"✔ طبيعي")*('الرصيد الحالي'!$E$2:$E154&lt;&gt;"")*('الرصيد الحالي'!$A$2:$A154&lt;&gt;"")),"")</f>
        <v/>
      </c>
    </row>
    <row r="155" spans="1:6" ht="24" customHeight="1">
      <c r="A155" s="3">
        <f>المواد!A155</f>
        <v>0</v>
      </c>
      <c r="B155" s="5">
        <f>المواد!B155</f>
        <v>0</v>
      </c>
      <c r="C155" s="4">
        <f>IF($A155="","",ROUND(SUMIFS(الإدخالات!$D$2:$D$501,الإدخالات!$C$2:$C$501,$A155)+SUMIFS('تعديل الجرد'!$F$2:$F$501,'تعديل الجرد'!$C$2:$C$501,$A155)-SUMIFS('الصرف المباشر'!$D$2:$D$501,'الصرف المباشر'!$C$2:$C$501,$A155)-SUMPRODUCT((الطبخات!$B$2:$B$900=$A155)*الطبخات!$C$2:$C$900*COUNTIF('سجل الإنتاج'!$C$2:$C$501,الطبخات!$A$2:$A$900)),3))</f>
        <v>0</v>
      </c>
      <c r="D155" s="4">
        <f>IF($A155="","",ROUND(SUMIFS('الصرف المباشر'!$D$2:$D$501,'الصرف المباشر'!$C$2:$C$501,$A155)+SUMPRODUCT((الطبخات!$B$2:$B$900=$A155)*الطبخات!$C$2:$C$900*COUNTIF('سجل الإنتاج'!$C$2:$C$501,الطبخات!$A$2:$A$900)),3))</f>
        <v>0</v>
      </c>
      <c r="E155" s="5" t="str">
        <f t="shared" si="2"/>
        <v>✔ طبيعي</v>
      </c>
      <c r="F155" s="5" t="str">
        <f>IF(AND($A155&lt;&gt;"",$E155&lt;&gt;"✔ طبيعي"),SUMPRODUCT(('الرصيد الحالي'!$E$2:$E155&lt;&gt;"✔ طبيعي")*('الرصيد الحالي'!$E$2:$E155&lt;&gt;"")*('الرصيد الحالي'!$A$2:$A155&lt;&gt;"")),"")</f>
        <v/>
      </c>
    </row>
    <row r="156" spans="1:6" ht="24" customHeight="1">
      <c r="A156" s="3">
        <f>المواد!A156</f>
        <v>0</v>
      </c>
      <c r="B156" s="5">
        <f>المواد!B156</f>
        <v>0</v>
      </c>
      <c r="C156" s="4">
        <f>IF($A156="","",ROUND(SUMIFS(الإدخالات!$D$2:$D$501,الإدخالات!$C$2:$C$501,$A156)+SUMIFS('تعديل الجرد'!$F$2:$F$501,'تعديل الجرد'!$C$2:$C$501,$A156)-SUMIFS('الصرف المباشر'!$D$2:$D$501,'الصرف المباشر'!$C$2:$C$501,$A156)-SUMPRODUCT((الطبخات!$B$2:$B$900=$A156)*الطبخات!$C$2:$C$900*COUNTIF('سجل الإنتاج'!$C$2:$C$501,الطبخات!$A$2:$A$900)),3))</f>
        <v>0</v>
      </c>
      <c r="D156" s="4">
        <f>IF($A156="","",ROUND(SUMIFS('الصرف المباشر'!$D$2:$D$501,'الصرف المباشر'!$C$2:$C$501,$A156)+SUMPRODUCT((الطبخات!$B$2:$B$900=$A156)*الطبخات!$C$2:$C$900*COUNTIF('سجل الإنتاج'!$C$2:$C$501,الطبخات!$A$2:$A$900)),3))</f>
        <v>0</v>
      </c>
      <c r="E156" s="5" t="str">
        <f t="shared" si="2"/>
        <v>✔ طبيعي</v>
      </c>
      <c r="F156" s="5" t="str">
        <f>IF(AND($A156&lt;&gt;"",$E156&lt;&gt;"✔ طبيعي"),SUMPRODUCT(('الرصيد الحالي'!$E$2:$E156&lt;&gt;"✔ طبيعي")*('الرصيد الحالي'!$E$2:$E156&lt;&gt;"")*('الرصيد الحالي'!$A$2:$A156&lt;&gt;"")),"")</f>
        <v/>
      </c>
    </row>
    <row r="157" spans="1:6" ht="24" customHeight="1">
      <c r="A157" s="3">
        <f>المواد!A157</f>
        <v>0</v>
      </c>
      <c r="B157" s="5">
        <f>المواد!B157</f>
        <v>0</v>
      </c>
      <c r="C157" s="4">
        <f>IF($A157="","",ROUND(SUMIFS(الإدخالات!$D$2:$D$501,الإدخالات!$C$2:$C$501,$A157)+SUMIFS('تعديل الجرد'!$F$2:$F$501,'تعديل الجرد'!$C$2:$C$501,$A157)-SUMIFS('الصرف المباشر'!$D$2:$D$501,'الصرف المباشر'!$C$2:$C$501,$A157)-SUMPRODUCT((الطبخات!$B$2:$B$900=$A157)*الطبخات!$C$2:$C$900*COUNTIF('سجل الإنتاج'!$C$2:$C$501,الطبخات!$A$2:$A$900)),3))</f>
        <v>0</v>
      </c>
      <c r="D157" s="4">
        <f>IF($A157="","",ROUND(SUMIFS('الصرف المباشر'!$D$2:$D$501,'الصرف المباشر'!$C$2:$C$501,$A157)+SUMPRODUCT((الطبخات!$B$2:$B$900=$A157)*الطبخات!$C$2:$C$900*COUNTIF('سجل الإنتاج'!$C$2:$C$501,الطبخات!$A$2:$A$900)),3))</f>
        <v>0</v>
      </c>
      <c r="E157" s="5" t="str">
        <f t="shared" si="2"/>
        <v>✔ طبيعي</v>
      </c>
      <c r="F157" s="5" t="str">
        <f>IF(AND($A157&lt;&gt;"",$E157&lt;&gt;"✔ طبيعي"),SUMPRODUCT(('الرصيد الحالي'!$E$2:$E157&lt;&gt;"✔ طبيعي")*('الرصيد الحالي'!$E$2:$E157&lt;&gt;"")*('الرصيد الحالي'!$A$2:$A157&lt;&gt;"")),"")</f>
        <v/>
      </c>
    </row>
    <row r="158" spans="1:6" ht="24" customHeight="1">
      <c r="A158" s="3">
        <f>المواد!A158</f>
        <v>0</v>
      </c>
      <c r="B158" s="5">
        <f>المواد!B158</f>
        <v>0</v>
      </c>
      <c r="C158" s="4">
        <f>IF($A158="","",ROUND(SUMIFS(الإدخالات!$D$2:$D$501,الإدخالات!$C$2:$C$501,$A158)+SUMIFS('تعديل الجرد'!$F$2:$F$501,'تعديل الجرد'!$C$2:$C$501,$A158)-SUMIFS('الصرف المباشر'!$D$2:$D$501,'الصرف المباشر'!$C$2:$C$501,$A158)-SUMPRODUCT((الطبخات!$B$2:$B$900=$A158)*الطبخات!$C$2:$C$900*COUNTIF('سجل الإنتاج'!$C$2:$C$501,الطبخات!$A$2:$A$900)),3))</f>
        <v>0</v>
      </c>
      <c r="D158" s="4">
        <f>IF($A158="","",ROUND(SUMIFS('الصرف المباشر'!$D$2:$D$501,'الصرف المباشر'!$C$2:$C$501,$A158)+SUMPRODUCT((الطبخات!$B$2:$B$900=$A158)*الطبخات!$C$2:$C$900*COUNTIF('سجل الإنتاج'!$C$2:$C$501,الطبخات!$A$2:$A$900)),3))</f>
        <v>0</v>
      </c>
      <c r="E158" s="5" t="str">
        <f t="shared" si="2"/>
        <v>✔ طبيعي</v>
      </c>
      <c r="F158" s="5" t="str">
        <f>IF(AND($A158&lt;&gt;"",$E158&lt;&gt;"✔ طبيعي"),SUMPRODUCT(('الرصيد الحالي'!$E$2:$E158&lt;&gt;"✔ طبيعي")*('الرصيد الحالي'!$E$2:$E158&lt;&gt;"")*('الرصيد الحالي'!$A$2:$A158&lt;&gt;"")),"")</f>
        <v/>
      </c>
    </row>
    <row r="159" spans="1:6" ht="24" customHeight="1">
      <c r="A159" s="3">
        <f>المواد!A159</f>
        <v>0</v>
      </c>
      <c r="B159" s="5">
        <f>المواد!B159</f>
        <v>0</v>
      </c>
      <c r="C159" s="4">
        <f>IF($A159="","",ROUND(SUMIFS(الإدخالات!$D$2:$D$501,الإدخالات!$C$2:$C$501,$A159)+SUMIFS('تعديل الجرد'!$F$2:$F$501,'تعديل الجرد'!$C$2:$C$501,$A159)-SUMIFS('الصرف المباشر'!$D$2:$D$501,'الصرف المباشر'!$C$2:$C$501,$A159)-SUMPRODUCT((الطبخات!$B$2:$B$900=$A159)*الطبخات!$C$2:$C$900*COUNTIF('سجل الإنتاج'!$C$2:$C$501,الطبخات!$A$2:$A$900)),3))</f>
        <v>0</v>
      </c>
      <c r="D159" s="4">
        <f>IF($A159="","",ROUND(SUMIFS('الصرف المباشر'!$D$2:$D$501,'الصرف المباشر'!$C$2:$C$501,$A159)+SUMPRODUCT((الطبخات!$B$2:$B$900=$A159)*الطبخات!$C$2:$C$900*COUNTIF('سجل الإنتاج'!$C$2:$C$501,الطبخات!$A$2:$A$900)),3))</f>
        <v>0</v>
      </c>
      <c r="E159" s="5" t="str">
        <f t="shared" si="2"/>
        <v>✔ طبيعي</v>
      </c>
      <c r="F159" s="5" t="str">
        <f>IF(AND($A159&lt;&gt;"",$E159&lt;&gt;"✔ طبيعي"),SUMPRODUCT(('الرصيد الحالي'!$E$2:$E159&lt;&gt;"✔ طبيعي")*('الرصيد الحالي'!$E$2:$E159&lt;&gt;"")*('الرصيد الحالي'!$A$2:$A159&lt;&gt;"")),"")</f>
        <v/>
      </c>
    </row>
    <row r="160" spans="1:6" ht="24" customHeight="1">
      <c r="A160" s="3">
        <f>المواد!A160</f>
        <v>0</v>
      </c>
      <c r="B160" s="5">
        <f>المواد!B160</f>
        <v>0</v>
      </c>
      <c r="C160" s="4">
        <f>IF($A160="","",ROUND(SUMIFS(الإدخالات!$D$2:$D$501,الإدخالات!$C$2:$C$501,$A160)+SUMIFS('تعديل الجرد'!$F$2:$F$501,'تعديل الجرد'!$C$2:$C$501,$A160)-SUMIFS('الصرف المباشر'!$D$2:$D$501,'الصرف المباشر'!$C$2:$C$501,$A160)-SUMPRODUCT((الطبخات!$B$2:$B$900=$A160)*الطبخات!$C$2:$C$900*COUNTIF('سجل الإنتاج'!$C$2:$C$501,الطبخات!$A$2:$A$900)),3))</f>
        <v>0</v>
      </c>
      <c r="D160" s="4">
        <f>IF($A160="","",ROUND(SUMIFS('الصرف المباشر'!$D$2:$D$501,'الصرف المباشر'!$C$2:$C$501,$A160)+SUMPRODUCT((الطبخات!$B$2:$B$900=$A160)*الطبخات!$C$2:$C$900*COUNTIF('سجل الإنتاج'!$C$2:$C$501,الطبخات!$A$2:$A$900)),3))</f>
        <v>0</v>
      </c>
      <c r="E160" s="5" t="str">
        <f t="shared" si="2"/>
        <v>✔ طبيعي</v>
      </c>
      <c r="F160" s="5" t="str">
        <f>IF(AND($A160&lt;&gt;"",$E160&lt;&gt;"✔ طبيعي"),SUMPRODUCT(('الرصيد الحالي'!$E$2:$E160&lt;&gt;"✔ طبيعي")*('الرصيد الحالي'!$E$2:$E160&lt;&gt;"")*('الرصيد الحالي'!$A$2:$A160&lt;&gt;"")),"")</f>
        <v/>
      </c>
    </row>
    <row r="161" spans="1:6" ht="24" customHeight="1">
      <c r="A161" s="3">
        <f>المواد!A161</f>
        <v>0</v>
      </c>
      <c r="B161" s="5">
        <f>المواد!B161</f>
        <v>0</v>
      </c>
      <c r="C161" s="4">
        <f>IF($A161="","",ROUND(SUMIFS(الإدخالات!$D$2:$D$501,الإدخالات!$C$2:$C$501,$A161)+SUMIFS('تعديل الجرد'!$F$2:$F$501,'تعديل الجرد'!$C$2:$C$501,$A161)-SUMIFS('الصرف المباشر'!$D$2:$D$501,'الصرف المباشر'!$C$2:$C$501,$A161)-SUMPRODUCT((الطبخات!$B$2:$B$900=$A161)*الطبخات!$C$2:$C$900*COUNTIF('سجل الإنتاج'!$C$2:$C$501,الطبخات!$A$2:$A$900)),3))</f>
        <v>0</v>
      </c>
      <c r="D161" s="4">
        <f>IF($A161="","",ROUND(SUMIFS('الصرف المباشر'!$D$2:$D$501,'الصرف المباشر'!$C$2:$C$501,$A161)+SUMPRODUCT((الطبخات!$B$2:$B$900=$A161)*الطبخات!$C$2:$C$900*COUNTIF('سجل الإنتاج'!$C$2:$C$501,الطبخات!$A$2:$A$900)),3))</f>
        <v>0</v>
      </c>
      <c r="E161" s="5" t="str">
        <f t="shared" si="2"/>
        <v>✔ طبيعي</v>
      </c>
      <c r="F161" s="5" t="str">
        <f>IF(AND($A161&lt;&gt;"",$E161&lt;&gt;"✔ طبيعي"),SUMPRODUCT(('الرصيد الحالي'!$E$2:$E161&lt;&gt;"✔ طبيعي")*('الرصيد الحالي'!$E$2:$E161&lt;&gt;"")*('الرصيد الحالي'!$A$2:$A161&lt;&gt;"")),"")</f>
        <v/>
      </c>
    </row>
    <row r="162" spans="1:6" ht="24" customHeight="1">
      <c r="A162" s="3">
        <f>المواد!A162</f>
        <v>0</v>
      </c>
      <c r="B162" s="5">
        <f>المواد!B162</f>
        <v>0</v>
      </c>
      <c r="C162" s="4">
        <f>IF($A162="","",ROUND(SUMIFS(الإدخالات!$D$2:$D$501,الإدخالات!$C$2:$C$501,$A162)+SUMIFS('تعديل الجرد'!$F$2:$F$501,'تعديل الجرد'!$C$2:$C$501,$A162)-SUMIFS('الصرف المباشر'!$D$2:$D$501,'الصرف المباشر'!$C$2:$C$501,$A162)-SUMPRODUCT((الطبخات!$B$2:$B$900=$A162)*الطبخات!$C$2:$C$900*COUNTIF('سجل الإنتاج'!$C$2:$C$501,الطبخات!$A$2:$A$900)),3))</f>
        <v>0</v>
      </c>
      <c r="D162" s="4">
        <f>IF($A162="","",ROUND(SUMIFS('الصرف المباشر'!$D$2:$D$501,'الصرف المباشر'!$C$2:$C$501,$A162)+SUMPRODUCT((الطبخات!$B$2:$B$900=$A162)*الطبخات!$C$2:$C$900*COUNTIF('سجل الإنتاج'!$C$2:$C$501,الطبخات!$A$2:$A$900)),3))</f>
        <v>0</v>
      </c>
      <c r="E162" s="5" t="str">
        <f t="shared" si="2"/>
        <v>✔ طبيعي</v>
      </c>
      <c r="F162" s="5" t="str">
        <f>IF(AND($A162&lt;&gt;"",$E162&lt;&gt;"✔ طبيعي"),SUMPRODUCT(('الرصيد الحالي'!$E$2:$E162&lt;&gt;"✔ طبيعي")*('الرصيد الحالي'!$E$2:$E162&lt;&gt;"")*('الرصيد الحالي'!$A$2:$A162&lt;&gt;"")),"")</f>
        <v/>
      </c>
    </row>
    <row r="163" spans="1:6" ht="24" customHeight="1">
      <c r="A163" s="3">
        <f>المواد!A163</f>
        <v>0</v>
      </c>
      <c r="B163" s="5">
        <f>المواد!B163</f>
        <v>0</v>
      </c>
      <c r="C163" s="4">
        <f>IF($A163="","",ROUND(SUMIFS(الإدخالات!$D$2:$D$501,الإدخالات!$C$2:$C$501,$A163)+SUMIFS('تعديل الجرد'!$F$2:$F$501,'تعديل الجرد'!$C$2:$C$501,$A163)-SUMIFS('الصرف المباشر'!$D$2:$D$501,'الصرف المباشر'!$C$2:$C$501,$A163)-SUMPRODUCT((الطبخات!$B$2:$B$900=$A163)*الطبخات!$C$2:$C$900*COUNTIF('سجل الإنتاج'!$C$2:$C$501,الطبخات!$A$2:$A$900)),3))</f>
        <v>0</v>
      </c>
      <c r="D163" s="4">
        <f>IF($A163="","",ROUND(SUMIFS('الصرف المباشر'!$D$2:$D$501,'الصرف المباشر'!$C$2:$C$501,$A163)+SUMPRODUCT((الطبخات!$B$2:$B$900=$A163)*الطبخات!$C$2:$C$900*COUNTIF('سجل الإنتاج'!$C$2:$C$501,الطبخات!$A$2:$A$900)),3))</f>
        <v>0</v>
      </c>
      <c r="E163" s="5" t="str">
        <f t="shared" si="2"/>
        <v>✔ طبيعي</v>
      </c>
      <c r="F163" s="5" t="str">
        <f>IF(AND($A163&lt;&gt;"",$E163&lt;&gt;"✔ طبيعي"),SUMPRODUCT(('الرصيد الحالي'!$E$2:$E163&lt;&gt;"✔ طبيعي")*('الرصيد الحالي'!$E$2:$E163&lt;&gt;"")*('الرصيد الحالي'!$A$2:$A163&lt;&gt;"")),"")</f>
        <v/>
      </c>
    </row>
    <row r="164" spans="1:6" ht="24" customHeight="1">
      <c r="A164" s="3">
        <f>المواد!A164</f>
        <v>0</v>
      </c>
      <c r="B164" s="5">
        <f>المواد!B164</f>
        <v>0</v>
      </c>
      <c r="C164" s="4">
        <f>IF($A164="","",ROUND(SUMIFS(الإدخالات!$D$2:$D$501,الإدخالات!$C$2:$C$501,$A164)+SUMIFS('تعديل الجرد'!$F$2:$F$501,'تعديل الجرد'!$C$2:$C$501,$A164)-SUMIFS('الصرف المباشر'!$D$2:$D$501,'الصرف المباشر'!$C$2:$C$501,$A164)-SUMPRODUCT((الطبخات!$B$2:$B$900=$A164)*الطبخات!$C$2:$C$900*COUNTIF('سجل الإنتاج'!$C$2:$C$501,الطبخات!$A$2:$A$900)),3))</f>
        <v>0</v>
      </c>
      <c r="D164" s="4">
        <f>IF($A164="","",ROUND(SUMIFS('الصرف المباشر'!$D$2:$D$501,'الصرف المباشر'!$C$2:$C$501,$A164)+SUMPRODUCT((الطبخات!$B$2:$B$900=$A164)*الطبخات!$C$2:$C$900*COUNTIF('سجل الإنتاج'!$C$2:$C$501,الطبخات!$A$2:$A$900)),3))</f>
        <v>0</v>
      </c>
      <c r="E164" s="5" t="str">
        <f t="shared" si="2"/>
        <v>✔ طبيعي</v>
      </c>
      <c r="F164" s="5" t="str">
        <f>IF(AND($A164&lt;&gt;"",$E164&lt;&gt;"✔ طبيعي"),SUMPRODUCT(('الرصيد الحالي'!$E$2:$E164&lt;&gt;"✔ طبيعي")*('الرصيد الحالي'!$E$2:$E164&lt;&gt;"")*('الرصيد الحالي'!$A$2:$A164&lt;&gt;"")),"")</f>
        <v/>
      </c>
    </row>
    <row r="165" spans="1:6" ht="24" customHeight="1">
      <c r="A165" s="3">
        <f>المواد!A165</f>
        <v>0</v>
      </c>
      <c r="B165" s="5">
        <f>المواد!B165</f>
        <v>0</v>
      </c>
      <c r="C165" s="4">
        <f>IF($A165="","",ROUND(SUMIFS(الإدخالات!$D$2:$D$501,الإدخالات!$C$2:$C$501,$A165)+SUMIFS('تعديل الجرد'!$F$2:$F$501,'تعديل الجرد'!$C$2:$C$501,$A165)-SUMIFS('الصرف المباشر'!$D$2:$D$501,'الصرف المباشر'!$C$2:$C$501,$A165)-SUMPRODUCT((الطبخات!$B$2:$B$900=$A165)*الطبخات!$C$2:$C$900*COUNTIF('سجل الإنتاج'!$C$2:$C$501,الطبخات!$A$2:$A$900)),3))</f>
        <v>0</v>
      </c>
      <c r="D165" s="4">
        <f>IF($A165="","",ROUND(SUMIFS('الصرف المباشر'!$D$2:$D$501,'الصرف المباشر'!$C$2:$C$501,$A165)+SUMPRODUCT((الطبخات!$B$2:$B$900=$A165)*الطبخات!$C$2:$C$900*COUNTIF('سجل الإنتاج'!$C$2:$C$501,الطبخات!$A$2:$A$900)),3))</f>
        <v>0</v>
      </c>
      <c r="E165" s="5" t="str">
        <f t="shared" si="2"/>
        <v>✔ طبيعي</v>
      </c>
      <c r="F165" s="5" t="str">
        <f>IF(AND($A165&lt;&gt;"",$E165&lt;&gt;"✔ طبيعي"),SUMPRODUCT(('الرصيد الحالي'!$E$2:$E165&lt;&gt;"✔ طبيعي")*('الرصيد الحالي'!$E$2:$E165&lt;&gt;"")*('الرصيد الحالي'!$A$2:$A165&lt;&gt;"")),"")</f>
        <v/>
      </c>
    </row>
    <row r="166" spans="1:6" ht="24" customHeight="1">
      <c r="A166" s="3">
        <f>المواد!A166</f>
        <v>0</v>
      </c>
      <c r="B166" s="5">
        <f>المواد!B166</f>
        <v>0</v>
      </c>
      <c r="C166" s="4">
        <f>IF($A166="","",ROUND(SUMIFS(الإدخالات!$D$2:$D$501,الإدخالات!$C$2:$C$501,$A166)+SUMIFS('تعديل الجرد'!$F$2:$F$501,'تعديل الجرد'!$C$2:$C$501,$A166)-SUMIFS('الصرف المباشر'!$D$2:$D$501,'الصرف المباشر'!$C$2:$C$501,$A166)-SUMPRODUCT((الطبخات!$B$2:$B$900=$A166)*الطبخات!$C$2:$C$900*COUNTIF('سجل الإنتاج'!$C$2:$C$501,الطبخات!$A$2:$A$900)),3))</f>
        <v>0</v>
      </c>
      <c r="D166" s="4">
        <f>IF($A166="","",ROUND(SUMIFS('الصرف المباشر'!$D$2:$D$501,'الصرف المباشر'!$C$2:$C$501,$A166)+SUMPRODUCT((الطبخات!$B$2:$B$900=$A166)*الطبخات!$C$2:$C$900*COUNTIF('سجل الإنتاج'!$C$2:$C$501,الطبخات!$A$2:$A$900)),3))</f>
        <v>0</v>
      </c>
      <c r="E166" s="5" t="str">
        <f t="shared" si="2"/>
        <v>✔ طبيعي</v>
      </c>
      <c r="F166" s="5" t="str">
        <f>IF(AND($A166&lt;&gt;"",$E166&lt;&gt;"✔ طبيعي"),SUMPRODUCT(('الرصيد الحالي'!$E$2:$E166&lt;&gt;"✔ طبيعي")*('الرصيد الحالي'!$E$2:$E166&lt;&gt;"")*('الرصيد الحالي'!$A$2:$A166&lt;&gt;"")),"")</f>
        <v/>
      </c>
    </row>
    <row r="167" spans="1:6" ht="24" customHeight="1">
      <c r="A167" s="3">
        <f>المواد!A167</f>
        <v>0</v>
      </c>
      <c r="B167" s="5">
        <f>المواد!B167</f>
        <v>0</v>
      </c>
      <c r="C167" s="4">
        <f>IF($A167="","",ROUND(SUMIFS(الإدخالات!$D$2:$D$501,الإدخالات!$C$2:$C$501,$A167)+SUMIFS('تعديل الجرد'!$F$2:$F$501,'تعديل الجرد'!$C$2:$C$501,$A167)-SUMIFS('الصرف المباشر'!$D$2:$D$501,'الصرف المباشر'!$C$2:$C$501,$A167)-SUMPRODUCT((الطبخات!$B$2:$B$900=$A167)*الطبخات!$C$2:$C$900*COUNTIF('سجل الإنتاج'!$C$2:$C$501,الطبخات!$A$2:$A$900)),3))</f>
        <v>0</v>
      </c>
      <c r="D167" s="4">
        <f>IF($A167="","",ROUND(SUMIFS('الصرف المباشر'!$D$2:$D$501,'الصرف المباشر'!$C$2:$C$501,$A167)+SUMPRODUCT((الطبخات!$B$2:$B$900=$A167)*الطبخات!$C$2:$C$900*COUNTIF('سجل الإنتاج'!$C$2:$C$501,الطبخات!$A$2:$A$900)),3))</f>
        <v>0</v>
      </c>
      <c r="E167" s="5" t="str">
        <f t="shared" si="2"/>
        <v>✔ طبيعي</v>
      </c>
      <c r="F167" s="5" t="str">
        <f>IF(AND($A167&lt;&gt;"",$E167&lt;&gt;"✔ طبيعي"),SUMPRODUCT(('الرصيد الحالي'!$E$2:$E167&lt;&gt;"✔ طبيعي")*('الرصيد الحالي'!$E$2:$E167&lt;&gt;"")*('الرصيد الحالي'!$A$2:$A167&lt;&gt;"")),"")</f>
        <v/>
      </c>
    </row>
    <row r="168" spans="1:6" ht="24" customHeight="1">
      <c r="A168" s="3">
        <f>المواد!A168</f>
        <v>0</v>
      </c>
      <c r="B168" s="5">
        <f>المواد!B168</f>
        <v>0</v>
      </c>
      <c r="C168" s="4">
        <f>IF($A168="","",ROUND(SUMIFS(الإدخالات!$D$2:$D$501,الإدخالات!$C$2:$C$501,$A168)+SUMIFS('تعديل الجرد'!$F$2:$F$501,'تعديل الجرد'!$C$2:$C$501,$A168)-SUMIFS('الصرف المباشر'!$D$2:$D$501,'الصرف المباشر'!$C$2:$C$501,$A168)-SUMPRODUCT((الطبخات!$B$2:$B$900=$A168)*الطبخات!$C$2:$C$900*COUNTIF('سجل الإنتاج'!$C$2:$C$501,الطبخات!$A$2:$A$900)),3))</f>
        <v>0</v>
      </c>
      <c r="D168" s="4">
        <f>IF($A168="","",ROUND(SUMIFS('الصرف المباشر'!$D$2:$D$501,'الصرف المباشر'!$C$2:$C$501,$A168)+SUMPRODUCT((الطبخات!$B$2:$B$900=$A168)*الطبخات!$C$2:$C$900*COUNTIF('سجل الإنتاج'!$C$2:$C$501,الطبخات!$A$2:$A$900)),3))</f>
        <v>0</v>
      </c>
      <c r="E168" s="5" t="str">
        <f t="shared" si="2"/>
        <v>✔ طبيعي</v>
      </c>
      <c r="F168" s="5" t="str">
        <f>IF(AND($A168&lt;&gt;"",$E168&lt;&gt;"✔ طبيعي"),SUMPRODUCT(('الرصيد الحالي'!$E$2:$E168&lt;&gt;"✔ طبيعي")*('الرصيد الحالي'!$E$2:$E168&lt;&gt;"")*('الرصيد الحالي'!$A$2:$A168&lt;&gt;"")),"")</f>
        <v/>
      </c>
    </row>
    <row r="169" spans="1:6" ht="24" customHeight="1">
      <c r="A169" s="3">
        <f>المواد!A169</f>
        <v>0</v>
      </c>
      <c r="B169" s="5">
        <f>المواد!B169</f>
        <v>0</v>
      </c>
      <c r="C169" s="4">
        <f>IF($A169="","",ROUND(SUMIFS(الإدخالات!$D$2:$D$501,الإدخالات!$C$2:$C$501,$A169)+SUMIFS('تعديل الجرد'!$F$2:$F$501,'تعديل الجرد'!$C$2:$C$501,$A169)-SUMIFS('الصرف المباشر'!$D$2:$D$501,'الصرف المباشر'!$C$2:$C$501,$A169)-SUMPRODUCT((الطبخات!$B$2:$B$900=$A169)*الطبخات!$C$2:$C$900*COUNTIF('سجل الإنتاج'!$C$2:$C$501,الطبخات!$A$2:$A$900)),3))</f>
        <v>0</v>
      </c>
      <c r="D169" s="4">
        <f>IF($A169="","",ROUND(SUMIFS('الصرف المباشر'!$D$2:$D$501,'الصرف المباشر'!$C$2:$C$501,$A169)+SUMPRODUCT((الطبخات!$B$2:$B$900=$A169)*الطبخات!$C$2:$C$900*COUNTIF('سجل الإنتاج'!$C$2:$C$501,الطبخات!$A$2:$A$900)),3))</f>
        <v>0</v>
      </c>
      <c r="E169" s="5" t="str">
        <f t="shared" si="2"/>
        <v>✔ طبيعي</v>
      </c>
      <c r="F169" s="5" t="str">
        <f>IF(AND($A169&lt;&gt;"",$E169&lt;&gt;"✔ طبيعي"),SUMPRODUCT(('الرصيد الحالي'!$E$2:$E169&lt;&gt;"✔ طبيعي")*('الرصيد الحالي'!$E$2:$E169&lt;&gt;"")*('الرصيد الحالي'!$A$2:$A169&lt;&gt;"")),"")</f>
        <v/>
      </c>
    </row>
    <row r="170" spans="1:6" ht="24" customHeight="1">
      <c r="A170" s="3">
        <f>المواد!A170</f>
        <v>0</v>
      </c>
      <c r="B170" s="5">
        <f>المواد!B170</f>
        <v>0</v>
      </c>
      <c r="C170" s="4">
        <f>IF($A170="","",ROUND(SUMIFS(الإدخالات!$D$2:$D$501,الإدخالات!$C$2:$C$501,$A170)+SUMIFS('تعديل الجرد'!$F$2:$F$501,'تعديل الجرد'!$C$2:$C$501,$A170)-SUMIFS('الصرف المباشر'!$D$2:$D$501,'الصرف المباشر'!$C$2:$C$501,$A170)-SUMPRODUCT((الطبخات!$B$2:$B$900=$A170)*الطبخات!$C$2:$C$900*COUNTIF('سجل الإنتاج'!$C$2:$C$501,الطبخات!$A$2:$A$900)),3))</f>
        <v>0</v>
      </c>
      <c r="D170" s="4">
        <f>IF($A170="","",ROUND(SUMIFS('الصرف المباشر'!$D$2:$D$501,'الصرف المباشر'!$C$2:$C$501,$A170)+SUMPRODUCT((الطبخات!$B$2:$B$900=$A170)*الطبخات!$C$2:$C$900*COUNTIF('سجل الإنتاج'!$C$2:$C$501,الطبخات!$A$2:$A$900)),3))</f>
        <v>0</v>
      </c>
      <c r="E170" s="5" t="str">
        <f t="shared" si="2"/>
        <v>✔ طبيعي</v>
      </c>
      <c r="F170" s="5" t="str">
        <f>IF(AND($A170&lt;&gt;"",$E170&lt;&gt;"✔ طبيعي"),SUMPRODUCT(('الرصيد الحالي'!$E$2:$E170&lt;&gt;"✔ طبيعي")*('الرصيد الحالي'!$E$2:$E170&lt;&gt;"")*('الرصيد الحالي'!$A$2:$A170&lt;&gt;"")),"")</f>
        <v/>
      </c>
    </row>
    <row r="171" spans="1:6" ht="24" customHeight="1">
      <c r="A171" s="3">
        <f>المواد!A171</f>
        <v>0</v>
      </c>
      <c r="B171" s="5">
        <f>المواد!B171</f>
        <v>0</v>
      </c>
      <c r="C171" s="4">
        <f>IF($A171="","",ROUND(SUMIFS(الإدخالات!$D$2:$D$501,الإدخالات!$C$2:$C$501,$A171)+SUMIFS('تعديل الجرد'!$F$2:$F$501,'تعديل الجرد'!$C$2:$C$501,$A171)-SUMIFS('الصرف المباشر'!$D$2:$D$501,'الصرف المباشر'!$C$2:$C$501,$A171)-SUMPRODUCT((الطبخات!$B$2:$B$900=$A171)*الطبخات!$C$2:$C$900*COUNTIF('سجل الإنتاج'!$C$2:$C$501,الطبخات!$A$2:$A$900)),3))</f>
        <v>0</v>
      </c>
      <c r="D171" s="4">
        <f>IF($A171="","",ROUND(SUMIFS('الصرف المباشر'!$D$2:$D$501,'الصرف المباشر'!$C$2:$C$501,$A171)+SUMPRODUCT((الطبخات!$B$2:$B$900=$A171)*الطبخات!$C$2:$C$900*COUNTIF('سجل الإنتاج'!$C$2:$C$501,الطبخات!$A$2:$A$900)),3))</f>
        <v>0</v>
      </c>
      <c r="E171" s="5" t="str">
        <f t="shared" si="2"/>
        <v>✔ طبيعي</v>
      </c>
      <c r="F171" s="5" t="str">
        <f>IF(AND($A171&lt;&gt;"",$E171&lt;&gt;"✔ طبيعي"),SUMPRODUCT(('الرصيد الحالي'!$E$2:$E171&lt;&gt;"✔ طبيعي")*('الرصيد الحالي'!$E$2:$E171&lt;&gt;"")*('الرصيد الحالي'!$A$2:$A171&lt;&gt;"")),"")</f>
        <v/>
      </c>
    </row>
    <row r="172" spans="1:6" ht="24" customHeight="1">
      <c r="A172" s="3">
        <f>المواد!A172</f>
        <v>0</v>
      </c>
      <c r="B172" s="5">
        <f>المواد!B172</f>
        <v>0</v>
      </c>
      <c r="C172" s="4">
        <f>IF($A172="","",ROUND(SUMIFS(الإدخالات!$D$2:$D$501,الإدخالات!$C$2:$C$501,$A172)+SUMIFS('تعديل الجرد'!$F$2:$F$501,'تعديل الجرد'!$C$2:$C$501,$A172)-SUMIFS('الصرف المباشر'!$D$2:$D$501,'الصرف المباشر'!$C$2:$C$501,$A172)-SUMPRODUCT((الطبخات!$B$2:$B$900=$A172)*الطبخات!$C$2:$C$900*COUNTIF('سجل الإنتاج'!$C$2:$C$501,الطبخات!$A$2:$A$900)),3))</f>
        <v>0</v>
      </c>
      <c r="D172" s="4">
        <f>IF($A172="","",ROUND(SUMIFS('الصرف المباشر'!$D$2:$D$501,'الصرف المباشر'!$C$2:$C$501,$A172)+SUMPRODUCT((الطبخات!$B$2:$B$900=$A172)*الطبخات!$C$2:$C$900*COUNTIF('سجل الإنتاج'!$C$2:$C$501,الطبخات!$A$2:$A$900)),3))</f>
        <v>0</v>
      </c>
      <c r="E172" s="5" t="str">
        <f t="shared" si="2"/>
        <v>✔ طبيعي</v>
      </c>
      <c r="F172" s="5" t="str">
        <f>IF(AND($A172&lt;&gt;"",$E172&lt;&gt;"✔ طبيعي"),SUMPRODUCT(('الرصيد الحالي'!$E$2:$E172&lt;&gt;"✔ طبيعي")*('الرصيد الحالي'!$E$2:$E172&lt;&gt;"")*('الرصيد الحالي'!$A$2:$A172&lt;&gt;"")),"")</f>
        <v/>
      </c>
    </row>
    <row r="173" spans="1:6" ht="24" customHeight="1">
      <c r="A173" s="3">
        <f>المواد!A173</f>
        <v>0</v>
      </c>
      <c r="B173" s="5">
        <f>المواد!B173</f>
        <v>0</v>
      </c>
      <c r="C173" s="4">
        <f>IF($A173="","",ROUND(SUMIFS(الإدخالات!$D$2:$D$501,الإدخالات!$C$2:$C$501,$A173)+SUMIFS('تعديل الجرد'!$F$2:$F$501,'تعديل الجرد'!$C$2:$C$501,$A173)-SUMIFS('الصرف المباشر'!$D$2:$D$501,'الصرف المباشر'!$C$2:$C$501,$A173)-SUMPRODUCT((الطبخات!$B$2:$B$900=$A173)*الطبخات!$C$2:$C$900*COUNTIF('سجل الإنتاج'!$C$2:$C$501,الطبخات!$A$2:$A$900)),3))</f>
        <v>0</v>
      </c>
      <c r="D173" s="4">
        <f>IF($A173="","",ROUND(SUMIFS('الصرف المباشر'!$D$2:$D$501,'الصرف المباشر'!$C$2:$C$501,$A173)+SUMPRODUCT((الطبخات!$B$2:$B$900=$A173)*الطبخات!$C$2:$C$900*COUNTIF('سجل الإنتاج'!$C$2:$C$501,الطبخات!$A$2:$A$900)),3))</f>
        <v>0</v>
      </c>
      <c r="E173" s="5" t="str">
        <f t="shared" si="2"/>
        <v>✔ طبيعي</v>
      </c>
      <c r="F173" s="5" t="str">
        <f>IF(AND($A173&lt;&gt;"",$E173&lt;&gt;"✔ طبيعي"),SUMPRODUCT(('الرصيد الحالي'!$E$2:$E173&lt;&gt;"✔ طبيعي")*('الرصيد الحالي'!$E$2:$E173&lt;&gt;"")*('الرصيد الحالي'!$A$2:$A173&lt;&gt;"")),"")</f>
        <v/>
      </c>
    </row>
    <row r="174" spans="1:6" ht="24" customHeight="1">
      <c r="A174" s="3">
        <f>المواد!A174</f>
        <v>0</v>
      </c>
      <c r="B174" s="5">
        <f>المواد!B174</f>
        <v>0</v>
      </c>
      <c r="C174" s="4">
        <f>IF($A174="","",ROUND(SUMIFS(الإدخالات!$D$2:$D$501,الإدخالات!$C$2:$C$501,$A174)+SUMIFS('تعديل الجرد'!$F$2:$F$501,'تعديل الجرد'!$C$2:$C$501,$A174)-SUMIFS('الصرف المباشر'!$D$2:$D$501,'الصرف المباشر'!$C$2:$C$501,$A174)-SUMPRODUCT((الطبخات!$B$2:$B$900=$A174)*الطبخات!$C$2:$C$900*COUNTIF('سجل الإنتاج'!$C$2:$C$501,الطبخات!$A$2:$A$900)),3))</f>
        <v>0</v>
      </c>
      <c r="D174" s="4">
        <f>IF($A174="","",ROUND(SUMIFS('الصرف المباشر'!$D$2:$D$501,'الصرف المباشر'!$C$2:$C$501,$A174)+SUMPRODUCT((الطبخات!$B$2:$B$900=$A174)*الطبخات!$C$2:$C$900*COUNTIF('سجل الإنتاج'!$C$2:$C$501,الطبخات!$A$2:$A$900)),3))</f>
        <v>0</v>
      </c>
      <c r="E174" s="5" t="str">
        <f t="shared" si="2"/>
        <v>✔ طبيعي</v>
      </c>
      <c r="F174" s="5" t="str">
        <f>IF(AND($A174&lt;&gt;"",$E174&lt;&gt;"✔ طبيعي"),SUMPRODUCT(('الرصيد الحالي'!$E$2:$E174&lt;&gt;"✔ طبيعي")*('الرصيد الحالي'!$E$2:$E174&lt;&gt;"")*('الرصيد الحالي'!$A$2:$A174&lt;&gt;"")),"")</f>
        <v/>
      </c>
    </row>
    <row r="175" spans="1:6" ht="24" customHeight="1">
      <c r="A175" s="3">
        <f>المواد!A175</f>
        <v>0</v>
      </c>
      <c r="B175" s="5">
        <f>المواد!B175</f>
        <v>0</v>
      </c>
      <c r="C175" s="4">
        <f>IF($A175="","",ROUND(SUMIFS(الإدخالات!$D$2:$D$501,الإدخالات!$C$2:$C$501,$A175)+SUMIFS('تعديل الجرد'!$F$2:$F$501,'تعديل الجرد'!$C$2:$C$501,$A175)-SUMIFS('الصرف المباشر'!$D$2:$D$501,'الصرف المباشر'!$C$2:$C$501,$A175)-SUMPRODUCT((الطبخات!$B$2:$B$900=$A175)*الطبخات!$C$2:$C$900*COUNTIF('سجل الإنتاج'!$C$2:$C$501,الطبخات!$A$2:$A$900)),3))</f>
        <v>0</v>
      </c>
      <c r="D175" s="4">
        <f>IF($A175="","",ROUND(SUMIFS('الصرف المباشر'!$D$2:$D$501,'الصرف المباشر'!$C$2:$C$501,$A175)+SUMPRODUCT((الطبخات!$B$2:$B$900=$A175)*الطبخات!$C$2:$C$900*COUNTIF('سجل الإنتاج'!$C$2:$C$501,الطبخات!$A$2:$A$900)),3))</f>
        <v>0</v>
      </c>
      <c r="E175" s="5" t="str">
        <f t="shared" si="2"/>
        <v>✔ طبيعي</v>
      </c>
      <c r="F175" s="5" t="str">
        <f>IF(AND($A175&lt;&gt;"",$E175&lt;&gt;"✔ طبيعي"),SUMPRODUCT(('الرصيد الحالي'!$E$2:$E175&lt;&gt;"✔ طبيعي")*('الرصيد الحالي'!$E$2:$E175&lt;&gt;"")*('الرصيد الحالي'!$A$2:$A175&lt;&gt;"")),"")</f>
        <v/>
      </c>
    </row>
    <row r="176" spans="1:6" ht="24" customHeight="1">
      <c r="A176" s="3">
        <f>المواد!A176</f>
        <v>0</v>
      </c>
      <c r="B176" s="5">
        <f>المواد!B176</f>
        <v>0</v>
      </c>
      <c r="C176" s="4">
        <f>IF($A176="","",ROUND(SUMIFS(الإدخالات!$D$2:$D$501,الإدخالات!$C$2:$C$501,$A176)+SUMIFS('تعديل الجرد'!$F$2:$F$501,'تعديل الجرد'!$C$2:$C$501,$A176)-SUMIFS('الصرف المباشر'!$D$2:$D$501,'الصرف المباشر'!$C$2:$C$501,$A176)-SUMPRODUCT((الطبخات!$B$2:$B$900=$A176)*الطبخات!$C$2:$C$900*COUNTIF('سجل الإنتاج'!$C$2:$C$501,الطبخات!$A$2:$A$900)),3))</f>
        <v>0</v>
      </c>
      <c r="D176" s="4">
        <f>IF($A176="","",ROUND(SUMIFS('الصرف المباشر'!$D$2:$D$501,'الصرف المباشر'!$C$2:$C$501,$A176)+SUMPRODUCT((الطبخات!$B$2:$B$900=$A176)*الطبخات!$C$2:$C$900*COUNTIF('سجل الإنتاج'!$C$2:$C$501,الطبخات!$A$2:$A$900)),3))</f>
        <v>0</v>
      </c>
      <c r="E176" s="5" t="str">
        <f t="shared" si="2"/>
        <v>✔ طبيعي</v>
      </c>
      <c r="F176" s="5" t="str">
        <f>IF(AND($A176&lt;&gt;"",$E176&lt;&gt;"✔ طبيعي"),SUMPRODUCT(('الرصيد الحالي'!$E$2:$E176&lt;&gt;"✔ طبيعي")*('الرصيد الحالي'!$E$2:$E176&lt;&gt;"")*('الرصيد الحالي'!$A$2:$A176&lt;&gt;"")),"")</f>
        <v/>
      </c>
    </row>
    <row r="177" spans="1:6" ht="24" customHeight="1">
      <c r="A177" s="3">
        <f>المواد!A177</f>
        <v>0</v>
      </c>
      <c r="B177" s="5">
        <f>المواد!B177</f>
        <v>0</v>
      </c>
      <c r="C177" s="4">
        <f>IF($A177="","",ROUND(SUMIFS(الإدخالات!$D$2:$D$501,الإدخالات!$C$2:$C$501,$A177)+SUMIFS('تعديل الجرد'!$F$2:$F$501,'تعديل الجرد'!$C$2:$C$501,$A177)-SUMIFS('الصرف المباشر'!$D$2:$D$501,'الصرف المباشر'!$C$2:$C$501,$A177)-SUMPRODUCT((الطبخات!$B$2:$B$900=$A177)*الطبخات!$C$2:$C$900*COUNTIF('سجل الإنتاج'!$C$2:$C$501,الطبخات!$A$2:$A$900)),3))</f>
        <v>0</v>
      </c>
      <c r="D177" s="4">
        <f>IF($A177="","",ROUND(SUMIFS('الصرف المباشر'!$D$2:$D$501,'الصرف المباشر'!$C$2:$C$501,$A177)+SUMPRODUCT((الطبخات!$B$2:$B$900=$A177)*الطبخات!$C$2:$C$900*COUNTIF('سجل الإنتاج'!$C$2:$C$501,الطبخات!$A$2:$A$900)),3))</f>
        <v>0</v>
      </c>
      <c r="E177" s="5" t="str">
        <f t="shared" si="2"/>
        <v>✔ طبيعي</v>
      </c>
      <c r="F177" s="5" t="str">
        <f>IF(AND($A177&lt;&gt;"",$E177&lt;&gt;"✔ طبيعي"),SUMPRODUCT(('الرصيد الحالي'!$E$2:$E177&lt;&gt;"✔ طبيعي")*('الرصيد الحالي'!$E$2:$E177&lt;&gt;"")*('الرصيد الحالي'!$A$2:$A177&lt;&gt;"")),"")</f>
        <v/>
      </c>
    </row>
    <row r="178" spans="1:6" ht="24" customHeight="1">
      <c r="A178" s="3">
        <f>المواد!A178</f>
        <v>0</v>
      </c>
      <c r="B178" s="5">
        <f>المواد!B178</f>
        <v>0</v>
      </c>
      <c r="C178" s="4">
        <f>IF($A178="","",ROUND(SUMIFS(الإدخالات!$D$2:$D$501,الإدخالات!$C$2:$C$501,$A178)+SUMIFS('تعديل الجرد'!$F$2:$F$501,'تعديل الجرد'!$C$2:$C$501,$A178)-SUMIFS('الصرف المباشر'!$D$2:$D$501,'الصرف المباشر'!$C$2:$C$501,$A178)-SUMPRODUCT((الطبخات!$B$2:$B$900=$A178)*الطبخات!$C$2:$C$900*COUNTIF('سجل الإنتاج'!$C$2:$C$501,الطبخات!$A$2:$A$900)),3))</f>
        <v>0</v>
      </c>
      <c r="D178" s="4">
        <f>IF($A178="","",ROUND(SUMIFS('الصرف المباشر'!$D$2:$D$501,'الصرف المباشر'!$C$2:$C$501,$A178)+SUMPRODUCT((الطبخات!$B$2:$B$900=$A178)*الطبخات!$C$2:$C$900*COUNTIF('سجل الإنتاج'!$C$2:$C$501,الطبخات!$A$2:$A$900)),3))</f>
        <v>0</v>
      </c>
      <c r="E178" s="5" t="str">
        <f t="shared" si="2"/>
        <v>✔ طبيعي</v>
      </c>
      <c r="F178" s="5" t="str">
        <f>IF(AND($A178&lt;&gt;"",$E178&lt;&gt;"✔ طبيعي"),SUMPRODUCT(('الرصيد الحالي'!$E$2:$E178&lt;&gt;"✔ طبيعي")*('الرصيد الحالي'!$E$2:$E178&lt;&gt;"")*('الرصيد الحالي'!$A$2:$A178&lt;&gt;"")),"")</f>
        <v/>
      </c>
    </row>
    <row r="179" spans="1:6" ht="24" customHeight="1">
      <c r="A179" s="3">
        <f>المواد!A179</f>
        <v>0</v>
      </c>
      <c r="B179" s="5">
        <f>المواد!B179</f>
        <v>0</v>
      </c>
      <c r="C179" s="4">
        <f>IF($A179="","",ROUND(SUMIFS(الإدخالات!$D$2:$D$501,الإدخالات!$C$2:$C$501,$A179)+SUMIFS('تعديل الجرد'!$F$2:$F$501,'تعديل الجرد'!$C$2:$C$501,$A179)-SUMIFS('الصرف المباشر'!$D$2:$D$501,'الصرف المباشر'!$C$2:$C$501,$A179)-SUMPRODUCT((الطبخات!$B$2:$B$900=$A179)*الطبخات!$C$2:$C$900*COUNTIF('سجل الإنتاج'!$C$2:$C$501,الطبخات!$A$2:$A$900)),3))</f>
        <v>0</v>
      </c>
      <c r="D179" s="4">
        <f>IF($A179="","",ROUND(SUMIFS('الصرف المباشر'!$D$2:$D$501,'الصرف المباشر'!$C$2:$C$501,$A179)+SUMPRODUCT((الطبخات!$B$2:$B$900=$A179)*الطبخات!$C$2:$C$900*COUNTIF('سجل الإنتاج'!$C$2:$C$501,الطبخات!$A$2:$A$900)),3))</f>
        <v>0</v>
      </c>
      <c r="E179" s="5" t="str">
        <f t="shared" si="2"/>
        <v>✔ طبيعي</v>
      </c>
      <c r="F179" s="5" t="str">
        <f>IF(AND($A179&lt;&gt;"",$E179&lt;&gt;"✔ طبيعي"),SUMPRODUCT(('الرصيد الحالي'!$E$2:$E179&lt;&gt;"✔ طبيعي")*('الرصيد الحالي'!$E$2:$E179&lt;&gt;"")*('الرصيد الحالي'!$A$2:$A179&lt;&gt;"")),"")</f>
        <v/>
      </c>
    </row>
    <row r="180" spans="1:6" ht="24" customHeight="1">
      <c r="A180" s="3">
        <f>المواد!A180</f>
        <v>0</v>
      </c>
      <c r="B180" s="5">
        <f>المواد!B180</f>
        <v>0</v>
      </c>
      <c r="C180" s="4">
        <f>IF($A180="","",ROUND(SUMIFS(الإدخالات!$D$2:$D$501,الإدخالات!$C$2:$C$501,$A180)+SUMIFS('تعديل الجرد'!$F$2:$F$501,'تعديل الجرد'!$C$2:$C$501,$A180)-SUMIFS('الصرف المباشر'!$D$2:$D$501,'الصرف المباشر'!$C$2:$C$501,$A180)-SUMPRODUCT((الطبخات!$B$2:$B$900=$A180)*الطبخات!$C$2:$C$900*COUNTIF('سجل الإنتاج'!$C$2:$C$501,الطبخات!$A$2:$A$900)),3))</f>
        <v>0</v>
      </c>
      <c r="D180" s="4">
        <f>IF($A180="","",ROUND(SUMIFS('الصرف المباشر'!$D$2:$D$501,'الصرف المباشر'!$C$2:$C$501,$A180)+SUMPRODUCT((الطبخات!$B$2:$B$900=$A180)*الطبخات!$C$2:$C$900*COUNTIF('سجل الإنتاج'!$C$2:$C$501,الطبخات!$A$2:$A$900)),3))</f>
        <v>0</v>
      </c>
      <c r="E180" s="5" t="str">
        <f t="shared" si="2"/>
        <v>✔ طبيعي</v>
      </c>
      <c r="F180" s="5" t="str">
        <f>IF(AND($A180&lt;&gt;"",$E180&lt;&gt;"✔ طبيعي"),SUMPRODUCT(('الرصيد الحالي'!$E$2:$E180&lt;&gt;"✔ طبيعي")*('الرصيد الحالي'!$E$2:$E180&lt;&gt;"")*('الرصيد الحالي'!$A$2:$A180&lt;&gt;"")),"")</f>
        <v/>
      </c>
    </row>
    <row r="181" spans="1:6" ht="24" customHeight="1">
      <c r="A181" s="3">
        <f>المواد!A181</f>
        <v>0</v>
      </c>
      <c r="B181" s="5">
        <f>المواد!B181</f>
        <v>0</v>
      </c>
      <c r="C181" s="4">
        <f>IF($A181="","",ROUND(SUMIFS(الإدخالات!$D$2:$D$501,الإدخالات!$C$2:$C$501,$A181)+SUMIFS('تعديل الجرد'!$F$2:$F$501,'تعديل الجرد'!$C$2:$C$501,$A181)-SUMIFS('الصرف المباشر'!$D$2:$D$501,'الصرف المباشر'!$C$2:$C$501,$A181)-SUMPRODUCT((الطبخات!$B$2:$B$900=$A181)*الطبخات!$C$2:$C$900*COUNTIF('سجل الإنتاج'!$C$2:$C$501,الطبخات!$A$2:$A$900)),3))</f>
        <v>0</v>
      </c>
      <c r="D181" s="4">
        <f>IF($A181="","",ROUND(SUMIFS('الصرف المباشر'!$D$2:$D$501,'الصرف المباشر'!$C$2:$C$501,$A181)+SUMPRODUCT((الطبخات!$B$2:$B$900=$A181)*الطبخات!$C$2:$C$900*COUNTIF('سجل الإنتاج'!$C$2:$C$501,الطبخات!$A$2:$A$900)),3))</f>
        <v>0</v>
      </c>
      <c r="E181" s="5" t="str">
        <f t="shared" si="2"/>
        <v>✔ طبيعي</v>
      </c>
      <c r="F181" s="5" t="str">
        <f>IF(AND($A181&lt;&gt;"",$E181&lt;&gt;"✔ طبيعي"),SUMPRODUCT(('الرصيد الحالي'!$E$2:$E181&lt;&gt;"✔ طبيعي")*('الرصيد الحالي'!$E$2:$E181&lt;&gt;"")*('الرصيد الحالي'!$A$2:$A181&lt;&gt;"")),"")</f>
        <v/>
      </c>
    </row>
    <row r="182" spans="1:6" ht="24" customHeight="1">
      <c r="A182" s="3">
        <f>المواد!A182</f>
        <v>0</v>
      </c>
      <c r="B182" s="5">
        <f>المواد!B182</f>
        <v>0</v>
      </c>
      <c r="C182" s="4">
        <f>IF($A182="","",ROUND(SUMIFS(الإدخالات!$D$2:$D$501,الإدخالات!$C$2:$C$501,$A182)+SUMIFS('تعديل الجرد'!$F$2:$F$501,'تعديل الجرد'!$C$2:$C$501,$A182)-SUMIFS('الصرف المباشر'!$D$2:$D$501,'الصرف المباشر'!$C$2:$C$501,$A182)-SUMPRODUCT((الطبخات!$B$2:$B$900=$A182)*الطبخات!$C$2:$C$900*COUNTIF('سجل الإنتاج'!$C$2:$C$501,الطبخات!$A$2:$A$900)),3))</f>
        <v>0</v>
      </c>
      <c r="D182" s="4">
        <f>IF($A182="","",ROUND(SUMIFS('الصرف المباشر'!$D$2:$D$501,'الصرف المباشر'!$C$2:$C$501,$A182)+SUMPRODUCT((الطبخات!$B$2:$B$900=$A182)*الطبخات!$C$2:$C$900*COUNTIF('سجل الإنتاج'!$C$2:$C$501,الطبخات!$A$2:$A$900)),3))</f>
        <v>0</v>
      </c>
      <c r="E182" s="5" t="str">
        <f t="shared" si="2"/>
        <v>✔ طبيعي</v>
      </c>
      <c r="F182" s="5" t="str">
        <f>IF(AND($A182&lt;&gt;"",$E182&lt;&gt;"✔ طبيعي"),SUMPRODUCT(('الرصيد الحالي'!$E$2:$E182&lt;&gt;"✔ طبيعي")*('الرصيد الحالي'!$E$2:$E182&lt;&gt;"")*('الرصيد الحالي'!$A$2:$A182&lt;&gt;"")),"")</f>
        <v/>
      </c>
    </row>
    <row r="183" spans="1:6" ht="24" customHeight="1">
      <c r="A183" s="3">
        <f>المواد!A183</f>
        <v>0</v>
      </c>
      <c r="B183" s="5">
        <f>المواد!B183</f>
        <v>0</v>
      </c>
      <c r="C183" s="4">
        <f>IF($A183="","",ROUND(SUMIFS(الإدخالات!$D$2:$D$501,الإدخالات!$C$2:$C$501,$A183)+SUMIFS('تعديل الجرد'!$F$2:$F$501,'تعديل الجرد'!$C$2:$C$501,$A183)-SUMIFS('الصرف المباشر'!$D$2:$D$501,'الصرف المباشر'!$C$2:$C$501,$A183)-SUMPRODUCT((الطبخات!$B$2:$B$900=$A183)*الطبخات!$C$2:$C$900*COUNTIF('سجل الإنتاج'!$C$2:$C$501,الطبخات!$A$2:$A$900)),3))</f>
        <v>0</v>
      </c>
      <c r="D183" s="4">
        <f>IF($A183="","",ROUND(SUMIFS('الصرف المباشر'!$D$2:$D$501,'الصرف المباشر'!$C$2:$C$501,$A183)+SUMPRODUCT((الطبخات!$B$2:$B$900=$A183)*الطبخات!$C$2:$C$900*COUNTIF('سجل الإنتاج'!$C$2:$C$501,الطبخات!$A$2:$A$900)),3))</f>
        <v>0</v>
      </c>
      <c r="E183" s="5" t="str">
        <f t="shared" si="2"/>
        <v>✔ طبيعي</v>
      </c>
      <c r="F183" s="5" t="str">
        <f>IF(AND($A183&lt;&gt;"",$E183&lt;&gt;"✔ طبيعي"),SUMPRODUCT(('الرصيد الحالي'!$E$2:$E183&lt;&gt;"✔ طبيعي")*('الرصيد الحالي'!$E$2:$E183&lt;&gt;"")*('الرصيد الحالي'!$A$2:$A183&lt;&gt;"")),"")</f>
        <v/>
      </c>
    </row>
    <row r="184" spans="1:6" ht="24" customHeight="1">
      <c r="A184" s="3">
        <f>المواد!A184</f>
        <v>0</v>
      </c>
      <c r="B184" s="5">
        <f>المواد!B184</f>
        <v>0</v>
      </c>
      <c r="C184" s="4">
        <f>IF($A184="","",ROUND(SUMIFS(الإدخالات!$D$2:$D$501,الإدخالات!$C$2:$C$501,$A184)+SUMIFS('تعديل الجرد'!$F$2:$F$501,'تعديل الجرد'!$C$2:$C$501,$A184)-SUMIFS('الصرف المباشر'!$D$2:$D$501,'الصرف المباشر'!$C$2:$C$501,$A184)-SUMPRODUCT((الطبخات!$B$2:$B$900=$A184)*الطبخات!$C$2:$C$900*COUNTIF('سجل الإنتاج'!$C$2:$C$501,الطبخات!$A$2:$A$900)),3))</f>
        <v>0</v>
      </c>
      <c r="D184" s="4">
        <f>IF($A184="","",ROUND(SUMIFS('الصرف المباشر'!$D$2:$D$501,'الصرف المباشر'!$C$2:$C$501,$A184)+SUMPRODUCT((الطبخات!$B$2:$B$900=$A184)*الطبخات!$C$2:$C$900*COUNTIF('سجل الإنتاج'!$C$2:$C$501,الطبخات!$A$2:$A$900)),3))</f>
        <v>0</v>
      </c>
      <c r="E184" s="5" t="str">
        <f t="shared" si="2"/>
        <v>✔ طبيعي</v>
      </c>
      <c r="F184" s="5" t="str">
        <f>IF(AND($A184&lt;&gt;"",$E184&lt;&gt;"✔ طبيعي"),SUMPRODUCT(('الرصيد الحالي'!$E$2:$E184&lt;&gt;"✔ طبيعي")*('الرصيد الحالي'!$E$2:$E184&lt;&gt;"")*('الرصيد الحالي'!$A$2:$A184&lt;&gt;"")),"")</f>
        <v/>
      </c>
    </row>
    <row r="185" spans="1:6" ht="24" customHeight="1">
      <c r="A185" s="3">
        <f>المواد!A185</f>
        <v>0</v>
      </c>
      <c r="B185" s="5">
        <f>المواد!B185</f>
        <v>0</v>
      </c>
      <c r="C185" s="4">
        <f>IF($A185="","",ROUND(SUMIFS(الإدخالات!$D$2:$D$501,الإدخالات!$C$2:$C$501,$A185)+SUMIFS('تعديل الجرد'!$F$2:$F$501,'تعديل الجرد'!$C$2:$C$501,$A185)-SUMIFS('الصرف المباشر'!$D$2:$D$501,'الصرف المباشر'!$C$2:$C$501,$A185)-SUMPRODUCT((الطبخات!$B$2:$B$900=$A185)*الطبخات!$C$2:$C$900*COUNTIF('سجل الإنتاج'!$C$2:$C$501,الطبخات!$A$2:$A$900)),3))</f>
        <v>0</v>
      </c>
      <c r="D185" s="4">
        <f>IF($A185="","",ROUND(SUMIFS('الصرف المباشر'!$D$2:$D$501,'الصرف المباشر'!$C$2:$C$501,$A185)+SUMPRODUCT((الطبخات!$B$2:$B$900=$A185)*الطبخات!$C$2:$C$900*COUNTIF('سجل الإنتاج'!$C$2:$C$501,الطبخات!$A$2:$A$900)),3))</f>
        <v>0</v>
      </c>
      <c r="E185" s="5" t="str">
        <f t="shared" si="2"/>
        <v>✔ طبيعي</v>
      </c>
      <c r="F185" s="5" t="str">
        <f>IF(AND($A185&lt;&gt;"",$E185&lt;&gt;"✔ طبيعي"),SUMPRODUCT(('الرصيد الحالي'!$E$2:$E185&lt;&gt;"✔ طبيعي")*('الرصيد الحالي'!$E$2:$E185&lt;&gt;"")*('الرصيد الحالي'!$A$2:$A185&lt;&gt;"")),"")</f>
        <v/>
      </c>
    </row>
    <row r="186" spans="1:6" ht="24" customHeight="1">
      <c r="A186" s="3">
        <f>المواد!A186</f>
        <v>0</v>
      </c>
      <c r="B186" s="5">
        <f>المواد!B186</f>
        <v>0</v>
      </c>
      <c r="C186" s="4">
        <f>IF($A186="","",ROUND(SUMIFS(الإدخالات!$D$2:$D$501,الإدخالات!$C$2:$C$501,$A186)+SUMIFS('تعديل الجرد'!$F$2:$F$501,'تعديل الجرد'!$C$2:$C$501,$A186)-SUMIFS('الصرف المباشر'!$D$2:$D$501,'الصرف المباشر'!$C$2:$C$501,$A186)-SUMPRODUCT((الطبخات!$B$2:$B$900=$A186)*الطبخات!$C$2:$C$900*COUNTIF('سجل الإنتاج'!$C$2:$C$501,الطبخات!$A$2:$A$900)),3))</f>
        <v>0</v>
      </c>
      <c r="D186" s="4">
        <f>IF($A186="","",ROUND(SUMIFS('الصرف المباشر'!$D$2:$D$501,'الصرف المباشر'!$C$2:$C$501,$A186)+SUMPRODUCT((الطبخات!$B$2:$B$900=$A186)*الطبخات!$C$2:$C$900*COUNTIF('سجل الإنتاج'!$C$2:$C$501,الطبخات!$A$2:$A$900)),3))</f>
        <v>0</v>
      </c>
      <c r="E186" s="5" t="str">
        <f t="shared" si="2"/>
        <v>✔ طبيعي</v>
      </c>
      <c r="F186" s="5" t="str">
        <f>IF(AND($A186&lt;&gt;"",$E186&lt;&gt;"✔ طبيعي"),SUMPRODUCT(('الرصيد الحالي'!$E$2:$E186&lt;&gt;"✔ طبيعي")*('الرصيد الحالي'!$E$2:$E186&lt;&gt;"")*('الرصيد الحالي'!$A$2:$A186&lt;&gt;"")),"")</f>
        <v/>
      </c>
    </row>
    <row r="187" spans="1:6" ht="24" customHeight="1">
      <c r="A187" s="3">
        <f>المواد!A187</f>
        <v>0</v>
      </c>
      <c r="B187" s="5">
        <f>المواد!B187</f>
        <v>0</v>
      </c>
      <c r="C187" s="4">
        <f>IF($A187="","",ROUND(SUMIFS(الإدخالات!$D$2:$D$501,الإدخالات!$C$2:$C$501,$A187)+SUMIFS('تعديل الجرد'!$F$2:$F$501,'تعديل الجرد'!$C$2:$C$501,$A187)-SUMIFS('الصرف المباشر'!$D$2:$D$501,'الصرف المباشر'!$C$2:$C$501,$A187)-SUMPRODUCT((الطبخات!$B$2:$B$900=$A187)*الطبخات!$C$2:$C$900*COUNTIF('سجل الإنتاج'!$C$2:$C$501,الطبخات!$A$2:$A$900)),3))</f>
        <v>0</v>
      </c>
      <c r="D187" s="4">
        <f>IF($A187="","",ROUND(SUMIFS('الصرف المباشر'!$D$2:$D$501,'الصرف المباشر'!$C$2:$C$501,$A187)+SUMPRODUCT((الطبخات!$B$2:$B$900=$A187)*الطبخات!$C$2:$C$900*COUNTIF('سجل الإنتاج'!$C$2:$C$501,الطبخات!$A$2:$A$900)),3))</f>
        <v>0</v>
      </c>
      <c r="E187" s="5" t="str">
        <f t="shared" si="2"/>
        <v>✔ طبيعي</v>
      </c>
      <c r="F187" s="5" t="str">
        <f>IF(AND($A187&lt;&gt;"",$E187&lt;&gt;"✔ طبيعي"),SUMPRODUCT(('الرصيد الحالي'!$E$2:$E187&lt;&gt;"✔ طبيعي")*('الرصيد الحالي'!$E$2:$E187&lt;&gt;"")*('الرصيد الحالي'!$A$2:$A187&lt;&gt;"")),"")</f>
        <v/>
      </c>
    </row>
    <row r="188" spans="1:6" ht="24" customHeight="1">
      <c r="A188" s="3">
        <f>المواد!A188</f>
        <v>0</v>
      </c>
      <c r="B188" s="5">
        <f>المواد!B188</f>
        <v>0</v>
      </c>
      <c r="C188" s="4">
        <f>IF($A188="","",ROUND(SUMIFS(الإدخالات!$D$2:$D$501,الإدخالات!$C$2:$C$501,$A188)+SUMIFS('تعديل الجرد'!$F$2:$F$501,'تعديل الجرد'!$C$2:$C$501,$A188)-SUMIFS('الصرف المباشر'!$D$2:$D$501,'الصرف المباشر'!$C$2:$C$501,$A188)-SUMPRODUCT((الطبخات!$B$2:$B$900=$A188)*الطبخات!$C$2:$C$900*COUNTIF('سجل الإنتاج'!$C$2:$C$501,الطبخات!$A$2:$A$900)),3))</f>
        <v>0</v>
      </c>
      <c r="D188" s="4">
        <f>IF($A188="","",ROUND(SUMIFS('الصرف المباشر'!$D$2:$D$501,'الصرف المباشر'!$C$2:$C$501,$A188)+SUMPRODUCT((الطبخات!$B$2:$B$900=$A188)*الطبخات!$C$2:$C$900*COUNTIF('سجل الإنتاج'!$C$2:$C$501,الطبخات!$A$2:$A$900)),3))</f>
        <v>0</v>
      </c>
      <c r="E188" s="5" t="str">
        <f t="shared" si="2"/>
        <v>✔ طبيعي</v>
      </c>
      <c r="F188" s="5" t="str">
        <f>IF(AND($A188&lt;&gt;"",$E188&lt;&gt;"✔ طبيعي"),SUMPRODUCT(('الرصيد الحالي'!$E$2:$E188&lt;&gt;"✔ طبيعي")*('الرصيد الحالي'!$E$2:$E188&lt;&gt;"")*('الرصيد الحالي'!$A$2:$A188&lt;&gt;"")),"")</f>
        <v/>
      </c>
    </row>
    <row r="189" spans="1:6" ht="24" customHeight="1">
      <c r="A189" s="3">
        <f>المواد!A189</f>
        <v>0</v>
      </c>
      <c r="B189" s="5">
        <f>المواد!B189</f>
        <v>0</v>
      </c>
      <c r="C189" s="4">
        <f>IF($A189="","",ROUND(SUMIFS(الإدخالات!$D$2:$D$501,الإدخالات!$C$2:$C$501,$A189)+SUMIFS('تعديل الجرد'!$F$2:$F$501,'تعديل الجرد'!$C$2:$C$501,$A189)-SUMIFS('الصرف المباشر'!$D$2:$D$501,'الصرف المباشر'!$C$2:$C$501,$A189)-SUMPRODUCT((الطبخات!$B$2:$B$900=$A189)*الطبخات!$C$2:$C$900*COUNTIF('سجل الإنتاج'!$C$2:$C$501,الطبخات!$A$2:$A$900)),3))</f>
        <v>0</v>
      </c>
      <c r="D189" s="4">
        <f>IF($A189="","",ROUND(SUMIFS('الصرف المباشر'!$D$2:$D$501,'الصرف المباشر'!$C$2:$C$501,$A189)+SUMPRODUCT((الطبخات!$B$2:$B$900=$A189)*الطبخات!$C$2:$C$900*COUNTIF('سجل الإنتاج'!$C$2:$C$501,الطبخات!$A$2:$A$900)),3))</f>
        <v>0</v>
      </c>
      <c r="E189" s="5" t="str">
        <f t="shared" si="2"/>
        <v>✔ طبيعي</v>
      </c>
      <c r="F189" s="5" t="str">
        <f>IF(AND($A189&lt;&gt;"",$E189&lt;&gt;"✔ طبيعي"),SUMPRODUCT(('الرصيد الحالي'!$E$2:$E189&lt;&gt;"✔ طبيعي")*('الرصيد الحالي'!$E$2:$E189&lt;&gt;"")*('الرصيد الحالي'!$A$2:$A189&lt;&gt;"")),"")</f>
        <v/>
      </c>
    </row>
    <row r="190" spans="1:6" ht="24" customHeight="1">
      <c r="A190" s="3">
        <f>المواد!A190</f>
        <v>0</v>
      </c>
      <c r="B190" s="5">
        <f>المواد!B190</f>
        <v>0</v>
      </c>
      <c r="C190" s="4">
        <f>IF($A190="","",ROUND(SUMIFS(الإدخالات!$D$2:$D$501,الإدخالات!$C$2:$C$501,$A190)+SUMIFS('تعديل الجرد'!$F$2:$F$501,'تعديل الجرد'!$C$2:$C$501,$A190)-SUMIFS('الصرف المباشر'!$D$2:$D$501,'الصرف المباشر'!$C$2:$C$501,$A190)-SUMPRODUCT((الطبخات!$B$2:$B$900=$A190)*الطبخات!$C$2:$C$900*COUNTIF('سجل الإنتاج'!$C$2:$C$501,الطبخات!$A$2:$A$900)),3))</f>
        <v>0</v>
      </c>
      <c r="D190" s="4">
        <f>IF($A190="","",ROUND(SUMIFS('الصرف المباشر'!$D$2:$D$501,'الصرف المباشر'!$C$2:$C$501,$A190)+SUMPRODUCT((الطبخات!$B$2:$B$900=$A190)*الطبخات!$C$2:$C$900*COUNTIF('سجل الإنتاج'!$C$2:$C$501,الطبخات!$A$2:$A$900)),3))</f>
        <v>0</v>
      </c>
      <c r="E190" s="5" t="str">
        <f t="shared" si="2"/>
        <v>✔ طبيعي</v>
      </c>
      <c r="F190" s="5" t="str">
        <f>IF(AND($A190&lt;&gt;"",$E190&lt;&gt;"✔ طبيعي"),SUMPRODUCT(('الرصيد الحالي'!$E$2:$E190&lt;&gt;"✔ طبيعي")*('الرصيد الحالي'!$E$2:$E190&lt;&gt;"")*('الرصيد الحالي'!$A$2:$A190&lt;&gt;"")),"")</f>
        <v/>
      </c>
    </row>
    <row r="191" spans="1:6" ht="24" customHeight="1">
      <c r="A191" s="3">
        <f>المواد!A191</f>
        <v>0</v>
      </c>
      <c r="B191" s="5">
        <f>المواد!B191</f>
        <v>0</v>
      </c>
      <c r="C191" s="4">
        <f>IF($A191="","",ROUND(SUMIFS(الإدخالات!$D$2:$D$501,الإدخالات!$C$2:$C$501,$A191)+SUMIFS('تعديل الجرد'!$F$2:$F$501,'تعديل الجرد'!$C$2:$C$501,$A191)-SUMIFS('الصرف المباشر'!$D$2:$D$501,'الصرف المباشر'!$C$2:$C$501,$A191)-SUMPRODUCT((الطبخات!$B$2:$B$900=$A191)*الطبخات!$C$2:$C$900*COUNTIF('سجل الإنتاج'!$C$2:$C$501,الطبخات!$A$2:$A$900)),3))</f>
        <v>0</v>
      </c>
      <c r="D191" s="4">
        <f>IF($A191="","",ROUND(SUMIFS('الصرف المباشر'!$D$2:$D$501,'الصرف المباشر'!$C$2:$C$501,$A191)+SUMPRODUCT((الطبخات!$B$2:$B$900=$A191)*الطبخات!$C$2:$C$900*COUNTIF('سجل الإنتاج'!$C$2:$C$501,الطبخات!$A$2:$A$900)),3))</f>
        <v>0</v>
      </c>
      <c r="E191" s="5" t="str">
        <f t="shared" si="2"/>
        <v>✔ طبيعي</v>
      </c>
      <c r="F191" s="5" t="str">
        <f>IF(AND($A191&lt;&gt;"",$E191&lt;&gt;"✔ طبيعي"),SUMPRODUCT(('الرصيد الحالي'!$E$2:$E191&lt;&gt;"✔ طبيعي")*('الرصيد الحالي'!$E$2:$E191&lt;&gt;"")*('الرصيد الحالي'!$A$2:$A191&lt;&gt;"")),"")</f>
        <v/>
      </c>
    </row>
    <row r="192" spans="1:6" ht="24" customHeight="1">
      <c r="A192" s="3">
        <f>المواد!A192</f>
        <v>0</v>
      </c>
      <c r="B192" s="5">
        <f>المواد!B192</f>
        <v>0</v>
      </c>
      <c r="C192" s="4">
        <f>IF($A192="","",ROUND(SUMIFS(الإدخالات!$D$2:$D$501,الإدخالات!$C$2:$C$501,$A192)+SUMIFS('تعديل الجرد'!$F$2:$F$501,'تعديل الجرد'!$C$2:$C$501,$A192)-SUMIFS('الصرف المباشر'!$D$2:$D$501,'الصرف المباشر'!$C$2:$C$501,$A192)-SUMPRODUCT((الطبخات!$B$2:$B$900=$A192)*الطبخات!$C$2:$C$900*COUNTIF('سجل الإنتاج'!$C$2:$C$501,الطبخات!$A$2:$A$900)),3))</f>
        <v>0</v>
      </c>
      <c r="D192" s="4">
        <f>IF($A192="","",ROUND(SUMIFS('الصرف المباشر'!$D$2:$D$501,'الصرف المباشر'!$C$2:$C$501,$A192)+SUMPRODUCT((الطبخات!$B$2:$B$900=$A192)*الطبخات!$C$2:$C$900*COUNTIF('سجل الإنتاج'!$C$2:$C$501,الطبخات!$A$2:$A$900)),3))</f>
        <v>0</v>
      </c>
      <c r="E192" s="5" t="str">
        <f t="shared" si="2"/>
        <v>✔ طبيعي</v>
      </c>
      <c r="F192" s="5" t="str">
        <f>IF(AND($A192&lt;&gt;"",$E192&lt;&gt;"✔ طبيعي"),SUMPRODUCT(('الرصيد الحالي'!$E$2:$E192&lt;&gt;"✔ طبيعي")*('الرصيد الحالي'!$E$2:$E192&lt;&gt;"")*('الرصيد الحالي'!$A$2:$A192&lt;&gt;"")),"")</f>
        <v/>
      </c>
    </row>
    <row r="193" spans="1:6" ht="24" customHeight="1">
      <c r="A193" s="3">
        <f>المواد!A193</f>
        <v>0</v>
      </c>
      <c r="B193" s="5">
        <f>المواد!B193</f>
        <v>0</v>
      </c>
      <c r="C193" s="4">
        <f>IF($A193="","",ROUND(SUMIFS(الإدخالات!$D$2:$D$501,الإدخالات!$C$2:$C$501,$A193)+SUMIFS('تعديل الجرد'!$F$2:$F$501,'تعديل الجرد'!$C$2:$C$501,$A193)-SUMIFS('الصرف المباشر'!$D$2:$D$501,'الصرف المباشر'!$C$2:$C$501,$A193)-SUMPRODUCT((الطبخات!$B$2:$B$900=$A193)*الطبخات!$C$2:$C$900*COUNTIF('سجل الإنتاج'!$C$2:$C$501,الطبخات!$A$2:$A$900)),3))</f>
        <v>0</v>
      </c>
      <c r="D193" s="4">
        <f>IF($A193="","",ROUND(SUMIFS('الصرف المباشر'!$D$2:$D$501,'الصرف المباشر'!$C$2:$C$501,$A193)+SUMPRODUCT((الطبخات!$B$2:$B$900=$A193)*الطبخات!$C$2:$C$900*COUNTIF('سجل الإنتاج'!$C$2:$C$501,الطبخات!$A$2:$A$900)),3))</f>
        <v>0</v>
      </c>
      <c r="E193" s="5" t="str">
        <f t="shared" si="2"/>
        <v>✔ طبيعي</v>
      </c>
      <c r="F193" s="5" t="str">
        <f>IF(AND($A193&lt;&gt;"",$E193&lt;&gt;"✔ طبيعي"),SUMPRODUCT(('الرصيد الحالي'!$E$2:$E193&lt;&gt;"✔ طبيعي")*('الرصيد الحالي'!$E$2:$E193&lt;&gt;"")*('الرصيد الحالي'!$A$2:$A193&lt;&gt;"")),"")</f>
        <v/>
      </c>
    </row>
    <row r="194" spans="1:6" ht="24" customHeight="1">
      <c r="A194" s="3">
        <f>المواد!A194</f>
        <v>0</v>
      </c>
      <c r="B194" s="5">
        <f>المواد!B194</f>
        <v>0</v>
      </c>
      <c r="C194" s="4">
        <f>IF($A194="","",ROUND(SUMIFS(الإدخالات!$D$2:$D$501,الإدخالات!$C$2:$C$501,$A194)+SUMIFS('تعديل الجرد'!$F$2:$F$501,'تعديل الجرد'!$C$2:$C$501,$A194)-SUMIFS('الصرف المباشر'!$D$2:$D$501,'الصرف المباشر'!$C$2:$C$501,$A194)-SUMPRODUCT((الطبخات!$B$2:$B$900=$A194)*الطبخات!$C$2:$C$900*COUNTIF('سجل الإنتاج'!$C$2:$C$501,الطبخات!$A$2:$A$900)),3))</f>
        <v>0</v>
      </c>
      <c r="D194" s="4">
        <f>IF($A194="","",ROUND(SUMIFS('الصرف المباشر'!$D$2:$D$501,'الصرف المباشر'!$C$2:$C$501,$A194)+SUMPRODUCT((الطبخات!$B$2:$B$900=$A194)*الطبخات!$C$2:$C$900*COUNTIF('سجل الإنتاج'!$C$2:$C$501,الطبخات!$A$2:$A$900)),3))</f>
        <v>0</v>
      </c>
      <c r="E194" s="5" t="str">
        <f t="shared" ref="E194:E257" si="3">IF($A194="","",IF($C194&lt;0,"❌ رصيد سالب - يحتاج مراجعة","✔ طبيعي"))</f>
        <v>✔ طبيعي</v>
      </c>
      <c r="F194" s="5" t="str">
        <f>IF(AND($A194&lt;&gt;"",$E194&lt;&gt;"✔ طبيعي"),SUMPRODUCT(('الرصيد الحالي'!$E$2:$E194&lt;&gt;"✔ طبيعي")*('الرصيد الحالي'!$E$2:$E194&lt;&gt;"")*('الرصيد الحالي'!$A$2:$A194&lt;&gt;"")),"")</f>
        <v/>
      </c>
    </row>
    <row r="195" spans="1:6" ht="24" customHeight="1">
      <c r="A195" s="3">
        <f>المواد!A195</f>
        <v>0</v>
      </c>
      <c r="B195" s="5">
        <f>المواد!B195</f>
        <v>0</v>
      </c>
      <c r="C195" s="4">
        <f>IF($A195="","",ROUND(SUMIFS(الإدخالات!$D$2:$D$501,الإدخالات!$C$2:$C$501,$A195)+SUMIFS('تعديل الجرد'!$F$2:$F$501,'تعديل الجرد'!$C$2:$C$501,$A195)-SUMIFS('الصرف المباشر'!$D$2:$D$501,'الصرف المباشر'!$C$2:$C$501,$A195)-SUMPRODUCT((الطبخات!$B$2:$B$900=$A195)*الطبخات!$C$2:$C$900*COUNTIF('سجل الإنتاج'!$C$2:$C$501,الطبخات!$A$2:$A$900)),3))</f>
        <v>0</v>
      </c>
      <c r="D195" s="4">
        <f>IF($A195="","",ROUND(SUMIFS('الصرف المباشر'!$D$2:$D$501,'الصرف المباشر'!$C$2:$C$501,$A195)+SUMPRODUCT((الطبخات!$B$2:$B$900=$A195)*الطبخات!$C$2:$C$900*COUNTIF('سجل الإنتاج'!$C$2:$C$501,الطبخات!$A$2:$A$900)),3))</f>
        <v>0</v>
      </c>
      <c r="E195" s="5" t="str">
        <f t="shared" si="3"/>
        <v>✔ طبيعي</v>
      </c>
      <c r="F195" s="5" t="str">
        <f>IF(AND($A195&lt;&gt;"",$E195&lt;&gt;"✔ طبيعي"),SUMPRODUCT(('الرصيد الحالي'!$E$2:$E195&lt;&gt;"✔ طبيعي")*('الرصيد الحالي'!$E$2:$E195&lt;&gt;"")*('الرصيد الحالي'!$A$2:$A195&lt;&gt;"")),"")</f>
        <v/>
      </c>
    </row>
    <row r="196" spans="1:6" ht="24" customHeight="1">
      <c r="A196" s="3">
        <f>المواد!A196</f>
        <v>0</v>
      </c>
      <c r="B196" s="5">
        <f>المواد!B196</f>
        <v>0</v>
      </c>
      <c r="C196" s="4">
        <f>IF($A196="","",ROUND(SUMIFS(الإدخالات!$D$2:$D$501,الإدخالات!$C$2:$C$501,$A196)+SUMIFS('تعديل الجرد'!$F$2:$F$501,'تعديل الجرد'!$C$2:$C$501,$A196)-SUMIFS('الصرف المباشر'!$D$2:$D$501,'الصرف المباشر'!$C$2:$C$501,$A196)-SUMPRODUCT((الطبخات!$B$2:$B$900=$A196)*الطبخات!$C$2:$C$900*COUNTIF('سجل الإنتاج'!$C$2:$C$501,الطبخات!$A$2:$A$900)),3))</f>
        <v>0</v>
      </c>
      <c r="D196" s="4">
        <f>IF($A196="","",ROUND(SUMIFS('الصرف المباشر'!$D$2:$D$501,'الصرف المباشر'!$C$2:$C$501,$A196)+SUMPRODUCT((الطبخات!$B$2:$B$900=$A196)*الطبخات!$C$2:$C$900*COUNTIF('سجل الإنتاج'!$C$2:$C$501,الطبخات!$A$2:$A$900)),3))</f>
        <v>0</v>
      </c>
      <c r="E196" s="5" t="str">
        <f t="shared" si="3"/>
        <v>✔ طبيعي</v>
      </c>
      <c r="F196" s="5" t="str">
        <f>IF(AND($A196&lt;&gt;"",$E196&lt;&gt;"✔ طبيعي"),SUMPRODUCT(('الرصيد الحالي'!$E$2:$E196&lt;&gt;"✔ طبيعي")*('الرصيد الحالي'!$E$2:$E196&lt;&gt;"")*('الرصيد الحالي'!$A$2:$A196&lt;&gt;"")),"")</f>
        <v/>
      </c>
    </row>
    <row r="197" spans="1:6" ht="24" customHeight="1">
      <c r="A197" s="3">
        <f>المواد!A197</f>
        <v>0</v>
      </c>
      <c r="B197" s="5">
        <f>المواد!B197</f>
        <v>0</v>
      </c>
      <c r="C197" s="4">
        <f>IF($A197="","",ROUND(SUMIFS(الإدخالات!$D$2:$D$501,الإدخالات!$C$2:$C$501,$A197)+SUMIFS('تعديل الجرد'!$F$2:$F$501,'تعديل الجرد'!$C$2:$C$501,$A197)-SUMIFS('الصرف المباشر'!$D$2:$D$501,'الصرف المباشر'!$C$2:$C$501,$A197)-SUMPRODUCT((الطبخات!$B$2:$B$900=$A197)*الطبخات!$C$2:$C$900*COUNTIF('سجل الإنتاج'!$C$2:$C$501,الطبخات!$A$2:$A$900)),3))</f>
        <v>0</v>
      </c>
      <c r="D197" s="4">
        <f>IF($A197="","",ROUND(SUMIFS('الصرف المباشر'!$D$2:$D$501,'الصرف المباشر'!$C$2:$C$501,$A197)+SUMPRODUCT((الطبخات!$B$2:$B$900=$A197)*الطبخات!$C$2:$C$900*COUNTIF('سجل الإنتاج'!$C$2:$C$501,الطبخات!$A$2:$A$900)),3))</f>
        <v>0</v>
      </c>
      <c r="E197" s="5" t="str">
        <f t="shared" si="3"/>
        <v>✔ طبيعي</v>
      </c>
      <c r="F197" s="5" t="str">
        <f>IF(AND($A197&lt;&gt;"",$E197&lt;&gt;"✔ طبيعي"),SUMPRODUCT(('الرصيد الحالي'!$E$2:$E197&lt;&gt;"✔ طبيعي")*('الرصيد الحالي'!$E$2:$E197&lt;&gt;"")*('الرصيد الحالي'!$A$2:$A197&lt;&gt;"")),"")</f>
        <v/>
      </c>
    </row>
    <row r="198" spans="1:6" ht="24" customHeight="1">
      <c r="A198" s="3">
        <f>المواد!A198</f>
        <v>0</v>
      </c>
      <c r="B198" s="5">
        <f>المواد!B198</f>
        <v>0</v>
      </c>
      <c r="C198" s="4">
        <f>IF($A198="","",ROUND(SUMIFS(الإدخالات!$D$2:$D$501,الإدخالات!$C$2:$C$501,$A198)+SUMIFS('تعديل الجرد'!$F$2:$F$501,'تعديل الجرد'!$C$2:$C$501,$A198)-SUMIFS('الصرف المباشر'!$D$2:$D$501,'الصرف المباشر'!$C$2:$C$501,$A198)-SUMPRODUCT((الطبخات!$B$2:$B$900=$A198)*الطبخات!$C$2:$C$900*COUNTIF('سجل الإنتاج'!$C$2:$C$501,الطبخات!$A$2:$A$900)),3))</f>
        <v>0</v>
      </c>
      <c r="D198" s="4">
        <f>IF($A198="","",ROUND(SUMIFS('الصرف المباشر'!$D$2:$D$501,'الصرف المباشر'!$C$2:$C$501,$A198)+SUMPRODUCT((الطبخات!$B$2:$B$900=$A198)*الطبخات!$C$2:$C$900*COUNTIF('سجل الإنتاج'!$C$2:$C$501,الطبخات!$A$2:$A$900)),3))</f>
        <v>0</v>
      </c>
      <c r="E198" s="5" t="str">
        <f t="shared" si="3"/>
        <v>✔ طبيعي</v>
      </c>
      <c r="F198" s="5" t="str">
        <f>IF(AND($A198&lt;&gt;"",$E198&lt;&gt;"✔ طبيعي"),SUMPRODUCT(('الرصيد الحالي'!$E$2:$E198&lt;&gt;"✔ طبيعي")*('الرصيد الحالي'!$E$2:$E198&lt;&gt;"")*('الرصيد الحالي'!$A$2:$A198&lt;&gt;"")),"")</f>
        <v/>
      </c>
    </row>
    <row r="199" spans="1:6" ht="24" customHeight="1">
      <c r="A199" s="3">
        <f>المواد!A199</f>
        <v>0</v>
      </c>
      <c r="B199" s="5">
        <f>المواد!B199</f>
        <v>0</v>
      </c>
      <c r="C199" s="4">
        <f>IF($A199="","",ROUND(SUMIFS(الإدخالات!$D$2:$D$501,الإدخالات!$C$2:$C$501,$A199)+SUMIFS('تعديل الجرد'!$F$2:$F$501,'تعديل الجرد'!$C$2:$C$501,$A199)-SUMIFS('الصرف المباشر'!$D$2:$D$501,'الصرف المباشر'!$C$2:$C$501,$A199)-SUMPRODUCT((الطبخات!$B$2:$B$900=$A199)*الطبخات!$C$2:$C$900*COUNTIF('سجل الإنتاج'!$C$2:$C$501,الطبخات!$A$2:$A$900)),3))</f>
        <v>0</v>
      </c>
      <c r="D199" s="4">
        <f>IF($A199="","",ROUND(SUMIFS('الصرف المباشر'!$D$2:$D$501,'الصرف المباشر'!$C$2:$C$501,$A199)+SUMPRODUCT((الطبخات!$B$2:$B$900=$A199)*الطبخات!$C$2:$C$900*COUNTIF('سجل الإنتاج'!$C$2:$C$501,الطبخات!$A$2:$A$900)),3))</f>
        <v>0</v>
      </c>
      <c r="E199" s="5" t="str">
        <f t="shared" si="3"/>
        <v>✔ طبيعي</v>
      </c>
      <c r="F199" s="5" t="str">
        <f>IF(AND($A199&lt;&gt;"",$E199&lt;&gt;"✔ طبيعي"),SUMPRODUCT(('الرصيد الحالي'!$E$2:$E199&lt;&gt;"✔ طبيعي")*('الرصيد الحالي'!$E$2:$E199&lt;&gt;"")*('الرصيد الحالي'!$A$2:$A199&lt;&gt;"")),"")</f>
        <v/>
      </c>
    </row>
    <row r="200" spans="1:6" ht="24" customHeight="1">
      <c r="A200" s="3">
        <f>المواد!A200</f>
        <v>0</v>
      </c>
      <c r="B200" s="5">
        <f>المواد!B200</f>
        <v>0</v>
      </c>
      <c r="C200" s="4">
        <f>IF($A200="","",ROUND(SUMIFS(الإدخالات!$D$2:$D$501,الإدخالات!$C$2:$C$501,$A200)+SUMIFS('تعديل الجرد'!$F$2:$F$501,'تعديل الجرد'!$C$2:$C$501,$A200)-SUMIFS('الصرف المباشر'!$D$2:$D$501,'الصرف المباشر'!$C$2:$C$501,$A200)-SUMPRODUCT((الطبخات!$B$2:$B$900=$A200)*الطبخات!$C$2:$C$900*COUNTIF('سجل الإنتاج'!$C$2:$C$501,الطبخات!$A$2:$A$900)),3))</f>
        <v>0</v>
      </c>
      <c r="D200" s="4">
        <f>IF($A200="","",ROUND(SUMIFS('الصرف المباشر'!$D$2:$D$501,'الصرف المباشر'!$C$2:$C$501,$A200)+SUMPRODUCT((الطبخات!$B$2:$B$900=$A200)*الطبخات!$C$2:$C$900*COUNTIF('سجل الإنتاج'!$C$2:$C$501,الطبخات!$A$2:$A$900)),3))</f>
        <v>0</v>
      </c>
      <c r="E200" s="5" t="str">
        <f t="shared" si="3"/>
        <v>✔ طبيعي</v>
      </c>
      <c r="F200" s="5" t="str">
        <f>IF(AND($A200&lt;&gt;"",$E200&lt;&gt;"✔ طبيعي"),SUMPRODUCT(('الرصيد الحالي'!$E$2:$E200&lt;&gt;"✔ طبيعي")*('الرصيد الحالي'!$E$2:$E200&lt;&gt;"")*('الرصيد الحالي'!$A$2:$A200&lt;&gt;"")),"")</f>
        <v/>
      </c>
    </row>
    <row r="201" spans="1:6" ht="24" customHeight="1">
      <c r="A201" s="3">
        <f>المواد!A201</f>
        <v>0</v>
      </c>
      <c r="B201" s="5">
        <f>المواد!B201</f>
        <v>0</v>
      </c>
      <c r="C201" s="4">
        <f>IF($A201="","",ROUND(SUMIFS(الإدخالات!$D$2:$D$501,الإدخالات!$C$2:$C$501,$A201)+SUMIFS('تعديل الجرد'!$F$2:$F$501,'تعديل الجرد'!$C$2:$C$501,$A201)-SUMIFS('الصرف المباشر'!$D$2:$D$501,'الصرف المباشر'!$C$2:$C$501,$A201)-SUMPRODUCT((الطبخات!$B$2:$B$900=$A201)*الطبخات!$C$2:$C$900*COUNTIF('سجل الإنتاج'!$C$2:$C$501,الطبخات!$A$2:$A$900)),3))</f>
        <v>0</v>
      </c>
      <c r="D201" s="4">
        <f>IF($A201="","",ROUND(SUMIFS('الصرف المباشر'!$D$2:$D$501,'الصرف المباشر'!$C$2:$C$501,$A201)+SUMPRODUCT((الطبخات!$B$2:$B$900=$A201)*الطبخات!$C$2:$C$900*COUNTIF('سجل الإنتاج'!$C$2:$C$501,الطبخات!$A$2:$A$900)),3))</f>
        <v>0</v>
      </c>
      <c r="E201" s="5" t="str">
        <f t="shared" si="3"/>
        <v>✔ طبيعي</v>
      </c>
      <c r="F201" s="5" t="str">
        <f>IF(AND($A201&lt;&gt;"",$E201&lt;&gt;"✔ طبيعي"),SUMPRODUCT(('الرصيد الحالي'!$E$2:$E201&lt;&gt;"✔ طبيعي")*('الرصيد الحالي'!$E$2:$E201&lt;&gt;"")*('الرصيد الحالي'!$A$2:$A201&lt;&gt;"")),"")</f>
        <v/>
      </c>
    </row>
    <row r="202" spans="1:6" ht="24" customHeight="1">
      <c r="A202" s="3">
        <f>المواد!A202</f>
        <v>0</v>
      </c>
      <c r="B202" s="5">
        <f>المواد!B202</f>
        <v>0</v>
      </c>
      <c r="C202" s="4">
        <f>IF($A202="","",ROUND(SUMIFS(الإدخالات!$D$2:$D$501,الإدخالات!$C$2:$C$501,$A202)+SUMIFS('تعديل الجرد'!$F$2:$F$501,'تعديل الجرد'!$C$2:$C$501,$A202)-SUMIFS('الصرف المباشر'!$D$2:$D$501,'الصرف المباشر'!$C$2:$C$501,$A202)-SUMPRODUCT((الطبخات!$B$2:$B$900=$A202)*الطبخات!$C$2:$C$900*COUNTIF('سجل الإنتاج'!$C$2:$C$501,الطبخات!$A$2:$A$900)),3))</f>
        <v>0</v>
      </c>
      <c r="D202" s="4">
        <f>IF($A202="","",ROUND(SUMIFS('الصرف المباشر'!$D$2:$D$501,'الصرف المباشر'!$C$2:$C$501,$A202)+SUMPRODUCT((الطبخات!$B$2:$B$900=$A202)*الطبخات!$C$2:$C$900*COUNTIF('سجل الإنتاج'!$C$2:$C$501,الطبخات!$A$2:$A$900)),3))</f>
        <v>0</v>
      </c>
      <c r="E202" s="5" t="str">
        <f t="shared" si="3"/>
        <v>✔ طبيعي</v>
      </c>
      <c r="F202" s="5" t="str">
        <f>IF(AND($A202&lt;&gt;"",$E202&lt;&gt;"✔ طبيعي"),SUMPRODUCT(('الرصيد الحالي'!$E$2:$E202&lt;&gt;"✔ طبيعي")*('الرصيد الحالي'!$E$2:$E202&lt;&gt;"")*('الرصيد الحالي'!$A$2:$A202&lt;&gt;"")),"")</f>
        <v/>
      </c>
    </row>
    <row r="203" spans="1:6" ht="24" customHeight="1">
      <c r="A203" s="3">
        <f>المواد!A203</f>
        <v>0</v>
      </c>
      <c r="B203" s="5">
        <f>المواد!B203</f>
        <v>0</v>
      </c>
      <c r="C203" s="4">
        <f>IF($A203="","",ROUND(SUMIFS(الإدخالات!$D$2:$D$501,الإدخالات!$C$2:$C$501,$A203)+SUMIFS('تعديل الجرد'!$F$2:$F$501,'تعديل الجرد'!$C$2:$C$501,$A203)-SUMIFS('الصرف المباشر'!$D$2:$D$501,'الصرف المباشر'!$C$2:$C$501,$A203)-SUMPRODUCT((الطبخات!$B$2:$B$900=$A203)*الطبخات!$C$2:$C$900*COUNTIF('سجل الإنتاج'!$C$2:$C$501,الطبخات!$A$2:$A$900)),3))</f>
        <v>0</v>
      </c>
      <c r="D203" s="4">
        <f>IF($A203="","",ROUND(SUMIFS('الصرف المباشر'!$D$2:$D$501,'الصرف المباشر'!$C$2:$C$501,$A203)+SUMPRODUCT((الطبخات!$B$2:$B$900=$A203)*الطبخات!$C$2:$C$900*COUNTIF('سجل الإنتاج'!$C$2:$C$501,الطبخات!$A$2:$A$900)),3))</f>
        <v>0</v>
      </c>
      <c r="E203" s="5" t="str">
        <f t="shared" si="3"/>
        <v>✔ طبيعي</v>
      </c>
      <c r="F203" s="5" t="str">
        <f>IF(AND($A203&lt;&gt;"",$E203&lt;&gt;"✔ طبيعي"),SUMPRODUCT(('الرصيد الحالي'!$E$2:$E203&lt;&gt;"✔ طبيعي")*('الرصيد الحالي'!$E$2:$E203&lt;&gt;"")*('الرصيد الحالي'!$A$2:$A203&lt;&gt;"")),"")</f>
        <v/>
      </c>
    </row>
    <row r="204" spans="1:6" ht="24" customHeight="1">
      <c r="A204" s="3">
        <f>المواد!A204</f>
        <v>0</v>
      </c>
      <c r="B204" s="5">
        <f>المواد!B204</f>
        <v>0</v>
      </c>
      <c r="C204" s="4">
        <f>IF($A204="","",ROUND(SUMIFS(الإدخالات!$D$2:$D$501,الإدخالات!$C$2:$C$501,$A204)+SUMIFS('تعديل الجرد'!$F$2:$F$501,'تعديل الجرد'!$C$2:$C$501,$A204)-SUMIFS('الصرف المباشر'!$D$2:$D$501,'الصرف المباشر'!$C$2:$C$501,$A204)-SUMPRODUCT((الطبخات!$B$2:$B$900=$A204)*الطبخات!$C$2:$C$900*COUNTIF('سجل الإنتاج'!$C$2:$C$501,الطبخات!$A$2:$A$900)),3))</f>
        <v>0</v>
      </c>
      <c r="D204" s="4">
        <f>IF($A204="","",ROUND(SUMIFS('الصرف المباشر'!$D$2:$D$501,'الصرف المباشر'!$C$2:$C$501,$A204)+SUMPRODUCT((الطبخات!$B$2:$B$900=$A204)*الطبخات!$C$2:$C$900*COUNTIF('سجل الإنتاج'!$C$2:$C$501,الطبخات!$A$2:$A$900)),3))</f>
        <v>0</v>
      </c>
      <c r="E204" s="5" t="str">
        <f t="shared" si="3"/>
        <v>✔ طبيعي</v>
      </c>
      <c r="F204" s="5" t="str">
        <f>IF(AND($A204&lt;&gt;"",$E204&lt;&gt;"✔ طبيعي"),SUMPRODUCT(('الرصيد الحالي'!$E$2:$E204&lt;&gt;"✔ طبيعي")*('الرصيد الحالي'!$E$2:$E204&lt;&gt;"")*('الرصيد الحالي'!$A$2:$A204&lt;&gt;"")),"")</f>
        <v/>
      </c>
    </row>
    <row r="205" spans="1:6" ht="24" customHeight="1">
      <c r="A205" s="3">
        <f>المواد!A205</f>
        <v>0</v>
      </c>
      <c r="B205" s="5">
        <f>المواد!B205</f>
        <v>0</v>
      </c>
      <c r="C205" s="4">
        <f>IF($A205="","",ROUND(SUMIFS(الإدخالات!$D$2:$D$501,الإدخالات!$C$2:$C$501,$A205)+SUMIFS('تعديل الجرد'!$F$2:$F$501,'تعديل الجرد'!$C$2:$C$501,$A205)-SUMIFS('الصرف المباشر'!$D$2:$D$501,'الصرف المباشر'!$C$2:$C$501,$A205)-SUMPRODUCT((الطبخات!$B$2:$B$900=$A205)*الطبخات!$C$2:$C$900*COUNTIF('سجل الإنتاج'!$C$2:$C$501,الطبخات!$A$2:$A$900)),3))</f>
        <v>0</v>
      </c>
      <c r="D205" s="4">
        <f>IF($A205="","",ROUND(SUMIFS('الصرف المباشر'!$D$2:$D$501,'الصرف المباشر'!$C$2:$C$501,$A205)+SUMPRODUCT((الطبخات!$B$2:$B$900=$A205)*الطبخات!$C$2:$C$900*COUNTIF('سجل الإنتاج'!$C$2:$C$501,الطبخات!$A$2:$A$900)),3))</f>
        <v>0</v>
      </c>
      <c r="E205" s="5" t="str">
        <f t="shared" si="3"/>
        <v>✔ طبيعي</v>
      </c>
      <c r="F205" s="5" t="str">
        <f>IF(AND($A205&lt;&gt;"",$E205&lt;&gt;"✔ طبيعي"),SUMPRODUCT(('الرصيد الحالي'!$E$2:$E205&lt;&gt;"✔ طبيعي")*('الرصيد الحالي'!$E$2:$E205&lt;&gt;"")*('الرصيد الحالي'!$A$2:$A205&lt;&gt;"")),"")</f>
        <v/>
      </c>
    </row>
    <row r="206" spans="1:6" ht="24" customHeight="1">
      <c r="A206" s="3">
        <f>المواد!A206</f>
        <v>0</v>
      </c>
      <c r="B206" s="5">
        <f>المواد!B206</f>
        <v>0</v>
      </c>
      <c r="C206" s="4">
        <f>IF($A206="","",ROUND(SUMIFS(الإدخالات!$D$2:$D$501,الإدخالات!$C$2:$C$501,$A206)+SUMIFS('تعديل الجرد'!$F$2:$F$501,'تعديل الجرد'!$C$2:$C$501,$A206)-SUMIFS('الصرف المباشر'!$D$2:$D$501,'الصرف المباشر'!$C$2:$C$501,$A206)-SUMPRODUCT((الطبخات!$B$2:$B$900=$A206)*الطبخات!$C$2:$C$900*COUNTIF('سجل الإنتاج'!$C$2:$C$501,الطبخات!$A$2:$A$900)),3))</f>
        <v>0</v>
      </c>
      <c r="D206" s="4">
        <f>IF($A206="","",ROUND(SUMIFS('الصرف المباشر'!$D$2:$D$501,'الصرف المباشر'!$C$2:$C$501,$A206)+SUMPRODUCT((الطبخات!$B$2:$B$900=$A206)*الطبخات!$C$2:$C$900*COUNTIF('سجل الإنتاج'!$C$2:$C$501,الطبخات!$A$2:$A$900)),3))</f>
        <v>0</v>
      </c>
      <c r="E206" s="5" t="str">
        <f t="shared" si="3"/>
        <v>✔ طبيعي</v>
      </c>
      <c r="F206" s="5" t="str">
        <f>IF(AND($A206&lt;&gt;"",$E206&lt;&gt;"✔ طبيعي"),SUMPRODUCT(('الرصيد الحالي'!$E$2:$E206&lt;&gt;"✔ طبيعي")*('الرصيد الحالي'!$E$2:$E206&lt;&gt;"")*('الرصيد الحالي'!$A$2:$A206&lt;&gt;"")),"")</f>
        <v/>
      </c>
    </row>
    <row r="207" spans="1:6" ht="24" customHeight="1">
      <c r="A207" s="3">
        <f>المواد!A207</f>
        <v>0</v>
      </c>
      <c r="B207" s="5">
        <f>المواد!B207</f>
        <v>0</v>
      </c>
      <c r="C207" s="4">
        <f>IF($A207="","",ROUND(SUMIFS(الإدخالات!$D$2:$D$501,الإدخالات!$C$2:$C$501,$A207)+SUMIFS('تعديل الجرد'!$F$2:$F$501,'تعديل الجرد'!$C$2:$C$501,$A207)-SUMIFS('الصرف المباشر'!$D$2:$D$501,'الصرف المباشر'!$C$2:$C$501,$A207)-SUMPRODUCT((الطبخات!$B$2:$B$900=$A207)*الطبخات!$C$2:$C$900*COUNTIF('سجل الإنتاج'!$C$2:$C$501,الطبخات!$A$2:$A$900)),3))</f>
        <v>0</v>
      </c>
      <c r="D207" s="4">
        <f>IF($A207="","",ROUND(SUMIFS('الصرف المباشر'!$D$2:$D$501,'الصرف المباشر'!$C$2:$C$501,$A207)+SUMPRODUCT((الطبخات!$B$2:$B$900=$A207)*الطبخات!$C$2:$C$900*COUNTIF('سجل الإنتاج'!$C$2:$C$501,الطبخات!$A$2:$A$900)),3))</f>
        <v>0</v>
      </c>
      <c r="E207" s="5" t="str">
        <f t="shared" si="3"/>
        <v>✔ طبيعي</v>
      </c>
      <c r="F207" s="5" t="str">
        <f>IF(AND($A207&lt;&gt;"",$E207&lt;&gt;"✔ طبيعي"),SUMPRODUCT(('الرصيد الحالي'!$E$2:$E207&lt;&gt;"✔ طبيعي")*('الرصيد الحالي'!$E$2:$E207&lt;&gt;"")*('الرصيد الحالي'!$A$2:$A207&lt;&gt;"")),"")</f>
        <v/>
      </c>
    </row>
    <row r="208" spans="1:6" ht="24" customHeight="1">
      <c r="A208" s="3">
        <f>المواد!A208</f>
        <v>0</v>
      </c>
      <c r="B208" s="5">
        <f>المواد!B208</f>
        <v>0</v>
      </c>
      <c r="C208" s="4">
        <f>IF($A208="","",ROUND(SUMIFS(الإدخالات!$D$2:$D$501,الإدخالات!$C$2:$C$501,$A208)+SUMIFS('تعديل الجرد'!$F$2:$F$501,'تعديل الجرد'!$C$2:$C$501,$A208)-SUMIFS('الصرف المباشر'!$D$2:$D$501,'الصرف المباشر'!$C$2:$C$501,$A208)-SUMPRODUCT((الطبخات!$B$2:$B$900=$A208)*الطبخات!$C$2:$C$900*COUNTIF('سجل الإنتاج'!$C$2:$C$501,الطبخات!$A$2:$A$900)),3))</f>
        <v>0</v>
      </c>
      <c r="D208" s="4">
        <f>IF($A208="","",ROUND(SUMIFS('الصرف المباشر'!$D$2:$D$501,'الصرف المباشر'!$C$2:$C$501,$A208)+SUMPRODUCT((الطبخات!$B$2:$B$900=$A208)*الطبخات!$C$2:$C$900*COUNTIF('سجل الإنتاج'!$C$2:$C$501,الطبخات!$A$2:$A$900)),3))</f>
        <v>0</v>
      </c>
      <c r="E208" s="5" t="str">
        <f t="shared" si="3"/>
        <v>✔ طبيعي</v>
      </c>
      <c r="F208" s="5" t="str">
        <f>IF(AND($A208&lt;&gt;"",$E208&lt;&gt;"✔ طبيعي"),SUMPRODUCT(('الرصيد الحالي'!$E$2:$E208&lt;&gt;"✔ طبيعي")*('الرصيد الحالي'!$E$2:$E208&lt;&gt;"")*('الرصيد الحالي'!$A$2:$A208&lt;&gt;"")),"")</f>
        <v/>
      </c>
    </row>
    <row r="209" spans="1:6" ht="24" customHeight="1">
      <c r="A209" s="3">
        <f>المواد!A209</f>
        <v>0</v>
      </c>
      <c r="B209" s="5">
        <f>المواد!B209</f>
        <v>0</v>
      </c>
      <c r="C209" s="4">
        <f>IF($A209="","",ROUND(SUMIFS(الإدخالات!$D$2:$D$501,الإدخالات!$C$2:$C$501,$A209)+SUMIFS('تعديل الجرد'!$F$2:$F$501,'تعديل الجرد'!$C$2:$C$501,$A209)-SUMIFS('الصرف المباشر'!$D$2:$D$501,'الصرف المباشر'!$C$2:$C$501,$A209)-SUMPRODUCT((الطبخات!$B$2:$B$900=$A209)*الطبخات!$C$2:$C$900*COUNTIF('سجل الإنتاج'!$C$2:$C$501,الطبخات!$A$2:$A$900)),3))</f>
        <v>0</v>
      </c>
      <c r="D209" s="4">
        <f>IF($A209="","",ROUND(SUMIFS('الصرف المباشر'!$D$2:$D$501,'الصرف المباشر'!$C$2:$C$501,$A209)+SUMPRODUCT((الطبخات!$B$2:$B$900=$A209)*الطبخات!$C$2:$C$900*COUNTIF('سجل الإنتاج'!$C$2:$C$501,الطبخات!$A$2:$A$900)),3))</f>
        <v>0</v>
      </c>
      <c r="E209" s="5" t="str">
        <f t="shared" si="3"/>
        <v>✔ طبيعي</v>
      </c>
      <c r="F209" s="5" t="str">
        <f>IF(AND($A209&lt;&gt;"",$E209&lt;&gt;"✔ طبيعي"),SUMPRODUCT(('الرصيد الحالي'!$E$2:$E209&lt;&gt;"✔ طبيعي")*('الرصيد الحالي'!$E$2:$E209&lt;&gt;"")*('الرصيد الحالي'!$A$2:$A209&lt;&gt;"")),"")</f>
        <v/>
      </c>
    </row>
    <row r="210" spans="1:6" ht="24" customHeight="1">
      <c r="A210" s="3">
        <f>المواد!A210</f>
        <v>0</v>
      </c>
      <c r="B210" s="5">
        <f>المواد!B210</f>
        <v>0</v>
      </c>
      <c r="C210" s="4">
        <f>IF($A210="","",ROUND(SUMIFS(الإدخالات!$D$2:$D$501,الإدخالات!$C$2:$C$501,$A210)+SUMIFS('تعديل الجرد'!$F$2:$F$501,'تعديل الجرد'!$C$2:$C$501,$A210)-SUMIFS('الصرف المباشر'!$D$2:$D$501,'الصرف المباشر'!$C$2:$C$501,$A210)-SUMPRODUCT((الطبخات!$B$2:$B$900=$A210)*الطبخات!$C$2:$C$900*COUNTIF('سجل الإنتاج'!$C$2:$C$501,الطبخات!$A$2:$A$900)),3))</f>
        <v>0</v>
      </c>
      <c r="D210" s="4">
        <f>IF($A210="","",ROUND(SUMIFS('الصرف المباشر'!$D$2:$D$501,'الصرف المباشر'!$C$2:$C$501,$A210)+SUMPRODUCT((الطبخات!$B$2:$B$900=$A210)*الطبخات!$C$2:$C$900*COUNTIF('سجل الإنتاج'!$C$2:$C$501,الطبخات!$A$2:$A$900)),3))</f>
        <v>0</v>
      </c>
      <c r="E210" s="5" t="str">
        <f t="shared" si="3"/>
        <v>✔ طبيعي</v>
      </c>
      <c r="F210" s="5" t="str">
        <f>IF(AND($A210&lt;&gt;"",$E210&lt;&gt;"✔ طبيعي"),SUMPRODUCT(('الرصيد الحالي'!$E$2:$E210&lt;&gt;"✔ طبيعي")*('الرصيد الحالي'!$E$2:$E210&lt;&gt;"")*('الرصيد الحالي'!$A$2:$A210&lt;&gt;"")),"")</f>
        <v/>
      </c>
    </row>
    <row r="211" spans="1:6" ht="24" customHeight="1">
      <c r="A211" s="3">
        <f>المواد!A211</f>
        <v>0</v>
      </c>
      <c r="B211" s="5">
        <f>المواد!B211</f>
        <v>0</v>
      </c>
      <c r="C211" s="4">
        <f>IF($A211="","",ROUND(SUMIFS(الإدخالات!$D$2:$D$501,الإدخالات!$C$2:$C$501,$A211)+SUMIFS('تعديل الجرد'!$F$2:$F$501,'تعديل الجرد'!$C$2:$C$501,$A211)-SUMIFS('الصرف المباشر'!$D$2:$D$501,'الصرف المباشر'!$C$2:$C$501,$A211)-SUMPRODUCT((الطبخات!$B$2:$B$900=$A211)*الطبخات!$C$2:$C$900*COUNTIF('سجل الإنتاج'!$C$2:$C$501,الطبخات!$A$2:$A$900)),3))</f>
        <v>0</v>
      </c>
      <c r="D211" s="4">
        <f>IF($A211="","",ROUND(SUMIFS('الصرف المباشر'!$D$2:$D$501,'الصرف المباشر'!$C$2:$C$501,$A211)+SUMPRODUCT((الطبخات!$B$2:$B$900=$A211)*الطبخات!$C$2:$C$900*COUNTIF('سجل الإنتاج'!$C$2:$C$501,الطبخات!$A$2:$A$900)),3))</f>
        <v>0</v>
      </c>
      <c r="E211" s="5" t="str">
        <f t="shared" si="3"/>
        <v>✔ طبيعي</v>
      </c>
      <c r="F211" s="5" t="str">
        <f>IF(AND($A211&lt;&gt;"",$E211&lt;&gt;"✔ طبيعي"),SUMPRODUCT(('الرصيد الحالي'!$E$2:$E211&lt;&gt;"✔ طبيعي")*('الرصيد الحالي'!$E$2:$E211&lt;&gt;"")*('الرصيد الحالي'!$A$2:$A211&lt;&gt;"")),"")</f>
        <v/>
      </c>
    </row>
    <row r="212" spans="1:6" ht="24" customHeight="1">
      <c r="A212" s="3">
        <f>المواد!A212</f>
        <v>0</v>
      </c>
      <c r="B212" s="5">
        <f>المواد!B212</f>
        <v>0</v>
      </c>
      <c r="C212" s="4">
        <f>IF($A212="","",ROUND(SUMIFS(الإدخالات!$D$2:$D$501,الإدخالات!$C$2:$C$501,$A212)+SUMIFS('تعديل الجرد'!$F$2:$F$501,'تعديل الجرد'!$C$2:$C$501,$A212)-SUMIFS('الصرف المباشر'!$D$2:$D$501,'الصرف المباشر'!$C$2:$C$501,$A212)-SUMPRODUCT((الطبخات!$B$2:$B$900=$A212)*الطبخات!$C$2:$C$900*COUNTIF('سجل الإنتاج'!$C$2:$C$501,الطبخات!$A$2:$A$900)),3))</f>
        <v>0</v>
      </c>
      <c r="D212" s="4">
        <f>IF($A212="","",ROUND(SUMIFS('الصرف المباشر'!$D$2:$D$501,'الصرف المباشر'!$C$2:$C$501,$A212)+SUMPRODUCT((الطبخات!$B$2:$B$900=$A212)*الطبخات!$C$2:$C$900*COUNTIF('سجل الإنتاج'!$C$2:$C$501,الطبخات!$A$2:$A$900)),3))</f>
        <v>0</v>
      </c>
      <c r="E212" s="5" t="str">
        <f t="shared" si="3"/>
        <v>✔ طبيعي</v>
      </c>
      <c r="F212" s="5" t="str">
        <f>IF(AND($A212&lt;&gt;"",$E212&lt;&gt;"✔ طبيعي"),SUMPRODUCT(('الرصيد الحالي'!$E$2:$E212&lt;&gt;"✔ طبيعي")*('الرصيد الحالي'!$E$2:$E212&lt;&gt;"")*('الرصيد الحالي'!$A$2:$A212&lt;&gt;"")),"")</f>
        <v/>
      </c>
    </row>
    <row r="213" spans="1:6" ht="24" customHeight="1">
      <c r="A213" s="3">
        <f>المواد!A213</f>
        <v>0</v>
      </c>
      <c r="B213" s="5">
        <f>المواد!B213</f>
        <v>0</v>
      </c>
      <c r="C213" s="4">
        <f>IF($A213="","",ROUND(SUMIFS(الإدخالات!$D$2:$D$501,الإدخالات!$C$2:$C$501,$A213)+SUMIFS('تعديل الجرد'!$F$2:$F$501,'تعديل الجرد'!$C$2:$C$501,$A213)-SUMIFS('الصرف المباشر'!$D$2:$D$501,'الصرف المباشر'!$C$2:$C$501,$A213)-SUMPRODUCT((الطبخات!$B$2:$B$900=$A213)*الطبخات!$C$2:$C$900*COUNTIF('سجل الإنتاج'!$C$2:$C$501,الطبخات!$A$2:$A$900)),3))</f>
        <v>0</v>
      </c>
      <c r="D213" s="4">
        <f>IF($A213="","",ROUND(SUMIFS('الصرف المباشر'!$D$2:$D$501,'الصرف المباشر'!$C$2:$C$501,$A213)+SUMPRODUCT((الطبخات!$B$2:$B$900=$A213)*الطبخات!$C$2:$C$900*COUNTIF('سجل الإنتاج'!$C$2:$C$501,الطبخات!$A$2:$A$900)),3))</f>
        <v>0</v>
      </c>
      <c r="E213" s="5" t="str">
        <f t="shared" si="3"/>
        <v>✔ طبيعي</v>
      </c>
      <c r="F213" s="5" t="str">
        <f>IF(AND($A213&lt;&gt;"",$E213&lt;&gt;"✔ طبيعي"),SUMPRODUCT(('الرصيد الحالي'!$E$2:$E213&lt;&gt;"✔ طبيعي")*('الرصيد الحالي'!$E$2:$E213&lt;&gt;"")*('الرصيد الحالي'!$A$2:$A213&lt;&gt;"")),"")</f>
        <v/>
      </c>
    </row>
    <row r="214" spans="1:6" ht="24" customHeight="1">
      <c r="A214" s="3">
        <f>المواد!A214</f>
        <v>0</v>
      </c>
      <c r="B214" s="5">
        <f>المواد!B214</f>
        <v>0</v>
      </c>
      <c r="C214" s="4">
        <f>IF($A214="","",ROUND(SUMIFS(الإدخالات!$D$2:$D$501,الإدخالات!$C$2:$C$501,$A214)+SUMIFS('تعديل الجرد'!$F$2:$F$501,'تعديل الجرد'!$C$2:$C$501,$A214)-SUMIFS('الصرف المباشر'!$D$2:$D$501,'الصرف المباشر'!$C$2:$C$501,$A214)-SUMPRODUCT((الطبخات!$B$2:$B$900=$A214)*الطبخات!$C$2:$C$900*COUNTIF('سجل الإنتاج'!$C$2:$C$501,الطبخات!$A$2:$A$900)),3))</f>
        <v>0</v>
      </c>
      <c r="D214" s="4">
        <f>IF($A214="","",ROUND(SUMIFS('الصرف المباشر'!$D$2:$D$501,'الصرف المباشر'!$C$2:$C$501,$A214)+SUMPRODUCT((الطبخات!$B$2:$B$900=$A214)*الطبخات!$C$2:$C$900*COUNTIF('سجل الإنتاج'!$C$2:$C$501,الطبخات!$A$2:$A$900)),3))</f>
        <v>0</v>
      </c>
      <c r="E214" s="5" t="str">
        <f t="shared" si="3"/>
        <v>✔ طبيعي</v>
      </c>
      <c r="F214" s="5" t="str">
        <f>IF(AND($A214&lt;&gt;"",$E214&lt;&gt;"✔ طبيعي"),SUMPRODUCT(('الرصيد الحالي'!$E$2:$E214&lt;&gt;"✔ طبيعي")*('الرصيد الحالي'!$E$2:$E214&lt;&gt;"")*('الرصيد الحالي'!$A$2:$A214&lt;&gt;"")),"")</f>
        <v/>
      </c>
    </row>
    <row r="215" spans="1:6" ht="24" customHeight="1">
      <c r="A215" s="3">
        <f>المواد!A215</f>
        <v>0</v>
      </c>
      <c r="B215" s="5">
        <f>المواد!B215</f>
        <v>0</v>
      </c>
      <c r="C215" s="4">
        <f>IF($A215="","",ROUND(SUMIFS(الإدخالات!$D$2:$D$501,الإدخالات!$C$2:$C$501,$A215)+SUMIFS('تعديل الجرد'!$F$2:$F$501,'تعديل الجرد'!$C$2:$C$501,$A215)-SUMIFS('الصرف المباشر'!$D$2:$D$501,'الصرف المباشر'!$C$2:$C$501,$A215)-SUMPRODUCT((الطبخات!$B$2:$B$900=$A215)*الطبخات!$C$2:$C$900*COUNTIF('سجل الإنتاج'!$C$2:$C$501,الطبخات!$A$2:$A$900)),3))</f>
        <v>0</v>
      </c>
      <c r="D215" s="4">
        <f>IF($A215="","",ROUND(SUMIFS('الصرف المباشر'!$D$2:$D$501,'الصرف المباشر'!$C$2:$C$501,$A215)+SUMPRODUCT((الطبخات!$B$2:$B$900=$A215)*الطبخات!$C$2:$C$900*COUNTIF('سجل الإنتاج'!$C$2:$C$501,الطبخات!$A$2:$A$900)),3))</f>
        <v>0</v>
      </c>
      <c r="E215" s="5" t="str">
        <f t="shared" si="3"/>
        <v>✔ طبيعي</v>
      </c>
      <c r="F215" s="5" t="str">
        <f>IF(AND($A215&lt;&gt;"",$E215&lt;&gt;"✔ طبيعي"),SUMPRODUCT(('الرصيد الحالي'!$E$2:$E215&lt;&gt;"✔ طبيعي")*('الرصيد الحالي'!$E$2:$E215&lt;&gt;"")*('الرصيد الحالي'!$A$2:$A215&lt;&gt;"")),"")</f>
        <v/>
      </c>
    </row>
    <row r="216" spans="1:6" ht="24" customHeight="1">
      <c r="A216" s="3">
        <f>المواد!A216</f>
        <v>0</v>
      </c>
      <c r="B216" s="5">
        <f>المواد!B216</f>
        <v>0</v>
      </c>
      <c r="C216" s="4">
        <f>IF($A216="","",ROUND(SUMIFS(الإدخالات!$D$2:$D$501,الإدخالات!$C$2:$C$501,$A216)+SUMIFS('تعديل الجرد'!$F$2:$F$501,'تعديل الجرد'!$C$2:$C$501,$A216)-SUMIFS('الصرف المباشر'!$D$2:$D$501,'الصرف المباشر'!$C$2:$C$501,$A216)-SUMPRODUCT((الطبخات!$B$2:$B$900=$A216)*الطبخات!$C$2:$C$900*COUNTIF('سجل الإنتاج'!$C$2:$C$501,الطبخات!$A$2:$A$900)),3))</f>
        <v>0</v>
      </c>
      <c r="D216" s="4">
        <f>IF($A216="","",ROUND(SUMIFS('الصرف المباشر'!$D$2:$D$501,'الصرف المباشر'!$C$2:$C$501,$A216)+SUMPRODUCT((الطبخات!$B$2:$B$900=$A216)*الطبخات!$C$2:$C$900*COUNTIF('سجل الإنتاج'!$C$2:$C$501,الطبخات!$A$2:$A$900)),3))</f>
        <v>0</v>
      </c>
      <c r="E216" s="5" t="str">
        <f t="shared" si="3"/>
        <v>✔ طبيعي</v>
      </c>
      <c r="F216" s="5" t="str">
        <f>IF(AND($A216&lt;&gt;"",$E216&lt;&gt;"✔ طبيعي"),SUMPRODUCT(('الرصيد الحالي'!$E$2:$E216&lt;&gt;"✔ طبيعي")*('الرصيد الحالي'!$E$2:$E216&lt;&gt;"")*('الرصيد الحالي'!$A$2:$A216&lt;&gt;"")),"")</f>
        <v/>
      </c>
    </row>
    <row r="217" spans="1:6" ht="24" customHeight="1">
      <c r="A217" s="3">
        <f>المواد!A217</f>
        <v>0</v>
      </c>
      <c r="B217" s="5">
        <f>المواد!B217</f>
        <v>0</v>
      </c>
      <c r="C217" s="4">
        <f>IF($A217="","",ROUND(SUMIFS(الإدخالات!$D$2:$D$501,الإدخالات!$C$2:$C$501,$A217)+SUMIFS('تعديل الجرد'!$F$2:$F$501,'تعديل الجرد'!$C$2:$C$501,$A217)-SUMIFS('الصرف المباشر'!$D$2:$D$501,'الصرف المباشر'!$C$2:$C$501,$A217)-SUMPRODUCT((الطبخات!$B$2:$B$900=$A217)*الطبخات!$C$2:$C$900*COUNTIF('سجل الإنتاج'!$C$2:$C$501,الطبخات!$A$2:$A$900)),3))</f>
        <v>0</v>
      </c>
      <c r="D217" s="4">
        <f>IF($A217="","",ROUND(SUMIFS('الصرف المباشر'!$D$2:$D$501,'الصرف المباشر'!$C$2:$C$501,$A217)+SUMPRODUCT((الطبخات!$B$2:$B$900=$A217)*الطبخات!$C$2:$C$900*COUNTIF('سجل الإنتاج'!$C$2:$C$501,الطبخات!$A$2:$A$900)),3))</f>
        <v>0</v>
      </c>
      <c r="E217" s="5" t="str">
        <f t="shared" si="3"/>
        <v>✔ طبيعي</v>
      </c>
      <c r="F217" s="5" t="str">
        <f>IF(AND($A217&lt;&gt;"",$E217&lt;&gt;"✔ طبيعي"),SUMPRODUCT(('الرصيد الحالي'!$E$2:$E217&lt;&gt;"✔ طبيعي")*('الرصيد الحالي'!$E$2:$E217&lt;&gt;"")*('الرصيد الحالي'!$A$2:$A217&lt;&gt;"")),"")</f>
        <v/>
      </c>
    </row>
    <row r="218" spans="1:6" ht="24" customHeight="1">
      <c r="A218" s="3">
        <f>المواد!A218</f>
        <v>0</v>
      </c>
      <c r="B218" s="5">
        <f>المواد!B218</f>
        <v>0</v>
      </c>
      <c r="C218" s="4">
        <f>IF($A218="","",ROUND(SUMIFS(الإدخالات!$D$2:$D$501,الإدخالات!$C$2:$C$501,$A218)+SUMIFS('تعديل الجرد'!$F$2:$F$501,'تعديل الجرد'!$C$2:$C$501,$A218)-SUMIFS('الصرف المباشر'!$D$2:$D$501,'الصرف المباشر'!$C$2:$C$501,$A218)-SUMPRODUCT((الطبخات!$B$2:$B$900=$A218)*الطبخات!$C$2:$C$900*COUNTIF('سجل الإنتاج'!$C$2:$C$501,الطبخات!$A$2:$A$900)),3))</f>
        <v>0</v>
      </c>
      <c r="D218" s="4">
        <f>IF($A218="","",ROUND(SUMIFS('الصرف المباشر'!$D$2:$D$501,'الصرف المباشر'!$C$2:$C$501,$A218)+SUMPRODUCT((الطبخات!$B$2:$B$900=$A218)*الطبخات!$C$2:$C$900*COUNTIF('سجل الإنتاج'!$C$2:$C$501,الطبخات!$A$2:$A$900)),3))</f>
        <v>0</v>
      </c>
      <c r="E218" s="5" t="str">
        <f t="shared" si="3"/>
        <v>✔ طبيعي</v>
      </c>
      <c r="F218" s="5" t="str">
        <f>IF(AND($A218&lt;&gt;"",$E218&lt;&gt;"✔ طبيعي"),SUMPRODUCT(('الرصيد الحالي'!$E$2:$E218&lt;&gt;"✔ طبيعي")*('الرصيد الحالي'!$E$2:$E218&lt;&gt;"")*('الرصيد الحالي'!$A$2:$A218&lt;&gt;"")),"")</f>
        <v/>
      </c>
    </row>
    <row r="219" spans="1:6" ht="24" customHeight="1">
      <c r="A219" s="3">
        <f>المواد!A219</f>
        <v>0</v>
      </c>
      <c r="B219" s="5">
        <f>المواد!B219</f>
        <v>0</v>
      </c>
      <c r="C219" s="4">
        <f>IF($A219="","",ROUND(SUMIFS(الإدخالات!$D$2:$D$501,الإدخالات!$C$2:$C$501,$A219)+SUMIFS('تعديل الجرد'!$F$2:$F$501,'تعديل الجرد'!$C$2:$C$501,$A219)-SUMIFS('الصرف المباشر'!$D$2:$D$501,'الصرف المباشر'!$C$2:$C$501,$A219)-SUMPRODUCT((الطبخات!$B$2:$B$900=$A219)*الطبخات!$C$2:$C$900*COUNTIF('سجل الإنتاج'!$C$2:$C$501,الطبخات!$A$2:$A$900)),3))</f>
        <v>0</v>
      </c>
      <c r="D219" s="4">
        <f>IF($A219="","",ROUND(SUMIFS('الصرف المباشر'!$D$2:$D$501,'الصرف المباشر'!$C$2:$C$501,$A219)+SUMPRODUCT((الطبخات!$B$2:$B$900=$A219)*الطبخات!$C$2:$C$900*COUNTIF('سجل الإنتاج'!$C$2:$C$501,الطبخات!$A$2:$A$900)),3))</f>
        <v>0</v>
      </c>
      <c r="E219" s="5" t="str">
        <f t="shared" si="3"/>
        <v>✔ طبيعي</v>
      </c>
      <c r="F219" s="5" t="str">
        <f>IF(AND($A219&lt;&gt;"",$E219&lt;&gt;"✔ طبيعي"),SUMPRODUCT(('الرصيد الحالي'!$E$2:$E219&lt;&gt;"✔ طبيعي")*('الرصيد الحالي'!$E$2:$E219&lt;&gt;"")*('الرصيد الحالي'!$A$2:$A219&lt;&gt;"")),"")</f>
        <v/>
      </c>
    </row>
    <row r="220" spans="1:6" ht="24" customHeight="1">
      <c r="A220" s="3">
        <f>المواد!A220</f>
        <v>0</v>
      </c>
      <c r="B220" s="5">
        <f>المواد!B220</f>
        <v>0</v>
      </c>
      <c r="C220" s="4">
        <f>IF($A220="","",ROUND(SUMIFS(الإدخالات!$D$2:$D$501,الإدخالات!$C$2:$C$501,$A220)+SUMIFS('تعديل الجرد'!$F$2:$F$501,'تعديل الجرد'!$C$2:$C$501,$A220)-SUMIFS('الصرف المباشر'!$D$2:$D$501,'الصرف المباشر'!$C$2:$C$501,$A220)-SUMPRODUCT((الطبخات!$B$2:$B$900=$A220)*الطبخات!$C$2:$C$900*COUNTIF('سجل الإنتاج'!$C$2:$C$501,الطبخات!$A$2:$A$900)),3))</f>
        <v>0</v>
      </c>
      <c r="D220" s="4">
        <f>IF($A220="","",ROUND(SUMIFS('الصرف المباشر'!$D$2:$D$501,'الصرف المباشر'!$C$2:$C$501,$A220)+SUMPRODUCT((الطبخات!$B$2:$B$900=$A220)*الطبخات!$C$2:$C$900*COUNTIF('سجل الإنتاج'!$C$2:$C$501,الطبخات!$A$2:$A$900)),3))</f>
        <v>0</v>
      </c>
      <c r="E220" s="5" t="str">
        <f t="shared" si="3"/>
        <v>✔ طبيعي</v>
      </c>
      <c r="F220" s="5" t="str">
        <f>IF(AND($A220&lt;&gt;"",$E220&lt;&gt;"✔ طبيعي"),SUMPRODUCT(('الرصيد الحالي'!$E$2:$E220&lt;&gt;"✔ طبيعي")*('الرصيد الحالي'!$E$2:$E220&lt;&gt;"")*('الرصيد الحالي'!$A$2:$A220&lt;&gt;"")),"")</f>
        <v/>
      </c>
    </row>
    <row r="221" spans="1:6" ht="24" customHeight="1">
      <c r="A221" s="3">
        <f>المواد!A221</f>
        <v>0</v>
      </c>
      <c r="B221" s="5">
        <f>المواد!B221</f>
        <v>0</v>
      </c>
      <c r="C221" s="4">
        <f>IF($A221="","",ROUND(SUMIFS(الإدخالات!$D$2:$D$501,الإدخالات!$C$2:$C$501,$A221)+SUMIFS('تعديل الجرد'!$F$2:$F$501,'تعديل الجرد'!$C$2:$C$501,$A221)-SUMIFS('الصرف المباشر'!$D$2:$D$501,'الصرف المباشر'!$C$2:$C$501,$A221)-SUMPRODUCT((الطبخات!$B$2:$B$900=$A221)*الطبخات!$C$2:$C$900*COUNTIF('سجل الإنتاج'!$C$2:$C$501,الطبخات!$A$2:$A$900)),3))</f>
        <v>0</v>
      </c>
      <c r="D221" s="4">
        <f>IF($A221="","",ROUND(SUMIFS('الصرف المباشر'!$D$2:$D$501,'الصرف المباشر'!$C$2:$C$501,$A221)+SUMPRODUCT((الطبخات!$B$2:$B$900=$A221)*الطبخات!$C$2:$C$900*COUNTIF('سجل الإنتاج'!$C$2:$C$501,الطبخات!$A$2:$A$900)),3))</f>
        <v>0</v>
      </c>
      <c r="E221" s="5" t="str">
        <f t="shared" si="3"/>
        <v>✔ طبيعي</v>
      </c>
      <c r="F221" s="5" t="str">
        <f>IF(AND($A221&lt;&gt;"",$E221&lt;&gt;"✔ طبيعي"),SUMPRODUCT(('الرصيد الحالي'!$E$2:$E221&lt;&gt;"✔ طبيعي")*('الرصيد الحالي'!$E$2:$E221&lt;&gt;"")*('الرصيد الحالي'!$A$2:$A221&lt;&gt;"")),"")</f>
        <v/>
      </c>
    </row>
    <row r="222" spans="1:6" ht="24" customHeight="1">
      <c r="A222" s="3">
        <f>المواد!A222</f>
        <v>0</v>
      </c>
      <c r="B222" s="5">
        <f>المواد!B222</f>
        <v>0</v>
      </c>
      <c r="C222" s="4">
        <f>IF($A222="","",ROUND(SUMIFS(الإدخالات!$D$2:$D$501,الإدخالات!$C$2:$C$501,$A222)+SUMIFS('تعديل الجرد'!$F$2:$F$501,'تعديل الجرد'!$C$2:$C$501,$A222)-SUMIFS('الصرف المباشر'!$D$2:$D$501,'الصرف المباشر'!$C$2:$C$501,$A222)-SUMPRODUCT((الطبخات!$B$2:$B$900=$A222)*الطبخات!$C$2:$C$900*COUNTIF('سجل الإنتاج'!$C$2:$C$501,الطبخات!$A$2:$A$900)),3))</f>
        <v>0</v>
      </c>
      <c r="D222" s="4">
        <f>IF($A222="","",ROUND(SUMIFS('الصرف المباشر'!$D$2:$D$501,'الصرف المباشر'!$C$2:$C$501,$A222)+SUMPRODUCT((الطبخات!$B$2:$B$900=$A222)*الطبخات!$C$2:$C$900*COUNTIF('سجل الإنتاج'!$C$2:$C$501,الطبخات!$A$2:$A$900)),3))</f>
        <v>0</v>
      </c>
      <c r="E222" s="5" t="str">
        <f t="shared" si="3"/>
        <v>✔ طبيعي</v>
      </c>
      <c r="F222" s="5" t="str">
        <f>IF(AND($A222&lt;&gt;"",$E222&lt;&gt;"✔ طبيعي"),SUMPRODUCT(('الرصيد الحالي'!$E$2:$E222&lt;&gt;"✔ طبيعي")*('الرصيد الحالي'!$E$2:$E222&lt;&gt;"")*('الرصيد الحالي'!$A$2:$A222&lt;&gt;"")),"")</f>
        <v/>
      </c>
    </row>
    <row r="223" spans="1:6" ht="24" customHeight="1">
      <c r="A223" s="3">
        <f>المواد!A223</f>
        <v>0</v>
      </c>
      <c r="B223" s="5">
        <f>المواد!B223</f>
        <v>0</v>
      </c>
      <c r="C223" s="4">
        <f>IF($A223="","",ROUND(SUMIFS(الإدخالات!$D$2:$D$501,الإدخالات!$C$2:$C$501,$A223)+SUMIFS('تعديل الجرد'!$F$2:$F$501,'تعديل الجرد'!$C$2:$C$501,$A223)-SUMIFS('الصرف المباشر'!$D$2:$D$501,'الصرف المباشر'!$C$2:$C$501,$A223)-SUMPRODUCT((الطبخات!$B$2:$B$900=$A223)*الطبخات!$C$2:$C$900*COUNTIF('سجل الإنتاج'!$C$2:$C$501,الطبخات!$A$2:$A$900)),3))</f>
        <v>0</v>
      </c>
      <c r="D223" s="4">
        <f>IF($A223="","",ROUND(SUMIFS('الصرف المباشر'!$D$2:$D$501,'الصرف المباشر'!$C$2:$C$501,$A223)+SUMPRODUCT((الطبخات!$B$2:$B$900=$A223)*الطبخات!$C$2:$C$900*COUNTIF('سجل الإنتاج'!$C$2:$C$501,الطبخات!$A$2:$A$900)),3))</f>
        <v>0</v>
      </c>
      <c r="E223" s="5" t="str">
        <f t="shared" si="3"/>
        <v>✔ طبيعي</v>
      </c>
      <c r="F223" s="5" t="str">
        <f>IF(AND($A223&lt;&gt;"",$E223&lt;&gt;"✔ طبيعي"),SUMPRODUCT(('الرصيد الحالي'!$E$2:$E223&lt;&gt;"✔ طبيعي")*('الرصيد الحالي'!$E$2:$E223&lt;&gt;"")*('الرصيد الحالي'!$A$2:$A223&lt;&gt;"")),"")</f>
        <v/>
      </c>
    </row>
    <row r="224" spans="1:6" ht="24" customHeight="1">
      <c r="A224" s="3">
        <f>المواد!A224</f>
        <v>0</v>
      </c>
      <c r="B224" s="5">
        <f>المواد!B224</f>
        <v>0</v>
      </c>
      <c r="C224" s="4">
        <f>IF($A224="","",ROUND(SUMIFS(الإدخالات!$D$2:$D$501,الإدخالات!$C$2:$C$501,$A224)+SUMIFS('تعديل الجرد'!$F$2:$F$501,'تعديل الجرد'!$C$2:$C$501,$A224)-SUMIFS('الصرف المباشر'!$D$2:$D$501,'الصرف المباشر'!$C$2:$C$501,$A224)-SUMPRODUCT((الطبخات!$B$2:$B$900=$A224)*الطبخات!$C$2:$C$900*COUNTIF('سجل الإنتاج'!$C$2:$C$501,الطبخات!$A$2:$A$900)),3))</f>
        <v>0</v>
      </c>
      <c r="D224" s="4">
        <f>IF($A224="","",ROUND(SUMIFS('الصرف المباشر'!$D$2:$D$501,'الصرف المباشر'!$C$2:$C$501,$A224)+SUMPRODUCT((الطبخات!$B$2:$B$900=$A224)*الطبخات!$C$2:$C$900*COUNTIF('سجل الإنتاج'!$C$2:$C$501,الطبخات!$A$2:$A$900)),3))</f>
        <v>0</v>
      </c>
      <c r="E224" s="5" t="str">
        <f t="shared" si="3"/>
        <v>✔ طبيعي</v>
      </c>
      <c r="F224" s="5" t="str">
        <f>IF(AND($A224&lt;&gt;"",$E224&lt;&gt;"✔ طبيعي"),SUMPRODUCT(('الرصيد الحالي'!$E$2:$E224&lt;&gt;"✔ طبيعي")*('الرصيد الحالي'!$E$2:$E224&lt;&gt;"")*('الرصيد الحالي'!$A$2:$A224&lt;&gt;"")),"")</f>
        <v/>
      </c>
    </row>
    <row r="225" spans="1:6" ht="24" customHeight="1">
      <c r="A225" s="3">
        <f>المواد!A225</f>
        <v>0</v>
      </c>
      <c r="B225" s="5">
        <f>المواد!B225</f>
        <v>0</v>
      </c>
      <c r="C225" s="4">
        <f>IF($A225="","",ROUND(SUMIFS(الإدخالات!$D$2:$D$501,الإدخالات!$C$2:$C$501,$A225)+SUMIFS('تعديل الجرد'!$F$2:$F$501,'تعديل الجرد'!$C$2:$C$501,$A225)-SUMIFS('الصرف المباشر'!$D$2:$D$501,'الصرف المباشر'!$C$2:$C$501,$A225)-SUMPRODUCT((الطبخات!$B$2:$B$900=$A225)*الطبخات!$C$2:$C$900*COUNTIF('سجل الإنتاج'!$C$2:$C$501,الطبخات!$A$2:$A$900)),3))</f>
        <v>0</v>
      </c>
      <c r="D225" s="4">
        <f>IF($A225="","",ROUND(SUMIFS('الصرف المباشر'!$D$2:$D$501,'الصرف المباشر'!$C$2:$C$501,$A225)+SUMPRODUCT((الطبخات!$B$2:$B$900=$A225)*الطبخات!$C$2:$C$900*COUNTIF('سجل الإنتاج'!$C$2:$C$501,الطبخات!$A$2:$A$900)),3))</f>
        <v>0</v>
      </c>
      <c r="E225" s="5" t="str">
        <f t="shared" si="3"/>
        <v>✔ طبيعي</v>
      </c>
      <c r="F225" s="5" t="str">
        <f>IF(AND($A225&lt;&gt;"",$E225&lt;&gt;"✔ طبيعي"),SUMPRODUCT(('الرصيد الحالي'!$E$2:$E225&lt;&gt;"✔ طبيعي")*('الرصيد الحالي'!$E$2:$E225&lt;&gt;"")*('الرصيد الحالي'!$A$2:$A225&lt;&gt;"")),"")</f>
        <v/>
      </c>
    </row>
    <row r="226" spans="1:6" ht="24" customHeight="1">
      <c r="A226" s="3">
        <f>المواد!A226</f>
        <v>0</v>
      </c>
      <c r="B226" s="5">
        <f>المواد!B226</f>
        <v>0</v>
      </c>
      <c r="C226" s="4">
        <f>IF($A226="","",ROUND(SUMIFS(الإدخالات!$D$2:$D$501,الإدخالات!$C$2:$C$501,$A226)+SUMIFS('تعديل الجرد'!$F$2:$F$501,'تعديل الجرد'!$C$2:$C$501,$A226)-SUMIFS('الصرف المباشر'!$D$2:$D$501,'الصرف المباشر'!$C$2:$C$501,$A226)-SUMPRODUCT((الطبخات!$B$2:$B$900=$A226)*الطبخات!$C$2:$C$900*COUNTIF('سجل الإنتاج'!$C$2:$C$501,الطبخات!$A$2:$A$900)),3))</f>
        <v>0</v>
      </c>
      <c r="D226" s="4">
        <f>IF($A226="","",ROUND(SUMIFS('الصرف المباشر'!$D$2:$D$501,'الصرف المباشر'!$C$2:$C$501,$A226)+SUMPRODUCT((الطبخات!$B$2:$B$900=$A226)*الطبخات!$C$2:$C$900*COUNTIF('سجل الإنتاج'!$C$2:$C$501,الطبخات!$A$2:$A$900)),3))</f>
        <v>0</v>
      </c>
      <c r="E226" s="5" t="str">
        <f t="shared" si="3"/>
        <v>✔ طبيعي</v>
      </c>
      <c r="F226" s="5" t="str">
        <f>IF(AND($A226&lt;&gt;"",$E226&lt;&gt;"✔ طبيعي"),SUMPRODUCT(('الرصيد الحالي'!$E$2:$E226&lt;&gt;"✔ طبيعي")*('الرصيد الحالي'!$E$2:$E226&lt;&gt;"")*('الرصيد الحالي'!$A$2:$A226&lt;&gt;"")),"")</f>
        <v/>
      </c>
    </row>
    <row r="227" spans="1:6" ht="24" customHeight="1">
      <c r="A227" s="3">
        <f>المواد!A227</f>
        <v>0</v>
      </c>
      <c r="B227" s="5">
        <f>المواد!B227</f>
        <v>0</v>
      </c>
      <c r="C227" s="4">
        <f>IF($A227="","",ROUND(SUMIFS(الإدخالات!$D$2:$D$501,الإدخالات!$C$2:$C$501,$A227)+SUMIFS('تعديل الجرد'!$F$2:$F$501,'تعديل الجرد'!$C$2:$C$501,$A227)-SUMIFS('الصرف المباشر'!$D$2:$D$501,'الصرف المباشر'!$C$2:$C$501,$A227)-SUMPRODUCT((الطبخات!$B$2:$B$900=$A227)*الطبخات!$C$2:$C$900*COUNTIF('سجل الإنتاج'!$C$2:$C$501,الطبخات!$A$2:$A$900)),3))</f>
        <v>0</v>
      </c>
      <c r="D227" s="4">
        <f>IF($A227="","",ROUND(SUMIFS('الصرف المباشر'!$D$2:$D$501,'الصرف المباشر'!$C$2:$C$501,$A227)+SUMPRODUCT((الطبخات!$B$2:$B$900=$A227)*الطبخات!$C$2:$C$900*COUNTIF('سجل الإنتاج'!$C$2:$C$501,الطبخات!$A$2:$A$900)),3))</f>
        <v>0</v>
      </c>
      <c r="E227" s="5" t="str">
        <f t="shared" si="3"/>
        <v>✔ طبيعي</v>
      </c>
      <c r="F227" s="5" t="str">
        <f>IF(AND($A227&lt;&gt;"",$E227&lt;&gt;"✔ طبيعي"),SUMPRODUCT(('الرصيد الحالي'!$E$2:$E227&lt;&gt;"✔ طبيعي")*('الرصيد الحالي'!$E$2:$E227&lt;&gt;"")*('الرصيد الحالي'!$A$2:$A227&lt;&gt;"")),"")</f>
        <v/>
      </c>
    </row>
    <row r="228" spans="1:6" ht="24" customHeight="1">
      <c r="A228" s="3">
        <f>المواد!A228</f>
        <v>0</v>
      </c>
      <c r="B228" s="5">
        <f>المواد!B228</f>
        <v>0</v>
      </c>
      <c r="C228" s="4">
        <f>IF($A228="","",ROUND(SUMIFS(الإدخالات!$D$2:$D$501,الإدخالات!$C$2:$C$501,$A228)+SUMIFS('تعديل الجرد'!$F$2:$F$501,'تعديل الجرد'!$C$2:$C$501,$A228)-SUMIFS('الصرف المباشر'!$D$2:$D$501,'الصرف المباشر'!$C$2:$C$501,$A228)-SUMPRODUCT((الطبخات!$B$2:$B$900=$A228)*الطبخات!$C$2:$C$900*COUNTIF('سجل الإنتاج'!$C$2:$C$501,الطبخات!$A$2:$A$900)),3))</f>
        <v>0</v>
      </c>
      <c r="D228" s="4">
        <f>IF($A228="","",ROUND(SUMIFS('الصرف المباشر'!$D$2:$D$501,'الصرف المباشر'!$C$2:$C$501,$A228)+SUMPRODUCT((الطبخات!$B$2:$B$900=$A228)*الطبخات!$C$2:$C$900*COUNTIF('سجل الإنتاج'!$C$2:$C$501,الطبخات!$A$2:$A$900)),3))</f>
        <v>0</v>
      </c>
      <c r="E228" s="5" t="str">
        <f t="shared" si="3"/>
        <v>✔ طبيعي</v>
      </c>
      <c r="F228" s="5" t="str">
        <f>IF(AND($A228&lt;&gt;"",$E228&lt;&gt;"✔ طبيعي"),SUMPRODUCT(('الرصيد الحالي'!$E$2:$E228&lt;&gt;"✔ طبيعي")*('الرصيد الحالي'!$E$2:$E228&lt;&gt;"")*('الرصيد الحالي'!$A$2:$A228&lt;&gt;"")),"")</f>
        <v/>
      </c>
    </row>
    <row r="229" spans="1:6" ht="24" customHeight="1">
      <c r="A229" s="3">
        <f>المواد!A229</f>
        <v>0</v>
      </c>
      <c r="B229" s="5">
        <f>المواد!B229</f>
        <v>0</v>
      </c>
      <c r="C229" s="4">
        <f>IF($A229="","",ROUND(SUMIFS(الإدخالات!$D$2:$D$501,الإدخالات!$C$2:$C$501,$A229)+SUMIFS('تعديل الجرد'!$F$2:$F$501,'تعديل الجرد'!$C$2:$C$501,$A229)-SUMIFS('الصرف المباشر'!$D$2:$D$501,'الصرف المباشر'!$C$2:$C$501,$A229)-SUMPRODUCT((الطبخات!$B$2:$B$900=$A229)*الطبخات!$C$2:$C$900*COUNTIF('سجل الإنتاج'!$C$2:$C$501,الطبخات!$A$2:$A$900)),3))</f>
        <v>0</v>
      </c>
      <c r="D229" s="4">
        <f>IF($A229="","",ROUND(SUMIFS('الصرف المباشر'!$D$2:$D$501,'الصرف المباشر'!$C$2:$C$501,$A229)+SUMPRODUCT((الطبخات!$B$2:$B$900=$A229)*الطبخات!$C$2:$C$900*COUNTIF('سجل الإنتاج'!$C$2:$C$501,الطبخات!$A$2:$A$900)),3))</f>
        <v>0</v>
      </c>
      <c r="E229" s="5" t="str">
        <f t="shared" si="3"/>
        <v>✔ طبيعي</v>
      </c>
      <c r="F229" s="5" t="str">
        <f>IF(AND($A229&lt;&gt;"",$E229&lt;&gt;"✔ طبيعي"),SUMPRODUCT(('الرصيد الحالي'!$E$2:$E229&lt;&gt;"✔ طبيعي")*('الرصيد الحالي'!$E$2:$E229&lt;&gt;"")*('الرصيد الحالي'!$A$2:$A229&lt;&gt;"")),"")</f>
        <v/>
      </c>
    </row>
    <row r="230" spans="1:6" ht="24" customHeight="1">
      <c r="A230" s="3">
        <f>المواد!A230</f>
        <v>0</v>
      </c>
      <c r="B230" s="5">
        <f>المواد!B230</f>
        <v>0</v>
      </c>
      <c r="C230" s="4">
        <f>IF($A230="","",ROUND(SUMIFS(الإدخالات!$D$2:$D$501,الإدخالات!$C$2:$C$501,$A230)+SUMIFS('تعديل الجرد'!$F$2:$F$501,'تعديل الجرد'!$C$2:$C$501,$A230)-SUMIFS('الصرف المباشر'!$D$2:$D$501,'الصرف المباشر'!$C$2:$C$501,$A230)-SUMPRODUCT((الطبخات!$B$2:$B$900=$A230)*الطبخات!$C$2:$C$900*COUNTIF('سجل الإنتاج'!$C$2:$C$501,الطبخات!$A$2:$A$900)),3))</f>
        <v>0</v>
      </c>
      <c r="D230" s="4">
        <f>IF($A230="","",ROUND(SUMIFS('الصرف المباشر'!$D$2:$D$501,'الصرف المباشر'!$C$2:$C$501,$A230)+SUMPRODUCT((الطبخات!$B$2:$B$900=$A230)*الطبخات!$C$2:$C$900*COUNTIF('سجل الإنتاج'!$C$2:$C$501,الطبخات!$A$2:$A$900)),3))</f>
        <v>0</v>
      </c>
      <c r="E230" s="5" t="str">
        <f t="shared" si="3"/>
        <v>✔ طبيعي</v>
      </c>
      <c r="F230" s="5" t="str">
        <f>IF(AND($A230&lt;&gt;"",$E230&lt;&gt;"✔ طبيعي"),SUMPRODUCT(('الرصيد الحالي'!$E$2:$E230&lt;&gt;"✔ طبيعي")*('الرصيد الحالي'!$E$2:$E230&lt;&gt;"")*('الرصيد الحالي'!$A$2:$A230&lt;&gt;"")),"")</f>
        <v/>
      </c>
    </row>
    <row r="231" spans="1:6" ht="24" customHeight="1">
      <c r="A231" s="3">
        <f>المواد!A231</f>
        <v>0</v>
      </c>
      <c r="B231" s="5">
        <f>المواد!B231</f>
        <v>0</v>
      </c>
      <c r="C231" s="4">
        <f>IF($A231="","",ROUND(SUMIFS(الإدخالات!$D$2:$D$501,الإدخالات!$C$2:$C$501,$A231)+SUMIFS('تعديل الجرد'!$F$2:$F$501,'تعديل الجرد'!$C$2:$C$501,$A231)-SUMIFS('الصرف المباشر'!$D$2:$D$501,'الصرف المباشر'!$C$2:$C$501,$A231)-SUMPRODUCT((الطبخات!$B$2:$B$900=$A231)*الطبخات!$C$2:$C$900*COUNTIF('سجل الإنتاج'!$C$2:$C$501,الطبخات!$A$2:$A$900)),3))</f>
        <v>0</v>
      </c>
      <c r="D231" s="4">
        <f>IF($A231="","",ROUND(SUMIFS('الصرف المباشر'!$D$2:$D$501,'الصرف المباشر'!$C$2:$C$501,$A231)+SUMPRODUCT((الطبخات!$B$2:$B$900=$A231)*الطبخات!$C$2:$C$900*COUNTIF('سجل الإنتاج'!$C$2:$C$501,الطبخات!$A$2:$A$900)),3))</f>
        <v>0</v>
      </c>
      <c r="E231" s="5" t="str">
        <f t="shared" si="3"/>
        <v>✔ طبيعي</v>
      </c>
      <c r="F231" s="5" t="str">
        <f>IF(AND($A231&lt;&gt;"",$E231&lt;&gt;"✔ طبيعي"),SUMPRODUCT(('الرصيد الحالي'!$E$2:$E231&lt;&gt;"✔ طبيعي")*('الرصيد الحالي'!$E$2:$E231&lt;&gt;"")*('الرصيد الحالي'!$A$2:$A231&lt;&gt;"")),"")</f>
        <v/>
      </c>
    </row>
    <row r="232" spans="1:6" ht="24" customHeight="1">
      <c r="A232" s="3">
        <f>المواد!A232</f>
        <v>0</v>
      </c>
      <c r="B232" s="5">
        <f>المواد!B232</f>
        <v>0</v>
      </c>
      <c r="C232" s="4">
        <f>IF($A232="","",ROUND(SUMIFS(الإدخالات!$D$2:$D$501,الإدخالات!$C$2:$C$501,$A232)+SUMIFS('تعديل الجرد'!$F$2:$F$501,'تعديل الجرد'!$C$2:$C$501,$A232)-SUMIFS('الصرف المباشر'!$D$2:$D$501,'الصرف المباشر'!$C$2:$C$501,$A232)-SUMPRODUCT((الطبخات!$B$2:$B$900=$A232)*الطبخات!$C$2:$C$900*COUNTIF('سجل الإنتاج'!$C$2:$C$501,الطبخات!$A$2:$A$900)),3))</f>
        <v>0</v>
      </c>
      <c r="D232" s="4">
        <f>IF($A232="","",ROUND(SUMIFS('الصرف المباشر'!$D$2:$D$501,'الصرف المباشر'!$C$2:$C$501,$A232)+SUMPRODUCT((الطبخات!$B$2:$B$900=$A232)*الطبخات!$C$2:$C$900*COUNTIF('سجل الإنتاج'!$C$2:$C$501,الطبخات!$A$2:$A$900)),3))</f>
        <v>0</v>
      </c>
      <c r="E232" s="5" t="str">
        <f t="shared" si="3"/>
        <v>✔ طبيعي</v>
      </c>
      <c r="F232" s="5" t="str">
        <f>IF(AND($A232&lt;&gt;"",$E232&lt;&gt;"✔ طبيعي"),SUMPRODUCT(('الرصيد الحالي'!$E$2:$E232&lt;&gt;"✔ طبيعي")*('الرصيد الحالي'!$E$2:$E232&lt;&gt;"")*('الرصيد الحالي'!$A$2:$A232&lt;&gt;"")),"")</f>
        <v/>
      </c>
    </row>
    <row r="233" spans="1:6" ht="24" customHeight="1">
      <c r="A233" s="3">
        <f>المواد!A233</f>
        <v>0</v>
      </c>
      <c r="B233" s="5">
        <f>المواد!B233</f>
        <v>0</v>
      </c>
      <c r="C233" s="4">
        <f>IF($A233="","",ROUND(SUMIFS(الإدخالات!$D$2:$D$501,الإدخالات!$C$2:$C$501,$A233)+SUMIFS('تعديل الجرد'!$F$2:$F$501,'تعديل الجرد'!$C$2:$C$501,$A233)-SUMIFS('الصرف المباشر'!$D$2:$D$501,'الصرف المباشر'!$C$2:$C$501,$A233)-SUMPRODUCT((الطبخات!$B$2:$B$900=$A233)*الطبخات!$C$2:$C$900*COUNTIF('سجل الإنتاج'!$C$2:$C$501,الطبخات!$A$2:$A$900)),3))</f>
        <v>0</v>
      </c>
      <c r="D233" s="4">
        <f>IF($A233="","",ROUND(SUMIFS('الصرف المباشر'!$D$2:$D$501,'الصرف المباشر'!$C$2:$C$501,$A233)+SUMPRODUCT((الطبخات!$B$2:$B$900=$A233)*الطبخات!$C$2:$C$900*COUNTIF('سجل الإنتاج'!$C$2:$C$501,الطبخات!$A$2:$A$900)),3))</f>
        <v>0</v>
      </c>
      <c r="E233" s="5" t="str">
        <f t="shared" si="3"/>
        <v>✔ طبيعي</v>
      </c>
      <c r="F233" s="5" t="str">
        <f>IF(AND($A233&lt;&gt;"",$E233&lt;&gt;"✔ طبيعي"),SUMPRODUCT(('الرصيد الحالي'!$E$2:$E233&lt;&gt;"✔ طبيعي")*('الرصيد الحالي'!$E$2:$E233&lt;&gt;"")*('الرصيد الحالي'!$A$2:$A233&lt;&gt;"")),"")</f>
        <v/>
      </c>
    </row>
    <row r="234" spans="1:6" ht="24" customHeight="1">
      <c r="A234" s="3">
        <f>المواد!A234</f>
        <v>0</v>
      </c>
      <c r="B234" s="5">
        <f>المواد!B234</f>
        <v>0</v>
      </c>
      <c r="C234" s="4">
        <f>IF($A234="","",ROUND(SUMIFS(الإدخالات!$D$2:$D$501,الإدخالات!$C$2:$C$501,$A234)+SUMIFS('تعديل الجرد'!$F$2:$F$501,'تعديل الجرد'!$C$2:$C$501,$A234)-SUMIFS('الصرف المباشر'!$D$2:$D$501,'الصرف المباشر'!$C$2:$C$501,$A234)-SUMPRODUCT((الطبخات!$B$2:$B$900=$A234)*الطبخات!$C$2:$C$900*COUNTIF('سجل الإنتاج'!$C$2:$C$501,الطبخات!$A$2:$A$900)),3))</f>
        <v>0</v>
      </c>
      <c r="D234" s="4">
        <f>IF($A234="","",ROUND(SUMIFS('الصرف المباشر'!$D$2:$D$501,'الصرف المباشر'!$C$2:$C$501,$A234)+SUMPRODUCT((الطبخات!$B$2:$B$900=$A234)*الطبخات!$C$2:$C$900*COUNTIF('سجل الإنتاج'!$C$2:$C$501,الطبخات!$A$2:$A$900)),3))</f>
        <v>0</v>
      </c>
      <c r="E234" s="5" t="str">
        <f t="shared" si="3"/>
        <v>✔ طبيعي</v>
      </c>
      <c r="F234" s="5" t="str">
        <f>IF(AND($A234&lt;&gt;"",$E234&lt;&gt;"✔ طبيعي"),SUMPRODUCT(('الرصيد الحالي'!$E$2:$E234&lt;&gt;"✔ طبيعي")*('الرصيد الحالي'!$E$2:$E234&lt;&gt;"")*('الرصيد الحالي'!$A$2:$A234&lt;&gt;"")),"")</f>
        <v/>
      </c>
    </row>
    <row r="235" spans="1:6" ht="24" customHeight="1">
      <c r="A235" s="3">
        <f>المواد!A235</f>
        <v>0</v>
      </c>
      <c r="B235" s="5">
        <f>المواد!B235</f>
        <v>0</v>
      </c>
      <c r="C235" s="4">
        <f>IF($A235="","",ROUND(SUMIFS(الإدخالات!$D$2:$D$501,الإدخالات!$C$2:$C$501,$A235)+SUMIFS('تعديل الجرد'!$F$2:$F$501,'تعديل الجرد'!$C$2:$C$501,$A235)-SUMIFS('الصرف المباشر'!$D$2:$D$501,'الصرف المباشر'!$C$2:$C$501,$A235)-SUMPRODUCT((الطبخات!$B$2:$B$900=$A235)*الطبخات!$C$2:$C$900*COUNTIF('سجل الإنتاج'!$C$2:$C$501,الطبخات!$A$2:$A$900)),3))</f>
        <v>0</v>
      </c>
      <c r="D235" s="4">
        <f>IF($A235="","",ROUND(SUMIFS('الصرف المباشر'!$D$2:$D$501,'الصرف المباشر'!$C$2:$C$501,$A235)+SUMPRODUCT((الطبخات!$B$2:$B$900=$A235)*الطبخات!$C$2:$C$900*COUNTIF('سجل الإنتاج'!$C$2:$C$501,الطبخات!$A$2:$A$900)),3))</f>
        <v>0</v>
      </c>
      <c r="E235" s="5" t="str">
        <f t="shared" si="3"/>
        <v>✔ طبيعي</v>
      </c>
      <c r="F235" s="5" t="str">
        <f>IF(AND($A235&lt;&gt;"",$E235&lt;&gt;"✔ طبيعي"),SUMPRODUCT(('الرصيد الحالي'!$E$2:$E235&lt;&gt;"✔ طبيعي")*('الرصيد الحالي'!$E$2:$E235&lt;&gt;"")*('الرصيد الحالي'!$A$2:$A235&lt;&gt;"")),"")</f>
        <v/>
      </c>
    </row>
    <row r="236" spans="1:6" ht="24" customHeight="1">
      <c r="A236" s="3">
        <f>المواد!A236</f>
        <v>0</v>
      </c>
      <c r="B236" s="5">
        <f>المواد!B236</f>
        <v>0</v>
      </c>
      <c r="C236" s="4">
        <f>IF($A236="","",ROUND(SUMIFS(الإدخالات!$D$2:$D$501,الإدخالات!$C$2:$C$501,$A236)+SUMIFS('تعديل الجرد'!$F$2:$F$501,'تعديل الجرد'!$C$2:$C$501,$A236)-SUMIFS('الصرف المباشر'!$D$2:$D$501,'الصرف المباشر'!$C$2:$C$501,$A236)-SUMPRODUCT((الطبخات!$B$2:$B$900=$A236)*الطبخات!$C$2:$C$900*COUNTIF('سجل الإنتاج'!$C$2:$C$501,الطبخات!$A$2:$A$900)),3))</f>
        <v>0</v>
      </c>
      <c r="D236" s="4">
        <f>IF($A236="","",ROUND(SUMIFS('الصرف المباشر'!$D$2:$D$501,'الصرف المباشر'!$C$2:$C$501,$A236)+SUMPRODUCT((الطبخات!$B$2:$B$900=$A236)*الطبخات!$C$2:$C$900*COUNTIF('سجل الإنتاج'!$C$2:$C$501,الطبخات!$A$2:$A$900)),3))</f>
        <v>0</v>
      </c>
      <c r="E236" s="5" t="str">
        <f t="shared" si="3"/>
        <v>✔ طبيعي</v>
      </c>
      <c r="F236" s="5" t="str">
        <f>IF(AND($A236&lt;&gt;"",$E236&lt;&gt;"✔ طبيعي"),SUMPRODUCT(('الرصيد الحالي'!$E$2:$E236&lt;&gt;"✔ طبيعي")*('الرصيد الحالي'!$E$2:$E236&lt;&gt;"")*('الرصيد الحالي'!$A$2:$A236&lt;&gt;"")),"")</f>
        <v/>
      </c>
    </row>
    <row r="237" spans="1:6" ht="24" customHeight="1">
      <c r="A237" s="3">
        <f>المواد!A237</f>
        <v>0</v>
      </c>
      <c r="B237" s="5">
        <f>المواد!B237</f>
        <v>0</v>
      </c>
      <c r="C237" s="4">
        <f>IF($A237="","",ROUND(SUMIFS(الإدخالات!$D$2:$D$501,الإدخالات!$C$2:$C$501,$A237)+SUMIFS('تعديل الجرد'!$F$2:$F$501,'تعديل الجرد'!$C$2:$C$501,$A237)-SUMIFS('الصرف المباشر'!$D$2:$D$501,'الصرف المباشر'!$C$2:$C$501,$A237)-SUMPRODUCT((الطبخات!$B$2:$B$900=$A237)*الطبخات!$C$2:$C$900*COUNTIF('سجل الإنتاج'!$C$2:$C$501,الطبخات!$A$2:$A$900)),3))</f>
        <v>0</v>
      </c>
      <c r="D237" s="4">
        <f>IF($A237="","",ROUND(SUMIFS('الصرف المباشر'!$D$2:$D$501,'الصرف المباشر'!$C$2:$C$501,$A237)+SUMPRODUCT((الطبخات!$B$2:$B$900=$A237)*الطبخات!$C$2:$C$900*COUNTIF('سجل الإنتاج'!$C$2:$C$501,الطبخات!$A$2:$A$900)),3))</f>
        <v>0</v>
      </c>
      <c r="E237" s="5" t="str">
        <f t="shared" si="3"/>
        <v>✔ طبيعي</v>
      </c>
      <c r="F237" s="5" t="str">
        <f>IF(AND($A237&lt;&gt;"",$E237&lt;&gt;"✔ طبيعي"),SUMPRODUCT(('الرصيد الحالي'!$E$2:$E237&lt;&gt;"✔ طبيعي")*('الرصيد الحالي'!$E$2:$E237&lt;&gt;"")*('الرصيد الحالي'!$A$2:$A237&lt;&gt;"")),"")</f>
        <v/>
      </c>
    </row>
    <row r="238" spans="1:6" ht="24" customHeight="1">
      <c r="A238" s="3">
        <f>المواد!A238</f>
        <v>0</v>
      </c>
      <c r="B238" s="5">
        <f>المواد!B238</f>
        <v>0</v>
      </c>
      <c r="C238" s="4">
        <f>IF($A238="","",ROUND(SUMIFS(الإدخالات!$D$2:$D$501,الإدخالات!$C$2:$C$501,$A238)+SUMIFS('تعديل الجرد'!$F$2:$F$501,'تعديل الجرد'!$C$2:$C$501,$A238)-SUMIFS('الصرف المباشر'!$D$2:$D$501,'الصرف المباشر'!$C$2:$C$501,$A238)-SUMPRODUCT((الطبخات!$B$2:$B$900=$A238)*الطبخات!$C$2:$C$900*COUNTIF('سجل الإنتاج'!$C$2:$C$501,الطبخات!$A$2:$A$900)),3))</f>
        <v>0</v>
      </c>
      <c r="D238" s="4">
        <f>IF($A238="","",ROUND(SUMIFS('الصرف المباشر'!$D$2:$D$501,'الصرف المباشر'!$C$2:$C$501,$A238)+SUMPRODUCT((الطبخات!$B$2:$B$900=$A238)*الطبخات!$C$2:$C$900*COUNTIF('سجل الإنتاج'!$C$2:$C$501,الطبخات!$A$2:$A$900)),3))</f>
        <v>0</v>
      </c>
      <c r="E238" s="5" t="str">
        <f t="shared" si="3"/>
        <v>✔ طبيعي</v>
      </c>
      <c r="F238" s="5" t="str">
        <f>IF(AND($A238&lt;&gt;"",$E238&lt;&gt;"✔ طبيعي"),SUMPRODUCT(('الرصيد الحالي'!$E$2:$E238&lt;&gt;"✔ طبيعي")*('الرصيد الحالي'!$E$2:$E238&lt;&gt;"")*('الرصيد الحالي'!$A$2:$A238&lt;&gt;"")),"")</f>
        <v/>
      </c>
    </row>
    <row r="239" spans="1:6" ht="24" customHeight="1">
      <c r="A239" s="3">
        <f>المواد!A239</f>
        <v>0</v>
      </c>
      <c r="B239" s="5">
        <f>المواد!B239</f>
        <v>0</v>
      </c>
      <c r="C239" s="4">
        <f>IF($A239="","",ROUND(SUMIFS(الإدخالات!$D$2:$D$501,الإدخالات!$C$2:$C$501,$A239)+SUMIFS('تعديل الجرد'!$F$2:$F$501,'تعديل الجرد'!$C$2:$C$501,$A239)-SUMIFS('الصرف المباشر'!$D$2:$D$501,'الصرف المباشر'!$C$2:$C$501,$A239)-SUMPRODUCT((الطبخات!$B$2:$B$900=$A239)*الطبخات!$C$2:$C$900*COUNTIF('سجل الإنتاج'!$C$2:$C$501,الطبخات!$A$2:$A$900)),3))</f>
        <v>0</v>
      </c>
      <c r="D239" s="4">
        <f>IF($A239="","",ROUND(SUMIFS('الصرف المباشر'!$D$2:$D$501,'الصرف المباشر'!$C$2:$C$501,$A239)+SUMPRODUCT((الطبخات!$B$2:$B$900=$A239)*الطبخات!$C$2:$C$900*COUNTIF('سجل الإنتاج'!$C$2:$C$501,الطبخات!$A$2:$A$900)),3))</f>
        <v>0</v>
      </c>
      <c r="E239" s="5" t="str">
        <f t="shared" si="3"/>
        <v>✔ طبيعي</v>
      </c>
      <c r="F239" s="5" t="str">
        <f>IF(AND($A239&lt;&gt;"",$E239&lt;&gt;"✔ طبيعي"),SUMPRODUCT(('الرصيد الحالي'!$E$2:$E239&lt;&gt;"✔ طبيعي")*('الرصيد الحالي'!$E$2:$E239&lt;&gt;"")*('الرصيد الحالي'!$A$2:$A239&lt;&gt;"")),"")</f>
        <v/>
      </c>
    </row>
    <row r="240" spans="1:6" ht="24" customHeight="1">
      <c r="A240" s="3">
        <f>المواد!A240</f>
        <v>0</v>
      </c>
      <c r="B240" s="5">
        <f>المواد!B240</f>
        <v>0</v>
      </c>
      <c r="C240" s="4">
        <f>IF($A240="","",ROUND(SUMIFS(الإدخالات!$D$2:$D$501,الإدخالات!$C$2:$C$501,$A240)+SUMIFS('تعديل الجرد'!$F$2:$F$501,'تعديل الجرد'!$C$2:$C$501,$A240)-SUMIFS('الصرف المباشر'!$D$2:$D$501,'الصرف المباشر'!$C$2:$C$501,$A240)-SUMPRODUCT((الطبخات!$B$2:$B$900=$A240)*الطبخات!$C$2:$C$900*COUNTIF('سجل الإنتاج'!$C$2:$C$501,الطبخات!$A$2:$A$900)),3))</f>
        <v>0</v>
      </c>
      <c r="D240" s="4">
        <f>IF($A240="","",ROUND(SUMIFS('الصرف المباشر'!$D$2:$D$501,'الصرف المباشر'!$C$2:$C$501,$A240)+SUMPRODUCT((الطبخات!$B$2:$B$900=$A240)*الطبخات!$C$2:$C$900*COUNTIF('سجل الإنتاج'!$C$2:$C$501,الطبخات!$A$2:$A$900)),3))</f>
        <v>0</v>
      </c>
      <c r="E240" s="5" t="str">
        <f t="shared" si="3"/>
        <v>✔ طبيعي</v>
      </c>
      <c r="F240" s="5" t="str">
        <f>IF(AND($A240&lt;&gt;"",$E240&lt;&gt;"✔ طبيعي"),SUMPRODUCT(('الرصيد الحالي'!$E$2:$E240&lt;&gt;"✔ طبيعي")*('الرصيد الحالي'!$E$2:$E240&lt;&gt;"")*('الرصيد الحالي'!$A$2:$A240&lt;&gt;"")),"")</f>
        <v/>
      </c>
    </row>
    <row r="241" spans="1:6" ht="24" customHeight="1">
      <c r="A241" s="3">
        <f>المواد!A241</f>
        <v>0</v>
      </c>
      <c r="B241" s="5">
        <f>المواد!B241</f>
        <v>0</v>
      </c>
      <c r="C241" s="4">
        <f>IF($A241="","",ROUND(SUMIFS(الإدخالات!$D$2:$D$501,الإدخالات!$C$2:$C$501,$A241)+SUMIFS('تعديل الجرد'!$F$2:$F$501,'تعديل الجرد'!$C$2:$C$501,$A241)-SUMIFS('الصرف المباشر'!$D$2:$D$501,'الصرف المباشر'!$C$2:$C$501,$A241)-SUMPRODUCT((الطبخات!$B$2:$B$900=$A241)*الطبخات!$C$2:$C$900*COUNTIF('سجل الإنتاج'!$C$2:$C$501,الطبخات!$A$2:$A$900)),3))</f>
        <v>0</v>
      </c>
      <c r="D241" s="4">
        <f>IF($A241="","",ROUND(SUMIFS('الصرف المباشر'!$D$2:$D$501,'الصرف المباشر'!$C$2:$C$501,$A241)+SUMPRODUCT((الطبخات!$B$2:$B$900=$A241)*الطبخات!$C$2:$C$900*COUNTIF('سجل الإنتاج'!$C$2:$C$501,الطبخات!$A$2:$A$900)),3))</f>
        <v>0</v>
      </c>
      <c r="E241" s="5" t="str">
        <f t="shared" si="3"/>
        <v>✔ طبيعي</v>
      </c>
      <c r="F241" s="5" t="str">
        <f>IF(AND($A241&lt;&gt;"",$E241&lt;&gt;"✔ طبيعي"),SUMPRODUCT(('الرصيد الحالي'!$E$2:$E241&lt;&gt;"✔ طبيعي")*('الرصيد الحالي'!$E$2:$E241&lt;&gt;"")*('الرصيد الحالي'!$A$2:$A241&lt;&gt;"")),"")</f>
        <v/>
      </c>
    </row>
    <row r="242" spans="1:6" ht="24" customHeight="1">
      <c r="A242" s="3">
        <f>المواد!A242</f>
        <v>0</v>
      </c>
      <c r="B242" s="5">
        <f>المواد!B242</f>
        <v>0</v>
      </c>
      <c r="C242" s="4">
        <f>IF($A242="","",ROUND(SUMIFS(الإدخالات!$D$2:$D$501,الإدخالات!$C$2:$C$501,$A242)+SUMIFS('تعديل الجرد'!$F$2:$F$501,'تعديل الجرد'!$C$2:$C$501,$A242)-SUMIFS('الصرف المباشر'!$D$2:$D$501,'الصرف المباشر'!$C$2:$C$501,$A242)-SUMPRODUCT((الطبخات!$B$2:$B$900=$A242)*الطبخات!$C$2:$C$900*COUNTIF('سجل الإنتاج'!$C$2:$C$501,الطبخات!$A$2:$A$900)),3))</f>
        <v>0</v>
      </c>
      <c r="D242" s="4">
        <f>IF($A242="","",ROUND(SUMIFS('الصرف المباشر'!$D$2:$D$501,'الصرف المباشر'!$C$2:$C$501,$A242)+SUMPRODUCT((الطبخات!$B$2:$B$900=$A242)*الطبخات!$C$2:$C$900*COUNTIF('سجل الإنتاج'!$C$2:$C$501,الطبخات!$A$2:$A$900)),3))</f>
        <v>0</v>
      </c>
      <c r="E242" s="5" t="str">
        <f t="shared" si="3"/>
        <v>✔ طبيعي</v>
      </c>
      <c r="F242" s="5" t="str">
        <f>IF(AND($A242&lt;&gt;"",$E242&lt;&gt;"✔ طبيعي"),SUMPRODUCT(('الرصيد الحالي'!$E$2:$E242&lt;&gt;"✔ طبيعي")*('الرصيد الحالي'!$E$2:$E242&lt;&gt;"")*('الرصيد الحالي'!$A$2:$A242&lt;&gt;"")),"")</f>
        <v/>
      </c>
    </row>
    <row r="243" spans="1:6" ht="24" customHeight="1">
      <c r="A243" s="3">
        <f>المواد!A243</f>
        <v>0</v>
      </c>
      <c r="B243" s="5">
        <f>المواد!B243</f>
        <v>0</v>
      </c>
      <c r="C243" s="4">
        <f>IF($A243="","",ROUND(SUMIFS(الإدخالات!$D$2:$D$501,الإدخالات!$C$2:$C$501,$A243)+SUMIFS('تعديل الجرد'!$F$2:$F$501,'تعديل الجرد'!$C$2:$C$501,$A243)-SUMIFS('الصرف المباشر'!$D$2:$D$501,'الصرف المباشر'!$C$2:$C$501,$A243)-SUMPRODUCT((الطبخات!$B$2:$B$900=$A243)*الطبخات!$C$2:$C$900*COUNTIF('سجل الإنتاج'!$C$2:$C$501,الطبخات!$A$2:$A$900)),3))</f>
        <v>0</v>
      </c>
      <c r="D243" s="4">
        <f>IF($A243="","",ROUND(SUMIFS('الصرف المباشر'!$D$2:$D$501,'الصرف المباشر'!$C$2:$C$501,$A243)+SUMPRODUCT((الطبخات!$B$2:$B$900=$A243)*الطبخات!$C$2:$C$900*COUNTIF('سجل الإنتاج'!$C$2:$C$501,الطبخات!$A$2:$A$900)),3))</f>
        <v>0</v>
      </c>
      <c r="E243" s="5" t="str">
        <f t="shared" si="3"/>
        <v>✔ طبيعي</v>
      </c>
      <c r="F243" s="5" t="str">
        <f>IF(AND($A243&lt;&gt;"",$E243&lt;&gt;"✔ طبيعي"),SUMPRODUCT(('الرصيد الحالي'!$E$2:$E243&lt;&gt;"✔ طبيعي")*('الرصيد الحالي'!$E$2:$E243&lt;&gt;"")*('الرصيد الحالي'!$A$2:$A243&lt;&gt;"")),"")</f>
        <v/>
      </c>
    </row>
    <row r="244" spans="1:6" ht="24" customHeight="1">
      <c r="A244" s="3">
        <f>المواد!A244</f>
        <v>0</v>
      </c>
      <c r="B244" s="5">
        <f>المواد!B244</f>
        <v>0</v>
      </c>
      <c r="C244" s="4">
        <f>IF($A244="","",ROUND(SUMIFS(الإدخالات!$D$2:$D$501,الإدخالات!$C$2:$C$501,$A244)+SUMIFS('تعديل الجرد'!$F$2:$F$501,'تعديل الجرد'!$C$2:$C$501,$A244)-SUMIFS('الصرف المباشر'!$D$2:$D$501,'الصرف المباشر'!$C$2:$C$501,$A244)-SUMPRODUCT((الطبخات!$B$2:$B$900=$A244)*الطبخات!$C$2:$C$900*COUNTIF('سجل الإنتاج'!$C$2:$C$501,الطبخات!$A$2:$A$900)),3))</f>
        <v>0</v>
      </c>
      <c r="D244" s="4">
        <f>IF($A244="","",ROUND(SUMIFS('الصرف المباشر'!$D$2:$D$501,'الصرف المباشر'!$C$2:$C$501,$A244)+SUMPRODUCT((الطبخات!$B$2:$B$900=$A244)*الطبخات!$C$2:$C$900*COUNTIF('سجل الإنتاج'!$C$2:$C$501,الطبخات!$A$2:$A$900)),3))</f>
        <v>0</v>
      </c>
      <c r="E244" s="5" t="str">
        <f t="shared" si="3"/>
        <v>✔ طبيعي</v>
      </c>
      <c r="F244" s="5" t="str">
        <f>IF(AND($A244&lt;&gt;"",$E244&lt;&gt;"✔ طبيعي"),SUMPRODUCT(('الرصيد الحالي'!$E$2:$E244&lt;&gt;"✔ طبيعي")*('الرصيد الحالي'!$E$2:$E244&lt;&gt;"")*('الرصيد الحالي'!$A$2:$A244&lt;&gt;"")),"")</f>
        <v/>
      </c>
    </row>
    <row r="245" spans="1:6" ht="24" customHeight="1">
      <c r="A245" s="3">
        <f>المواد!A245</f>
        <v>0</v>
      </c>
      <c r="B245" s="5">
        <f>المواد!B245</f>
        <v>0</v>
      </c>
      <c r="C245" s="4">
        <f>IF($A245="","",ROUND(SUMIFS(الإدخالات!$D$2:$D$501,الإدخالات!$C$2:$C$501,$A245)+SUMIFS('تعديل الجرد'!$F$2:$F$501,'تعديل الجرد'!$C$2:$C$501,$A245)-SUMIFS('الصرف المباشر'!$D$2:$D$501,'الصرف المباشر'!$C$2:$C$501,$A245)-SUMPRODUCT((الطبخات!$B$2:$B$900=$A245)*الطبخات!$C$2:$C$900*COUNTIF('سجل الإنتاج'!$C$2:$C$501,الطبخات!$A$2:$A$900)),3))</f>
        <v>0</v>
      </c>
      <c r="D245" s="4">
        <f>IF($A245="","",ROUND(SUMIFS('الصرف المباشر'!$D$2:$D$501,'الصرف المباشر'!$C$2:$C$501,$A245)+SUMPRODUCT((الطبخات!$B$2:$B$900=$A245)*الطبخات!$C$2:$C$900*COUNTIF('سجل الإنتاج'!$C$2:$C$501,الطبخات!$A$2:$A$900)),3))</f>
        <v>0</v>
      </c>
      <c r="E245" s="5" t="str">
        <f t="shared" si="3"/>
        <v>✔ طبيعي</v>
      </c>
      <c r="F245" s="5" t="str">
        <f>IF(AND($A245&lt;&gt;"",$E245&lt;&gt;"✔ طبيعي"),SUMPRODUCT(('الرصيد الحالي'!$E$2:$E245&lt;&gt;"✔ طبيعي")*('الرصيد الحالي'!$E$2:$E245&lt;&gt;"")*('الرصيد الحالي'!$A$2:$A245&lt;&gt;"")),"")</f>
        <v/>
      </c>
    </row>
    <row r="246" spans="1:6" ht="24" customHeight="1">
      <c r="A246" s="3">
        <f>المواد!A246</f>
        <v>0</v>
      </c>
      <c r="B246" s="5">
        <f>المواد!B246</f>
        <v>0</v>
      </c>
      <c r="C246" s="4">
        <f>IF($A246="","",ROUND(SUMIFS(الإدخالات!$D$2:$D$501,الإدخالات!$C$2:$C$501,$A246)+SUMIFS('تعديل الجرد'!$F$2:$F$501,'تعديل الجرد'!$C$2:$C$501,$A246)-SUMIFS('الصرف المباشر'!$D$2:$D$501,'الصرف المباشر'!$C$2:$C$501,$A246)-SUMPRODUCT((الطبخات!$B$2:$B$900=$A246)*الطبخات!$C$2:$C$900*COUNTIF('سجل الإنتاج'!$C$2:$C$501,الطبخات!$A$2:$A$900)),3))</f>
        <v>0</v>
      </c>
      <c r="D246" s="4">
        <f>IF($A246="","",ROUND(SUMIFS('الصرف المباشر'!$D$2:$D$501,'الصرف المباشر'!$C$2:$C$501,$A246)+SUMPRODUCT((الطبخات!$B$2:$B$900=$A246)*الطبخات!$C$2:$C$900*COUNTIF('سجل الإنتاج'!$C$2:$C$501,الطبخات!$A$2:$A$900)),3))</f>
        <v>0</v>
      </c>
      <c r="E246" s="5" t="str">
        <f t="shared" si="3"/>
        <v>✔ طبيعي</v>
      </c>
      <c r="F246" s="5" t="str">
        <f>IF(AND($A246&lt;&gt;"",$E246&lt;&gt;"✔ طبيعي"),SUMPRODUCT(('الرصيد الحالي'!$E$2:$E246&lt;&gt;"✔ طبيعي")*('الرصيد الحالي'!$E$2:$E246&lt;&gt;"")*('الرصيد الحالي'!$A$2:$A246&lt;&gt;"")),"")</f>
        <v/>
      </c>
    </row>
    <row r="247" spans="1:6" ht="24" customHeight="1">
      <c r="A247" s="3">
        <f>المواد!A247</f>
        <v>0</v>
      </c>
      <c r="B247" s="5">
        <f>المواد!B247</f>
        <v>0</v>
      </c>
      <c r="C247" s="4">
        <f>IF($A247="","",ROUND(SUMIFS(الإدخالات!$D$2:$D$501,الإدخالات!$C$2:$C$501,$A247)+SUMIFS('تعديل الجرد'!$F$2:$F$501,'تعديل الجرد'!$C$2:$C$501,$A247)-SUMIFS('الصرف المباشر'!$D$2:$D$501,'الصرف المباشر'!$C$2:$C$501,$A247)-SUMPRODUCT((الطبخات!$B$2:$B$900=$A247)*الطبخات!$C$2:$C$900*COUNTIF('سجل الإنتاج'!$C$2:$C$501,الطبخات!$A$2:$A$900)),3))</f>
        <v>0</v>
      </c>
      <c r="D247" s="4">
        <f>IF($A247="","",ROUND(SUMIFS('الصرف المباشر'!$D$2:$D$501,'الصرف المباشر'!$C$2:$C$501,$A247)+SUMPRODUCT((الطبخات!$B$2:$B$900=$A247)*الطبخات!$C$2:$C$900*COUNTIF('سجل الإنتاج'!$C$2:$C$501,الطبخات!$A$2:$A$900)),3))</f>
        <v>0</v>
      </c>
      <c r="E247" s="5" t="str">
        <f t="shared" si="3"/>
        <v>✔ طبيعي</v>
      </c>
      <c r="F247" s="5" t="str">
        <f>IF(AND($A247&lt;&gt;"",$E247&lt;&gt;"✔ طبيعي"),SUMPRODUCT(('الرصيد الحالي'!$E$2:$E247&lt;&gt;"✔ طبيعي")*('الرصيد الحالي'!$E$2:$E247&lt;&gt;"")*('الرصيد الحالي'!$A$2:$A247&lt;&gt;"")),"")</f>
        <v/>
      </c>
    </row>
    <row r="248" spans="1:6" ht="24" customHeight="1">
      <c r="A248" s="3">
        <f>المواد!A248</f>
        <v>0</v>
      </c>
      <c r="B248" s="5">
        <f>المواد!B248</f>
        <v>0</v>
      </c>
      <c r="C248" s="4">
        <f>IF($A248="","",ROUND(SUMIFS(الإدخالات!$D$2:$D$501,الإدخالات!$C$2:$C$501,$A248)+SUMIFS('تعديل الجرد'!$F$2:$F$501,'تعديل الجرد'!$C$2:$C$501,$A248)-SUMIFS('الصرف المباشر'!$D$2:$D$501,'الصرف المباشر'!$C$2:$C$501,$A248)-SUMPRODUCT((الطبخات!$B$2:$B$900=$A248)*الطبخات!$C$2:$C$900*COUNTIF('سجل الإنتاج'!$C$2:$C$501,الطبخات!$A$2:$A$900)),3))</f>
        <v>0</v>
      </c>
      <c r="D248" s="4">
        <f>IF($A248="","",ROUND(SUMIFS('الصرف المباشر'!$D$2:$D$501,'الصرف المباشر'!$C$2:$C$501,$A248)+SUMPRODUCT((الطبخات!$B$2:$B$900=$A248)*الطبخات!$C$2:$C$900*COUNTIF('سجل الإنتاج'!$C$2:$C$501,الطبخات!$A$2:$A$900)),3))</f>
        <v>0</v>
      </c>
      <c r="E248" s="5" t="str">
        <f t="shared" si="3"/>
        <v>✔ طبيعي</v>
      </c>
      <c r="F248" s="5" t="str">
        <f>IF(AND($A248&lt;&gt;"",$E248&lt;&gt;"✔ طبيعي"),SUMPRODUCT(('الرصيد الحالي'!$E$2:$E248&lt;&gt;"✔ طبيعي")*('الرصيد الحالي'!$E$2:$E248&lt;&gt;"")*('الرصيد الحالي'!$A$2:$A248&lt;&gt;"")),"")</f>
        <v/>
      </c>
    </row>
    <row r="249" spans="1:6" ht="24" customHeight="1">
      <c r="A249" s="3">
        <f>المواد!A249</f>
        <v>0</v>
      </c>
      <c r="B249" s="5">
        <f>المواد!B249</f>
        <v>0</v>
      </c>
      <c r="C249" s="4">
        <f>IF($A249="","",ROUND(SUMIFS(الإدخالات!$D$2:$D$501,الإدخالات!$C$2:$C$501,$A249)+SUMIFS('تعديل الجرد'!$F$2:$F$501,'تعديل الجرد'!$C$2:$C$501,$A249)-SUMIFS('الصرف المباشر'!$D$2:$D$501,'الصرف المباشر'!$C$2:$C$501,$A249)-SUMPRODUCT((الطبخات!$B$2:$B$900=$A249)*الطبخات!$C$2:$C$900*COUNTIF('سجل الإنتاج'!$C$2:$C$501,الطبخات!$A$2:$A$900)),3))</f>
        <v>0</v>
      </c>
      <c r="D249" s="4">
        <f>IF($A249="","",ROUND(SUMIFS('الصرف المباشر'!$D$2:$D$501,'الصرف المباشر'!$C$2:$C$501,$A249)+SUMPRODUCT((الطبخات!$B$2:$B$900=$A249)*الطبخات!$C$2:$C$900*COUNTIF('سجل الإنتاج'!$C$2:$C$501,الطبخات!$A$2:$A$900)),3))</f>
        <v>0</v>
      </c>
      <c r="E249" s="5" t="str">
        <f t="shared" si="3"/>
        <v>✔ طبيعي</v>
      </c>
      <c r="F249" s="5" t="str">
        <f>IF(AND($A249&lt;&gt;"",$E249&lt;&gt;"✔ طبيعي"),SUMPRODUCT(('الرصيد الحالي'!$E$2:$E249&lt;&gt;"✔ طبيعي")*('الرصيد الحالي'!$E$2:$E249&lt;&gt;"")*('الرصيد الحالي'!$A$2:$A249&lt;&gt;"")),"")</f>
        <v/>
      </c>
    </row>
    <row r="250" spans="1:6" ht="24" customHeight="1">
      <c r="A250" s="3">
        <f>المواد!A250</f>
        <v>0</v>
      </c>
      <c r="B250" s="5">
        <f>المواد!B250</f>
        <v>0</v>
      </c>
      <c r="C250" s="4">
        <f>IF($A250="","",ROUND(SUMIFS(الإدخالات!$D$2:$D$501,الإدخالات!$C$2:$C$501,$A250)+SUMIFS('تعديل الجرد'!$F$2:$F$501,'تعديل الجرد'!$C$2:$C$501,$A250)-SUMIFS('الصرف المباشر'!$D$2:$D$501,'الصرف المباشر'!$C$2:$C$501,$A250)-SUMPRODUCT((الطبخات!$B$2:$B$900=$A250)*الطبخات!$C$2:$C$900*COUNTIF('سجل الإنتاج'!$C$2:$C$501,الطبخات!$A$2:$A$900)),3))</f>
        <v>0</v>
      </c>
      <c r="D250" s="4">
        <f>IF($A250="","",ROUND(SUMIFS('الصرف المباشر'!$D$2:$D$501,'الصرف المباشر'!$C$2:$C$501,$A250)+SUMPRODUCT((الطبخات!$B$2:$B$900=$A250)*الطبخات!$C$2:$C$900*COUNTIF('سجل الإنتاج'!$C$2:$C$501,الطبخات!$A$2:$A$900)),3))</f>
        <v>0</v>
      </c>
      <c r="E250" s="5" t="str">
        <f t="shared" si="3"/>
        <v>✔ طبيعي</v>
      </c>
      <c r="F250" s="5" t="str">
        <f>IF(AND($A250&lt;&gt;"",$E250&lt;&gt;"✔ طبيعي"),SUMPRODUCT(('الرصيد الحالي'!$E$2:$E250&lt;&gt;"✔ طبيعي")*('الرصيد الحالي'!$E$2:$E250&lt;&gt;"")*('الرصيد الحالي'!$A$2:$A250&lt;&gt;"")),"")</f>
        <v/>
      </c>
    </row>
    <row r="251" spans="1:6" ht="24" customHeight="1">
      <c r="A251" s="3">
        <f>المواد!A251</f>
        <v>0</v>
      </c>
      <c r="B251" s="5">
        <f>المواد!B251</f>
        <v>0</v>
      </c>
      <c r="C251" s="4">
        <f>IF($A251="","",ROUND(SUMIFS(الإدخالات!$D$2:$D$501,الإدخالات!$C$2:$C$501,$A251)+SUMIFS('تعديل الجرد'!$F$2:$F$501,'تعديل الجرد'!$C$2:$C$501,$A251)-SUMIFS('الصرف المباشر'!$D$2:$D$501,'الصرف المباشر'!$C$2:$C$501,$A251)-SUMPRODUCT((الطبخات!$B$2:$B$900=$A251)*الطبخات!$C$2:$C$900*COUNTIF('سجل الإنتاج'!$C$2:$C$501,الطبخات!$A$2:$A$900)),3))</f>
        <v>0</v>
      </c>
      <c r="D251" s="4">
        <f>IF($A251="","",ROUND(SUMIFS('الصرف المباشر'!$D$2:$D$501,'الصرف المباشر'!$C$2:$C$501,$A251)+SUMPRODUCT((الطبخات!$B$2:$B$900=$A251)*الطبخات!$C$2:$C$900*COUNTIF('سجل الإنتاج'!$C$2:$C$501,الطبخات!$A$2:$A$900)),3))</f>
        <v>0</v>
      </c>
      <c r="E251" s="5" t="str">
        <f t="shared" si="3"/>
        <v>✔ طبيعي</v>
      </c>
      <c r="F251" s="5" t="str">
        <f>IF(AND($A251&lt;&gt;"",$E251&lt;&gt;"✔ طبيعي"),SUMPRODUCT(('الرصيد الحالي'!$E$2:$E251&lt;&gt;"✔ طبيعي")*('الرصيد الحالي'!$E$2:$E251&lt;&gt;"")*('الرصيد الحالي'!$A$2:$A251&lt;&gt;"")),"")</f>
        <v/>
      </c>
    </row>
    <row r="252" spans="1:6" ht="24" customHeight="1">
      <c r="A252" s="3">
        <f>المواد!A252</f>
        <v>0</v>
      </c>
      <c r="B252" s="5">
        <f>المواد!B252</f>
        <v>0</v>
      </c>
      <c r="C252" s="4">
        <f>IF($A252="","",ROUND(SUMIFS(الإدخالات!$D$2:$D$501,الإدخالات!$C$2:$C$501,$A252)+SUMIFS('تعديل الجرد'!$F$2:$F$501,'تعديل الجرد'!$C$2:$C$501,$A252)-SUMIFS('الصرف المباشر'!$D$2:$D$501,'الصرف المباشر'!$C$2:$C$501,$A252)-SUMPRODUCT((الطبخات!$B$2:$B$900=$A252)*الطبخات!$C$2:$C$900*COUNTIF('سجل الإنتاج'!$C$2:$C$501,الطبخات!$A$2:$A$900)),3))</f>
        <v>0</v>
      </c>
      <c r="D252" s="4">
        <f>IF($A252="","",ROUND(SUMIFS('الصرف المباشر'!$D$2:$D$501,'الصرف المباشر'!$C$2:$C$501,$A252)+SUMPRODUCT((الطبخات!$B$2:$B$900=$A252)*الطبخات!$C$2:$C$900*COUNTIF('سجل الإنتاج'!$C$2:$C$501,الطبخات!$A$2:$A$900)),3))</f>
        <v>0</v>
      </c>
      <c r="E252" s="5" t="str">
        <f t="shared" si="3"/>
        <v>✔ طبيعي</v>
      </c>
      <c r="F252" s="5" t="str">
        <f>IF(AND($A252&lt;&gt;"",$E252&lt;&gt;"✔ طبيعي"),SUMPRODUCT(('الرصيد الحالي'!$E$2:$E252&lt;&gt;"✔ طبيعي")*('الرصيد الحالي'!$E$2:$E252&lt;&gt;"")*('الرصيد الحالي'!$A$2:$A252&lt;&gt;"")),"")</f>
        <v/>
      </c>
    </row>
    <row r="253" spans="1:6" ht="24" customHeight="1">
      <c r="A253" s="3">
        <f>المواد!A253</f>
        <v>0</v>
      </c>
      <c r="B253" s="5">
        <f>المواد!B253</f>
        <v>0</v>
      </c>
      <c r="C253" s="4">
        <f>IF($A253="","",ROUND(SUMIFS(الإدخالات!$D$2:$D$501,الإدخالات!$C$2:$C$501,$A253)+SUMIFS('تعديل الجرد'!$F$2:$F$501,'تعديل الجرد'!$C$2:$C$501,$A253)-SUMIFS('الصرف المباشر'!$D$2:$D$501,'الصرف المباشر'!$C$2:$C$501,$A253)-SUMPRODUCT((الطبخات!$B$2:$B$900=$A253)*الطبخات!$C$2:$C$900*COUNTIF('سجل الإنتاج'!$C$2:$C$501,الطبخات!$A$2:$A$900)),3))</f>
        <v>0</v>
      </c>
      <c r="D253" s="4">
        <f>IF($A253="","",ROUND(SUMIFS('الصرف المباشر'!$D$2:$D$501,'الصرف المباشر'!$C$2:$C$501,$A253)+SUMPRODUCT((الطبخات!$B$2:$B$900=$A253)*الطبخات!$C$2:$C$900*COUNTIF('سجل الإنتاج'!$C$2:$C$501,الطبخات!$A$2:$A$900)),3))</f>
        <v>0</v>
      </c>
      <c r="E253" s="5" t="str">
        <f t="shared" si="3"/>
        <v>✔ طبيعي</v>
      </c>
      <c r="F253" s="5" t="str">
        <f>IF(AND($A253&lt;&gt;"",$E253&lt;&gt;"✔ طبيعي"),SUMPRODUCT(('الرصيد الحالي'!$E$2:$E253&lt;&gt;"✔ طبيعي")*('الرصيد الحالي'!$E$2:$E253&lt;&gt;"")*('الرصيد الحالي'!$A$2:$A253&lt;&gt;"")),"")</f>
        <v/>
      </c>
    </row>
    <row r="254" spans="1:6" ht="24" customHeight="1">
      <c r="A254" s="3">
        <f>المواد!A254</f>
        <v>0</v>
      </c>
      <c r="B254" s="5">
        <f>المواد!B254</f>
        <v>0</v>
      </c>
      <c r="C254" s="4">
        <f>IF($A254="","",ROUND(SUMIFS(الإدخالات!$D$2:$D$501,الإدخالات!$C$2:$C$501,$A254)+SUMIFS('تعديل الجرد'!$F$2:$F$501,'تعديل الجرد'!$C$2:$C$501,$A254)-SUMIFS('الصرف المباشر'!$D$2:$D$501,'الصرف المباشر'!$C$2:$C$501,$A254)-SUMPRODUCT((الطبخات!$B$2:$B$900=$A254)*الطبخات!$C$2:$C$900*COUNTIF('سجل الإنتاج'!$C$2:$C$501,الطبخات!$A$2:$A$900)),3))</f>
        <v>0</v>
      </c>
      <c r="D254" s="4">
        <f>IF($A254="","",ROUND(SUMIFS('الصرف المباشر'!$D$2:$D$501,'الصرف المباشر'!$C$2:$C$501,$A254)+SUMPRODUCT((الطبخات!$B$2:$B$900=$A254)*الطبخات!$C$2:$C$900*COUNTIF('سجل الإنتاج'!$C$2:$C$501,الطبخات!$A$2:$A$900)),3))</f>
        <v>0</v>
      </c>
      <c r="E254" s="5" t="str">
        <f t="shared" si="3"/>
        <v>✔ طبيعي</v>
      </c>
      <c r="F254" s="5" t="str">
        <f>IF(AND($A254&lt;&gt;"",$E254&lt;&gt;"✔ طبيعي"),SUMPRODUCT(('الرصيد الحالي'!$E$2:$E254&lt;&gt;"✔ طبيعي")*('الرصيد الحالي'!$E$2:$E254&lt;&gt;"")*('الرصيد الحالي'!$A$2:$A254&lt;&gt;"")),"")</f>
        <v/>
      </c>
    </row>
    <row r="255" spans="1:6" ht="24" customHeight="1">
      <c r="A255" s="3">
        <f>المواد!A255</f>
        <v>0</v>
      </c>
      <c r="B255" s="5">
        <f>المواد!B255</f>
        <v>0</v>
      </c>
      <c r="C255" s="4">
        <f>IF($A255="","",ROUND(SUMIFS(الإدخالات!$D$2:$D$501,الإدخالات!$C$2:$C$501,$A255)+SUMIFS('تعديل الجرد'!$F$2:$F$501,'تعديل الجرد'!$C$2:$C$501,$A255)-SUMIFS('الصرف المباشر'!$D$2:$D$501,'الصرف المباشر'!$C$2:$C$501,$A255)-SUMPRODUCT((الطبخات!$B$2:$B$900=$A255)*الطبخات!$C$2:$C$900*COUNTIF('سجل الإنتاج'!$C$2:$C$501,الطبخات!$A$2:$A$900)),3))</f>
        <v>0</v>
      </c>
      <c r="D255" s="4">
        <f>IF($A255="","",ROUND(SUMIFS('الصرف المباشر'!$D$2:$D$501,'الصرف المباشر'!$C$2:$C$501,$A255)+SUMPRODUCT((الطبخات!$B$2:$B$900=$A255)*الطبخات!$C$2:$C$900*COUNTIF('سجل الإنتاج'!$C$2:$C$501,الطبخات!$A$2:$A$900)),3))</f>
        <v>0</v>
      </c>
      <c r="E255" s="5" t="str">
        <f t="shared" si="3"/>
        <v>✔ طبيعي</v>
      </c>
      <c r="F255" s="5" t="str">
        <f>IF(AND($A255&lt;&gt;"",$E255&lt;&gt;"✔ طبيعي"),SUMPRODUCT(('الرصيد الحالي'!$E$2:$E255&lt;&gt;"✔ طبيعي")*('الرصيد الحالي'!$E$2:$E255&lt;&gt;"")*('الرصيد الحالي'!$A$2:$A255&lt;&gt;"")),"")</f>
        <v/>
      </c>
    </row>
    <row r="256" spans="1:6" ht="24" customHeight="1">
      <c r="A256" s="3">
        <f>المواد!A256</f>
        <v>0</v>
      </c>
      <c r="B256" s="5">
        <f>المواد!B256</f>
        <v>0</v>
      </c>
      <c r="C256" s="4">
        <f>IF($A256="","",ROUND(SUMIFS(الإدخالات!$D$2:$D$501,الإدخالات!$C$2:$C$501,$A256)+SUMIFS('تعديل الجرد'!$F$2:$F$501,'تعديل الجرد'!$C$2:$C$501,$A256)-SUMIFS('الصرف المباشر'!$D$2:$D$501,'الصرف المباشر'!$C$2:$C$501,$A256)-SUMPRODUCT((الطبخات!$B$2:$B$900=$A256)*الطبخات!$C$2:$C$900*COUNTIF('سجل الإنتاج'!$C$2:$C$501,الطبخات!$A$2:$A$900)),3))</f>
        <v>0</v>
      </c>
      <c r="D256" s="4">
        <f>IF($A256="","",ROUND(SUMIFS('الصرف المباشر'!$D$2:$D$501,'الصرف المباشر'!$C$2:$C$501,$A256)+SUMPRODUCT((الطبخات!$B$2:$B$900=$A256)*الطبخات!$C$2:$C$900*COUNTIF('سجل الإنتاج'!$C$2:$C$501,الطبخات!$A$2:$A$900)),3))</f>
        <v>0</v>
      </c>
      <c r="E256" s="5" t="str">
        <f t="shared" si="3"/>
        <v>✔ طبيعي</v>
      </c>
      <c r="F256" s="5" t="str">
        <f>IF(AND($A256&lt;&gt;"",$E256&lt;&gt;"✔ طبيعي"),SUMPRODUCT(('الرصيد الحالي'!$E$2:$E256&lt;&gt;"✔ طبيعي")*('الرصيد الحالي'!$E$2:$E256&lt;&gt;"")*('الرصيد الحالي'!$A$2:$A256&lt;&gt;"")),"")</f>
        <v/>
      </c>
    </row>
    <row r="257" spans="1:6" ht="24" customHeight="1">
      <c r="A257" s="3">
        <f>المواد!A257</f>
        <v>0</v>
      </c>
      <c r="B257" s="5">
        <f>المواد!B257</f>
        <v>0</v>
      </c>
      <c r="C257" s="4">
        <f>IF($A257="","",ROUND(SUMIFS(الإدخالات!$D$2:$D$501,الإدخالات!$C$2:$C$501,$A257)+SUMIFS('تعديل الجرد'!$F$2:$F$501,'تعديل الجرد'!$C$2:$C$501,$A257)-SUMIFS('الصرف المباشر'!$D$2:$D$501,'الصرف المباشر'!$C$2:$C$501,$A257)-SUMPRODUCT((الطبخات!$B$2:$B$900=$A257)*الطبخات!$C$2:$C$900*COUNTIF('سجل الإنتاج'!$C$2:$C$501,الطبخات!$A$2:$A$900)),3))</f>
        <v>0</v>
      </c>
      <c r="D257" s="4">
        <f>IF($A257="","",ROUND(SUMIFS('الصرف المباشر'!$D$2:$D$501,'الصرف المباشر'!$C$2:$C$501,$A257)+SUMPRODUCT((الطبخات!$B$2:$B$900=$A257)*الطبخات!$C$2:$C$900*COUNTIF('سجل الإنتاج'!$C$2:$C$501,الطبخات!$A$2:$A$900)),3))</f>
        <v>0</v>
      </c>
      <c r="E257" s="5" t="str">
        <f t="shared" si="3"/>
        <v>✔ طبيعي</v>
      </c>
      <c r="F257" s="5" t="str">
        <f>IF(AND($A257&lt;&gt;"",$E257&lt;&gt;"✔ طبيعي"),SUMPRODUCT(('الرصيد الحالي'!$E$2:$E257&lt;&gt;"✔ طبيعي")*('الرصيد الحالي'!$E$2:$E257&lt;&gt;"")*('الرصيد الحالي'!$A$2:$A257&lt;&gt;"")),"")</f>
        <v/>
      </c>
    </row>
    <row r="258" spans="1:6" ht="24" customHeight="1">
      <c r="A258" s="3">
        <f>المواد!A258</f>
        <v>0</v>
      </c>
      <c r="B258" s="5">
        <f>المواد!B258</f>
        <v>0</v>
      </c>
      <c r="C258" s="4">
        <f>IF($A258="","",ROUND(SUMIFS(الإدخالات!$D$2:$D$501,الإدخالات!$C$2:$C$501,$A258)+SUMIFS('تعديل الجرد'!$F$2:$F$501,'تعديل الجرد'!$C$2:$C$501,$A258)-SUMIFS('الصرف المباشر'!$D$2:$D$501,'الصرف المباشر'!$C$2:$C$501,$A258)-SUMPRODUCT((الطبخات!$B$2:$B$900=$A258)*الطبخات!$C$2:$C$900*COUNTIF('سجل الإنتاج'!$C$2:$C$501,الطبخات!$A$2:$A$900)),3))</f>
        <v>0</v>
      </c>
      <c r="D258" s="4">
        <f>IF($A258="","",ROUND(SUMIFS('الصرف المباشر'!$D$2:$D$501,'الصرف المباشر'!$C$2:$C$501,$A258)+SUMPRODUCT((الطبخات!$B$2:$B$900=$A258)*الطبخات!$C$2:$C$900*COUNTIF('سجل الإنتاج'!$C$2:$C$501,الطبخات!$A$2:$A$900)),3))</f>
        <v>0</v>
      </c>
      <c r="E258" s="5" t="str">
        <f t="shared" ref="E258:E320" si="4">IF($A258="","",IF($C258&lt;0,"❌ رصيد سالب - يحتاج مراجعة","✔ طبيعي"))</f>
        <v>✔ طبيعي</v>
      </c>
      <c r="F258" s="5" t="str">
        <f>IF(AND($A258&lt;&gt;"",$E258&lt;&gt;"✔ طبيعي"),SUMPRODUCT(('الرصيد الحالي'!$E$2:$E258&lt;&gt;"✔ طبيعي")*('الرصيد الحالي'!$E$2:$E258&lt;&gt;"")*('الرصيد الحالي'!$A$2:$A258&lt;&gt;"")),"")</f>
        <v/>
      </c>
    </row>
    <row r="259" spans="1:6" ht="24" customHeight="1">
      <c r="A259" s="3">
        <f>المواد!A259</f>
        <v>0</v>
      </c>
      <c r="B259" s="5">
        <f>المواد!B259</f>
        <v>0</v>
      </c>
      <c r="C259" s="4">
        <f>IF($A259="","",ROUND(SUMIFS(الإدخالات!$D$2:$D$501,الإدخالات!$C$2:$C$501,$A259)+SUMIFS('تعديل الجرد'!$F$2:$F$501,'تعديل الجرد'!$C$2:$C$501,$A259)-SUMIFS('الصرف المباشر'!$D$2:$D$501,'الصرف المباشر'!$C$2:$C$501,$A259)-SUMPRODUCT((الطبخات!$B$2:$B$900=$A259)*الطبخات!$C$2:$C$900*COUNTIF('سجل الإنتاج'!$C$2:$C$501,الطبخات!$A$2:$A$900)),3))</f>
        <v>0</v>
      </c>
      <c r="D259" s="4">
        <f>IF($A259="","",ROUND(SUMIFS('الصرف المباشر'!$D$2:$D$501,'الصرف المباشر'!$C$2:$C$501,$A259)+SUMPRODUCT((الطبخات!$B$2:$B$900=$A259)*الطبخات!$C$2:$C$900*COUNTIF('سجل الإنتاج'!$C$2:$C$501,الطبخات!$A$2:$A$900)),3))</f>
        <v>0</v>
      </c>
      <c r="E259" s="5" t="str">
        <f t="shared" si="4"/>
        <v>✔ طبيعي</v>
      </c>
      <c r="F259" s="5" t="str">
        <f>IF(AND($A259&lt;&gt;"",$E259&lt;&gt;"✔ طبيعي"),SUMPRODUCT(('الرصيد الحالي'!$E$2:$E259&lt;&gt;"✔ طبيعي")*('الرصيد الحالي'!$E$2:$E259&lt;&gt;"")*('الرصيد الحالي'!$A$2:$A259&lt;&gt;"")),"")</f>
        <v/>
      </c>
    </row>
    <row r="260" spans="1:6" ht="24" customHeight="1">
      <c r="A260" s="3">
        <f>المواد!A260</f>
        <v>0</v>
      </c>
      <c r="B260" s="5">
        <f>المواد!B260</f>
        <v>0</v>
      </c>
      <c r="C260" s="4">
        <f>IF($A260="","",ROUND(SUMIFS(الإدخالات!$D$2:$D$501,الإدخالات!$C$2:$C$501,$A260)+SUMIFS('تعديل الجرد'!$F$2:$F$501,'تعديل الجرد'!$C$2:$C$501,$A260)-SUMIFS('الصرف المباشر'!$D$2:$D$501,'الصرف المباشر'!$C$2:$C$501,$A260)-SUMPRODUCT((الطبخات!$B$2:$B$900=$A260)*الطبخات!$C$2:$C$900*COUNTIF('سجل الإنتاج'!$C$2:$C$501,الطبخات!$A$2:$A$900)),3))</f>
        <v>0</v>
      </c>
      <c r="D260" s="4">
        <f>IF($A260="","",ROUND(SUMIFS('الصرف المباشر'!$D$2:$D$501,'الصرف المباشر'!$C$2:$C$501,$A260)+SUMPRODUCT((الطبخات!$B$2:$B$900=$A260)*الطبخات!$C$2:$C$900*COUNTIF('سجل الإنتاج'!$C$2:$C$501,الطبخات!$A$2:$A$900)),3))</f>
        <v>0</v>
      </c>
      <c r="E260" s="5" t="str">
        <f t="shared" si="4"/>
        <v>✔ طبيعي</v>
      </c>
      <c r="F260" s="5" t="str">
        <f>IF(AND($A260&lt;&gt;"",$E260&lt;&gt;"✔ طبيعي"),SUMPRODUCT(('الرصيد الحالي'!$E$2:$E260&lt;&gt;"✔ طبيعي")*('الرصيد الحالي'!$E$2:$E260&lt;&gt;"")*('الرصيد الحالي'!$A$2:$A260&lt;&gt;"")),"")</f>
        <v/>
      </c>
    </row>
    <row r="261" spans="1:6" ht="24" customHeight="1">
      <c r="A261" s="3">
        <f>المواد!A261</f>
        <v>0</v>
      </c>
      <c r="B261" s="5">
        <f>المواد!B261</f>
        <v>0</v>
      </c>
      <c r="C261" s="4">
        <f>IF($A261="","",ROUND(SUMIFS(الإدخالات!$D$2:$D$501,الإدخالات!$C$2:$C$501,$A261)+SUMIFS('تعديل الجرد'!$F$2:$F$501,'تعديل الجرد'!$C$2:$C$501,$A261)-SUMIFS('الصرف المباشر'!$D$2:$D$501,'الصرف المباشر'!$C$2:$C$501,$A261)-SUMPRODUCT((الطبخات!$B$2:$B$900=$A261)*الطبخات!$C$2:$C$900*COUNTIF('سجل الإنتاج'!$C$2:$C$501,الطبخات!$A$2:$A$900)),3))</f>
        <v>0</v>
      </c>
      <c r="D261" s="4">
        <f>IF($A261="","",ROUND(SUMIFS('الصرف المباشر'!$D$2:$D$501,'الصرف المباشر'!$C$2:$C$501,$A261)+SUMPRODUCT((الطبخات!$B$2:$B$900=$A261)*الطبخات!$C$2:$C$900*COUNTIF('سجل الإنتاج'!$C$2:$C$501,الطبخات!$A$2:$A$900)),3))</f>
        <v>0</v>
      </c>
      <c r="E261" s="5" t="str">
        <f t="shared" si="4"/>
        <v>✔ طبيعي</v>
      </c>
      <c r="F261" s="5" t="str">
        <f>IF(AND($A261&lt;&gt;"",$E261&lt;&gt;"✔ طبيعي"),SUMPRODUCT(('الرصيد الحالي'!$E$2:$E261&lt;&gt;"✔ طبيعي")*('الرصيد الحالي'!$E$2:$E261&lt;&gt;"")*('الرصيد الحالي'!$A$2:$A261&lt;&gt;"")),"")</f>
        <v/>
      </c>
    </row>
    <row r="262" spans="1:6" ht="24" customHeight="1">
      <c r="A262" s="3">
        <f>المواد!A262</f>
        <v>0</v>
      </c>
      <c r="B262" s="5">
        <f>المواد!B262</f>
        <v>0</v>
      </c>
      <c r="C262" s="4">
        <f>IF($A262="","",ROUND(SUMIFS(الإدخالات!$D$2:$D$501,الإدخالات!$C$2:$C$501,$A262)+SUMIFS('تعديل الجرد'!$F$2:$F$501,'تعديل الجرد'!$C$2:$C$501,$A262)-SUMIFS('الصرف المباشر'!$D$2:$D$501,'الصرف المباشر'!$C$2:$C$501,$A262)-SUMPRODUCT((الطبخات!$B$2:$B$900=$A262)*الطبخات!$C$2:$C$900*COUNTIF('سجل الإنتاج'!$C$2:$C$501,الطبخات!$A$2:$A$900)),3))</f>
        <v>0</v>
      </c>
      <c r="D262" s="4">
        <f>IF($A262="","",ROUND(SUMIFS('الصرف المباشر'!$D$2:$D$501,'الصرف المباشر'!$C$2:$C$501,$A262)+SUMPRODUCT((الطبخات!$B$2:$B$900=$A262)*الطبخات!$C$2:$C$900*COUNTIF('سجل الإنتاج'!$C$2:$C$501,الطبخات!$A$2:$A$900)),3))</f>
        <v>0</v>
      </c>
      <c r="E262" s="5" t="str">
        <f t="shared" si="4"/>
        <v>✔ طبيعي</v>
      </c>
      <c r="F262" s="5" t="str">
        <f>IF(AND($A262&lt;&gt;"",$E262&lt;&gt;"✔ طبيعي"),SUMPRODUCT(('الرصيد الحالي'!$E$2:$E262&lt;&gt;"✔ طبيعي")*('الرصيد الحالي'!$E$2:$E262&lt;&gt;"")*('الرصيد الحالي'!$A$2:$A262&lt;&gt;"")),"")</f>
        <v/>
      </c>
    </row>
    <row r="263" spans="1:6" ht="24" customHeight="1">
      <c r="A263" s="3">
        <f>المواد!A263</f>
        <v>0</v>
      </c>
      <c r="B263" s="5">
        <f>المواد!B263</f>
        <v>0</v>
      </c>
      <c r="C263" s="4">
        <f>IF($A263="","",ROUND(SUMIFS(الإدخالات!$D$2:$D$501,الإدخالات!$C$2:$C$501,$A263)+SUMIFS('تعديل الجرد'!$F$2:$F$501,'تعديل الجرد'!$C$2:$C$501,$A263)-SUMIFS('الصرف المباشر'!$D$2:$D$501,'الصرف المباشر'!$C$2:$C$501,$A263)-SUMPRODUCT((الطبخات!$B$2:$B$900=$A263)*الطبخات!$C$2:$C$900*COUNTIF('سجل الإنتاج'!$C$2:$C$501,الطبخات!$A$2:$A$900)),3))</f>
        <v>0</v>
      </c>
      <c r="D263" s="4">
        <f>IF($A263="","",ROUND(SUMIFS('الصرف المباشر'!$D$2:$D$501,'الصرف المباشر'!$C$2:$C$501,$A263)+SUMPRODUCT((الطبخات!$B$2:$B$900=$A263)*الطبخات!$C$2:$C$900*COUNTIF('سجل الإنتاج'!$C$2:$C$501,الطبخات!$A$2:$A$900)),3))</f>
        <v>0</v>
      </c>
      <c r="E263" s="5" t="str">
        <f t="shared" si="4"/>
        <v>✔ طبيعي</v>
      </c>
      <c r="F263" s="5" t="str">
        <f>IF(AND($A263&lt;&gt;"",$E263&lt;&gt;"✔ طبيعي"),SUMPRODUCT(('الرصيد الحالي'!$E$2:$E263&lt;&gt;"✔ طبيعي")*('الرصيد الحالي'!$E$2:$E263&lt;&gt;"")*('الرصيد الحالي'!$A$2:$A263&lt;&gt;"")),"")</f>
        <v/>
      </c>
    </row>
    <row r="264" spans="1:6" ht="24" customHeight="1">
      <c r="A264" s="3">
        <f>المواد!A264</f>
        <v>0</v>
      </c>
      <c r="B264" s="5">
        <f>المواد!B264</f>
        <v>0</v>
      </c>
      <c r="C264" s="4">
        <f>IF($A264="","",ROUND(SUMIFS(الإدخالات!$D$2:$D$501,الإدخالات!$C$2:$C$501,$A264)+SUMIFS('تعديل الجرد'!$F$2:$F$501,'تعديل الجرد'!$C$2:$C$501,$A264)-SUMIFS('الصرف المباشر'!$D$2:$D$501,'الصرف المباشر'!$C$2:$C$501,$A264)-SUMPRODUCT((الطبخات!$B$2:$B$900=$A264)*الطبخات!$C$2:$C$900*COUNTIF('سجل الإنتاج'!$C$2:$C$501,الطبخات!$A$2:$A$900)),3))</f>
        <v>0</v>
      </c>
      <c r="D264" s="4">
        <f>IF($A264="","",ROUND(SUMIFS('الصرف المباشر'!$D$2:$D$501,'الصرف المباشر'!$C$2:$C$501,$A264)+SUMPRODUCT((الطبخات!$B$2:$B$900=$A264)*الطبخات!$C$2:$C$900*COUNTIF('سجل الإنتاج'!$C$2:$C$501,الطبخات!$A$2:$A$900)),3))</f>
        <v>0</v>
      </c>
      <c r="E264" s="5" t="str">
        <f t="shared" si="4"/>
        <v>✔ طبيعي</v>
      </c>
      <c r="F264" s="5" t="str">
        <f>IF(AND($A264&lt;&gt;"",$E264&lt;&gt;"✔ طبيعي"),SUMPRODUCT(('الرصيد الحالي'!$E$2:$E264&lt;&gt;"✔ طبيعي")*('الرصيد الحالي'!$E$2:$E264&lt;&gt;"")*('الرصيد الحالي'!$A$2:$A264&lt;&gt;"")),"")</f>
        <v/>
      </c>
    </row>
    <row r="265" spans="1:6" ht="24" customHeight="1">
      <c r="A265" s="3">
        <f>المواد!A265</f>
        <v>0</v>
      </c>
      <c r="B265" s="5">
        <f>المواد!B265</f>
        <v>0</v>
      </c>
      <c r="C265" s="4">
        <f>IF($A265="","",ROUND(SUMIFS(الإدخالات!$D$2:$D$501,الإدخالات!$C$2:$C$501,$A265)+SUMIFS('تعديل الجرد'!$F$2:$F$501,'تعديل الجرد'!$C$2:$C$501,$A265)-SUMIFS('الصرف المباشر'!$D$2:$D$501,'الصرف المباشر'!$C$2:$C$501,$A265)-SUMPRODUCT((الطبخات!$B$2:$B$900=$A265)*الطبخات!$C$2:$C$900*COUNTIF('سجل الإنتاج'!$C$2:$C$501,الطبخات!$A$2:$A$900)),3))</f>
        <v>0</v>
      </c>
      <c r="D265" s="4">
        <f>IF($A265="","",ROUND(SUMIFS('الصرف المباشر'!$D$2:$D$501,'الصرف المباشر'!$C$2:$C$501,$A265)+SUMPRODUCT((الطبخات!$B$2:$B$900=$A265)*الطبخات!$C$2:$C$900*COUNTIF('سجل الإنتاج'!$C$2:$C$501,الطبخات!$A$2:$A$900)),3))</f>
        <v>0</v>
      </c>
      <c r="E265" s="5" t="str">
        <f t="shared" si="4"/>
        <v>✔ طبيعي</v>
      </c>
      <c r="F265" s="5" t="str">
        <f>IF(AND($A265&lt;&gt;"",$E265&lt;&gt;"✔ طبيعي"),SUMPRODUCT(('الرصيد الحالي'!$E$2:$E265&lt;&gt;"✔ طبيعي")*('الرصيد الحالي'!$E$2:$E265&lt;&gt;"")*('الرصيد الحالي'!$A$2:$A265&lt;&gt;"")),"")</f>
        <v/>
      </c>
    </row>
    <row r="266" spans="1:6" ht="24" customHeight="1">
      <c r="A266" s="3">
        <f>المواد!A266</f>
        <v>0</v>
      </c>
      <c r="B266" s="5">
        <f>المواد!B266</f>
        <v>0</v>
      </c>
      <c r="C266" s="4">
        <f>IF($A266="","",ROUND(SUMIFS(الإدخالات!$D$2:$D$501,الإدخالات!$C$2:$C$501,$A266)+SUMIFS('تعديل الجرد'!$F$2:$F$501,'تعديل الجرد'!$C$2:$C$501,$A266)-SUMIFS('الصرف المباشر'!$D$2:$D$501,'الصرف المباشر'!$C$2:$C$501,$A266)-SUMPRODUCT((الطبخات!$B$2:$B$900=$A266)*الطبخات!$C$2:$C$900*COUNTIF('سجل الإنتاج'!$C$2:$C$501,الطبخات!$A$2:$A$900)),3))</f>
        <v>0</v>
      </c>
      <c r="D266" s="4">
        <f>IF($A266="","",ROUND(SUMIFS('الصرف المباشر'!$D$2:$D$501,'الصرف المباشر'!$C$2:$C$501,$A266)+SUMPRODUCT((الطبخات!$B$2:$B$900=$A266)*الطبخات!$C$2:$C$900*COUNTIF('سجل الإنتاج'!$C$2:$C$501,الطبخات!$A$2:$A$900)),3))</f>
        <v>0</v>
      </c>
      <c r="E266" s="5" t="str">
        <f t="shared" si="4"/>
        <v>✔ طبيعي</v>
      </c>
      <c r="F266" s="5" t="str">
        <f>IF(AND($A266&lt;&gt;"",$E266&lt;&gt;"✔ طبيعي"),SUMPRODUCT(('الرصيد الحالي'!$E$2:$E266&lt;&gt;"✔ طبيعي")*('الرصيد الحالي'!$E$2:$E266&lt;&gt;"")*('الرصيد الحالي'!$A$2:$A266&lt;&gt;"")),"")</f>
        <v/>
      </c>
    </row>
    <row r="267" spans="1:6" ht="24" customHeight="1">
      <c r="A267" s="3">
        <f>المواد!A267</f>
        <v>0</v>
      </c>
      <c r="B267" s="5">
        <f>المواد!B267</f>
        <v>0</v>
      </c>
      <c r="C267" s="4">
        <f>IF($A267="","",ROUND(SUMIFS(الإدخالات!$D$2:$D$501,الإدخالات!$C$2:$C$501,$A267)+SUMIFS('تعديل الجرد'!$F$2:$F$501,'تعديل الجرد'!$C$2:$C$501,$A267)-SUMIFS('الصرف المباشر'!$D$2:$D$501,'الصرف المباشر'!$C$2:$C$501,$A267)-SUMPRODUCT((الطبخات!$B$2:$B$900=$A267)*الطبخات!$C$2:$C$900*COUNTIF('سجل الإنتاج'!$C$2:$C$501,الطبخات!$A$2:$A$900)),3))</f>
        <v>0</v>
      </c>
      <c r="D267" s="4">
        <f>IF($A267="","",ROUND(SUMIFS('الصرف المباشر'!$D$2:$D$501,'الصرف المباشر'!$C$2:$C$501,$A267)+SUMPRODUCT((الطبخات!$B$2:$B$900=$A267)*الطبخات!$C$2:$C$900*COUNTIF('سجل الإنتاج'!$C$2:$C$501,الطبخات!$A$2:$A$900)),3))</f>
        <v>0</v>
      </c>
      <c r="E267" s="5" t="str">
        <f t="shared" si="4"/>
        <v>✔ طبيعي</v>
      </c>
      <c r="F267" s="5" t="str">
        <f>IF(AND($A267&lt;&gt;"",$E267&lt;&gt;"✔ طبيعي"),SUMPRODUCT(('الرصيد الحالي'!$E$2:$E267&lt;&gt;"✔ طبيعي")*('الرصيد الحالي'!$E$2:$E267&lt;&gt;"")*('الرصيد الحالي'!$A$2:$A267&lt;&gt;"")),"")</f>
        <v/>
      </c>
    </row>
    <row r="268" spans="1:6" ht="24" customHeight="1">
      <c r="A268" s="3">
        <f>المواد!A268</f>
        <v>0</v>
      </c>
      <c r="B268" s="5">
        <f>المواد!B268</f>
        <v>0</v>
      </c>
      <c r="C268" s="4">
        <f>IF($A268="","",ROUND(SUMIFS(الإدخالات!$D$2:$D$501,الإدخالات!$C$2:$C$501,$A268)+SUMIFS('تعديل الجرد'!$F$2:$F$501,'تعديل الجرد'!$C$2:$C$501,$A268)-SUMIFS('الصرف المباشر'!$D$2:$D$501,'الصرف المباشر'!$C$2:$C$501,$A268)-SUMPRODUCT((الطبخات!$B$2:$B$900=$A268)*الطبخات!$C$2:$C$900*COUNTIF('سجل الإنتاج'!$C$2:$C$501,الطبخات!$A$2:$A$900)),3))</f>
        <v>0</v>
      </c>
      <c r="D268" s="4">
        <f>IF($A268="","",ROUND(SUMIFS('الصرف المباشر'!$D$2:$D$501,'الصرف المباشر'!$C$2:$C$501,$A268)+SUMPRODUCT((الطبخات!$B$2:$B$900=$A268)*الطبخات!$C$2:$C$900*COUNTIF('سجل الإنتاج'!$C$2:$C$501,الطبخات!$A$2:$A$900)),3))</f>
        <v>0</v>
      </c>
      <c r="E268" s="5" t="str">
        <f t="shared" si="4"/>
        <v>✔ طبيعي</v>
      </c>
      <c r="F268" s="5" t="str">
        <f>IF(AND($A268&lt;&gt;"",$E268&lt;&gt;"✔ طبيعي"),SUMPRODUCT(('الرصيد الحالي'!$E$2:$E268&lt;&gt;"✔ طبيعي")*('الرصيد الحالي'!$E$2:$E268&lt;&gt;"")*('الرصيد الحالي'!$A$2:$A268&lt;&gt;"")),"")</f>
        <v/>
      </c>
    </row>
    <row r="269" spans="1:6" ht="24" customHeight="1">
      <c r="A269" s="3">
        <f>المواد!A269</f>
        <v>0</v>
      </c>
      <c r="B269" s="5">
        <f>المواد!B269</f>
        <v>0</v>
      </c>
      <c r="C269" s="4">
        <f>IF($A269="","",ROUND(SUMIFS(الإدخالات!$D$2:$D$501,الإدخالات!$C$2:$C$501,$A269)+SUMIFS('تعديل الجرد'!$F$2:$F$501,'تعديل الجرد'!$C$2:$C$501,$A269)-SUMIFS('الصرف المباشر'!$D$2:$D$501,'الصرف المباشر'!$C$2:$C$501,$A269)-SUMPRODUCT((الطبخات!$B$2:$B$900=$A269)*الطبخات!$C$2:$C$900*COUNTIF('سجل الإنتاج'!$C$2:$C$501,الطبخات!$A$2:$A$900)),3))</f>
        <v>0</v>
      </c>
      <c r="D269" s="4">
        <f>IF($A269="","",ROUND(SUMIFS('الصرف المباشر'!$D$2:$D$501,'الصرف المباشر'!$C$2:$C$501,$A269)+SUMPRODUCT((الطبخات!$B$2:$B$900=$A269)*الطبخات!$C$2:$C$900*COUNTIF('سجل الإنتاج'!$C$2:$C$501,الطبخات!$A$2:$A$900)),3))</f>
        <v>0</v>
      </c>
      <c r="E269" s="5" t="str">
        <f t="shared" si="4"/>
        <v>✔ طبيعي</v>
      </c>
      <c r="F269" s="5" t="str">
        <f>IF(AND($A269&lt;&gt;"",$E269&lt;&gt;"✔ طبيعي"),SUMPRODUCT(('الرصيد الحالي'!$E$2:$E269&lt;&gt;"✔ طبيعي")*('الرصيد الحالي'!$E$2:$E269&lt;&gt;"")*('الرصيد الحالي'!$A$2:$A269&lt;&gt;"")),"")</f>
        <v/>
      </c>
    </row>
    <row r="270" spans="1:6" ht="24" customHeight="1">
      <c r="A270" s="3">
        <f>المواد!A270</f>
        <v>0</v>
      </c>
      <c r="B270" s="5">
        <f>المواد!B270</f>
        <v>0</v>
      </c>
      <c r="C270" s="4">
        <f>IF($A270="","",ROUND(SUMIFS(الإدخالات!$D$2:$D$501,الإدخالات!$C$2:$C$501,$A270)+SUMIFS('تعديل الجرد'!$F$2:$F$501,'تعديل الجرد'!$C$2:$C$501,$A270)-SUMIFS('الصرف المباشر'!$D$2:$D$501,'الصرف المباشر'!$C$2:$C$501,$A270)-SUMPRODUCT((الطبخات!$B$2:$B$900=$A270)*الطبخات!$C$2:$C$900*COUNTIF('سجل الإنتاج'!$C$2:$C$501,الطبخات!$A$2:$A$900)),3))</f>
        <v>0</v>
      </c>
      <c r="D270" s="4">
        <f>IF($A270="","",ROUND(SUMIFS('الصرف المباشر'!$D$2:$D$501,'الصرف المباشر'!$C$2:$C$501,$A270)+SUMPRODUCT((الطبخات!$B$2:$B$900=$A270)*الطبخات!$C$2:$C$900*COUNTIF('سجل الإنتاج'!$C$2:$C$501,الطبخات!$A$2:$A$900)),3))</f>
        <v>0</v>
      </c>
      <c r="E270" s="5" t="str">
        <f t="shared" si="4"/>
        <v>✔ طبيعي</v>
      </c>
      <c r="F270" s="5" t="str">
        <f>IF(AND($A270&lt;&gt;"",$E270&lt;&gt;"✔ طبيعي"),SUMPRODUCT(('الرصيد الحالي'!$E$2:$E270&lt;&gt;"✔ طبيعي")*('الرصيد الحالي'!$E$2:$E270&lt;&gt;"")*('الرصيد الحالي'!$A$2:$A270&lt;&gt;"")),"")</f>
        <v/>
      </c>
    </row>
    <row r="271" spans="1:6" ht="24" customHeight="1">
      <c r="A271" s="3">
        <f>المواد!A271</f>
        <v>0</v>
      </c>
      <c r="B271" s="5">
        <f>المواد!B271</f>
        <v>0</v>
      </c>
      <c r="C271" s="4">
        <f>IF($A271="","",ROUND(SUMIFS(الإدخالات!$D$2:$D$501,الإدخالات!$C$2:$C$501,$A271)+SUMIFS('تعديل الجرد'!$F$2:$F$501,'تعديل الجرد'!$C$2:$C$501,$A271)-SUMIFS('الصرف المباشر'!$D$2:$D$501,'الصرف المباشر'!$C$2:$C$501,$A271)-SUMPRODUCT((الطبخات!$B$2:$B$900=$A271)*الطبخات!$C$2:$C$900*COUNTIF('سجل الإنتاج'!$C$2:$C$501,الطبخات!$A$2:$A$900)),3))</f>
        <v>0</v>
      </c>
      <c r="D271" s="4">
        <f>IF($A271="","",ROUND(SUMIFS('الصرف المباشر'!$D$2:$D$501,'الصرف المباشر'!$C$2:$C$501,$A271)+SUMPRODUCT((الطبخات!$B$2:$B$900=$A271)*الطبخات!$C$2:$C$900*COUNTIF('سجل الإنتاج'!$C$2:$C$501,الطبخات!$A$2:$A$900)),3))</f>
        <v>0</v>
      </c>
      <c r="E271" s="5" t="str">
        <f t="shared" si="4"/>
        <v>✔ طبيعي</v>
      </c>
      <c r="F271" s="5" t="str">
        <f>IF(AND($A271&lt;&gt;"",$E271&lt;&gt;"✔ طبيعي"),SUMPRODUCT(('الرصيد الحالي'!$E$2:$E271&lt;&gt;"✔ طبيعي")*('الرصيد الحالي'!$E$2:$E271&lt;&gt;"")*('الرصيد الحالي'!$A$2:$A271&lt;&gt;"")),"")</f>
        <v/>
      </c>
    </row>
    <row r="272" spans="1:6" ht="24" customHeight="1">
      <c r="A272" s="3">
        <f>المواد!A272</f>
        <v>0</v>
      </c>
      <c r="B272" s="5">
        <f>المواد!B272</f>
        <v>0</v>
      </c>
      <c r="C272" s="4">
        <f>IF($A272="","",ROUND(SUMIFS(الإدخالات!$D$2:$D$501,الإدخالات!$C$2:$C$501,$A272)+SUMIFS('تعديل الجرد'!$F$2:$F$501,'تعديل الجرد'!$C$2:$C$501,$A272)-SUMIFS('الصرف المباشر'!$D$2:$D$501,'الصرف المباشر'!$C$2:$C$501,$A272)-SUMPRODUCT((الطبخات!$B$2:$B$900=$A272)*الطبخات!$C$2:$C$900*COUNTIF('سجل الإنتاج'!$C$2:$C$501,الطبخات!$A$2:$A$900)),3))</f>
        <v>0</v>
      </c>
      <c r="D272" s="4">
        <f>IF($A272="","",ROUND(SUMIFS('الصرف المباشر'!$D$2:$D$501,'الصرف المباشر'!$C$2:$C$501,$A272)+SUMPRODUCT((الطبخات!$B$2:$B$900=$A272)*الطبخات!$C$2:$C$900*COUNTIF('سجل الإنتاج'!$C$2:$C$501,الطبخات!$A$2:$A$900)),3))</f>
        <v>0</v>
      </c>
      <c r="E272" s="5" t="str">
        <f t="shared" si="4"/>
        <v>✔ طبيعي</v>
      </c>
      <c r="F272" s="5" t="str">
        <f>IF(AND($A272&lt;&gt;"",$E272&lt;&gt;"✔ طبيعي"),SUMPRODUCT(('الرصيد الحالي'!$E$2:$E272&lt;&gt;"✔ طبيعي")*('الرصيد الحالي'!$E$2:$E272&lt;&gt;"")*('الرصيد الحالي'!$A$2:$A272&lt;&gt;"")),"")</f>
        <v/>
      </c>
    </row>
    <row r="273" spans="1:6" ht="24" customHeight="1">
      <c r="A273" s="3">
        <f>المواد!A273</f>
        <v>0</v>
      </c>
      <c r="B273" s="5">
        <f>المواد!B273</f>
        <v>0</v>
      </c>
      <c r="C273" s="4">
        <f>IF($A273="","",ROUND(SUMIFS(الإدخالات!$D$2:$D$501,الإدخالات!$C$2:$C$501,$A273)+SUMIFS('تعديل الجرد'!$F$2:$F$501,'تعديل الجرد'!$C$2:$C$501,$A273)-SUMIFS('الصرف المباشر'!$D$2:$D$501,'الصرف المباشر'!$C$2:$C$501,$A273)-SUMPRODUCT((الطبخات!$B$2:$B$900=$A273)*الطبخات!$C$2:$C$900*COUNTIF('سجل الإنتاج'!$C$2:$C$501,الطبخات!$A$2:$A$900)),3))</f>
        <v>0</v>
      </c>
      <c r="D273" s="4">
        <f>IF($A273="","",ROUND(SUMIFS('الصرف المباشر'!$D$2:$D$501,'الصرف المباشر'!$C$2:$C$501,$A273)+SUMPRODUCT((الطبخات!$B$2:$B$900=$A273)*الطبخات!$C$2:$C$900*COUNTIF('سجل الإنتاج'!$C$2:$C$501,الطبخات!$A$2:$A$900)),3))</f>
        <v>0</v>
      </c>
      <c r="E273" s="5" t="str">
        <f t="shared" si="4"/>
        <v>✔ طبيعي</v>
      </c>
      <c r="F273" s="5" t="str">
        <f>IF(AND($A273&lt;&gt;"",$E273&lt;&gt;"✔ طبيعي"),SUMPRODUCT(('الرصيد الحالي'!$E$2:$E273&lt;&gt;"✔ طبيعي")*('الرصيد الحالي'!$E$2:$E273&lt;&gt;"")*('الرصيد الحالي'!$A$2:$A273&lt;&gt;"")),"")</f>
        <v/>
      </c>
    </row>
    <row r="274" spans="1:6" ht="24" customHeight="1">
      <c r="A274" s="3">
        <f>المواد!A274</f>
        <v>0</v>
      </c>
      <c r="B274" s="5">
        <f>المواد!B274</f>
        <v>0</v>
      </c>
      <c r="C274" s="4">
        <f>IF($A274="","",ROUND(SUMIFS(الإدخالات!$D$2:$D$501,الإدخالات!$C$2:$C$501,$A274)+SUMIFS('تعديل الجرد'!$F$2:$F$501,'تعديل الجرد'!$C$2:$C$501,$A274)-SUMIFS('الصرف المباشر'!$D$2:$D$501,'الصرف المباشر'!$C$2:$C$501,$A274)-SUMPRODUCT((الطبخات!$B$2:$B$900=$A274)*الطبخات!$C$2:$C$900*COUNTIF('سجل الإنتاج'!$C$2:$C$501,الطبخات!$A$2:$A$900)),3))</f>
        <v>0</v>
      </c>
      <c r="D274" s="4">
        <f>IF($A274="","",ROUND(SUMIFS('الصرف المباشر'!$D$2:$D$501,'الصرف المباشر'!$C$2:$C$501,$A274)+SUMPRODUCT((الطبخات!$B$2:$B$900=$A274)*الطبخات!$C$2:$C$900*COUNTIF('سجل الإنتاج'!$C$2:$C$501,الطبخات!$A$2:$A$900)),3))</f>
        <v>0</v>
      </c>
      <c r="E274" s="5" t="str">
        <f t="shared" si="4"/>
        <v>✔ طبيعي</v>
      </c>
      <c r="F274" s="5" t="str">
        <f>IF(AND($A274&lt;&gt;"",$E274&lt;&gt;"✔ طبيعي"),SUMPRODUCT(('الرصيد الحالي'!$E$2:$E274&lt;&gt;"✔ طبيعي")*('الرصيد الحالي'!$E$2:$E274&lt;&gt;"")*('الرصيد الحالي'!$A$2:$A274&lt;&gt;"")),"")</f>
        <v/>
      </c>
    </row>
    <row r="275" spans="1:6" ht="24" customHeight="1">
      <c r="A275" s="3">
        <f>المواد!A275</f>
        <v>0</v>
      </c>
      <c r="B275" s="5">
        <f>المواد!B275</f>
        <v>0</v>
      </c>
      <c r="C275" s="4">
        <f>IF($A275="","",ROUND(SUMIFS(الإدخالات!$D$2:$D$501,الإدخالات!$C$2:$C$501,$A275)+SUMIFS('تعديل الجرد'!$F$2:$F$501,'تعديل الجرد'!$C$2:$C$501,$A275)-SUMIFS('الصرف المباشر'!$D$2:$D$501,'الصرف المباشر'!$C$2:$C$501,$A275)-SUMPRODUCT((الطبخات!$B$2:$B$900=$A275)*الطبخات!$C$2:$C$900*COUNTIF('سجل الإنتاج'!$C$2:$C$501,الطبخات!$A$2:$A$900)),3))</f>
        <v>0</v>
      </c>
      <c r="D275" s="4">
        <f>IF($A275="","",ROUND(SUMIFS('الصرف المباشر'!$D$2:$D$501,'الصرف المباشر'!$C$2:$C$501,$A275)+SUMPRODUCT((الطبخات!$B$2:$B$900=$A275)*الطبخات!$C$2:$C$900*COUNTIF('سجل الإنتاج'!$C$2:$C$501,الطبخات!$A$2:$A$900)),3))</f>
        <v>0</v>
      </c>
      <c r="E275" s="5" t="str">
        <f t="shared" si="4"/>
        <v>✔ طبيعي</v>
      </c>
      <c r="F275" s="5" t="str">
        <f>IF(AND($A275&lt;&gt;"",$E275&lt;&gt;"✔ طبيعي"),SUMPRODUCT(('الرصيد الحالي'!$E$2:$E275&lt;&gt;"✔ طبيعي")*('الرصيد الحالي'!$E$2:$E275&lt;&gt;"")*('الرصيد الحالي'!$A$2:$A275&lt;&gt;"")),"")</f>
        <v/>
      </c>
    </row>
    <row r="276" spans="1:6" ht="24" customHeight="1">
      <c r="A276" s="3">
        <f>المواد!A276</f>
        <v>0</v>
      </c>
      <c r="B276" s="5">
        <f>المواد!B276</f>
        <v>0</v>
      </c>
      <c r="C276" s="4">
        <f>IF($A276="","",ROUND(SUMIFS(الإدخالات!$D$2:$D$501,الإدخالات!$C$2:$C$501,$A276)+SUMIFS('تعديل الجرد'!$F$2:$F$501,'تعديل الجرد'!$C$2:$C$501,$A276)-SUMIFS('الصرف المباشر'!$D$2:$D$501,'الصرف المباشر'!$C$2:$C$501,$A276)-SUMPRODUCT((الطبخات!$B$2:$B$900=$A276)*الطبخات!$C$2:$C$900*COUNTIF('سجل الإنتاج'!$C$2:$C$501,الطبخات!$A$2:$A$900)),3))</f>
        <v>0</v>
      </c>
      <c r="D276" s="4">
        <f>IF($A276="","",ROUND(SUMIFS('الصرف المباشر'!$D$2:$D$501,'الصرف المباشر'!$C$2:$C$501,$A276)+SUMPRODUCT((الطبخات!$B$2:$B$900=$A276)*الطبخات!$C$2:$C$900*COUNTIF('سجل الإنتاج'!$C$2:$C$501,الطبخات!$A$2:$A$900)),3))</f>
        <v>0</v>
      </c>
      <c r="E276" s="5" t="str">
        <f t="shared" si="4"/>
        <v>✔ طبيعي</v>
      </c>
      <c r="F276" s="5" t="str">
        <f>IF(AND($A276&lt;&gt;"",$E276&lt;&gt;"✔ طبيعي"),SUMPRODUCT(('الرصيد الحالي'!$E$2:$E276&lt;&gt;"✔ طبيعي")*('الرصيد الحالي'!$E$2:$E276&lt;&gt;"")*('الرصيد الحالي'!$A$2:$A276&lt;&gt;"")),"")</f>
        <v/>
      </c>
    </row>
    <row r="277" spans="1:6" ht="24" customHeight="1">
      <c r="A277" s="3">
        <f>المواد!A277</f>
        <v>0</v>
      </c>
      <c r="B277" s="5">
        <f>المواد!B277</f>
        <v>0</v>
      </c>
      <c r="C277" s="4">
        <f>IF($A277="","",ROUND(SUMIFS(الإدخالات!$D$2:$D$501,الإدخالات!$C$2:$C$501,$A277)+SUMIFS('تعديل الجرد'!$F$2:$F$501,'تعديل الجرد'!$C$2:$C$501,$A277)-SUMIFS('الصرف المباشر'!$D$2:$D$501,'الصرف المباشر'!$C$2:$C$501,$A277)-SUMPRODUCT((الطبخات!$B$2:$B$900=$A277)*الطبخات!$C$2:$C$900*COUNTIF('سجل الإنتاج'!$C$2:$C$501,الطبخات!$A$2:$A$900)),3))</f>
        <v>0</v>
      </c>
      <c r="D277" s="4">
        <f>IF($A277="","",ROUND(SUMIFS('الصرف المباشر'!$D$2:$D$501,'الصرف المباشر'!$C$2:$C$501,$A277)+SUMPRODUCT((الطبخات!$B$2:$B$900=$A277)*الطبخات!$C$2:$C$900*COUNTIF('سجل الإنتاج'!$C$2:$C$501,الطبخات!$A$2:$A$900)),3))</f>
        <v>0</v>
      </c>
      <c r="E277" s="5" t="str">
        <f t="shared" si="4"/>
        <v>✔ طبيعي</v>
      </c>
      <c r="F277" s="5" t="str">
        <f>IF(AND($A277&lt;&gt;"",$E277&lt;&gt;"✔ طبيعي"),SUMPRODUCT(('الرصيد الحالي'!$E$2:$E277&lt;&gt;"✔ طبيعي")*('الرصيد الحالي'!$E$2:$E277&lt;&gt;"")*('الرصيد الحالي'!$A$2:$A277&lt;&gt;"")),"")</f>
        <v/>
      </c>
    </row>
    <row r="278" spans="1:6" ht="24" customHeight="1">
      <c r="A278" s="3">
        <f>المواد!A278</f>
        <v>0</v>
      </c>
      <c r="B278" s="5">
        <f>المواد!B278</f>
        <v>0</v>
      </c>
      <c r="C278" s="4">
        <f>IF($A278="","",ROUND(SUMIFS(الإدخالات!$D$2:$D$501,الإدخالات!$C$2:$C$501,$A278)+SUMIFS('تعديل الجرد'!$F$2:$F$501,'تعديل الجرد'!$C$2:$C$501,$A278)-SUMIFS('الصرف المباشر'!$D$2:$D$501,'الصرف المباشر'!$C$2:$C$501,$A278)-SUMPRODUCT((الطبخات!$B$2:$B$900=$A278)*الطبخات!$C$2:$C$900*COUNTIF('سجل الإنتاج'!$C$2:$C$501,الطبخات!$A$2:$A$900)),3))</f>
        <v>0</v>
      </c>
      <c r="D278" s="4">
        <f>IF($A278="","",ROUND(SUMIFS('الصرف المباشر'!$D$2:$D$501,'الصرف المباشر'!$C$2:$C$501,$A278)+SUMPRODUCT((الطبخات!$B$2:$B$900=$A278)*الطبخات!$C$2:$C$900*COUNTIF('سجل الإنتاج'!$C$2:$C$501,الطبخات!$A$2:$A$900)),3))</f>
        <v>0</v>
      </c>
      <c r="E278" s="5" t="str">
        <f t="shared" si="4"/>
        <v>✔ طبيعي</v>
      </c>
      <c r="F278" s="5" t="str">
        <f>IF(AND($A278&lt;&gt;"",$E278&lt;&gt;"✔ طبيعي"),SUMPRODUCT(('الرصيد الحالي'!$E$2:$E278&lt;&gt;"✔ طبيعي")*('الرصيد الحالي'!$E$2:$E278&lt;&gt;"")*('الرصيد الحالي'!$A$2:$A278&lt;&gt;"")),"")</f>
        <v/>
      </c>
    </row>
    <row r="279" spans="1:6" ht="24" customHeight="1">
      <c r="A279" s="3">
        <f>المواد!A279</f>
        <v>0</v>
      </c>
      <c r="B279" s="5">
        <f>المواد!B279</f>
        <v>0</v>
      </c>
      <c r="C279" s="4">
        <f>IF($A279="","",ROUND(SUMIFS(الإدخالات!$D$2:$D$501,الإدخالات!$C$2:$C$501,$A279)+SUMIFS('تعديل الجرد'!$F$2:$F$501,'تعديل الجرد'!$C$2:$C$501,$A279)-SUMIFS('الصرف المباشر'!$D$2:$D$501,'الصرف المباشر'!$C$2:$C$501,$A279)-SUMPRODUCT((الطبخات!$B$2:$B$900=$A279)*الطبخات!$C$2:$C$900*COUNTIF('سجل الإنتاج'!$C$2:$C$501,الطبخات!$A$2:$A$900)),3))</f>
        <v>0</v>
      </c>
      <c r="D279" s="4">
        <f>IF($A279="","",ROUND(SUMIFS('الصرف المباشر'!$D$2:$D$501,'الصرف المباشر'!$C$2:$C$501,$A279)+SUMPRODUCT((الطبخات!$B$2:$B$900=$A279)*الطبخات!$C$2:$C$900*COUNTIF('سجل الإنتاج'!$C$2:$C$501,الطبخات!$A$2:$A$900)),3))</f>
        <v>0</v>
      </c>
      <c r="E279" s="5" t="str">
        <f t="shared" si="4"/>
        <v>✔ طبيعي</v>
      </c>
      <c r="F279" s="5" t="str">
        <f>IF(AND($A279&lt;&gt;"",$E279&lt;&gt;"✔ طبيعي"),SUMPRODUCT(('الرصيد الحالي'!$E$2:$E279&lt;&gt;"✔ طبيعي")*('الرصيد الحالي'!$E$2:$E279&lt;&gt;"")*('الرصيد الحالي'!$A$2:$A279&lt;&gt;"")),"")</f>
        <v/>
      </c>
    </row>
    <row r="280" spans="1:6" ht="24" customHeight="1">
      <c r="A280" s="3">
        <f>المواد!A280</f>
        <v>0</v>
      </c>
      <c r="B280" s="5">
        <f>المواد!B280</f>
        <v>0</v>
      </c>
      <c r="C280" s="4">
        <f>IF($A280="","",ROUND(SUMIFS(الإدخالات!$D$2:$D$501,الإدخالات!$C$2:$C$501,$A280)+SUMIFS('تعديل الجرد'!$F$2:$F$501,'تعديل الجرد'!$C$2:$C$501,$A280)-SUMIFS('الصرف المباشر'!$D$2:$D$501,'الصرف المباشر'!$C$2:$C$501,$A280)-SUMPRODUCT((الطبخات!$B$2:$B$900=$A280)*الطبخات!$C$2:$C$900*COUNTIF('سجل الإنتاج'!$C$2:$C$501,الطبخات!$A$2:$A$900)),3))</f>
        <v>0</v>
      </c>
      <c r="D280" s="4">
        <f>IF($A280="","",ROUND(SUMIFS('الصرف المباشر'!$D$2:$D$501,'الصرف المباشر'!$C$2:$C$501,$A280)+SUMPRODUCT((الطبخات!$B$2:$B$900=$A280)*الطبخات!$C$2:$C$900*COUNTIF('سجل الإنتاج'!$C$2:$C$501,الطبخات!$A$2:$A$900)),3))</f>
        <v>0</v>
      </c>
      <c r="E280" s="5" t="str">
        <f t="shared" si="4"/>
        <v>✔ طبيعي</v>
      </c>
      <c r="F280" s="5" t="str">
        <f>IF(AND($A280&lt;&gt;"",$E280&lt;&gt;"✔ طبيعي"),SUMPRODUCT(('الرصيد الحالي'!$E$2:$E280&lt;&gt;"✔ طبيعي")*('الرصيد الحالي'!$E$2:$E280&lt;&gt;"")*('الرصيد الحالي'!$A$2:$A280&lt;&gt;"")),"")</f>
        <v/>
      </c>
    </row>
    <row r="281" spans="1:6" ht="24" customHeight="1">
      <c r="A281" s="3">
        <f>المواد!A281</f>
        <v>0</v>
      </c>
      <c r="B281" s="5">
        <f>المواد!B281</f>
        <v>0</v>
      </c>
      <c r="C281" s="4">
        <f>IF($A281="","",ROUND(SUMIFS(الإدخالات!$D$2:$D$501,الإدخالات!$C$2:$C$501,$A281)+SUMIFS('تعديل الجرد'!$F$2:$F$501,'تعديل الجرد'!$C$2:$C$501,$A281)-SUMIFS('الصرف المباشر'!$D$2:$D$501,'الصرف المباشر'!$C$2:$C$501,$A281)-SUMPRODUCT((الطبخات!$B$2:$B$900=$A281)*الطبخات!$C$2:$C$900*COUNTIF('سجل الإنتاج'!$C$2:$C$501,الطبخات!$A$2:$A$900)),3))</f>
        <v>0</v>
      </c>
      <c r="D281" s="4">
        <f>IF($A281="","",ROUND(SUMIFS('الصرف المباشر'!$D$2:$D$501,'الصرف المباشر'!$C$2:$C$501,$A281)+SUMPRODUCT((الطبخات!$B$2:$B$900=$A281)*الطبخات!$C$2:$C$900*COUNTIF('سجل الإنتاج'!$C$2:$C$501,الطبخات!$A$2:$A$900)),3))</f>
        <v>0</v>
      </c>
      <c r="E281" s="5" t="str">
        <f t="shared" si="4"/>
        <v>✔ طبيعي</v>
      </c>
      <c r="F281" s="5" t="str">
        <f>IF(AND($A281&lt;&gt;"",$E281&lt;&gt;"✔ طبيعي"),SUMPRODUCT(('الرصيد الحالي'!$E$2:$E281&lt;&gt;"✔ طبيعي")*('الرصيد الحالي'!$E$2:$E281&lt;&gt;"")*('الرصيد الحالي'!$A$2:$A281&lt;&gt;"")),"")</f>
        <v/>
      </c>
    </row>
    <row r="282" spans="1:6" ht="24" customHeight="1">
      <c r="A282" s="3">
        <f>المواد!A282</f>
        <v>0</v>
      </c>
      <c r="B282" s="5">
        <f>المواد!B282</f>
        <v>0</v>
      </c>
      <c r="C282" s="4">
        <f>IF($A282="","",ROUND(SUMIFS(الإدخالات!$D$2:$D$501,الإدخالات!$C$2:$C$501,$A282)+SUMIFS('تعديل الجرد'!$F$2:$F$501,'تعديل الجرد'!$C$2:$C$501,$A282)-SUMIFS('الصرف المباشر'!$D$2:$D$501,'الصرف المباشر'!$C$2:$C$501,$A282)-SUMPRODUCT((الطبخات!$B$2:$B$900=$A282)*الطبخات!$C$2:$C$900*COUNTIF('سجل الإنتاج'!$C$2:$C$501,الطبخات!$A$2:$A$900)),3))</f>
        <v>0</v>
      </c>
      <c r="D282" s="4">
        <f>IF($A282="","",ROUND(SUMIFS('الصرف المباشر'!$D$2:$D$501,'الصرف المباشر'!$C$2:$C$501,$A282)+SUMPRODUCT((الطبخات!$B$2:$B$900=$A282)*الطبخات!$C$2:$C$900*COUNTIF('سجل الإنتاج'!$C$2:$C$501,الطبخات!$A$2:$A$900)),3))</f>
        <v>0</v>
      </c>
      <c r="E282" s="5" t="str">
        <f t="shared" si="4"/>
        <v>✔ طبيعي</v>
      </c>
      <c r="F282" s="5" t="str">
        <f>IF(AND($A282&lt;&gt;"",$E282&lt;&gt;"✔ طبيعي"),SUMPRODUCT(('الرصيد الحالي'!$E$2:$E282&lt;&gt;"✔ طبيعي")*('الرصيد الحالي'!$E$2:$E282&lt;&gt;"")*('الرصيد الحالي'!$A$2:$A282&lt;&gt;"")),"")</f>
        <v/>
      </c>
    </row>
    <row r="283" spans="1:6" ht="24" customHeight="1">
      <c r="A283" s="3">
        <f>المواد!A283</f>
        <v>0</v>
      </c>
      <c r="B283" s="5">
        <f>المواد!B283</f>
        <v>0</v>
      </c>
      <c r="C283" s="4">
        <f>IF($A283="","",ROUND(SUMIFS(الإدخالات!$D$2:$D$501,الإدخالات!$C$2:$C$501,$A283)+SUMIFS('تعديل الجرد'!$F$2:$F$501,'تعديل الجرد'!$C$2:$C$501,$A283)-SUMIFS('الصرف المباشر'!$D$2:$D$501,'الصرف المباشر'!$C$2:$C$501,$A283)-SUMPRODUCT((الطبخات!$B$2:$B$900=$A283)*الطبخات!$C$2:$C$900*COUNTIF('سجل الإنتاج'!$C$2:$C$501,الطبخات!$A$2:$A$900)),3))</f>
        <v>0</v>
      </c>
      <c r="D283" s="4">
        <f>IF($A283="","",ROUND(SUMIFS('الصرف المباشر'!$D$2:$D$501,'الصرف المباشر'!$C$2:$C$501,$A283)+SUMPRODUCT((الطبخات!$B$2:$B$900=$A283)*الطبخات!$C$2:$C$900*COUNTIF('سجل الإنتاج'!$C$2:$C$501,الطبخات!$A$2:$A$900)),3))</f>
        <v>0</v>
      </c>
      <c r="E283" s="5" t="str">
        <f t="shared" si="4"/>
        <v>✔ طبيعي</v>
      </c>
      <c r="F283" s="5" t="str">
        <f>IF(AND($A283&lt;&gt;"",$E283&lt;&gt;"✔ طبيعي"),SUMPRODUCT(('الرصيد الحالي'!$E$2:$E283&lt;&gt;"✔ طبيعي")*('الرصيد الحالي'!$E$2:$E283&lt;&gt;"")*('الرصيد الحالي'!$A$2:$A283&lt;&gt;"")),"")</f>
        <v/>
      </c>
    </row>
    <row r="284" spans="1:6" ht="24" customHeight="1">
      <c r="A284" s="3">
        <f>المواد!A284</f>
        <v>0</v>
      </c>
      <c r="B284" s="5">
        <f>المواد!B284</f>
        <v>0</v>
      </c>
      <c r="C284" s="4">
        <f>IF($A284="","",ROUND(SUMIFS(الإدخالات!$D$2:$D$501,الإدخالات!$C$2:$C$501,$A284)+SUMIFS('تعديل الجرد'!$F$2:$F$501,'تعديل الجرد'!$C$2:$C$501,$A284)-SUMIFS('الصرف المباشر'!$D$2:$D$501,'الصرف المباشر'!$C$2:$C$501,$A284)-SUMPRODUCT((الطبخات!$B$2:$B$900=$A284)*الطبخات!$C$2:$C$900*COUNTIF('سجل الإنتاج'!$C$2:$C$501,الطبخات!$A$2:$A$900)),3))</f>
        <v>0</v>
      </c>
      <c r="D284" s="4">
        <f>IF($A284="","",ROUND(SUMIFS('الصرف المباشر'!$D$2:$D$501,'الصرف المباشر'!$C$2:$C$501,$A284)+SUMPRODUCT((الطبخات!$B$2:$B$900=$A284)*الطبخات!$C$2:$C$900*COUNTIF('سجل الإنتاج'!$C$2:$C$501,الطبخات!$A$2:$A$900)),3))</f>
        <v>0</v>
      </c>
      <c r="E284" s="5" t="str">
        <f t="shared" si="4"/>
        <v>✔ طبيعي</v>
      </c>
      <c r="F284" s="5" t="str">
        <f>IF(AND($A284&lt;&gt;"",$E284&lt;&gt;"✔ طبيعي"),SUMPRODUCT(('الرصيد الحالي'!$E$2:$E284&lt;&gt;"✔ طبيعي")*('الرصيد الحالي'!$E$2:$E284&lt;&gt;"")*('الرصيد الحالي'!$A$2:$A284&lt;&gt;"")),"")</f>
        <v/>
      </c>
    </row>
    <row r="285" spans="1:6" ht="24" customHeight="1">
      <c r="A285" s="3">
        <f>المواد!A285</f>
        <v>0</v>
      </c>
      <c r="B285" s="5">
        <f>المواد!B285</f>
        <v>0</v>
      </c>
      <c r="C285" s="4">
        <f>IF($A285="","",ROUND(SUMIFS(الإدخالات!$D$2:$D$501,الإدخالات!$C$2:$C$501,$A285)+SUMIFS('تعديل الجرد'!$F$2:$F$501,'تعديل الجرد'!$C$2:$C$501,$A285)-SUMIFS('الصرف المباشر'!$D$2:$D$501,'الصرف المباشر'!$C$2:$C$501,$A285)-SUMPRODUCT((الطبخات!$B$2:$B$900=$A285)*الطبخات!$C$2:$C$900*COUNTIF('سجل الإنتاج'!$C$2:$C$501,الطبخات!$A$2:$A$900)),3))</f>
        <v>0</v>
      </c>
      <c r="D285" s="4">
        <f>IF($A285="","",ROUND(SUMIFS('الصرف المباشر'!$D$2:$D$501,'الصرف المباشر'!$C$2:$C$501,$A285)+SUMPRODUCT((الطبخات!$B$2:$B$900=$A285)*الطبخات!$C$2:$C$900*COUNTIF('سجل الإنتاج'!$C$2:$C$501,الطبخات!$A$2:$A$900)),3))</f>
        <v>0</v>
      </c>
      <c r="E285" s="5" t="str">
        <f t="shared" si="4"/>
        <v>✔ طبيعي</v>
      </c>
      <c r="F285" s="5" t="str">
        <f>IF(AND($A285&lt;&gt;"",$E285&lt;&gt;"✔ طبيعي"),SUMPRODUCT(('الرصيد الحالي'!$E$2:$E285&lt;&gt;"✔ طبيعي")*('الرصيد الحالي'!$E$2:$E285&lt;&gt;"")*('الرصيد الحالي'!$A$2:$A285&lt;&gt;"")),"")</f>
        <v/>
      </c>
    </row>
    <row r="286" spans="1:6" ht="24" customHeight="1">
      <c r="A286" s="3">
        <f>المواد!A286</f>
        <v>0</v>
      </c>
      <c r="B286" s="5">
        <f>المواد!B286</f>
        <v>0</v>
      </c>
      <c r="C286" s="4">
        <f>IF($A286="","",ROUND(SUMIFS(الإدخالات!$D$2:$D$501,الإدخالات!$C$2:$C$501,$A286)+SUMIFS('تعديل الجرد'!$F$2:$F$501,'تعديل الجرد'!$C$2:$C$501,$A286)-SUMIFS('الصرف المباشر'!$D$2:$D$501,'الصرف المباشر'!$C$2:$C$501,$A286)-SUMPRODUCT((الطبخات!$B$2:$B$900=$A286)*الطبخات!$C$2:$C$900*COUNTIF('سجل الإنتاج'!$C$2:$C$501,الطبخات!$A$2:$A$900)),3))</f>
        <v>0</v>
      </c>
      <c r="D286" s="4">
        <f>IF($A286="","",ROUND(SUMIFS('الصرف المباشر'!$D$2:$D$501,'الصرف المباشر'!$C$2:$C$501,$A286)+SUMPRODUCT((الطبخات!$B$2:$B$900=$A286)*الطبخات!$C$2:$C$900*COUNTIF('سجل الإنتاج'!$C$2:$C$501,الطبخات!$A$2:$A$900)),3))</f>
        <v>0</v>
      </c>
      <c r="E286" s="5" t="str">
        <f t="shared" si="4"/>
        <v>✔ طبيعي</v>
      </c>
      <c r="F286" s="5" t="str">
        <f>IF(AND($A286&lt;&gt;"",$E286&lt;&gt;"✔ طبيعي"),SUMPRODUCT(('الرصيد الحالي'!$E$2:$E286&lt;&gt;"✔ طبيعي")*('الرصيد الحالي'!$E$2:$E286&lt;&gt;"")*('الرصيد الحالي'!$A$2:$A286&lt;&gt;"")),"")</f>
        <v/>
      </c>
    </row>
    <row r="287" spans="1:6" ht="24" customHeight="1">
      <c r="A287" s="3">
        <f>المواد!A287</f>
        <v>0</v>
      </c>
      <c r="B287" s="5">
        <f>المواد!B287</f>
        <v>0</v>
      </c>
      <c r="C287" s="4">
        <f>IF($A287="","",ROUND(SUMIFS(الإدخالات!$D$2:$D$501,الإدخالات!$C$2:$C$501,$A287)+SUMIFS('تعديل الجرد'!$F$2:$F$501,'تعديل الجرد'!$C$2:$C$501,$A287)-SUMIFS('الصرف المباشر'!$D$2:$D$501,'الصرف المباشر'!$C$2:$C$501,$A287)-SUMPRODUCT((الطبخات!$B$2:$B$900=$A287)*الطبخات!$C$2:$C$900*COUNTIF('سجل الإنتاج'!$C$2:$C$501,الطبخات!$A$2:$A$900)),3))</f>
        <v>0</v>
      </c>
      <c r="D287" s="4">
        <f>IF($A287="","",ROUND(SUMIFS('الصرف المباشر'!$D$2:$D$501,'الصرف المباشر'!$C$2:$C$501,$A287)+SUMPRODUCT((الطبخات!$B$2:$B$900=$A287)*الطبخات!$C$2:$C$900*COUNTIF('سجل الإنتاج'!$C$2:$C$501,الطبخات!$A$2:$A$900)),3))</f>
        <v>0</v>
      </c>
      <c r="E287" s="5" t="str">
        <f t="shared" si="4"/>
        <v>✔ طبيعي</v>
      </c>
      <c r="F287" s="5" t="str">
        <f>IF(AND($A287&lt;&gt;"",$E287&lt;&gt;"✔ طبيعي"),SUMPRODUCT(('الرصيد الحالي'!$E$2:$E287&lt;&gt;"✔ طبيعي")*('الرصيد الحالي'!$E$2:$E287&lt;&gt;"")*('الرصيد الحالي'!$A$2:$A287&lt;&gt;"")),"")</f>
        <v/>
      </c>
    </row>
    <row r="288" spans="1:6" ht="24" customHeight="1">
      <c r="A288" s="3">
        <f>المواد!A288</f>
        <v>0</v>
      </c>
      <c r="B288" s="5">
        <f>المواد!B288</f>
        <v>0</v>
      </c>
      <c r="C288" s="4">
        <f>IF($A288="","",ROUND(SUMIFS(الإدخالات!$D$2:$D$501,الإدخالات!$C$2:$C$501,$A288)+SUMIFS('تعديل الجرد'!$F$2:$F$501,'تعديل الجرد'!$C$2:$C$501,$A288)-SUMIFS('الصرف المباشر'!$D$2:$D$501,'الصرف المباشر'!$C$2:$C$501,$A288)-SUMPRODUCT((الطبخات!$B$2:$B$900=$A288)*الطبخات!$C$2:$C$900*COUNTIF('سجل الإنتاج'!$C$2:$C$501,الطبخات!$A$2:$A$900)),3))</f>
        <v>0</v>
      </c>
      <c r="D288" s="4">
        <f>IF($A288="","",ROUND(SUMIFS('الصرف المباشر'!$D$2:$D$501,'الصرف المباشر'!$C$2:$C$501,$A288)+SUMPRODUCT((الطبخات!$B$2:$B$900=$A288)*الطبخات!$C$2:$C$900*COUNTIF('سجل الإنتاج'!$C$2:$C$501,الطبخات!$A$2:$A$900)),3))</f>
        <v>0</v>
      </c>
      <c r="E288" s="5" t="str">
        <f t="shared" si="4"/>
        <v>✔ طبيعي</v>
      </c>
      <c r="F288" s="5" t="str">
        <f>IF(AND($A288&lt;&gt;"",$E288&lt;&gt;"✔ طبيعي"),SUMPRODUCT(('الرصيد الحالي'!$E$2:$E288&lt;&gt;"✔ طبيعي")*('الرصيد الحالي'!$E$2:$E288&lt;&gt;"")*('الرصيد الحالي'!$A$2:$A288&lt;&gt;"")),"")</f>
        <v/>
      </c>
    </row>
    <row r="289" spans="1:6" ht="24" customHeight="1">
      <c r="A289" s="3">
        <f>المواد!A289</f>
        <v>0</v>
      </c>
      <c r="B289" s="5">
        <f>المواد!B289</f>
        <v>0</v>
      </c>
      <c r="C289" s="4">
        <f>IF($A289="","",ROUND(SUMIFS(الإدخالات!$D$2:$D$501,الإدخالات!$C$2:$C$501,$A289)+SUMIFS('تعديل الجرد'!$F$2:$F$501,'تعديل الجرد'!$C$2:$C$501,$A289)-SUMIFS('الصرف المباشر'!$D$2:$D$501,'الصرف المباشر'!$C$2:$C$501,$A289)-SUMPRODUCT((الطبخات!$B$2:$B$900=$A289)*الطبخات!$C$2:$C$900*COUNTIF('سجل الإنتاج'!$C$2:$C$501,الطبخات!$A$2:$A$900)),3))</f>
        <v>0</v>
      </c>
      <c r="D289" s="4">
        <f>IF($A289="","",ROUND(SUMIFS('الصرف المباشر'!$D$2:$D$501,'الصرف المباشر'!$C$2:$C$501,$A289)+SUMPRODUCT((الطبخات!$B$2:$B$900=$A289)*الطبخات!$C$2:$C$900*COUNTIF('سجل الإنتاج'!$C$2:$C$501,الطبخات!$A$2:$A$900)),3))</f>
        <v>0</v>
      </c>
      <c r="E289" s="5" t="str">
        <f t="shared" si="4"/>
        <v>✔ طبيعي</v>
      </c>
      <c r="F289" s="5" t="str">
        <f>IF(AND($A289&lt;&gt;"",$E289&lt;&gt;"✔ طبيعي"),SUMPRODUCT(('الرصيد الحالي'!$E$2:$E289&lt;&gt;"✔ طبيعي")*('الرصيد الحالي'!$E$2:$E289&lt;&gt;"")*('الرصيد الحالي'!$A$2:$A289&lt;&gt;"")),"")</f>
        <v/>
      </c>
    </row>
    <row r="290" spans="1:6" ht="24" customHeight="1">
      <c r="A290" s="3">
        <f>المواد!A290</f>
        <v>0</v>
      </c>
      <c r="B290" s="5">
        <f>المواد!B290</f>
        <v>0</v>
      </c>
      <c r="C290" s="4">
        <f>IF($A290="","",ROUND(SUMIFS(الإدخالات!$D$2:$D$501,الإدخالات!$C$2:$C$501,$A290)+SUMIFS('تعديل الجرد'!$F$2:$F$501,'تعديل الجرد'!$C$2:$C$501,$A290)-SUMIFS('الصرف المباشر'!$D$2:$D$501,'الصرف المباشر'!$C$2:$C$501,$A290)-SUMPRODUCT((الطبخات!$B$2:$B$900=$A290)*الطبخات!$C$2:$C$900*COUNTIF('سجل الإنتاج'!$C$2:$C$501,الطبخات!$A$2:$A$900)),3))</f>
        <v>0</v>
      </c>
      <c r="D290" s="4">
        <f>IF($A290="","",ROUND(SUMIFS('الصرف المباشر'!$D$2:$D$501,'الصرف المباشر'!$C$2:$C$501,$A290)+SUMPRODUCT((الطبخات!$B$2:$B$900=$A290)*الطبخات!$C$2:$C$900*COUNTIF('سجل الإنتاج'!$C$2:$C$501,الطبخات!$A$2:$A$900)),3))</f>
        <v>0</v>
      </c>
      <c r="E290" s="5" t="str">
        <f t="shared" si="4"/>
        <v>✔ طبيعي</v>
      </c>
      <c r="F290" s="5" t="str">
        <f>IF(AND($A290&lt;&gt;"",$E290&lt;&gt;"✔ طبيعي"),SUMPRODUCT(('الرصيد الحالي'!$E$2:$E290&lt;&gt;"✔ طبيعي")*('الرصيد الحالي'!$E$2:$E290&lt;&gt;"")*('الرصيد الحالي'!$A$2:$A290&lt;&gt;"")),"")</f>
        <v/>
      </c>
    </row>
    <row r="291" spans="1:6" ht="24" customHeight="1">
      <c r="A291" s="3">
        <f>المواد!A291</f>
        <v>0</v>
      </c>
      <c r="B291" s="5">
        <f>المواد!B291</f>
        <v>0</v>
      </c>
      <c r="C291" s="4">
        <f>IF($A291="","",ROUND(SUMIFS(الإدخالات!$D$2:$D$501,الإدخالات!$C$2:$C$501,$A291)+SUMIFS('تعديل الجرد'!$F$2:$F$501,'تعديل الجرد'!$C$2:$C$501,$A291)-SUMIFS('الصرف المباشر'!$D$2:$D$501,'الصرف المباشر'!$C$2:$C$501,$A291)-SUMPRODUCT((الطبخات!$B$2:$B$900=$A291)*الطبخات!$C$2:$C$900*COUNTIF('سجل الإنتاج'!$C$2:$C$501,الطبخات!$A$2:$A$900)),3))</f>
        <v>0</v>
      </c>
      <c r="D291" s="4">
        <f>IF($A291="","",ROUND(SUMIFS('الصرف المباشر'!$D$2:$D$501,'الصرف المباشر'!$C$2:$C$501,$A291)+SUMPRODUCT((الطبخات!$B$2:$B$900=$A291)*الطبخات!$C$2:$C$900*COUNTIF('سجل الإنتاج'!$C$2:$C$501,الطبخات!$A$2:$A$900)),3))</f>
        <v>0</v>
      </c>
      <c r="E291" s="5" t="str">
        <f t="shared" si="4"/>
        <v>✔ طبيعي</v>
      </c>
      <c r="F291" s="5" t="str">
        <f>IF(AND($A291&lt;&gt;"",$E291&lt;&gt;"✔ طبيعي"),SUMPRODUCT(('الرصيد الحالي'!$E$2:$E291&lt;&gt;"✔ طبيعي")*('الرصيد الحالي'!$E$2:$E291&lt;&gt;"")*('الرصيد الحالي'!$A$2:$A291&lt;&gt;"")),"")</f>
        <v/>
      </c>
    </row>
    <row r="292" spans="1:6" ht="24" customHeight="1">
      <c r="A292" s="3">
        <f>المواد!A292</f>
        <v>0</v>
      </c>
      <c r="B292" s="5">
        <f>المواد!B292</f>
        <v>0</v>
      </c>
      <c r="C292" s="4">
        <f>IF($A292="","",ROUND(SUMIFS(الإدخالات!$D$2:$D$501,الإدخالات!$C$2:$C$501,$A292)+SUMIFS('تعديل الجرد'!$F$2:$F$501,'تعديل الجرد'!$C$2:$C$501,$A292)-SUMIFS('الصرف المباشر'!$D$2:$D$501,'الصرف المباشر'!$C$2:$C$501,$A292)-SUMPRODUCT((الطبخات!$B$2:$B$900=$A292)*الطبخات!$C$2:$C$900*COUNTIF('سجل الإنتاج'!$C$2:$C$501,الطبخات!$A$2:$A$900)),3))</f>
        <v>0</v>
      </c>
      <c r="D292" s="4">
        <f>IF($A292="","",ROUND(SUMIFS('الصرف المباشر'!$D$2:$D$501,'الصرف المباشر'!$C$2:$C$501,$A292)+SUMPRODUCT((الطبخات!$B$2:$B$900=$A292)*الطبخات!$C$2:$C$900*COUNTIF('سجل الإنتاج'!$C$2:$C$501,الطبخات!$A$2:$A$900)),3))</f>
        <v>0</v>
      </c>
      <c r="E292" s="5" t="str">
        <f t="shared" si="4"/>
        <v>✔ طبيعي</v>
      </c>
      <c r="F292" s="5" t="str">
        <f>IF(AND($A292&lt;&gt;"",$E292&lt;&gt;"✔ طبيعي"),SUMPRODUCT(('الرصيد الحالي'!$E$2:$E292&lt;&gt;"✔ طبيعي")*('الرصيد الحالي'!$E$2:$E292&lt;&gt;"")*('الرصيد الحالي'!$A$2:$A292&lt;&gt;"")),"")</f>
        <v/>
      </c>
    </row>
    <row r="293" spans="1:6" ht="24" customHeight="1">
      <c r="A293" s="3">
        <f>المواد!A293</f>
        <v>0</v>
      </c>
      <c r="B293" s="5">
        <f>المواد!B293</f>
        <v>0</v>
      </c>
      <c r="C293" s="4">
        <f>IF($A293="","",ROUND(SUMIFS(الإدخالات!$D$2:$D$501,الإدخالات!$C$2:$C$501,$A293)+SUMIFS('تعديل الجرد'!$F$2:$F$501,'تعديل الجرد'!$C$2:$C$501,$A293)-SUMIFS('الصرف المباشر'!$D$2:$D$501,'الصرف المباشر'!$C$2:$C$501,$A293)-SUMPRODUCT((الطبخات!$B$2:$B$900=$A293)*الطبخات!$C$2:$C$900*COUNTIF('سجل الإنتاج'!$C$2:$C$501,الطبخات!$A$2:$A$900)),3))</f>
        <v>0</v>
      </c>
      <c r="D293" s="4">
        <f>IF($A293="","",ROUND(SUMIFS('الصرف المباشر'!$D$2:$D$501,'الصرف المباشر'!$C$2:$C$501,$A293)+SUMPRODUCT((الطبخات!$B$2:$B$900=$A293)*الطبخات!$C$2:$C$900*COUNTIF('سجل الإنتاج'!$C$2:$C$501,الطبخات!$A$2:$A$900)),3))</f>
        <v>0</v>
      </c>
      <c r="E293" s="5" t="str">
        <f t="shared" si="4"/>
        <v>✔ طبيعي</v>
      </c>
      <c r="F293" s="5" t="str">
        <f>IF(AND($A293&lt;&gt;"",$E293&lt;&gt;"✔ طبيعي"),SUMPRODUCT(('الرصيد الحالي'!$E$2:$E293&lt;&gt;"✔ طبيعي")*('الرصيد الحالي'!$E$2:$E293&lt;&gt;"")*('الرصيد الحالي'!$A$2:$A293&lt;&gt;"")),"")</f>
        <v/>
      </c>
    </row>
    <row r="294" spans="1:6" ht="24" customHeight="1">
      <c r="A294" s="3">
        <f>المواد!A294</f>
        <v>0</v>
      </c>
      <c r="B294" s="5">
        <f>المواد!B294</f>
        <v>0</v>
      </c>
      <c r="C294" s="4">
        <f>IF($A294="","",ROUND(SUMIFS(الإدخالات!$D$2:$D$501,الإدخالات!$C$2:$C$501,$A294)+SUMIFS('تعديل الجرد'!$F$2:$F$501,'تعديل الجرد'!$C$2:$C$501,$A294)-SUMIFS('الصرف المباشر'!$D$2:$D$501,'الصرف المباشر'!$C$2:$C$501,$A294)-SUMPRODUCT((الطبخات!$B$2:$B$900=$A294)*الطبخات!$C$2:$C$900*COUNTIF('سجل الإنتاج'!$C$2:$C$501,الطبخات!$A$2:$A$900)),3))</f>
        <v>0</v>
      </c>
      <c r="D294" s="4">
        <f>IF($A294="","",ROUND(SUMIFS('الصرف المباشر'!$D$2:$D$501,'الصرف المباشر'!$C$2:$C$501,$A294)+SUMPRODUCT((الطبخات!$B$2:$B$900=$A294)*الطبخات!$C$2:$C$900*COUNTIF('سجل الإنتاج'!$C$2:$C$501,الطبخات!$A$2:$A$900)),3))</f>
        <v>0</v>
      </c>
      <c r="E294" s="5" t="str">
        <f t="shared" si="4"/>
        <v>✔ طبيعي</v>
      </c>
      <c r="F294" s="5" t="str">
        <f>IF(AND($A294&lt;&gt;"",$E294&lt;&gt;"✔ طبيعي"),SUMPRODUCT(('الرصيد الحالي'!$E$2:$E294&lt;&gt;"✔ طبيعي")*('الرصيد الحالي'!$E$2:$E294&lt;&gt;"")*('الرصيد الحالي'!$A$2:$A294&lt;&gt;"")),"")</f>
        <v/>
      </c>
    </row>
    <row r="295" spans="1:6" ht="24" customHeight="1">
      <c r="A295" s="3">
        <f>المواد!A295</f>
        <v>0</v>
      </c>
      <c r="B295" s="5">
        <f>المواد!B295</f>
        <v>0</v>
      </c>
      <c r="C295" s="4">
        <f>IF($A295="","",ROUND(SUMIFS(الإدخالات!$D$2:$D$501,الإدخالات!$C$2:$C$501,$A295)+SUMIFS('تعديل الجرد'!$F$2:$F$501,'تعديل الجرد'!$C$2:$C$501,$A295)-SUMIFS('الصرف المباشر'!$D$2:$D$501,'الصرف المباشر'!$C$2:$C$501,$A295)-SUMPRODUCT((الطبخات!$B$2:$B$900=$A295)*الطبخات!$C$2:$C$900*COUNTIF('سجل الإنتاج'!$C$2:$C$501,الطبخات!$A$2:$A$900)),3))</f>
        <v>0</v>
      </c>
      <c r="D295" s="4">
        <f>IF($A295="","",ROUND(SUMIFS('الصرف المباشر'!$D$2:$D$501,'الصرف المباشر'!$C$2:$C$501,$A295)+SUMPRODUCT((الطبخات!$B$2:$B$900=$A295)*الطبخات!$C$2:$C$900*COUNTIF('سجل الإنتاج'!$C$2:$C$501,الطبخات!$A$2:$A$900)),3))</f>
        <v>0</v>
      </c>
      <c r="E295" s="5" t="str">
        <f t="shared" si="4"/>
        <v>✔ طبيعي</v>
      </c>
      <c r="F295" s="5" t="str">
        <f>IF(AND($A295&lt;&gt;"",$E295&lt;&gt;"✔ طبيعي"),SUMPRODUCT(('الرصيد الحالي'!$E$2:$E295&lt;&gt;"✔ طبيعي")*('الرصيد الحالي'!$E$2:$E295&lt;&gt;"")*('الرصيد الحالي'!$A$2:$A295&lt;&gt;"")),"")</f>
        <v/>
      </c>
    </row>
    <row r="296" spans="1:6" ht="24" customHeight="1">
      <c r="A296" s="3">
        <f>المواد!A296</f>
        <v>0</v>
      </c>
      <c r="B296" s="5">
        <f>المواد!B296</f>
        <v>0</v>
      </c>
      <c r="C296" s="4">
        <f>IF($A296="","",ROUND(SUMIFS(الإدخالات!$D$2:$D$501,الإدخالات!$C$2:$C$501,$A296)+SUMIFS('تعديل الجرد'!$F$2:$F$501,'تعديل الجرد'!$C$2:$C$501,$A296)-SUMIFS('الصرف المباشر'!$D$2:$D$501,'الصرف المباشر'!$C$2:$C$501,$A296)-SUMPRODUCT((الطبخات!$B$2:$B$900=$A296)*الطبخات!$C$2:$C$900*COUNTIF('سجل الإنتاج'!$C$2:$C$501,الطبخات!$A$2:$A$900)),3))</f>
        <v>0</v>
      </c>
      <c r="D296" s="4">
        <f>IF($A296="","",ROUND(SUMIFS('الصرف المباشر'!$D$2:$D$501,'الصرف المباشر'!$C$2:$C$501,$A296)+SUMPRODUCT((الطبخات!$B$2:$B$900=$A296)*الطبخات!$C$2:$C$900*COUNTIF('سجل الإنتاج'!$C$2:$C$501,الطبخات!$A$2:$A$900)),3))</f>
        <v>0</v>
      </c>
      <c r="E296" s="5" t="str">
        <f t="shared" si="4"/>
        <v>✔ طبيعي</v>
      </c>
      <c r="F296" s="5" t="str">
        <f>IF(AND($A296&lt;&gt;"",$E296&lt;&gt;"✔ طبيعي"),SUMPRODUCT(('الرصيد الحالي'!$E$2:$E296&lt;&gt;"✔ طبيعي")*('الرصيد الحالي'!$E$2:$E296&lt;&gt;"")*('الرصيد الحالي'!$A$2:$A296&lt;&gt;"")),"")</f>
        <v/>
      </c>
    </row>
    <row r="297" spans="1:6" ht="24" customHeight="1">
      <c r="A297" s="3">
        <f>المواد!A297</f>
        <v>0</v>
      </c>
      <c r="B297" s="5">
        <f>المواد!B297</f>
        <v>0</v>
      </c>
      <c r="C297" s="4">
        <f>IF($A297="","",ROUND(SUMIFS(الإدخالات!$D$2:$D$501,الإدخالات!$C$2:$C$501,$A297)+SUMIFS('تعديل الجرد'!$F$2:$F$501,'تعديل الجرد'!$C$2:$C$501,$A297)-SUMIFS('الصرف المباشر'!$D$2:$D$501,'الصرف المباشر'!$C$2:$C$501,$A297)-SUMPRODUCT((الطبخات!$B$2:$B$900=$A297)*الطبخات!$C$2:$C$900*COUNTIF('سجل الإنتاج'!$C$2:$C$501,الطبخات!$A$2:$A$900)),3))</f>
        <v>0</v>
      </c>
      <c r="D297" s="4">
        <f>IF($A297="","",ROUND(SUMIFS('الصرف المباشر'!$D$2:$D$501,'الصرف المباشر'!$C$2:$C$501,$A297)+SUMPRODUCT((الطبخات!$B$2:$B$900=$A297)*الطبخات!$C$2:$C$900*COUNTIF('سجل الإنتاج'!$C$2:$C$501,الطبخات!$A$2:$A$900)),3))</f>
        <v>0</v>
      </c>
      <c r="E297" s="5" t="str">
        <f t="shared" si="4"/>
        <v>✔ طبيعي</v>
      </c>
      <c r="F297" s="5" t="str">
        <f>IF(AND($A297&lt;&gt;"",$E297&lt;&gt;"✔ طبيعي"),SUMPRODUCT(('الرصيد الحالي'!$E$2:$E297&lt;&gt;"✔ طبيعي")*('الرصيد الحالي'!$E$2:$E297&lt;&gt;"")*('الرصيد الحالي'!$A$2:$A297&lt;&gt;"")),"")</f>
        <v/>
      </c>
    </row>
    <row r="298" spans="1:6" ht="24" customHeight="1">
      <c r="A298" s="3">
        <f>المواد!A298</f>
        <v>0</v>
      </c>
      <c r="B298" s="5">
        <f>المواد!B298</f>
        <v>0</v>
      </c>
      <c r="C298" s="4">
        <f>IF($A298="","",ROUND(SUMIFS(الإدخالات!$D$2:$D$501,الإدخالات!$C$2:$C$501,$A298)+SUMIFS('تعديل الجرد'!$F$2:$F$501,'تعديل الجرد'!$C$2:$C$501,$A298)-SUMIFS('الصرف المباشر'!$D$2:$D$501,'الصرف المباشر'!$C$2:$C$501,$A298)-SUMPRODUCT((الطبخات!$B$2:$B$900=$A298)*الطبخات!$C$2:$C$900*COUNTIF('سجل الإنتاج'!$C$2:$C$501,الطبخات!$A$2:$A$900)),3))</f>
        <v>0</v>
      </c>
      <c r="D298" s="4">
        <f>IF($A298="","",ROUND(SUMIFS('الصرف المباشر'!$D$2:$D$501,'الصرف المباشر'!$C$2:$C$501,$A298)+SUMPRODUCT((الطبخات!$B$2:$B$900=$A298)*الطبخات!$C$2:$C$900*COUNTIF('سجل الإنتاج'!$C$2:$C$501,الطبخات!$A$2:$A$900)),3))</f>
        <v>0</v>
      </c>
      <c r="E298" s="5" t="str">
        <f t="shared" si="4"/>
        <v>✔ طبيعي</v>
      </c>
      <c r="F298" s="5" t="str">
        <f>IF(AND($A298&lt;&gt;"",$E298&lt;&gt;"✔ طبيعي"),SUMPRODUCT(('الرصيد الحالي'!$E$2:$E298&lt;&gt;"✔ طبيعي")*('الرصيد الحالي'!$E$2:$E298&lt;&gt;"")*('الرصيد الحالي'!$A$2:$A298&lt;&gt;"")),"")</f>
        <v/>
      </c>
    </row>
    <row r="299" spans="1:6" ht="24" customHeight="1">
      <c r="A299" s="3">
        <f>المواد!A299</f>
        <v>0</v>
      </c>
      <c r="B299" s="5">
        <f>المواد!B299</f>
        <v>0</v>
      </c>
      <c r="C299" s="4">
        <f>IF($A299="","",ROUND(SUMIFS(الإدخالات!$D$2:$D$501,الإدخالات!$C$2:$C$501,$A299)+SUMIFS('تعديل الجرد'!$F$2:$F$501,'تعديل الجرد'!$C$2:$C$501,$A299)-SUMIFS('الصرف المباشر'!$D$2:$D$501,'الصرف المباشر'!$C$2:$C$501,$A299)-SUMPRODUCT((الطبخات!$B$2:$B$900=$A299)*الطبخات!$C$2:$C$900*COUNTIF('سجل الإنتاج'!$C$2:$C$501,الطبخات!$A$2:$A$900)),3))</f>
        <v>0</v>
      </c>
      <c r="D299" s="4">
        <f>IF($A299="","",ROUND(SUMIFS('الصرف المباشر'!$D$2:$D$501,'الصرف المباشر'!$C$2:$C$501,$A299)+SUMPRODUCT((الطبخات!$B$2:$B$900=$A299)*الطبخات!$C$2:$C$900*COUNTIF('سجل الإنتاج'!$C$2:$C$501,الطبخات!$A$2:$A$900)),3))</f>
        <v>0</v>
      </c>
      <c r="E299" s="5" t="str">
        <f t="shared" si="4"/>
        <v>✔ طبيعي</v>
      </c>
      <c r="F299" s="5" t="str">
        <f>IF(AND($A299&lt;&gt;"",$E299&lt;&gt;"✔ طبيعي"),SUMPRODUCT(('الرصيد الحالي'!$E$2:$E299&lt;&gt;"✔ طبيعي")*('الرصيد الحالي'!$E$2:$E299&lt;&gt;"")*('الرصيد الحالي'!$A$2:$A299&lt;&gt;"")),"")</f>
        <v/>
      </c>
    </row>
    <row r="300" spans="1:6" ht="24" customHeight="1">
      <c r="A300" s="3">
        <f>المواد!A300</f>
        <v>0</v>
      </c>
      <c r="B300" s="5">
        <f>المواد!B300</f>
        <v>0</v>
      </c>
      <c r="C300" s="4">
        <f>IF($A300="","",ROUND(SUMIFS(الإدخالات!$D$2:$D$501,الإدخالات!$C$2:$C$501,$A300)+SUMIFS('تعديل الجرد'!$F$2:$F$501,'تعديل الجرد'!$C$2:$C$501,$A300)-SUMIFS('الصرف المباشر'!$D$2:$D$501,'الصرف المباشر'!$C$2:$C$501,$A300)-SUMPRODUCT((الطبخات!$B$2:$B$900=$A300)*الطبخات!$C$2:$C$900*COUNTIF('سجل الإنتاج'!$C$2:$C$501,الطبخات!$A$2:$A$900)),3))</f>
        <v>0</v>
      </c>
      <c r="D300" s="4">
        <f>IF($A300="","",ROUND(SUMIFS('الصرف المباشر'!$D$2:$D$501,'الصرف المباشر'!$C$2:$C$501,$A300)+SUMPRODUCT((الطبخات!$B$2:$B$900=$A300)*الطبخات!$C$2:$C$900*COUNTIF('سجل الإنتاج'!$C$2:$C$501,الطبخات!$A$2:$A$900)),3))</f>
        <v>0</v>
      </c>
      <c r="E300" s="5" t="str">
        <f t="shared" si="4"/>
        <v>✔ طبيعي</v>
      </c>
      <c r="F300" s="5" t="str">
        <f>IF(AND($A300&lt;&gt;"",$E300&lt;&gt;"✔ طبيعي"),SUMPRODUCT(('الرصيد الحالي'!$E$2:$E300&lt;&gt;"✔ طبيعي")*('الرصيد الحالي'!$E$2:$E300&lt;&gt;"")*('الرصيد الحالي'!$A$2:$A300&lt;&gt;"")),"")</f>
        <v/>
      </c>
    </row>
    <row r="301" spans="1:6" ht="24" customHeight="1">
      <c r="A301" s="3">
        <f>المواد!A301</f>
        <v>0</v>
      </c>
      <c r="B301" s="5">
        <f>المواد!B301</f>
        <v>0</v>
      </c>
      <c r="C301" s="4">
        <f>IF($A301="","",ROUND(SUMIFS(الإدخالات!$D$2:$D$501,الإدخالات!$C$2:$C$501,$A301)+SUMIFS('تعديل الجرد'!$F$2:$F$501,'تعديل الجرد'!$C$2:$C$501,$A301)-SUMIFS('الصرف المباشر'!$D$2:$D$501,'الصرف المباشر'!$C$2:$C$501,$A301)-SUMPRODUCT((الطبخات!$B$2:$B$900=$A301)*الطبخات!$C$2:$C$900*COUNTIF('سجل الإنتاج'!$C$2:$C$501,الطبخات!$A$2:$A$900)),3))</f>
        <v>0</v>
      </c>
      <c r="D301" s="4">
        <f>IF($A301="","",ROUND(SUMIFS('الصرف المباشر'!$D$2:$D$501,'الصرف المباشر'!$C$2:$C$501,$A301)+SUMPRODUCT((الطبخات!$B$2:$B$900=$A301)*الطبخات!$C$2:$C$900*COUNTIF('سجل الإنتاج'!$C$2:$C$501,الطبخات!$A$2:$A$900)),3))</f>
        <v>0</v>
      </c>
      <c r="E301" s="5" t="str">
        <f t="shared" si="4"/>
        <v>✔ طبيعي</v>
      </c>
      <c r="F301" s="5" t="str">
        <f>IF(AND($A301&lt;&gt;"",$E301&lt;&gt;"✔ طبيعي"),SUMPRODUCT(('الرصيد الحالي'!$E$2:$E301&lt;&gt;"✔ طبيعي")*('الرصيد الحالي'!$E$2:$E301&lt;&gt;"")*('الرصيد الحالي'!$A$2:$A301&lt;&gt;"")),"")</f>
        <v/>
      </c>
    </row>
    <row r="302" spans="1:6" ht="24" customHeight="1">
      <c r="A302" s="3">
        <f>المواد!A302</f>
        <v>0</v>
      </c>
      <c r="B302" s="5">
        <f>المواد!B302</f>
        <v>0</v>
      </c>
      <c r="C302" s="4">
        <f>IF($A302="","",ROUND(SUMIFS(الإدخالات!$D$2:$D$501,الإدخالات!$C$2:$C$501,$A302)+SUMIFS('تعديل الجرد'!$F$2:$F$501,'تعديل الجرد'!$C$2:$C$501,$A302)-SUMIFS('الصرف المباشر'!$D$2:$D$501,'الصرف المباشر'!$C$2:$C$501,$A302)-SUMPRODUCT((الطبخات!$B$2:$B$900=$A302)*الطبخات!$C$2:$C$900*COUNTIF('سجل الإنتاج'!$C$2:$C$501,الطبخات!$A$2:$A$900)),3))</f>
        <v>0</v>
      </c>
      <c r="D302" s="4">
        <f>IF($A302="","",ROUND(SUMIFS('الصرف المباشر'!$D$2:$D$501,'الصرف المباشر'!$C$2:$C$501,$A302)+SUMPRODUCT((الطبخات!$B$2:$B$900=$A302)*الطبخات!$C$2:$C$900*COUNTIF('سجل الإنتاج'!$C$2:$C$501,الطبخات!$A$2:$A$900)),3))</f>
        <v>0</v>
      </c>
      <c r="E302" s="5" t="str">
        <f t="shared" si="4"/>
        <v>✔ طبيعي</v>
      </c>
      <c r="F302" s="5" t="str">
        <f>IF(AND($A302&lt;&gt;"",$E302&lt;&gt;"✔ طبيعي"),SUMPRODUCT(('الرصيد الحالي'!$E$2:$E302&lt;&gt;"✔ طبيعي")*('الرصيد الحالي'!$E$2:$E302&lt;&gt;"")*('الرصيد الحالي'!$A$2:$A302&lt;&gt;"")),"")</f>
        <v/>
      </c>
    </row>
    <row r="303" spans="1:6" ht="24" customHeight="1">
      <c r="A303" s="3">
        <f>المواد!A303</f>
        <v>0</v>
      </c>
      <c r="B303" s="5">
        <f>المواد!B303</f>
        <v>0</v>
      </c>
      <c r="C303" s="4">
        <f>IF($A303="","",ROUND(SUMIFS(الإدخالات!$D$2:$D$501,الإدخالات!$C$2:$C$501,$A303)+SUMIFS('تعديل الجرد'!$F$2:$F$501,'تعديل الجرد'!$C$2:$C$501,$A303)-SUMIFS('الصرف المباشر'!$D$2:$D$501,'الصرف المباشر'!$C$2:$C$501,$A303)-SUMPRODUCT((الطبخات!$B$2:$B$900=$A303)*الطبخات!$C$2:$C$900*COUNTIF('سجل الإنتاج'!$C$2:$C$501,الطبخات!$A$2:$A$900)),3))</f>
        <v>0</v>
      </c>
      <c r="D303" s="4">
        <f>IF($A303="","",ROUND(SUMIFS('الصرف المباشر'!$D$2:$D$501,'الصرف المباشر'!$C$2:$C$501,$A303)+SUMPRODUCT((الطبخات!$B$2:$B$900=$A303)*الطبخات!$C$2:$C$900*COUNTIF('سجل الإنتاج'!$C$2:$C$501,الطبخات!$A$2:$A$900)),3))</f>
        <v>0</v>
      </c>
      <c r="E303" s="5" t="str">
        <f t="shared" si="4"/>
        <v>✔ طبيعي</v>
      </c>
      <c r="F303" s="5" t="str">
        <f>IF(AND($A303&lt;&gt;"",$E303&lt;&gt;"✔ طبيعي"),SUMPRODUCT(('الرصيد الحالي'!$E$2:$E303&lt;&gt;"✔ طبيعي")*('الرصيد الحالي'!$E$2:$E303&lt;&gt;"")*('الرصيد الحالي'!$A$2:$A303&lt;&gt;"")),"")</f>
        <v/>
      </c>
    </row>
    <row r="304" spans="1:6" ht="24" customHeight="1">
      <c r="A304" s="3">
        <f>المواد!A304</f>
        <v>0</v>
      </c>
      <c r="B304" s="5">
        <f>المواد!B304</f>
        <v>0</v>
      </c>
      <c r="C304" s="4">
        <f>IF($A304="","",ROUND(SUMIFS(الإدخالات!$D$2:$D$501,الإدخالات!$C$2:$C$501,$A304)+SUMIFS('تعديل الجرد'!$F$2:$F$501,'تعديل الجرد'!$C$2:$C$501,$A304)-SUMIFS('الصرف المباشر'!$D$2:$D$501,'الصرف المباشر'!$C$2:$C$501,$A304)-SUMPRODUCT((الطبخات!$B$2:$B$900=$A304)*الطبخات!$C$2:$C$900*COUNTIF('سجل الإنتاج'!$C$2:$C$501,الطبخات!$A$2:$A$900)),3))</f>
        <v>0</v>
      </c>
      <c r="D304" s="4">
        <f>IF($A304="","",ROUND(SUMIFS('الصرف المباشر'!$D$2:$D$501,'الصرف المباشر'!$C$2:$C$501,$A304)+SUMPRODUCT((الطبخات!$B$2:$B$900=$A304)*الطبخات!$C$2:$C$900*COUNTIF('سجل الإنتاج'!$C$2:$C$501,الطبخات!$A$2:$A$900)),3))</f>
        <v>0</v>
      </c>
      <c r="E304" s="5" t="str">
        <f t="shared" si="4"/>
        <v>✔ طبيعي</v>
      </c>
      <c r="F304" s="5" t="str">
        <f>IF(AND($A304&lt;&gt;"",$E304&lt;&gt;"✔ طبيعي"),SUMPRODUCT(('الرصيد الحالي'!$E$2:$E304&lt;&gt;"✔ طبيعي")*('الرصيد الحالي'!$E$2:$E304&lt;&gt;"")*('الرصيد الحالي'!$A$2:$A304&lt;&gt;"")),"")</f>
        <v/>
      </c>
    </row>
    <row r="305" spans="1:6" ht="24" customHeight="1">
      <c r="A305" s="3">
        <f>المواد!A305</f>
        <v>0</v>
      </c>
      <c r="B305" s="5">
        <f>المواد!B305</f>
        <v>0</v>
      </c>
      <c r="C305" s="4">
        <f>IF($A305="","",ROUND(SUMIFS(الإدخالات!$D$2:$D$501,الإدخالات!$C$2:$C$501,$A305)+SUMIFS('تعديل الجرد'!$F$2:$F$501,'تعديل الجرد'!$C$2:$C$501,$A305)-SUMIFS('الصرف المباشر'!$D$2:$D$501,'الصرف المباشر'!$C$2:$C$501,$A305)-SUMPRODUCT((الطبخات!$B$2:$B$900=$A305)*الطبخات!$C$2:$C$900*COUNTIF('سجل الإنتاج'!$C$2:$C$501,الطبخات!$A$2:$A$900)),3))</f>
        <v>0</v>
      </c>
      <c r="D305" s="4">
        <f>IF($A305="","",ROUND(SUMIFS('الصرف المباشر'!$D$2:$D$501,'الصرف المباشر'!$C$2:$C$501,$A305)+SUMPRODUCT((الطبخات!$B$2:$B$900=$A305)*الطبخات!$C$2:$C$900*COUNTIF('سجل الإنتاج'!$C$2:$C$501,الطبخات!$A$2:$A$900)),3))</f>
        <v>0</v>
      </c>
      <c r="E305" s="5" t="str">
        <f t="shared" si="4"/>
        <v>✔ طبيعي</v>
      </c>
      <c r="F305" s="5" t="str">
        <f>IF(AND($A305&lt;&gt;"",$E305&lt;&gt;"✔ طبيعي"),SUMPRODUCT(('الرصيد الحالي'!$E$2:$E305&lt;&gt;"✔ طبيعي")*('الرصيد الحالي'!$E$2:$E305&lt;&gt;"")*('الرصيد الحالي'!$A$2:$A305&lt;&gt;"")),"")</f>
        <v/>
      </c>
    </row>
    <row r="306" spans="1:6" ht="24" customHeight="1">
      <c r="A306" s="3">
        <f>المواد!A306</f>
        <v>0</v>
      </c>
      <c r="B306" s="5">
        <f>المواد!B306</f>
        <v>0</v>
      </c>
      <c r="C306" s="4">
        <f>IF($A306="","",ROUND(SUMIFS(الإدخالات!$D$2:$D$501,الإدخالات!$C$2:$C$501,$A306)+SUMIFS('تعديل الجرد'!$F$2:$F$501,'تعديل الجرد'!$C$2:$C$501,$A306)-SUMIFS('الصرف المباشر'!$D$2:$D$501,'الصرف المباشر'!$C$2:$C$501,$A306)-SUMPRODUCT((الطبخات!$B$2:$B$900=$A306)*الطبخات!$C$2:$C$900*COUNTIF('سجل الإنتاج'!$C$2:$C$501,الطبخات!$A$2:$A$900)),3))</f>
        <v>0</v>
      </c>
      <c r="D306" s="4">
        <f>IF($A306="","",ROUND(SUMIFS('الصرف المباشر'!$D$2:$D$501,'الصرف المباشر'!$C$2:$C$501,$A306)+SUMPRODUCT((الطبخات!$B$2:$B$900=$A306)*الطبخات!$C$2:$C$900*COUNTIF('سجل الإنتاج'!$C$2:$C$501,الطبخات!$A$2:$A$900)),3))</f>
        <v>0</v>
      </c>
      <c r="E306" s="5" t="str">
        <f t="shared" si="4"/>
        <v>✔ طبيعي</v>
      </c>
      <c r="F306" s="5" t="str">
        <f>IF(AND($A306&lt;&gt;"",$E306&lt;&gt;"✔ طبيعي"),SUMPRODUCT(('الرصيد الحالي'!$E$2:$E306&lt;&gt;"✔ طبيعي")*('الرصيد الحالي'!$E$2:$E306&lt;&gt;"")*('الرصيد الحالي'!$A$2:$A306&lt;&gt;"")),"")</f>
        <v/>
      </c>
    </row>
    <row r="307" spans="1:6" ht="24" customHeight="1">
      <c r="A307" s="3">
        <f>المواد!A307</f>
        <v>0</v>
      </c>
      <c r="B307" s="5">
        <f>المواد!B307</f>
        <v>0</v>
      </c>
      <c r="C307" s="4">
        <f>IF($A307="","",ROUND(SUMIFS(الإدخالات!$D$2:$D$501,الإدخالات!$C$2:$C$501,$A307)+SUMIFS('تعديل الجرد'!$F$2:$F$501,'تعديل الجرد'!$C$2:$C$501,$A307)-SUMIFS('الصرف المباشر'!$D$2:$D$501,'الصرف المباشر'!$C$2:$C$501,$A307)-SUMPRODUCT((الطبخات!$B$2:$B$900=$A307)*الطبخات!$C$2:$C$900*COUNTIF('سجل الإنتاج'!$C$2:$C$501,الطبخات!$A$2:$A$900)),3))</f>
        <v>0</v>
      </c>
      <c r="D307" s="4">
        <f>IF($A307="","",ROUND(SUMIFS('الصرف المباشر'!$D$2:$D$501,'الصرف المباشر'!$C$2:$C$501,$A307)+SUMPRODUCT((الطبخات!$B$2:$B$900=$A307)*الطبخات!$C$2:$C$900*COUNTIF('سجل الإنتاج'!$C$2:$C$501,الطبخات!$A$2:$A$900)),3))</f>
        <v>0</v>
      </c>
      <c r="E307" s="5" t="str">
        <f t="shared" si="4"/>
        <v>✔ طبيعي</v>
      </c>
      <c r="F307" s="5" t="str">
        <f>IF(AND($A307&lt;&gt;"",$E307&lt;&gt;"✔ طبيعي"),SUMPRODUCT(('الرصيد الحالي'!$E$2:$E307&lt;&gt;"✔ طبيعي")*('الرصيد الحالي'!$E$2:$E307&lt;&gt;"")*('الرصيد الحالي'!$A$2:$A307&lt;&gt;"")),"")</f>
        <v/>
      </c>
    </row>
    <row r="308" spans="1:6" ht="24" customHeight="1">
      <c r="A308" s="3">
        <f>المواد!A308</f>
        <v>0</v>
      </c>
      <c r="B308" s="5">
        <f>المواد!B308</f>
        <v>0</v>
      </c>
      <c r="C308" s="4">
        <f>IF($A308="","",ROUND(SUMIFS(الإدخالات!$D$2:$D$501,الإدخالات!$C$2:$C$501,$A308)+SUMIFS('تعديل الجرد'!$F$2:$F$501,'تعديل الجرد'!$C$2:$C$501,$A308)-SUMIFS('الصرف المباشر'!$D$2:$D$501,'الصرف المباشر'!$C$2:$C$501,$A308)-SUMPRODUCT((الطبخات!$B$2:$B$900=$A308)*الطبخات!$C$2:$C$900*COUNTIF('سجل الإنتاج'!$C$2:$C$501,الطبخات!$A$2:$A$900)),3))</f>
        <v>0</v>
      </c>
      <c r="D308" s="4">
        <f>IF($A308="","",ROUND(SUMIFS('الصرف المباشر'!$D$2:$D$501,'الصرف المباشر'!$C$2:$C$501,$A308)+SUMPRODUCT((الطبخات!$B$2:$B$900=$A308)*الطبخات!$C$2:$C$900*COUNTIF('سجل الإنتاج'!$C$2:$C$501,الطبخات!$A$2:$A$900)),3))</f>
        <v>0</v>
      </c>
      <c r="E308" s="5" t="str">
        <f t="shared" si="4"/>
        <v>✔ طبيعي</v>
      </c>
      <c r="F308" s="5" t="str">
        <f>IF(AND($A308&lt;&gt;"",$E308&lt;&gt;"✔ طبيعي"),SUMPRODUCT(('الرصيد الحالي'!$E$2:$E308&lt;&gt;"✔ طبيعي")*('الرصيد الحالي'!$E$2:$E308&lt;&gt;"")*('الرصيد الحالي'!$A$2:$A308&lt;&gt;"")),"")</f>
        <v/>
      </c>
    </row>
    <row r="309" spans="1:6" ht="24" customHeight="1">
      <c r="A309" s="3">
        <f>المواد!A309</f>
        <v>0</v>
      </c>
      <c r="B309" s="5">
        <f>المواد!B309</f>
        <v>0</v>
      </c>
      <c r="C309" s="4">
        <f>IF($A309="","",ROUND(SUMIFS(الإدخالات!$D$2:$D$501,الإدخالات!$C$2:$C$501,$A309)+SUMIFS('تعديل الجرد'!$F$2:$F$501,'تعديل الجرد'!$C$2:$C$501,$A309)-SUMIFS('الصرف المباشر'!$D$2:$D$501,'الصرف المباشر'!$C$2:$C$501,$A309)-SUMPRODUCT((الطبخات!$B$2:$B$900=$A309)*الطبخات!$C$2:$C$900*COUNTIF('سجل الإنتاج'!$C$2:$C$501,الطبخات!$A$2:$A$900)),3))</f>
        <v>0</v>
      </c>
      <c r="D309" s="4">
        <f>IF($A309="","",ROUND(SUMIFS('الصرف المباشر'!$D$2:$D$501,'الصرف المباشر'!$C$2:$C$501,$A309)+SUMPRODUCT((الطبخات!$B$2:$B$900=$A309)*الطبخات!$C$2:$C$900*COUNTIF('سجل الإنتاج'!$C$2:$C$501,الطبخات!$A$2:$A$900)),3))</f>
        <v>0</v>
      </c>
      <c r="E309" s="5" t="str">
        <f t="shared" si="4"/>
        <v>✔ طبيعي</v>
      </c>
      <c r="F309" s="5" t="str">
        <f>IF(AND($A309&lt;&gt;"",$E309&lt;&gt;"✔ طبيعي"),SUMPRODUCT(('الرصيد الحالي'!$E$2:$E309&lt;&gt;"✔ طبيعي")*('الرصيد الحالي'!$E$2:$E309&lt;&gt;"")*('الرصيد الحالي'!$A$2:$A309&lt;&gt;"")),"")</f>
        <v/>
      </c>
    </row>
    <row r="310" spans="1:6" ht="24" customHeight="1">
      <c r="A310" s="3">
        <f>المواد!A310</f>
        <v>0</v>
      </c>
      <c r="B310" s="5">
        <f>المواد!B310</f>
        <v>0</v>
      </c>
      <c r="C310" s="4">
        <f>IF($A310="","",ROUND(SUMIFS(الإدخالات!$D$2:$D$501,الإدخالات!$C$2:$C$501,$A310)+SUMIFS('تعديل الجرد'!$F$2:$F$501,'تعديل الجرد'!$C$2:$C$501,$A310)-SUMIFS('الصرف المباشر'!$D$2:$D$501,'الصرف المباشر'!$C$2:$C$501,$A310)-SUMPRODUCT((الطبخات!$B$2:$B$900=$A310)*الطبخات!$C$2:$C$900*COUNTIF('سجل الإنتاج'!$C$2:$C$501,الطبخات!$A$2:$A$900)),3))</f>
        <v>0</v>
      </c>
      <c r="D310" s="4">
        <f>IF($A310="","",ROUND(SUMIFS('الصرف المباشر'!$D$2:$D$501,'الصرف المباشر'!$C$2:$C$501,$A310)+SUMPRODUCT((الطبخات!$B$2:$B$900=$A310)*الطبخات!$C$2:$C$900*COUNTIF('سجل الإنتاج'!$C$2:$C$501,الطبخات!$A$2:$A$900)),3))</f>
        <v>0</v>
      </c>
      <c r="E310" s="5" t="str">
        <f t="shared" si="4"/>
        <v>✔ طبيعي</v>
      </c>
      <c r="F310" s="5" t="str">
        <f>IF(AND($A310&lt;&gt;"",$E310&lt;&gt;"✔ طبيعي"),SUMPRODUCT(('الرصيد الحالي'!$E$2:$E310&lt;&gt;"✔ طبيعي")*('الرصيد الحالي'!$E$2:$E310&lt;&gt;"")*('الرصيد الحالي'!$A$2:$A310&lt;&gt;"")),"")</f>
        <v/>
      </c>
    </row>
    <row r="311" spans="1:6" ht="24" customHeight="1">
      <c r="A311" s="3">
        <f>المواد!A311</f>
        <v>0</v>
      </c>
      <c r="B311" s="5">
        <f>المواد!B311</f>
        <v>0</v>
      </c>
      <c r="C311" s="4">
        <f>IF($A311="","",ROUND(SUMIFS(الإدخالات!$D$2:$D$501,الإدخالات!$C$2:$C$501,$A311)+SUMIFS('تعديل الجرد'!$F$2:$F$501,'تعديل الجرد'!$C$2:$C$501,$A311)-SUMIFS('الصرف المباشر'!$D$2:$D$501,'الصرف المباشر'!$C$2:$C$501,$A311)-SUMPRODUCT((الطبخات!$B$2:$B$900=$A311)*الطبخات!$C$2:$C$900*COUNTIF('سجل الإنتاج'!$C$2:$C$501,الطبخات!$A$2:$A$900)),3))</f>
        <v>0</v>
      </c>
      <c r="D311" s="4">
        <f>IF($A311="","",ROUND(SUMIFS('الصرف المباشر'!$D$2:$D$501,'الصرف المباشر'!$C$2:$C$501,$A311)+SUMPRODUCT((الطبخات!$B$2:$B$900=$A311)*الطبخات!$C$2:$C$900*COUNTIF('سجل الإنتاج'!$C$2:$C$501,الطبخات!$A$2:$A$900)),3))</f>
        <v>0</v>
      </c>
      <c r="E311" s="5" t="str">
        <f t="shared" si="4"/>
        <v>✔ طبيعي</v>
      </c>
      <c r="F311" s="5" t="str">
        <f>IF(AND($A311&lt;&gt;"",$E311&lt;&gt;"✔ طبيعي"),SUMPRODUCT(('الرصيد الحالي'!$E$2:$E311&lt;&gt;"✔ طبيعي")*('الرصيد الحالي'!$E$2:$E311&lt;&gt;"")*('الرصيد الحالي'!$A$2:$A311&lt;&gt;"")),"")</f>
        <v/>
      </c>
    </row>
    <row r="312" spans="1:6" ht="24" customHeight="1">
      <c r="A312" s="3">
        <f>المواد!A312</f>
        <v>0</v>
      </c>
      <c r="B312" s="5">
        <f>المواد!B312</f>
        <v>0</v>
      </c>
      <c r="C312" s="4">
        <f>IF($A312="","",ROUND(SUMIFS(الإدخالات!$D$2:$D$501,الإدخالات!$C$2:$C$501,$A312)+SUMIFS('تعديل الجرد'!$F$2:$F$501,'تعديل الجرد'!$C$2:$C$501,$A312)-SUMIFS('الصرف المباشر'!$D$2:$D$501,'الصرف المباشر'!$C$2:$C$501,$A312)-SUMPRODUCT((الطبخات!$B$2:$B$900=$A312)*الطبخات!$C$2:$C$900*COUNTIF('سجل الإنتاج'!$C$2:$C$501,الطبخات!$A$2:$A$900)),3))</f>
        <v>0</v>
      </c>
      <c r="D312" s="4">
        <f>IF($A312="","",ROUND(SUMIFS('الصرف المباشر'!$D$2:$D$501,'الصرف المباشر'!$C$2:$C$501,$A312)+SUMPRODUCT((الطبخات!$B$2:$B$900=$A312)*الطبخات!$C$2:$C$900*COUNTIF('سجل الإنتاج'!$C$2:$C$501,الطبخات!$A$2:$A$900)),3))</f>
        <v>0</v>
      </c>
      <c r="E312" s="5" t="str">
        <f t="shared" si="4"/>
        <v>✔ طبيعي</v>
      </c>
      <c r="F312" s="5" t="str">
        <f>IF(AND($A312&lt;&gt;"",$E312&lt;&gt;"✔ طبيعي"),SUMPRODUCT(('الرصيد الحالي'!$E$2:$E312&lt;&gt;"✔ طبيعي")*('الرصيد الحالي'!$E$2:$E312&lt;&gt;"")*('الرصيد الحالي'!$A$2:$A312&lt;&gt;"")),"")</f>
        <v/>
      </c>
    </row>
    <row r="313" spans="1:6" ht="24" customHeight="1">
      <c r="A313" s="3">
        <f>المواد!A313</f>
        <v>0</v>
      </c>
      <c r="B313" s="5">
        <f>المواد!B313</f>
        <v>0</v>
      </c>
      <c r="C313" s="4">
        <f>IF($A313="","",ROUND(SUMIFS(الإدخالات!$D$2:$D$501,الإدخالات!$C$2:$C$501,$A313)+SUMIFS('تعديل الجرد'!$F$2:$F$501,'تعديل الجرد'!$C$2:$C$501,$A313)-SUMIFS('الصرف المباشر'!$D$2:$D$501,'الصرف المباشر'!$C$2:$C$501,$A313)-SUMPRODUCT((الطبخات!$B$2:$B$900=$A313)*الطبخات!$C$2:$C$900*COUNTIF('سجل الإنتاج'!$C$2:$C$501,الطبخات!$A$2:$A$900)),3))</f>
        <v>0</v>
      </c>
      <c r="D313" s="4">
        <f>IF($A313="","",ROUND(SUMIFS('الصرف المباشر'!$D$2:$D$501,'الصرف المباشر'!$C$2:$C$501,$A313)+SUMPRODUCT((الطبخات!$B$2:$B$900=$A313)*الطبخات!$C$2:$C$900*COUNTIF('سجل الإنتاج'!$C$2:$C$501,الطبخات!$A$2:$A$900)),3))</f>
        <v>0</v>
      </c>
      <c r="E313" s="5" t="str">
        <f t="shared" si="4"/>
        <v>✔ طبيعي</v>
      </c>
      <c r="F313" s="5" t="str">
        <f>IF(AND($A313&lt;&gt;"",$E313&lt;&gt;"✔ طبيعي"),SUMPRODUCT(('الرصيد الحالي'!$E$2:$E313&lt;&gt;"✔ طبيعي")*('الرصيد الحالي'!$E$2:$E313&lt;&gt;"")*('الرصيد الحالي'!$A$2:$A313&lt;&gt;"")),"")</f>
        <v/>
      </c>
    </row>
    <row r="314" spans="1:6" ht="24" customHeight="1">
      <c r="A314" s="3">
        <f>المواد!A314</f>
        <v>0</v>
      </c>
      <c r="B314" s="5">
        <f>المواد!B314</f>
        <v>0</v>
      </c>
      <c r="C314" s="4">
        <f>IF($A314="","",ROUND(SUMIFS(الإدخالات!$D$2:$D$501,الإدخالات!$C$2:$C$501,$A314)+SUMIFS('تعديل الجرد'!$F$2:$F$501,'تعديل الجرد'!$C$2:$C$501,$A314)-SUMIFS('الصرف المباشر'!$D$2:$D$501,'الصرف المباشر'!$C$2:$C$501,$A314)-SUMPRODUCT((الطبخات!$B$2:$B$900=$A314)*الطبخات!$C$2:$C$900*COUNTIF('سجل الإنتاج'!$C$2:$C$501,الطبخات!$A$2:$A$900)),3))</f>
        <v>0</v>
      </c>
      <c r="D314" s="4">
        <f>IF($A314="","",ROUND(SUMIFS('الصرف المباشر'!$D$2:$D$501,'الصرف المباشر'!$C$2:$C$501,$A314)+SUMPRODUCT((الطبخات!$B$2:$B$900=$A314)*الطبخات!$C$2:$C$900*COUNTIF('سجل الإنتاج'!$C$2:$C$501,الطبخات!$A$2:$A$900)),3))</f>
        <v>0</v>
      </c>
      <c r="E314" s="5" t="str">
        <f t="shared" si="4"/>
        <v>✔ طبيعي</v>
      </c>
      <c r="F314" s="5" t="str">
        <f>IF(AND($A314&lt;&gt;"",$E314&lt;&gt;"✔ طبيعي"),SUMPRODUCT(('الرصيد الحالي'!$E$2:$E314&lt;&gt;"✔ طبيعي")*('الرصيد الحالي'!$E$2:$E314&lt;&gt;"")*('الرصيد الحالي'!$A$2:$A314&lt;&gt;"")),"")</f>
        <v/>
      </c>
    </row>
    <row r="315" spans="1:6" ht="24" customHeight="1">
      <c r="A315" s="3">
        <f>المواد!A315</f>
        <v>0</v>
      </c>
      <c r="B315" s="5">
        <f>المواد!B315</f>
        <v>0</v>
      </c>
      <c r="C315" s="4">
        <f>IF($A315="","",ROUND(SUMIFS(الإدخالات!$D$2:$D$501,الإدخالات!$C$2:$C$501,$A315)+SUMIFS('تعديل الجرد'!$F$2:$F$501,'تعديل الجرد'!$C$2:$C$501,$A315)-SUMIFS('الصرف المباشر'!$D$2:$D$501,'الصرف المباشر'!$C$2:$C$501,$A315)-SUMPRODUCT((الطبخات!$B$2:$B$900=$A315)*الطبخات!$C$2:$C$900*COUNTIF('سجل الإنتاج'!$C$2:$C$501,الطبخات!$A$2:$A$900)),3))</f>
        <v>0</v>
      </c>
      <c r="D315" s="4">
        <f>IF($A315="","",ROUND(SUMIFS('الصرف المباشر'!$D$2:$D$501,'الصرف المباشر'!$C$2:$C$501,$A315)+SUMPRODUCT((الطبخات!$B$2:$B$900=$A315)*الطبخات!$C$2:$C$900*COUNTIF('سجل الإنتاج'!$C$2:$C$501,الطبخات!$A$2:$A$900)),3))</f>
        <v>0</v>
      </c>
      <c r="E315" s="5" t="str">
        <f t="shared" si="4"/>
        <v>✔ طبيعي</v>
      </c>
      <c r="F315" s="5" t="str">
        <f>IF(AND($A315&lt;&gt;"",$E315&lt;&gt;"✔ طبيعي"),SUMPRODUCT(('الرصيد الحالي'!$E$2:$E315&lt;&gt;"✔ طبيعي")*('الرصيد الحالي'!$E$2:$E315&lt;&gt;"")*('الرصيد الحالي'!$A$2:$A315&lt;&gt;"")),"")</f>
        <v/>
      </c>
    </row>
    <row r="316" spans="1:6" ht="24" customHeight="1">
      <c r="A316" s="3">
        <f>المواد!A316</f>
        <v>0</v>
      </c>
      <c r="B316" s="5">
        <f>المواد!B316</f>
        <v>0</v>
      </c>
      <c r="C316" s="4">
        <f>IF($A316="","",ROUND(SUMIFS(الإدخالات!$D$2:$D$501,الإدخالات!$C$2:$C$501,$A316)+SUMIFS('تعديل الجرد'!$F$2:$F$501,'تعديل الجرد'!$C$2:$C$501,$A316)-SUMIFS('الصرف المباشر'!$D$2:$D$501,'الصرف المباشر'!$C$2:$C$501,$A316)-SUMPRODUCT((الطبخات!$B$2:$B$900=$A316)*الطبخات!$C$2:$C$900*COUNTIF('سجل الإنتاج'!$C$2:$C$501,الطبخات!$A$2:$A$900)),3))</f>
        <v>0</v>
      </c>
      <c r="D316" s="4">
        <f>IF($A316="","",ROUND(SUMIFS('الصرف المباشر'!$D$2:$D$501,'الصرف المباشر'!$C$2:$C$501,$A316)+SUMPRODUCT((الطبخات!$B$2:$B$900=$A316)*الطبخات!$C$2:$C$900*COUNTIF('سجل الإنتاج'!$C$2:$C$501,الطبخات!$A$2:$A$900)),3))</f>
        <v>0</v>
      </c>
      <c r="E316" s="5" t="str">
        <f t="shared" si="4"/>
        <v>✔ طبيعي</v>
      </c>
      <c r="F316" s="5" t="str">
        <f>IF(AND($A316&lt;&gt;"",$E316&lt;&gt;"✔ طبيعي"),SUMPRODUCT(('الرصيد الحالي'!$E$2:$E316&lt;&gt;"✔ طبيعي")*('الرصيد الحالي'!$E$2:$E316&lt;&gt;"")*('الرصيد الحالي'!$A$2:$A316&lt;&gt;"")),"")</f>
        <v/>
      </c>
    </row>
    <row r="317" spans="1:6" ht="24" customHeight="1">
      <c r="A317" s="3">
        <f>المواد!A317</f>
        <v>0</v>
      </c>
      <c r="B317" s="5">
        <f>المواد!B317</f>
        <v>0</v>
      </c>
      <c r="C317" s="4">
        <f>IF($A317="","",ROUND(SUMIFS(الإدخالات!$D$2:$D$501,الإدخالات!$C$2:$C$501,$A317)+SUMIFS('تعديل الجرد'!$F$2:$F$501,'تعديل الجرد'!$C$2:$C$501,$A317)-SUMIFS('الصرف المباشر'!$D$2:$D$501,'الصرف المباشر'!$C$2:$C$501,$A317)-SUMPRODUCT((الطبخات!$B$2:$B$900=$A317)*الطبخات!$C$2:$C$900*COUNTIF('سجل الإنتاج'!$C$2:$C$501,الطبخات!$A$2:$A$900)),3))</f>
        <v>0</v>
      </c>
      <c r="D317" s="4">
        <f>IF($A317="","",ROUND(SUMIFS('الصرف المباشر'!$D$2:$D$501,'الصرف المباشر'!$C$2:$C$501,$A317)+SUMPRODUCT((الطبخات!$B$2:$B$900=$A317)*الطبخات!$C$2:$C$900*COUNTIF('سجل الإنتاج'!$C$2:$C$501,الطبخات!$A$2:$A$900)),3))</f>
        <v>0</v>
      </c>
      <c r="E317" s="5" t="str">
        <f t="shared" si="4"/>
        <v>✔ طبيعي</v>
      </c>
      <c r="F317" s="5" t="str">
        <f>IF(AND($A317&lt;&gt;"",$E317&lt;&gt;"✔ طبيعي"),SUMPRODUCT(('الرصيد الحالي'!$E$2:$E317&lt;&gt;"✔ طبيعي")*('الرصيد الحالي'!$E$2:$E317&lt;&gt;"")*('الرصيد الحالي'!$A$2:$A317&lt;&gt;"")),"")</f>
        <v/>
      </c>
    </row>
    <row r="318" spans="1:6" ht="24" customHeight="1">
      <c r="A318" s="3">
        <f>المواد!A318</f>
        <v>0</v>
      </c>
      <c r="B318" s="5">
        <f>المواد!B318</f>
        <v>0</v>
      </c>
      <c r="C318" s="4">
        <f>IF($A318="","",ROUND(SUMIFS(الإدخالات!$D$2:$D$501,الإدخالات!$C$2:$C$501,$A318)+SUMIFS('تعديل الجرد'!$F$2:$F$501,'تعديل الجرد'!$C$2:$C$501,$A318)-SUMIFS('الصرف المباشر'!$D$2:$D$501,'الصرف المباشر'!$C$2:$C$501,$A318)-SUMPRODUCT((الطبخات!$B$2:$B$900=$A318)*الطبخات!$C$2:$C$900*COUNTIF('سجل الإنتاج'!$C$2:$C$501,الطبخات!$A$2:$A$900)),3))</f>
        <v>0</v>
      </c>
      <c r="D318" s="4">
        <f>IF($A318="","",ROUND(SUMIFS('الصرف المباشر'!$D$2:$D$501,'الصرف المباشر'!$C$2:$C$501,$A318)+SUMPRODUCT((الطبخات!$B$2:$B$900=$A318)*الطبخات!$C$2:$C$900*COUNTIF('سجل الإنتاج'!$C$2:$C$501,الطبخات!$A$2:$A$900)),3))</f>
        <v>0</v>
      </c>
      <c r="E318" s="5" t="str">
        <f t="shared" si="4"/>
        <v>✔ طبيعي</v>
      </c>
      <c r="F318" s="5" t="str">
        <f>IF(AND($A318&lt;&gt;"",$E318&lt;&gt;"✔ طبيعي"),SUMPRODUCT(('الرصيد الحالي'!$E$2:$E318&lt;&gt;"✔ طبيعي")*('الرصيد الحالي'!$E$2:$E318&lt;&gt;"")*('الرصيد الحالي'!$A$2:$A318&lt;&gt;"")),"")</f>
        <v/>
      </c>
    </row>
    <row r="319" spans="1:6" ht="24" customHeight="1">
      <c r="A319" s="3">
        <f>المواد!A319</f>
        <v>0</v>
      </c>
      <c r="B319" s="5">
        <f>المواد!B319</f>
        <v>0</v>
      </c>
      <c r="C319" s="4">
        <f>IF($A319="","",ROUND(SUMIFS(الإدخالات!$D$2:$D$501,الإدخالات!$C$2:$C$501,$A319)+SUMIFS('تعديل الجرد'!$F$2:$F$501,'تعديل الجرد'!$C$2:$C$501,$A319)-SUMIFS('الصرف المباشر'!$D$2:$D$501,'الصرف المباشر'!$C$2:$C$501,$A319)-SUMPRODUCT((الطبخات!$B$2:$B$900=$A319)*الطبخات!$C$2:$C$900*COUNTIF('سجل الإنتاج'!$C$2:$C$501,الطبخات!$A$2:$A$900)),3))</f>
        <v>0</v>
      </c>
      <c r="D319" s="4">
        <f>IF($A319="","",ROUND(SUMIFS('الصرف المباشر'!$D$2:$D$501,'الصرف المباشر'!$C$2:$C$501,$A319)+SUMPRODUCT((الطبخات!$B$2:$B$900=$A319)*الطبخات!$C$2:$C$900*COUNTIF('سجل الإنتاج'!$C$2:$C$501,الطبخات!$A$2:$A$900)),3))</f>
        <v>0</v>
      </c>
      <c r="E319" s="5" t="str">
        <f t="shared" si="4"/>
        <v>✔ طبيعي</v>
      </c>
      <c r="F319" s="5" t="str">
        <f>IF(AND($A319&lt;&gt;"",$E319&lt;&gt;"✔ طبيعي"),SUMPRODUCT(('الرصيد الحالي'!$E$2:$E319&lt;&gt;"✔ طبيعي")*('الرصيد الحالي'!$E$2:$E319&lt;&gt;"")*('الرصيد الحالي'!$A$2:$A319&lt;&gt;"")),"")</f>
        <v/>
      </c>
    </row>
    <row r="320" spans="1:6" ht="24" customHeight="1">
      <c r="A320" s="3">
        <f>المواد!A320</f>
        <v>0</v>
      </c>
      <c r="B320" s="5">
        <f>المواد!B320</f>
        <v>0</v>
      </c>
      <c r="C320" s="4">
        <f>IF($A320="","",ROUND(SUMIFS(الإدخالات!$D$2:$D$501,الإدخالات!$C$2:$C$501,$A320)+SUMIFS('تعديل الجرد'!$F$2:$F$501,'تعديل الجرد'!$C$2:$C$501,$A320)-SUMIFS('الصرف المباشر'!$D$2:$D$501,'الصرف المباشر'!$C$2:$C$501,$A320)-SUMPRODUCT((الطبخات!$B$2:$B$900=$A320)*الطبخات!$C$2:$C$900*COUNTIF('سجل الإنتاج'!$C$2:$C$501,الطبخات!$A$2:$A$900)),3))</f>
        <v>0</v>
      </c>
      <c r="D320" s="4">
        <f>IF($A320="","",ROUND(SUMIFS('الصرف المباشر'!$D$2:$D$501,'الصرف المباشر'!$C$2:$C$501,$A320)+SUMPRODUCT((الطبخات!$B$2:$B$900=$A320)*الطبخات!$C$2:$C$900*COUNTIF('سجل الإنتاج'!$C$2:$C$501,الطبخات!$A$2:$A$900)),3))</f>
        <v>0</v>
      </c>
      <c r="E320" s="5" t="str">
        <f t="shared" si="4"/>
        <v>✔ طبيعي</v>
      </c>
      <c r="F320" s="5" t="str">
        <f>IF(AND($A320&lt;&gt;"",$E320&lt;&gt;"✔ طبيعي"),SUMPRODUCT(('الرصيد الحالي'!$E$2:$E320&lt;&gt;"✔ طبيعي")*('الرصيد الحالي'!$E$2:$E320&lt;&gt;"")*('الرصيد الحالي'!$A$2:$A320&lt;&gt;"")),"")</f>
        <v/>
      </c>
    </row>
  </sheetData>
  <sheetProtection sheet="1" formatCells="0" formatColumns="0" formatRows="0" insertColumns="0" insertRows="0" deleteColumns="0" deleteRows="0" autoFilter="0"/>
  <autoFilter ref="A1:F320" xr:uid="{00000000-0009-0000-0000-000007000000}"/>
  <conditionalFormatting sqref="A2:F320">
    <cfRule type="expression" dxfId="7" priority="1">
      <formula>$E2="❌ رصيد سالب - يحتاج مراجعة"</formula>
    </cfRule>
    <cfRule type="expression" dxfId="6" priority="2">
      <formula>$E2="✔ طبيعي"</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sheetPr>
  <dimension ref="A1:H2001"/>
  <sheetViews>
    <sheetView rightToLeft="1" workbookViewId="0">
      <pane ySplit="1" topLeftCell="A2" activePane="bottomLeft" state="frozen"/>
      <selection pane="bottomLeft"/>
    </sheetView>
  </sheetViews>
  <sheetFormatPr defaultRowHeight="14.25"/>
  <cols>
    <col min="1" max="1" width="14" customWidth="1"/>
    <col min="2" max="2" width="16" customWidth="1"/>
    <col min="3" max="3" width="28" customWidth="1"/>
    <col min="4" max="4" width="26" customWidth="1"/>
    <col min="5" max="5" width="24" customWidth="1"/>
    <col min="6" max="6" width="34" customWidth="1"/>
  </cols>
  <sheetData>
    <row r="1" spans="1:8" ht="26.1" customHeight="1">
      <c r="A1" s="2" t="s">
        <v>20</v>
      </c>
      <c r="B1" s="2" t="s">
        <v>182</v>
      </c>
      <c r="C1" s="2" t="s">
        <v>183</v>
      </c>
      <c r="D1" s="2" t="s">
        <v>21</v>
      </c>
      <c r="E1" s="2" t="s">
        <v>184</v>
      </c>
      <c r="F1" s="2" t="s">
        <v>26</v>
      </c>
      <c r="H1" s="20" t="s">
        <v>185</v>
      </c>
    </row>
    <row r="2" spans="1:8" ht="21.95" customHeight="1">
      <c r="A2" s="8">
        <f>IFERROR(INDEX('بيانات الحركات'!A:A,MATCH(1,'بيانات الحركات'!$G:$G,0)),"")</f>
        <v>46218</v>
      </c>
      <c r="B2" s="5" t="str">
        <f>IFERROR(INDEX('بيانات الحركات'!B:B,MATCH(1,'بيانات الحركات'!$G:$G,0)),"")</f>
        <v>شراء</v>
      </c>
      <c r="C2" s="3" t="str">
        <f>IFERROR(INDEX('بيانات الحركات'!C:C,MATCH(1,'بيانات الحركات'!$G:$G,0)),"")</f>
        <v>امين</v>
      </c>
      <c r="D2" s="3" t="str">
        <f>IFERROR(INDEX('بيانات الحركات'!D:D,MATCH(1,'بيانات الحركات'!$G:$G,0)),"")</f>
        <v>ملح</v>
      </c>
      <c r="E2" s="21">
        <f>IF($B2="إنتاج طبخة","",IFERROR(INDEX('بيانات الحركات'!E:E,MATCH(1,'بيانات الحركات'!$G:$G,0)),""))</f>
        <v>138.04</v>
      </c>
      <c r="F2" s="3" t="str">
        <f>IFERROR(INDEX('بيانات الحركات'!F:F,MATCH(1,'بيانات الحركات'!$G:$G,0)),"")</f>
        <v>تنزيل البيانات لأول مرة</v>
      </c>
    </row>
    <row r="3" spans="1:8" ht="21.95" customHeight="1">
      <c r="A3" s="8">
        <f>IFERROR(INDEX('بيانات الحركات'!A:A,MATCH(2,'بيانات الحركات'!$G:$G,0)),"")</f>
        <v>46218</v>
      </c>
      <c r="B3" s="5" t="str">
        <f>IFERROR(INDEX('بيانات الحركات'!B:B,MATCH(2,'بيانات الحركات'!$G:$G,0)),"")</f>
        <v>شراء</v>
      </c>
      <c r="C3" s="3" t="str">
        <f>IFERROR(INDEX('بيانات الحركات'!C:C,MATCH(2,'بيانات الحركات'!$G:$G,0)),"")</f>
        <v>امين</v>
      </c>
      <c r="D3" s="3" t="str">
        <f>IFERROR(INDEX('بيانات الحركات'!D:D,MATCH(2,'بيانات الحركات'!$G:$G,0)),"")</f>
        <v>مقصب</v>
      </c>
      <c r="E3" s="21">
        <f>IF($B3="إنتاج طبخة","",IFERROR(INDEX('بيانات الحركات'!E:E,MATCH(2,'بيانات الحركات'!$G:$G,0)),""))</f>
        <v>2</v>
      </c>
      <c r="F3" s="3" t="str">
        <f>IFERROR(INDEX('بيانات الحركات'!F:F,MATCH(2,'بيانات الحركات'!$G:$G,0)),"")</f>
        <v>تنزيل البيانات لأول مرة</v>
      </c>
    </row>
    <row r="4" spans="1:8" ht="21.95" customHeight="1">
      <c r="A4" s="8">
        <f>IFERROR(INDEX('بيانات الحركات'!A:A,MATCH(3,'بيانات الحركات'!$G:$G,0)),"")</f>
        <v>46218</v>
      </c>
      <c r="B4" s="5" t="str">
        <f>IFERROR(INDEX('بيانات الحركات'!B:B,MATCH(3,'بيانات الحركات'!$G:$G,0)),"")</f>
        <v>شراء</v>
      </c>
      <c r="C4" s="3" t="str">
        <f>IFERROR(INDEX('بيانات الحركات'!C:C,MATCH(3,'بيانات الحركات'!$G:$G,0)),"")</f>
        <v>امين</v>
      </c>
      <c r="D4" s="3" t="str">
        <f>IFERROR(INDEX('بيانات الحركات'!D:D,MATCH(3,'بيانات الحركات'!$G:$G,0)),"")</f>
        <v xml:space="preserve">مجمد </v>
      </c>
      <c r="E4" s="21">
        <f>IF($B4="إنتاج طبخة","",IFERROR(INDEX('بيانات الحركات'!E:E,MATCH(3,'بيانات الحركات'!$G:$G,0)),""))</f>
        <v>63.5</v>
      </c>
      <c r="F4" s="3" t="str">
        <f>IFERROR(INDEX('بيانات الحركات'!F:F,MATCH(3,'بيانات الحركات'!$G:$G,0)),"")</f>
        <v>تنزيل البيانات لأول مرة</v>
      </c>
    </row>
    <row r="5" spans="1:8" ht="21.95" customHeight="1">
      <c r="A5" s="8">
        <f>IFERROR(INDEX('بيانات الحركات'!A:A,MATCH(4,'بيانات الحركات'!$G:$G,0)),"")</f>
        <v>46218</v>
      </c>
      <c r="B5" s="5" t="str">
        <f>IFERROR(INDEX('بيانات الحركات'!B:B,MATCH(4,'بيانات الحركات'!$G:$G,0)),"")</f>
        <v>شراء</v>
      </c>
      <c r="C5" s="3" t="str">
        <f>IFERROR(INDEX('بيانات الحركات'!C:C,MATCH(4,'بيانات الحركات'!$G:$G,0)),"")</f>
        <v>امين</v>
      </c>
      <c r="D5" s="3" t="str">
        <f>IFERROR(INDEX('بيانات الحركات'!D:D,MATCH(4,'بيانات الحركات'!$G:$G,0)),"")</f>
        <v>مانع رغوة مائي</v>
      </c>
      <c r="E5" s="21">
        <f>IF($B5="إنتاج طبخة","",IFERROR(INDEX('بيانات الحركات'!E:E,MATCH(4,'بيانات الحركات'!$G:$G,0)),""))</f>
        <v>0</v>
      </c>
      <c r="F5" s="3" t="str">
        <f>IFERROR(INDEX('بيانات الحركات'!F:F,MATCH(4,'بيانات الحركات'!$G:$G,0)),"")</f>
        <v>تنزيل البيانات لأول مرة</v>
      </c>
    </row>
    <row r="6" spans="1:8" ht="21.95" customHeight="1">
      <c r="A6" s="8">
        <f>IFERROR(INDEX('بيانات الحركات'!A:A,MATCH(5,'بيانات الحركات'!$G:$G,0)),"")</f>
        <v>46218</v>
      </c>
      <c r="B6" s="5" t="str">
        <f>IFERROR(INDEX('بيانات الحركات'!B:B,MATCH(5,'بيانات الحركات'!$G:$G,0)),"")</f>
        <v>شراء</v>
      </c>
      <c r="C6" s="3" t="str">
        <f>IFERROR(INDEX('بيانات الحركات'!C:C,MATCH(5,'بيانات الحركات'!$G:$G,0)),"")</f>
        <v>امين</v>
      </c>
      <c r="D6" s="3" t="str">
        <f>IFERROR(INDEX('بيانات الحركات'!D:D,MATCH(5,'بيانات الحركات'!$G:$G,0)),"")</f>
        <v>مانع رغوة سيليكون</v>
      </c>
      <c r="E6" s="21">
        <f>IF($B6="إنتاج طبخة","",IFERROR(INDEX('بيانات الحركات'!E:E,MATCH(5,'بيانات الحركات'!$G:$G,0)),""))</f>
        <v>0</v>
      </c>
      <c r="F6" s="3" t="str">
        <f>IFERROR(INDEX('بيانات الحركات'!F:F,MATCH(5,'بيانات الحركات'!$G:$G,0)),"")</f>
        <v>تنزيل البيانات لأول مرة</v>
      </c>
    </row>
    <row r="7" spans="1:8" ht="21.95" customHeight="1">
      <c r="A7" s="8">
        <f>IFERROR(INDEX('بيانات الحركات'!A:A,MATCH(6,'بيانات الحركات'!$G:$G,0)),"")</f>
        <v>46218</v>
      </c>
      <c r="B7" s="5" t="str">
        <f>IFERROR(INDEX('بيانات الحركات'!B:B,MATCH(6,'بيانات الحركات'!$G:$G,0)),"")</f>
        <v>شراء</v>
      </c>
      <c r="C7" s="3" t="str">
        <f>IFERROR(INDEX('بيانات الحركات'!C:C,MATCH(6,'بيانات الحركات'!$G:$G,0)),"")</f>
        <v>امين</v>
      </c>
      <c r="D7" s="3" t="str">
        <f>IFERROR(INDEX('بيانات الحركات'!D:D,MATCH(6,'بيانات الحركات'!$G:$G,0)),"")</f>
        <v>ماء مقطرة</v>
      </c>
      <c r="E7" s="21">
        <f>IF($B7="إنتاج طبخة","",IFERROR(INDEX('بيانات الحركات'!E:E,MATCH(6,'بيانات الحركات'!$G:$G,0)),""))</f>
        <v>28622</v>
      </c>
      <c r="F7" s="3" t="str">
        <f>IFERROR(INDEX('بيانات الحركات'!F:F,MATCH(6,'بيانات الحركات'!$G:$G,0)),"")</f>
        <v>تنزيل البيانات لأول مرة</v>
      </c>
    </row>
    <row r="8" spans="1:8" ht="21.95" customHeight="1">
      <c r="A8" s="8">
        <f>IFERROR(INDEX('بيانات الحركات'!A:A,MATCH(7,'بيانات الحركات'!$G:$G,0)),"")</f>
        <v>46218</v>
      </c>
      <c r="B8" s="5" t="str">
        <f>IFERROR(INDEX('بيانات الحركات'!B:B,MATCH(7,'بيانات الحركات'!$G:$G,0)),"")</f>
        <v>شراء</v>
      </c>
      <c r="C8" s="3" t="str">
        <f>IFERROR(INDEX('بيانات الحركات'!C:C,MATCH(7,'بيانات الحركات'!$G:$G,0)),"")</f>
        <v>امين</v>
      </c>
      <c r="D8" s="3" t="str">
        <f>IFERROR(INDEX('بيانات الحركات'!D:D,MATCH(7,'بيانات الحركات'!$G:$G,0)),"")</f>
        <v xml:space="preserve">ماء بلسم </v>
      </c>
      <c r="E8" s="21">
        <f>IF($B8="إنتاج طبخة","",IFERROR(INDEX('بيانات الحركات'!E:E,MATCH(7,'بيانات الحركات'!$G:$G,0)),""))</f>
        <v>3</v>
      </c>
      <c r="F8" s="3" t="str">
        <f>IFERROR(INDEX('بيانات الحركات'!F:F,MATCH(7,'بيانات الحركات'!$G:$G,0)),"")</f>
        <v>تنزيل البيانات لأول مرة</v>
      </c>
    </row>
    <row r="9" spans="1:8" ht="21.95" customHeight="1">
      <c r="A9" s="8">
        <f>IFERROR(INDEX('بيانات الحركات'!A:A,MATCH(8,'بيانات الحركات'!$G:$G,0)),"")</f>
        <v>46218</v>
      </c>
      <c r="B9" s="5" t="str">
        <f>IFERROR(INDEX('بيانات الحركات'!B:B,MATCH(8,'بيانات الحركات'!$G:$G,0)),"")</f>
        <v>شراء</v>
      </c>
      <c r="C9" s="3" t="str">
        <f>IFERROR(INDEX('بيانات الحركات'!C:C,MATCH(8,'بيانات الحركات'!$G:$G,0)),"")</f>
        <v>امين</v>
      </c>
      <c r="D9" s="3" t="str">
        <f>IFERROR(INDEX('بيانات الحركات'!D:D,MATCH(8,'بيانات الحركات'!$G:$G,0)),"")</f>
        <v>لانيت 16 ماليزي</v>
      </c>
      <c r="E9" s="21">
        <f>IF($B9="إنتاج طبخة","",IFERROR(INDEX('بيانات الحركات'!E:E,MATCH(8,'بيانات الحركات'!$G:$G,0)),""))</f>
        <v>0</v>
      </c>
      <c r="F9" s="3" t="str">
        <f>IFERROR(INDEX('بيانات الحركات'!F:F,MATCH(8,'بيانات الحركات'!$G:$G,0)),"")</f>
        <v>تنزيل البيانات لأول مرة</v>
      </c>
    </row>
    <row r="10" spans="1:8" ht="21.95" customHeight="1">
      <c r="A10" s="8">
        <f>IFERROR(INDEX('بيانات الحركات'!A:A,MATCH(9,'بيانات الحركات'!$G:$G,0)),"")</f>
        <v>46218</v>
      </c>
      <c r="B10" s="5" t="str">
        <f>IFERROR(INDEX('بيانات الحركات'!B:B,MATCH(9,'بيانات الحركات'!$G:$G,0)),"")</f>
        <v>شراء</v>
      </c>
      <c r="C10" s="3" t="str">
        <f>IFERROR(INDEX('بيانات الحركات'!C:C,MATCH(9,'بيانات الحركات'!$G:$G,0)),"")</f>
        <v>امين</v>
      </c>
      <c r="D10" s="3" t="str">
        <f>IFERROR(INDEX('بيانات الحركات'!D:D,MATCH(9,'بيانات الحركات'!$G:$G,0)),"")</f>
        <v>كوستيك-قطرونة</v>
      </c>
      <c r="E10" s="21">
        <f>IF($B10="إنتاج طبخة","",IFERROR(INDEX('بيانات الحركات'!E:E,MATCH(9,'بيانات الحركات'!$G:$G,0)),""))</f>
        <v>27.71</v>
      </c>
      <c r="F10" s="3" t="str">
        <f>IFERROR(INDEX('بيانات الحركات'!F:F,MATCH(9,'بيانات الحركات'!$G:$G,0)),"")</f>
        <v>تنزيل البيانات لأول مرة</v>
      </c>
    </row>
    <row r="11" spans="1:8" ht="21.95" customHeight="1">
      <c r="A11" s="8">
        <f>IFERROR(INDEX('بيانات الحركات'!A:A,MATCH(10,'بيانات الحركات'!$G:$G,0)),"")</f>
        <v>46218</v>
      </c>
      <c r="B11" s="5" t="str">
        <f>IFERROR(INDEX('بيانات الحركات'!B:B,MATCH(10,'بيانات الحركات'!$G:$G,0)),"")</f>
        <v>شراء</v>
      </c>
      <c r="C11" s="3" t="str">
        <f>IFERROR(INDEX('بيانات الحركات'!C:C,MATCH(10,'بيانات الحركات'!$G:$G,0)),"")</f>
        <v>امين</v>
      </c>
      <c r="D11" s="3" t="str">
        <f>IFERROR(INDEX('بيانات الحركات'!D:D,MATCH(10,'بيانات الحركات'!$G:$G,0)),"")</f>
        <v>كمبرلان</v>
      </c>
      <c r="E11" s="21">
        <f>IF($B11="إنتاج طبخة","",IFERROR(INDEX('بيانات الحركات'!E:E,MATCH(10,'بيانات الحركات'!$G:$G,0)),""))</f>
        <v>0</v>
      </c>
      <c r="F11" s="3" t="str">
        <f>IFERROR(INDEX('بيانات الحركات'!F:F,MATCH(10,'بيانات الحركات'!$G:$G,0)),"")</f>
        <v>تنزيل البيانات لأول مرة</v>
      </c>
    </row>
    <row r="12" spans="1:8" ht="21.95" customHeight="1">
      <c r="A12" s="8">
        <f>IFERROR(INDEX('بيانات الحركات'!A:A,MATCH(11,'بيانات الحركات'!$G:$G,0)),"")</f>
        <v>46218</v>
      </c>
      <c r="B12" s="5" t="str">
        <f>IFERROR(INDEX('بيانات الحركات'!B:B,MATCH(11,'بيانات الحركات'!$G:$G,0)),"")</f>
        <v>شراء</v>
      </c>
      <c r="C12" s="3" t="str">
        <f>IFERROR(INDEX('بيانات الحركات'!C:C,MATCH(11,'بيانات الحركات'!$G:$G,0)),"")</f>
        <v>امين</v>
      </c>
      <c r="D12" s="3" t="str">
        <f>IFERROR(INDEX('بيانات الحركات'!D:D,MATCH(11,'بيانات الحركات'!$G:$G,0)),"")</f>
        <v>كليمازول</v>
      </c>
      <c r="E12" s="21">
        <f>IF($B12="إنتاج طبخة","",IFERROR(INDEX('بيانات الحركات'!E:E,MATCH(11,'بيانات الحركات'!$G:$G,0)),""))</f>
        <v>0</v>
      </c>
      <c r="F12" s="3" t="str">
        <f>IFERROR(INDEX('بيانات الحركات'!F:F,MATCH(11,'بيانات الحركات'!$G:$G,0)),"")</f>
        <v>تنزيل البيانات لأول مرة</v>
      </c>
    </row>
    <row r="13" spans="1:8" ht="21.95" customHeight="1">
      <c r="A13" s="8">
        <f>IFERROR(INDEX('بيانات الحركات'!A:A,MATCH(12,'بيانات الحركات'!$G:$G,0)),"")</f>
        <v>46218</v>
      </c>
      <c r="B13" s="5" t="str">
        <f>IFERROR(INDEX('بيانات الحركات'!B:B,MATCH(12,'بيانات الحركات'!$G:$G,0)),"")</f>
        <v>شراء</v>
      </c>
      <c r="C13" s="3" t="str">
        <f>IFERROR(INDEX('بيانات الحركات'!C:C,MATCH(12,'بيانات الحركات'!$G:$G,0)),"")</f>
        <v>امين</v>
      </c>
      <c r="D13" s="3" t="str">
        <f>IFERROR(INDEX('بيانات الحركات'!D:D,MATCH(12,'بيانات الحركات'!$G:$G,0)),"")</f>
        <v>كلور خام</v>
      </c>
      <c r="E13" s="21">
        <f>IF($B13="إنتاج طبخة","",IFERROR(INDEX('بيانات الحركات'!E:E,MATCH(12,'بيانات الحركات'!$G:$G,0)),""))</f>
        <v>272</v>
      </c>
      <c r="F13" s="3" t="str">
        <f>IFERROR(INDEX('بيانات الحركات'!F:F,MATCH(12,'بيانات الحركات'!$G:$G,0)),"")</f>
        <v>تنزيل البيانات لأول مرة</v>
      </c>
    </row>
    <row r="14" spans="1:8" ht="21.95" customHeight="1">
      <c r="A14" s="8">
        <f>IFERROR(INDEX('بيانات الحركات'!A:A,MATCH(13,'بيانات الحركات'!$G:$G,0)),"")</f>
        <v>46218</v>
      </c>
      <c r="B14" s="5" t="str">
        <f>IFERROR(INDEX('بيانات الحركات'!B:B,MATCH(13,'بيانات الحركات'!$G:$G,0)),"")</f>
        <v>شراء</v>
      </c>
      <c r="C14" s="3" t="str">
        <f>IFERROR(INDEX('بيانات الحركات'!C:C,MATCH(13,'بيانات الحركات'!$G:$G,0)),"")</f>
        <v>امين</v>
      </c>
      <c r="D14" s="3" t="str">
        <f>IFERROR(INDEX('بيانات الحركات'!D:D,MATCH(13,'بيانات الحركات'!$G:$G,0)),"")</f>
        <v>كحول (ايثانول)</v>
      </c>
      <c r="E14" s="21">
        <f>IF($B14="إنتاج طبخة","",IFERROR(INDEX('بيانات الحركات'!E:E,MATCH(13,'بيانات الحركات'!$G:$G,0)),""))</f>
        <v>25</v>
      </c>
      <c r="F14" s="3" t="str">
        <f>IFERROR(INDEX('بيانات الحركات'!F:F,MATCH(13,'بيانات الحركات'!$G:$G,0)),"")</f>
        <v>تنزيل البيانات لأول مرة</v>
      </c>
    </row>
    <row r="15" spans="1:8" ht="21.95" customHeight="1">
      <c r="A15" s="8">
        <f>IFERROR(INDEX('بيانات الحركات'!A:A,MATCH(14,'بيانات الحركات'!$G:$G,0)),"")</f>
        <v>46218</v>
      </c>
      <c r="B15" s="5" t="str">
        <f>IFERROR(INDEX('بيانات الحركات'!B:B,MATCH(14,'بيانات الحركات'!$G:$G,0)),"")</f>
        <v>شراء</v>
      </c>
      <c r="C15" s="3" t="str">
        <f>IFERROR(INDEX('بيانات الحركات'!C:C,MATCH(14,'بيانات الحركات'!$G:$G,0)),"")</f>
        <v>امين</v>
      </c>
      <c r="D15" s="3" t="str">
        <f>IFERROR(INDEX('بيانات الحركات'!D:D,MATCH(14,'بيانات الحركات'!$G:$G,0)),"")</f>
        <v>فورمول ( سم )</v>
      </c>
      <c r="E15" s="21">
        <f>IF($B15="إنتاج طبخة","",IFERROR(INDEX('بيانات الحركات'!E:E,MATCH(14,'بيانات الحركات'!$G:$G,0)),""))</f>
        <v>1.64</v>
      </c>
      <c r="F15" s="3" t="str">
        <f>IFERROR(INDEX('بيانات الحركات'!F:F,MATCH(14,'بيانات الحركات'!$G:$G,0)),"")</f>
        <v>تنزيل البيانات لأول مرة</v>
      </c>
    </row>
    <row r="16" spans="1:8" ht="21.95" customHeight="1">
      <c r="A16" s="8">
        <f>IFERROR(INDEX('بيانات الحركات'!A:A,MATCH(15,'بيانات الحركات'!$G:$G,0)),"")</f>
        <v>46218</v>
      </c>
      <c r="B16" s="5" t="str">
        <f>IFERROR(INDEX('بيانات الحركات'!B:B,MATCH(15,'بيانات الحركات'!$G:$G,0)),"")</f>
        <v>شراء</v>
      </c>
      <c r="C16" s="3" t="str">
        <f>IFERROR(INDEX('بيانات الحركات'!C:C,MATCH(15,'بيانات الحركات'!$G:$G,0)),"")</f>
        <v>امين</v>
      </c>
      <c r="D16" s="3" t="str">
        <f>IFERROR(INDEX('بيانات الحركات'!D:D,MATCH(15,'بيانات الحركات'!$G:$G,0)),"")</f>
        <v>فاتي كحول</v>
      </c>
      <c r="E16" s="21">
        <f>IF($B16="إنتاج طبخة","",IFERROR(INDEX('بيانات الحركات'!E:E,MATCH(15,'بيانات الحركات'!$G:$G,0)),""))</f>
        <v>251.4</v>
      </c>
      <c r="F16" s="3" t="str">
        <f>IFERROR(INDEX('بيانات الحركات'!F:F,MATCH(15,'بيانات الحركات'!$G:$G,0)),"")</f>
        <v>تنزيل البيانات لأول مرة</v>
      </c>
    </row>
    <row r="17" spans="1:6" ht="21.95" customHeight="1">
      <c r="A17" s="8">
        <f>IFERROR(INDEX('بيانات الحركات'!A:A,MATCH(16,'بيانات الحركات'!$G:$G,0)),"")</f>
        <v>46218</v>
      </c>
      <c r="B17" s="5" t="str">
        <f>IFERROR(INDEX('بيانات الحركات'!B:B,MATCH(16,'بيانات الحركات'!$G:$G,0)),"")</f>
        <v>شراء</v>
      </c>
      <c r="C17" s="3" t="str">
        <f>IFERROR(INDEX('بيانات الحركات'!C:C,MATCH(16,'بيانات الحركات'!$G:$G,0)),"")</f>
        <v>امين</v>
      </c>
      <c r="D17" s="3" t="str">
        <f>IFERROR(INDEX('بيانات الحركات'!D:D,MATCH(16,'بيانات الحركات'!$G:$G,0)),"")</f>
        <v>غليسيرين</v>
      </c>
      <c r="E17" s="21">
        <f>IF($B17="إنتاج طبخة","",IFERROR(INDEX('بيانات الحركات'!E:E,MATCH(16,'بيانات الحركات'!$G:$G,0)),""))</f>
        <v>0</v>
      </c>
      <c r="F17" s="3" t="str">
        <f>IFERROR(INDEX('بيانات الحركات'!F:F,MATCH(16,'بيانات الحركات'!$G:$G,0)),"")</f>
        <v>تنزيل البيانات لأول مرة</v>
      </c>
    </row>
    <row r="18" spans="1:6" ht="21.95" customHeight="1">
      <c r="A18" s="8">
        <f>IFERROR(INDEX('بيانات الحركات'!A:A,MATCH(17,'بيانات الحركات'!$G:$G,0)),"")</f>
        <v>46218</v>
      </c>
      <c r="B18" s="5" t="str">
        <f>IFERROR(INDEX('بيانات الحركات'!B:B,MATCH(17,'بيانات الحركات'!$G:$G,0)),"")</f>
        <v>شراء</v>
      </c>
      <c r="C18" s="3" t="str">
        <f>IFERROR(INDEX('بيانات الحركات'!C:C,MATCH(17,'بيانات الحركات'!$G:$G,0)),"")</f>
        <v>امين</v>
      </c>
      <c r="D18" s="3" t="str">
        <f>IFERROR(INDEX('بيانات الحركات'!D:D,MATCH(17,'بيانات الحركات'!$G:$G,0)),"")</f>
        <v xml:space="preserve">عطر-نسيم-المحيط ocean-breeze - 327993 </v>
      </c>
      <c r="E18" s="21">
        <f>IF($B18="إنتاج طبخة","",IFERROR(INDEX('بيانات الحركات'!E:E,MATCH(17,'بيانات الحركات'!$G:$G,0)),""))</f>
        <v>0.59</v>
      </c>
      <c r="F18" s="3" t="str">
        <f>IFERROR(INDEX('بيانات الحركات'!F:F,MATCH(17,'بيانات الحركات'!$G:$G,0)),"")</f>
        <v>تنزيل البيانات لأول مرة</v>
      </c>
    </row>
    <row r="19" spans="1:6" ht="21.95" customHeight="1">
      <c r="A19" s="8">
        <f>IFERROR(INDEX('بيانات الحركات'!A:A,MATCH(18,'بيانات الحركات'!$G:$G,0)),"")</f>
        <v>46218</v>
      </c>
      <c r="B19" s="5" t="str">
        <f>IFERROR(INDEX('بيانات الحركات'!B:B,MATCH(18,'بيانات الحركات'!$G:$G,0)),"")</f>
        <v>شراء</v>
      </c>
      <c r="C19" s="3" t="str">
        <f>IFERROR(INDEX('بيانات الحركات'!C:C,MATCH(18,'بيانات الحركات'!$G:$G,0)),"")</f>
        <v>امين</v>
      </c>
      <c r="D19" s="3" t="str">
        <f>IFERROR(INDEX('بيانات الحركات'!D:D,MATCH(18,'بيانات الحركات'!$G:$G,0)),"")</f>
        <v>عطر-ليمون shiny-star - 485764</v>
      </c>
      <c r="E19" s="21">
        <f>IF($B19="إنتاج طبخة","",IFERROR(INDEX('بيانات الحركات'!E:E,MATCH(18,'بيانات الحركات'!$G:$G,0)),""))</f>
        <v>0.52</v>
      </c>
      <c r="F19" s="3" t="str">
        <f>IFERROR(INDEX('بيانات الحركات'!F:F,MATCH(18,'بيانات الحركات'!$G:$G,0)),"")</f>
        <v>تنزيل البيانات لأول مرة</v>
      </c>
    </row>
    <row r="20" spans="1:6" ht="21.95" customHeight="1">
      <c r="A20" s="8">
        <f>IFERROR(INDEX('بيانات الحركات'!A:A,MATCH(19,'بيانات الحركات'!$G:$G,0)),"")</f>
        <v>46218</v>
      </c>
      <c r="B20" s="5" t="str">
        <f>IFERROR(INDEX('بيانات الحركات'!B:B,MATCH(19,'بيانات الحركات'!$G:$G,0)),"")</f>
        <v>شراء</v>
      </c>
      <c r="C20" s="3" t="str">
        <f>IFERROR(INDEX('بيانات الحركات'!C:C,MATCH(19,'بيانات الحركات'!$G:$G,0)),"")</f>
        <v>امين</v>
      </c>
      <c r="D20" s="3" t="str">
        <f>IFERROR(INDEX('بيانات الحركات'!D:D,MATCH(19,'بيانات الحركات'!$G:$G,0)),"")</f>
        <v>عطر-ليمون citrus lemon new - 321639</v>
      </c>
      <c r="E20" s="21">
        <f>IF($B20="إنتاج طبخة","",IFERROR(INDEX('بيانات الحركات'!E:E,MATCH(19,'بيانات الحركات'!$G:$G,0)),""))</f>
        <v>0.36</v>
      </c>
      <c r="F20" s="3" t="str">
        <f>IFERROR(INDEX('بيانات الحركات'!F:F,MATCH(19,'بيانات الحركات'!$G:$G,0)),"")</f>
        <v>تنزيل البيانات لأول مرة</v>
      </c>
    </row>
    <row r="21" spans="1:6" ht="21.95" customHeight="1">
      <c r="A21" s="8">
        <f>IFERROR(INDEX('بيانات الحركات'!A:A,MATCH(20,'بيانات الحركات'!$G:$G,0)),"")</f>
        <v>46218</v>
      </c>
      <c r="B21" s="5" t="str">
        <f>IFERROR(INDEX('بيانات الحركات'!B:B,MATCH(20,'بيانات الحركات'!$G:$G,0)),"")</f>
        <v>شراء</v>
      </c>
      <c r="C21" s="3" t="str">
        <f>IFERROR(INDEX('بيانات الحركات'!C:C,MATCH(20,'بيانات الحركات'!$G:$G,0)),"")</f>
        <v>امين</v>
      </c>
      <c r="D21" s="3" t="str">
        <f>IFERROR(INDEX('بيانات الحركات'!D:D,MATCH(20,'بيانات الحركات'!$G:$G,0)),"")</f>
        <v>عطر-ليلك ariel-sensation - 318728</v>
      </c>
      <c r="E21" s="21">
        <f>IF($B21="إنتاج طبخة","",IFERROR(INDEX('بيانات الحركات'!E:E,MATCH(20,'بيانات الحركات'!$G:$G,0)),""))</f>
        <v>0.74</v>
      </c>
      <c r="F21" s="3" t="str">
        <f>IFERROR(INDEX('بيانات الحركات'!F:F,MATCH(20,'بيانات الحركات'!$G:$G,0)),"")</f>
        <v>تنزيل البيانات لأول مرة</v>
      </c>
    </row>
    <row r="22" spans="1:6" ht="21.95" customHeight="1">
      <c r="A22" s="8">
        <f>IFERROR(INDEX('بيانات الحركات'!A:A,MATCH(21,'بيانات الحركات'!$G:$G,0)),"")</f>
        <v>46218</v>
      </c>
      <c r="B22" s="5" t="str">
        <f>IFERROR(INDEX('بيانات الحركات'!B:B,MATCH(21,'بيانات الحركات'!$G:$G,0)),"")</f>
        <v>شراء</v>
      </c>
      <c r="C22" s="3" t="str">
        <f>IFERROR(INDEX('بيانات الحركات'!C:C,MATCH(21,'بيانات الحركات'!$G:$G,0)),"")</f>
        <v>امين</v>
      </c>
      <c r="D22" s="3" t="str">
        <f>IFERROR(INDEX('بيانات الحركات'!D:D,MATCH(21,'بيانات الحركات'!$G:$G,0)),"")</f>
        <v xml:space="preserve">عطر-سلطان </v>
      </c>
      <c r="E22" s="21">
        <f>IF($B22="إنتاج طبخة","",IFERROR(INDEX('بيانات الحركات'!E:E,MATCH(21,'بيانات الحركات'!$G:$G,0)),""))</f>
        <v>2.59</v>
      </c>
      <c r="F22" s="3" t="str">
        <f>IFERROR(INDEX('بيانات الحركات'!F:F,MATCH(21,'بيانات الحركات'!$G:$G,0)),"")</f>
        <v>تنزيل البيانات لأول مرة</v>
      </c>
    </row>
    <row r="23" spans="1:6" ht="21.95" customHeight="1">
      <c r="A23" s="8">
        <f>IFERROR(INDEX('بيانات الحركات'!A:A,MATCH(22,'بيانات الحركات'!$G:$G,0)),"")</f>
        <v>46218</v>
      </c>
      <c r="B23" s="5" t="str">
        <f>IFERROR(INDEX('بيانات الحركات'!B:B,MATCH(22,'بيانات الحركات'!$G:$G,0)),"")</f>
        <v>شراء</v>
      </c>
      <c r="C23" s="3" t="str">
        <f>IFERROR(INDEX('بيانات الحركات'!C:C,MATCH(22,'بيانات الحركات'!$G:$G,0)),"")</f>
        <v>امين</v>
      </c>
      <c r="D23" s="3" t="str">
        <f>IFERROR(INDEX('بيانات الحركات'!D:D,MATCH(22,'بيانات الحركات'!$G:$G,0)),"")</f>
        <v>عطر-زهور lovely-petals - 485718</v>
      </c>
      <c r="E23" s="21">
        <f>IF($B23="إنتاج طبخة","",IFERROR(INDEX('بيانات الحركات'!E:E,MATCH(22,'بيانات الحركات'!$G:$G,0)),""))</f>
        <v>0.53</v>
      </c>
      <c r="F23" s="3" t="str">
        <f>IFERROR(INDEX('بيانات الحركات'!F:F,MATCH(22,'بيانات الحركات'!$G:$G,0)),"")</f>
        <v>تنزيل البيانات لأول مرة</v>
      </c>
    </row>
    <row r="24" spans="1:6" ht="21.95" customHeight="1">
      <c r="A24" s="8">
        <f>IFERROR(INDEX('بيانات الحركات'!A:A,MATCH(23,'بيانات الحركات'!$G:$G,0)),"")</f>
        <v>46218</v>
      </c>
      <c r="B24" s="5" t="str">
        <f>IFERROR(INDEX('بيانات الحركات'!B:B,MATCH(23,'بيانات الحركات'!$G:$G,0)),"")</f>
        <v>شراء</v>
      </c>
      <c r="C24" s="3" t="str">
        <f>IFERROR(INDEX('بيانات الحركات'!C:C,MATCH(23,'بيانات الحركات'!$G:$G,0)),"")</f>
        <v>امين</v>
      </c>
      <c r="D24" s="3" t="str">
        <f>IFERROR(INDEX('بيانات الحركات'!D:D,MATCH(23,'بيانات الحركات'!$G:$G,0)),"")</f>
        <v>عطر-رمان apple grandada - 322730</v>
      </c>
      <c r="E24" s="21">
        <f>IF($B24="إنتاج طبخة","",IFERROR(INDEX('بيانات الحركات'!E:E,MATCH(23,'بيانات الحركات'!$G:$G,0)),""))</f>
        <v>0.66</v>
      </c>
      <c r="F24" s="3" t="str">
        <f>IFERROR(INDEX('بيانات الحركات'!F:F,MATCH(23,'بيانات الحركات'!$G:$G,0)),"")</f>
        <v>تنزيل البيانات لأول مرة</v>
      </c>
    </row>
    <row r="25" spans="1:6" ht="21.95" customHeight="1">
      <c r="A25" s="8">
        <f>IFERROR(INDEX('بيانات الحركات'!A:A,MATCH(24,'بيانات الحركات'!$G:$G,0)),"")</f>
        <v>46218</v>
      </c>
      <c r="B25" s="5" t="str">
        <f>IFERROR(INDEX('بيانات الحركات'!B:B,MATCH(24,'بيانات الحركات'!$G:$G,0)),"")</f>
        <v>شراء</v>
      </c>
      <c r="C25" s="3" t="str">
        <f>IFERROR(INDEX('بيانات الحركات'!C:C,MATCH(24,'بيانات الحركات'!$G:$G,0)),"")</f>
        <v>امين</v>
      </c>
      <c r="D25" s="3" t="str">
        <f>IFERROR(INDEX('بيانات الحركات'!D:D,MATCH(24,'بيانات الحركات'!$G:$G,0)),"")</f>
        <v>عطر-توليب fresh-scent-amour - 485833</v>
      </c>
      <c r="E25" s="21">
        <f>IF($B25="إنتاج طبخة","",IFERROR(INDEX('بيانات الحركات'!E:E,MATCH(24,'بيانات الحركات'!$G:$G,0)),""))</f>
        <v>0.6</v>
      </c>
      <c r="F25" s="3" t="str">
        <f>IFERROR(INDEX('بيانات الحركات'!F:F,MATCH(24,'بيانات الحركات'!$G:$G,0)),"")</f>
        <v>تنزيل البيانات لأول مرة</v>
      </c>
    </row>
    <row r="26" spans="1:6" ht="21.95" customHeight="1">
      <c r="A26" s="8">
        <f>IFERROR(INDEX('بيانات الحركات'!A:A,MATCH(25,'بيانات الحركات'!$G:$G,0)),"")</f>
        <v>46218</v>
      </c>
      <c r="B26" s="5" t="str">
        <f>IFERROR(INDEX('بيانات الحركات'!B:B,MATCH(25,'بيانات الحركات'!$G:$G,0)),"")</f>
        <v>شراء</v>
      </c>
      <c r="C26" s="3" t="str">
        <f>IFERROR(INDEX('بيانات الحركات'!C:C,MATCH(25,'بيانات الحركات'!$G:$G,0)),"")</f>
        <v>امين</v>
      </c>
      <c r="D26" s="3" t="str">
        <f>IFERROR(INDEX('بيانات الحركات'!D:D,MATCH(25,'بيانات الحركات'!$G:$G,0)),"")</f>
        <v xml:space="preserve">عطر-تفاح apple - 317691 </v>
      </c>
      <c r="E26" s="21">
        <f>IF($B26="إنتاج طبخة","",IFERROR(INDEX('بيانات الحركات'!E:E,MATCH(25,'بيانات الحركات'!$G:$G,0)),""))</f>
        <v>0.47</v>
      </c>
      <c r="F26" s="3" t="str">
        <f>IFERROR(INDEX('بيانات الحركات'!F:F,MATCH(25,'بيانات الحركات'!$G:$G,0)),"")</f>
        <v>تنزيل البيانات لأول مرة</v>
      </c>
    </row>
    <row r="27" spans="1:6" ht="21.95" customHeight="1">
      <c r="A27" s="8">
        <f>IFERROR(INDEX('بيانات الحركات'!A:A,MATCH(26,'بيانات الحركات'!$G:$G,0)),"")</f>
        <v>46218</v>
      </c>
      <c r="B27" s="5" t="str">
        <f>IFERROR(INDEX('بيانات الحركات'!B:B,MATCH(26,'بيانات الحركات'!$G:$G,0)),"")</f>
        <v>شراء</v>
      </c>
      <c r="C27" s="3" t="str">
        <f>IFERROR(INDEX('بيانات الحركات'!C:C,MATCH(26,'بيانات الحركات'!$G:$G,0)),"")</f>
        <v>امين</v>
      </c>
      <c r="D27" s="3" t="str">
        <f>IFERROR(INDEX('بيانات الحركات'!D:D,MATCH(26,'بيانات الحركات'!$G:$G,0)),"")</f>
        <v>عطر-برنس</v>
      </c>
      <c r="E27" s="21">
        <f>IF($B27="إنتاج طبخة","",IFERROR(INDEX('بيانات الحركات'!E:E,MATCH(26,'بيانات الحركات'!$G:$G,0)),""))</f>
        <v>0</v>
      </c>
      <c r="F27" s="3" t="str">
        <f>IFERROR(INDEX('بيانات الحركات'!F:F,MATCH(26,'بيانات الحركات'!$G:$G,0)),"")</f>
        <v>تنزيل البيانات لأول مرة</v>
      </c>
    </row>
    <row r="28" spans="1:6" ht="21.95" customHeight="1">
      <c r="A28" s="8">
        <f>IFERROR(INDEX('بيانات الحركات'!A:A,MATCH(27,'بيانات الحركات'!$G:$G,0)),"")</f>
        <v>46218</v>
      </c>
      <c r="B28" s="5" t="str">
        <f>IFERROR(INDEX('بيانات الحركات'!B:B,MATCH(27,'بيانات الحركات'!$G:$G,0)),"")</f>
        <v>شراء</v>
      </c>
      <c r="C28" s="3" t="str">
        <f>IFERROR(INDEX('بيانات الحركات'!C:C,MATCH(27,'بيانات الحركات'!$G:$G,0)),"")</f>
        <v>امين</v>
      </c>
      <c r="D28" s="3" t="str">
        <f>IFERROR(INDEX('بيانات الحركات'!D:D,MATCH(27,'بيانات الحركات'!$G:$G,0)),"")</f>
        <v>عطر-ببوري ultimate-mixture - 485797</v>
      </c>
      <c r="E28" s="21">
        <f>IF($B28="إنتاج طبخة","",IFERROR(INDEX('بيانات الحركات'!E:E,MATCH(27,'بيانات الحركات'!$G:$G,0)),""))</f>
        <v>20</v>
      </c>
      <c r="F28" s="3" t="str">
        <f>IFERROR(INDEX('بيانات الحركات'!F:F,MATCH(27,'بيانات الحركات'!$G:$G,0)),"")</f>
        <v>تنزيل البيانات لأول مرة</v>
      </c>
    </row>
    <row r="29" spans="1:6" ht="21.95" customHeight="1">
      <c r="A29" s="8">
        <f>IFERROR(INDEX('بيانات الحركات'!A:A,MATCH(28,'بيانات الحركات'!$G:$G,0)),"")</f>
        <v>46218</v>
      </c>
      <c r="B29" s="5" t="str">
        <f>IFERROR(INDEX('بيانات الحركات'!B:B,MATCH(28,'بيانات الحركات'!$G:$G,0)),"")</f>
        <v>شراء</v>
      </c>
      <c r="C29" s="3" t="str">
        <f>IFERROR(INDEX('بيانات الحركات'!C:C,MATCH(28,'بيانات الحركات'!$G:$G,0)),"")</f>
        <v>امين</v>
      </c>
      <c r="D29" s="3" t="str">
        <f>IFERROR(INDEX('بيانات الحركات'!D:D,MATCH(28,'بيانات الحركات'!$G:$G,0)),"")</f>
        <v>عطر-ازهار-الربيع spring - 318643</v>
      </c>
      <c r="E29" s="21">
        <f>IF($B29="إنتاج طبخة","",IFERROR(INDEX('بيانات الحركات'!E:E,MATCH(28,'بيانات الحركات'!$G:$G,0)),""))</f>
        <v>21.4</v>
      </c>
      <c r="F29" s="3" t="str">
        <f>IFERROR(INDEX('بيانات الحركات'!F:F,MATCH(28,'بيانات الحركات'!$G:$G,0)),"")</f>
        <v>تنزيل البيانات لأول مرة</v>
      </c>
    </row>
    <row r="30" spans="1:6" ht="21.95" customHeight="1">
      <c r="A30" s="8">
        <f>IFERROR(INDEX('بيانات الحركات'!A:A,MATCH(29,'بيانات الحركات'!$G:$G,0)),"")</f>
        <v>46218</v>
      </c>
      <c r="B30" s="5" t="str">
        <f>IFERROR(INDEX('بيانات الحركات'!B:B,MATCH(29,'بيانات الحركات'!$G:$G,0)),"")</f>
        <v>شراء</v>
      </c>
      <c r="C30" s="3" t="str">
        <f>IFERROR(INDEX('بيانات الحركات'!C:C,MATCH(29,'بيانات الحركات'!$G:$G,0)),"")</f>
        <v>امين</v>
      </c>
      <c r="D30" s="3" t="str">
        <f>IFERROR(INDEX('بيانات الحركات'!D:D,MATCH(29,'بيانات الحركات'!$G:$G,0)),"")</f>
        <v>عطر هامول</v>
      </c>
      <c r="E30" s="21">
        <f>IF($B30="إنتاج طبخة","",IFERROR(INDEX('بيانات الحركات'!E:E,MATCH(29,'بيانات الحركات'!$G:$G,0)),""))</f>
        <v>0</v>
      </c>
      <c r="F30" s="3" t="str">
        <f>IFERROR(INDEX('بيانات الحركات'!F:F,MATCH(29,'بيانات الحركات'!$G:$G,0)),"")</f>
        <v>تنزيل البيانات لأول مرة</v>
      </c>
    </row>
    <row r="31" spans="1:6" ht="21.95" customHeight="1">
      <c r="A31" s="8">
        <f>IFERROR(INDEX('بيانات الحركات'!A:A,MATCH(30,'بيانات الحركات'!$G:$G,0)),"")</f>
        <v>46218</v>
      </c>
      <c r="B31" s="5" t="str">
        <f>IFERROR(INDEX('بيانات الحركات'!B:B,MATCH(30,'بيانات الحركات'!$G:$G,0)),"")</f>
        <v>شراء</v>
      </c>
      <c r="C31" s="3" t="str">
        <f>IFERROR(INDEX('بيانات الحركات'!C:C,MATCH(30,'بيانات الحركات'!$G:$G,0)),"")</f>
        <v>امين</v>
      </c>
      <c r="D31" s="3" t="str">
        <f>IFERROR(INDEX('بيانات الحركات'!D:D,MATCH(30,'بيانات الحركات'!$G:$G,0)),"")</f>
        <v>عطر مسك احمر</v>
      </c>
      <c r="E31" s="21">
        <f>IF($B31="إنتاج طبخة","",IFERROR(INDEX('بيانات الحركات'!E:E,MATCH(30,'بيانات الحركات'!$G:$G,0)),""))</f>
        <v>2</v>
      </c>
      <c r="F31" s="3" t="str">
        <f>IFERROR(INDEX('بيانات الحركات'!F:F,MATCH(30,'بيانات الحركات'!$G:$G,0)),"")</f>
        <v>تنزيل البيانات لأول مرة</v>
      </c>
    </row>
    <row r="32" spans="1:6" ht="21.95" customHeight="1">
      <c r="A32" s="8">
        <f>IFERROR(INDEX('بيانات الحركات'!A:A,MATCH(31,'بيانات الحركات'!$G:$G,0)),"")</f>
        <v>46218</v>
      </c>
      <c r="B32" s="5" t="str">
        <f>IFERROR(INDEX('بيانات الحركات'!B:B,MATCH(31,'بيانات الحركات'!$G:$G,0)),"")</f>
        <v>شراء</v>
      </c>
      <c r="C32" s="3" t="str">
        <f>IFERROR(INDEX('بيانات الحركات'!C:C,MATCH(31,'بيانات الحركات'!$G:$G,0)),"")</f>
        <v>امين</v>
      </c>
      <c r="D32" s="3" t="str">
        <f>IFERROR(INDEX('بيانات الحركات'!D:D,MATCH(31,'بيانات الحركات'!$G:$G,0)),"")</f>
        <v>عطر مسك</v>
      </c>
      <c r="E32" s="21">
        <f>IF($B32="إنتاج طبخة","",IFERROR(INDEX('بيانات الحركات'!E:E,MATCH(31,'بيانات الحركات'!$G:$G,0)),""))</f>
        <v>3</v>
      </c>
      <c r="F32" s="3" t="str">
        <f>IFERROR(INDEX('بيانات الحركات'!F:F,MATCH(31,'بيانات الحركات'!$G:$G,0)),"")</f>
        <v>تنزيل البيانات لأول مرة</v>
      </c>
    </row>
    <row r="33" spans="1:6" ht="21.95" customHeight="1">
      <c r="A33" s="8">
        <f>IFERROR(INDEX('بيانات الحركات'!A:A,MATCH(32,'بيانات الحركات'!$G:$G,0)),"")</f>
        <v>46218</v>
      </c>
      <c r="B33" s="5" t="str">
        <f>IFERROR(INDEX('بيانات الحركات'!B:B,MATCH(32,'بيانات الحركات'!$G:$G,0)),"")</f>
        <v>شراء</v>
      </c>
      <c r="C33" s="3" t="str">
        <f>IFERROR(INDEX('بيانات الحركات'!C:C,MATCH(32,'بيانات الحركات'!$G:$G,0)),"")</f>
        <v>امين</v>
      </c>
      <c r="D33" s="3" t="str">
        <f>IFERROR(INDEX('بيانات الحركات'!D:D,MATCH(32,'بيانات الحركات'!$G:$G,0)),"")</f>
        <v>عطر ليمون ماكسي</v>
      </c>
      <c r="E33" s="21">
        <f>IF($B33="إنتاج طبخة","",IFERROR(INDEX('بيانات الحركات'!E:E,MATCH(32,'بيانات الحركات'!$G:$G,0)),""))</f>
        <v>0.42</v>
      </c>
      <c r="F33" s="3" t="str">
        <f>IFERROR(INDEX('بيانات الحركات'!F:F,MATCH(32,'بيانات الحركات'!$G:$G,0)),"")</f>
        <v>تنزيل البيانات لأول مرة</v>
      </c>
    </row>
    <row r="34" spans="1:6" ht="21.95" customHeight="1">
      <c r="A34" s="8">
        <f>IFERROR(INDEX('بيانات الحركات'!A:A,MATCH(33,'بيانات الحركات'!$G:$G,0)),"")</f>
        <v>46218</v>
      </c>
      <c r="B34" s="5" t="str">
        <f>IFERROR(INDEX('بيانات الحركات'!B:B,MATCH(33,'بيانات الحركات'!$G:$G,0)),"")</f>
        <v>شراء</v>
      </c>
      <c r="C34" s="3" t="str">
        <f>IFERROR(INDEX('بيانات الحركات'!C:C,MATCH(33,'بيانات الحركات'!$G:$G,0)),"")</f>
        <v>امين</v>
      </c>
      <c r="D34" s="3" t="str">
        <f>IFERROR(INDEX('بيانات الحركات'!D:D,MATCH(33,'بيانات الحركات'!$G:$G,0)),"")</f>
        <v>عطر عسل</v>
      </c>
      <c r="E34" s="21">
        <f>IF($B34="إنتاج طبخة","",IFERROR(INDEX('بيانات الحركات'!E:E,MATCH(33,'بيانات الحركات'!$G:$G,0)),""))</f>
        <v>1</v>
      </c>
      <c r="F34" s="3" t="str">
        <f>IFERROR(INDEX('بيانات الحركات'!F:F,MATCH(33,'بيانات الحركات'!$G:$G,0)),"")</f>
        <v>تنزيل البيانات لأول مرة</v>
      </c>
    </row>
    <row r="35" spans="1:6" ht="21.95" customHeight="1">
      <c r="A35" s="8">
        <f>IFERROR(INDEX('بيانات الحركات'!A:A,MATCH(34,'بيانات الحركات'!$G:$G,0)),"")</f>
        <v>46218</v>
      </c>
      <c r="B35" s="5" t="str">
        <f>IFERROR(INDEX('بيانات الحركات'!B:B,MATCH(34,'بيانات الحركات'!$G:$G,0)),"")</f>
        <v>شراء</v>
      </c>
      <c r="C35" s="3" t="str">
        <f>IFERROR(INDEX('بيانات الحركات'!C:C,MATCH(34,'بيانات الحركات'!$G:$G,0)),"")</f>
        <v>امين</v>
      </c>
      <c r="D35" s="3" t="str">
        <f>IFERROR(INDEX('بيانات الحركات'!D:D,MATCH(34,'بيانات الحركات'!$G:$G,0)),"")</f>
        <v>عطر جوز الهند</v>
      </c>
      <c r="E35" s="21">
        <f>IF($B35="إنتاج طبخة","",IFERROR(INDEX('بيانات الحركات'!E:E,MATCH(34,'بيانات الحركات'!$G:$G,0)),""))</f>
        <v>0</v>
      </c>
      <c r="F35" s="3" t="str">
        <f>IFERROR(INDEX('بيانات الحركات'!F:F,MATCH(34,'بيانات الحركات'!$G:$G,0)),"")</f>
        <v>تنزيل البيانات لأول مرة</v>
      </c>
    </row>
    <row r="36" spans="1:6" ht="21.95" customHeight="1">
      <c r="A36" s="8">
        <f>IFERROR(INDEX('بيانات الحركات'!A:A,MATCH(35,'بيانات الحركات'!$G:$G,0)),"")</f>
        <v>46218</v>
      </c>
      <c r="B36" s="5" t="str">
        <f>IFERROR(INDEX('بيانات الحركات'!B:B,MATCH(35,'بيانات الحركات'!$G:$G,0)),"")</f>
        <v>شراء</v>
      </c>
      <c r="C36" s="3" t="str">
        <f>IFERROR(INDEX('بيانات الحركات'!C:C,MATCH(35,'بيانات الحركات'!$G:$G,0)),"")</f>
        <v>امين</v>
      </c>
      <c r="D36" s="3" t="str">
        <f>IFERROR(INDEX('بيانات الحركات'!D:D,MATCH(35,'بيانات الحركات'!$G:$G,0)),"")</f>
        <v>عطر بانتين</v>
      </c>
      <c r="E36" s="21">
        <f>IF($B36="إنتاج طبخة","",IFERROR(INDEX('بيانات الحركات'!E:E,MATCH(35,'بيانات الحركات'!$G:$G,0)),""))</f>
        <v>0</v>
      </c>
      <c r="F36" s="3" t="str">
        <f>IFERROR(INDEX('بيانات الحركات'!F:F,MATCH(35,'بيانات الحركات'!$G:$G,0)),"")</f>
        <v>تنزيل البيانات لأول مرة</v>
      </c>
    </row>
    <row r="37" spans="1:6" ht="21.95" customHeight="1">
      <c r="A37" s="8">
        <f>IFERROR(INDEX('بيانات الحركات'!A:A,MATCH(36,'بيانات الحركات'!$G:$G,0)),"")</f>
        <v>46218</v>
      </c>
      <c r="B37" s="5" t="str">
        <f>IFERROR(INDEX('بيانات الحركات'!B:B,MATCH(36,'بيانات الحركات'!$G:$G,0)),"")</f>
        <v>شراء</v>
      </c>
      <c r="C37" s="3" t="str">
        <f>IFERROR(INDEX('بيانات الحركات'!C:C,MATCH(36,'بيانات الحركات'!$G:$G,0)),"")</f>
        <v>امين</v>
      </c>
      <c r="D37" s="3" t="str">
        <f>IFERROR(INDEX('بيانات الحركات'!D:D,MATCH(36,'بيانات الحركات'!$G:$G,0)),"")</f>
        <v>عطر اوليفا</v>
      </c>
      <c r="E37" s="21">
        <f>IF($B37="إنتاج طبخة","",IFERROR(INDEX('بيانات الحركات'!E:E,MATCH(36,'بيانات الحركات'!$G:$G,0)),""))</f>
        <v>0</v>
      </c>
      <c r="F37" s="3" t="str">
        <f>IFERROR(INDEX('بيانات الحركات'!F:F,MATCH(36,'بيانات الحركات'!$G:$G,0)),"")</f>
        <v>تنزيل البيانات لأول مرة</v>
      </c>
    </row>
    <row r="38" spans="1:6" ht="21.95" customHeight="1">
      <c r="A38" s="8">
        <f>IFERROR(INDEX('بيانات الحركات'!A:A,MATCH(37,'بيانات الحركات'!$G:$G,0)),"")</f>
        <v>46218</v>
      </c>
      <c r="B38" s="5" t="str">
        <f>IFERROR(INDEX('بيانات الحركات'!B:B,MATCH(37,'بيانات الحركات'!$G:$G,0)),"")</f>
        <v>شراء</v>
      </c>
      <c r="C38" s="3" t="str">
        <f>IFERROR(INDEX('بيانات الحركات'!C:C,MATCH(37,'بيانات الحركات'!$G:$G,0)),"")</f>
        <v>امين</v>
      </c>
      <c r="D38" s="3" t="str">
        <f>IFERROR(INDEX('بيانات الحركات'!D:D,MATCH(37,'بيانات الحركات'!$G:$G,0)),"")</f>
        <v>عطر ramani-kodi-000110</v>
      </c>
      <c r="E38" s="21">
        <f>IF($B38="إنتاج طبخة","",IFERROR(INDEX('بيانات الحركات'!E:E,MATCH(37,'بيانات الحركات'!$G:$G,0)),""))</f>
        <v>2</v>
      </c>
      <c r="F38" s="3" t="str">
        <f>IFERROR(INDEX('بيانات الحركات'!F:F,MATCH(37,'بيانات الحركات'!$G:$G,0)),"")</f>
        <v>تنزيل البيانات لأول مرة</v>
      </c>
    </row>
    <row r="39" spans="1:6" ht="21.95" customHeight="1">
      <c r="A39" s="8">
        <f>IFERROR(INDEX('بيانات الحركات'!A:A,MATCH(38,'بيانات الحركات'!$G:$G,0)),"")</f>
        <v>46218</v>
      </c>
      <c r="B39" s="5" t="str">
        <f>IFERROR(INDEX('بيانات الحركات'!B:B,MATCH(38,'بيانات الحركات'!$G:$G,0)),"")</f>
        <v>شراء</v>
      </c>
      <c r="C39" s="3" t="str">
        <f>IFERROR(INDEX('بيانات الحركات'!C:C,MATCH(38,'بيانات الحركات'!$G:$G,0)),"")</f>
        <v>امين</v>
      </c>
      <c r="D39" s="3" t="str">
        <f>IFERROR(INDEX('بيانات الحركات'!D:D,MATCH(38,'بيانات الحركات'!$G:$G,0)),"")</f>
        <v>عطر magic sprel - 6168581</v>
      </c>
      <c r="E39" s="21">
        <f>IF($B39="إنتاج طبخة","",IFERROR(INDEX('بيانات الحركات'!E:E,MATCH(38,'بيانات الحركات'!$G:$G,0)),""))</f>
        <v>50</v>
      </c>
      <c r="F39" s="3" t="str">
        <f>IFERROR(INDEX('بيانات الحركات'!F:F,MATCH(38,'بيانات الحركات'!$G:$G,0)),"")</f>
        <v>تنزيل البيانات لأول مرة</v>
      </c>
    </row>
    <row r="40" spans="1:6" ht="21.95" customHeight="1">
      <c r="A40" s="8">
        <f>IFERROR(INDEX('بيانات الحركات'!A:A,MATCH(39,'بيانات الحركات'!$G:$G,0)),"")</f>
        <v>46218</v>
      </c>
      <c r="B40" s="5" t="str">
        <f>IFERROR(INDEX('بيانات الحركات'!B:B,MATCH(39,'بيانات الحركات'!$G:$G,0)),"")</f>
        <v>شراء</v>
      </c>
      <c r="C40" s="3" t="str">
        <f>IFERROR(INDEX('بيانات الحركات'!C:C,MATCH(39,'بيانات الحركات'!$G:$G,0)),"")</f>
        <v>امين</v>
      </c>
      <c r="D40" s="3" t="str">
        <f>IFERROR(INDEX('بيانات الحركات'!D:D,MATCH(39,'بيانات الحركات'!$G:$G,0)),"")</f>
        <v>عطر kavien-clein-eforia-000020</v>
      </c>
      <c r="E40" s="21">
        <f>IF($B40="إنتاج طبخة","",IFERROR(INDEX('بيانات الحركات'!E:E,MATCH(39,'بيانات الحركات'!$G:$G,0)),""))</f>
        <v>4</v>
      </c>
      <c r="F40" s="3" t="str">
        <f>IFERROR(INDEX('بيانات الحركات'!F:F,MATCH(39,'بيانات الحركات'!$G:$G,0)),"")</f>
        <v>تنزيل البيانات لأول مرة</v>
      </c>
    </row>
    <row r="41" spans="1:6" ht="21.95" customHeight="1">
      <c r="A41" s="8">
        <f>IFERROR(INDEX('بيانات الحركات'!A:A,MATCH(40,'بيانات الحركات'!$G:$G,0)),"")</f>
        <v>46218</v>
      </c>
      <c r="B41" s="5" t="str">
        <f>IFERROR(INDEX('بيانات الحركات'!B:B,MATCH(40,'بيانات الحركات'!$G:$G,0)),"")</f>
        <v>شراء</v>
      </c>
      <c r="C41" s="3" t="str">
        <f>IFERROR(INDEX('بيانات الحركات'!C:C,MATCH(40,'بيانات الحركات'!$G:$G,0)),"")</f>
        <v>امين</v>
      </c>
      <c r="D41" s="3" t="str">
        <f>IFERROR(INDEX('بيانات الحركات'!D:D,MATCH(40,'بيانات الحركات'!$G:$G,0)),"")</f>
        <v>عطر energy-000400</v>
      </c>
      <c r="E41" s="21">
        <f>IF($B41="إنتاج طبخة","",IFERROR(INDEX('بيانات الحركات'!E:E,MATCH(40,'بيانات الحركات'!$G:$G,0)),""))</f>
        <v>1.44</v>
      </c>
      <c r="F41" s="3" t="str">
        <f>IFERROR(INDEX('بيانات الحركات'!F:F,MATCH(40,'بيانات الحركات'!$G:$G,0)),"")</f>
        <v>تنزيل البيانات لأول مرة</v>
      </c>
    </row>
    <row r="42" spans="1:6" ht="21.95" customHeight="1">
      <c r="A42" s="8">
        <f>IFERROR(INDEX('بيانات الحركات'!A:A,MATCH(41,'بيانات الحركات'!$G:$G,0)),"")</f>
        <v>46218</v>
      </c>
      <c r="B42" s="5" t="str">
        <f>IFERROR(INDEX('بيانات الحركات'!B:B,MATCH(41,'بيانات الحركات'!$G:$G,0)),"")</f>
        <v>شراء</v>
      </c>
      <c r="C42" s="3" t="str">
        <f>IFERROR(INDEX('بيانات الحركات'!C:C,MATCH(41,'بيانات الحركات'!$G:$G,0)),"")</f>
        <v>امين</v>
      </c>
      <c r="D42" s="3" t="str">
        <f>IFERROR(INDEX('بيانات الحركات'!D:D,MATCH(41,'بيانات الحركات'!$G:$G,0)),"")</f>
        <v>عطر Blue APC - 0001198620</v>
      </c>
      <c r="E42" s="21">
        <f>IF($B42="إنتاج طبخة","",IFERROR(INDEX('بيانات الحركات'!E:E,MATCH(41,'بيانات الحركات'!$G:$G,0)),""))</f>
        <v>105</v>
      </c>
      <c r="F42" s="3" t="str">
        <f>IFERROR(INDEX('بيانات الحركات'!F:F,MATCH(41,'بيانات الحركات'!$G:$G,0)),"")</f>
        <v>تنزيل البيانات لأول مرة</v>
      </c>
    </row>
    <row r="43" spans="1:6" ht="21.95" customHeight="1">
      <c r="A43" s="8">
        <f>IFERROR(INDEX('بيانات الحركات'!A:A,MATCH(42,'بيانات الحركات'!$G:$G,0)),"")</f>
        <v>46218</v>
      </c>
      <c r="B43" s="5" t="str">
        <f>IFERROR(INDEX('بيانات الحركات'!B:B,MATCH(42,'بيانات الحركات'!$G:$G,0)),"")</f>
        <v>شراء</v>
      </c>
      <c r="C43" s="3" t="str">
        <f>IFERROR(INDEX('بيانات الحركات'!C:C,MATCH(42,'بيانات الحركات'!$G:$G,0)),"")</f>
        <v>امين</v>
      </c>
      <c r="D43" s="3" t="str">
        <f>IFERROR(INDEX('بيانات الحركات'!D:D,MATCH(42,'بيانات الحركات'!$G:$G,0)),"")</f>
        <v>عطر billionair-000250</v>
      </c>
      <c r="E43" s="21">
        <f>IF($B43="إنتاج طبخة","",IFERROR(INDEX('بيانات الحركات'!E:E,MATCH(42,'بيانات الحركات'!$G:$G,0)),""))</f>
        <v>4</v>
      </c>
      <c r="F43" s="3" t="str">
        <f>IFERROR(INDEX('بيانات الحركات'!F:F,MATCH(42,'بيانات الحركات'!$G:$G,0)),"")</f>
        <v>تنزيل البيانات لأول مرة</v>
      </c>
    </row>
    <row r="44" spans="1:6" ht="21.95" customHeight="1">
      <c r="A44" s="8">
        <f>IFERROR(INDEX('بيانات الحركات'!A:A,MATCH(43,'بيانات الحركات'!$G:$G,0)),"")</f>
        <v>46218</v>
      </c>
      <c r="B44" s="5" t="str">
        <f>IFERROR(INDEX('بيانات الحركات'!B:B,MATCH(43,'بيانات الحركات'!$G:$G,0)),"")</f>
        <v>شراء</v>
      </c>
      <c r="C44" s="3" t="str">
        <f>IFERROR(INDEX('بيانات الحركات'!C:C,MATCH(43,'بيانات الحركات'!$G:$G,0)),"")</f>
        <v>امين</v>
      </c>
      <c r="D44" s="3" t="str">
        <f>IFERROR(INDEX('بيانات الحركات'!D:D,MATCH(43,'بيانات الحركات'!$G:$G,0)),"")</f>
        <v>عطر be-apple-000320</v>
      </c>
      <c r="E44" s="21">
        <f>IF($B44="إنتاج طبخة","",IFERROR(INDEX('بيانات الحركات'!E:E,MATCH(43,'بيانات الحركات'!$G:$G,0)),""))</f>
        <v>2</v>
      </c>
      <c r="F44" s="3" t="str">
        <f>IFERROR(INDEX('بيانات الحركات'!F:F,MATCH(43,'بيانات الحركات'!$G:$G,0)),"")</f>
        <v>تنزيل البيانات لأول مرة</v>
      </c>
    </row>
    <row r="45" spans="1:6" ht="21.95" customHeight="1">
      <c r="A45" s="8">
        <f>IFERROR(INDEX('بيانات الحركات'!A:A,MATCH(44,'بيانات الحركات'!$G:$G,0)),"")</f>
        <v>46218</v>
      </c>
      <c r="B45" s="5" t="str">
        <f>IFERROR(INDEX('بيانات الحركات'!B:B,MATCH(44,'بيانات الحركات'!$G:$G,0)),"")</f>
        <v>شراء</v>
      </c>
      <c r="C45" s="3" t="str">
        <f>IFERROR(INDEX('بيانات الحركات'!C:C,MATCH(44,'بيانات الحركات'!$G:$G,0)),"")</f>
        <v>امين</v>
      </c>
      <c r="D45" s="3" t="str">
        <f>IFERROR(INDEX('بيانات الحركات'!D:D,MATCH(44,'بيانات الحركات'!$G:$G,0)),"")</f>
        <v xml:space="preserve">عبوة 1 لتر </v>
      </c>
      <c r="E45" s="21">
        <f>IF($B45="إنتاج طبخة","",IFERROR(INDEX('بيانات الحركات'!E:E,MATCH(44,'بيانات الحركات'!$G:$G,0)),""))</f>
        <v>0</v>
      </c>
      <c r="F45" s="3" t="str">
        <f>IFERROR(INDEX('بيانات الحركات'!F:F,MATCH(44,'بيانات الحركات'!$G:$G,0)),"")</f>
        <v>تنزيل البيانات لأول مرة</v>
      </c>
    </row>
    <row r="46" spans="1:6" ht="21.95" customHeight="1">
      <c r="A46" s="8">
        <f>IFERROR(INDEX('بيانات الحركات'!A:A,MATCH(45,'بيانات الحركات'!$G:$G,0)),"")</f>
        <v>46218</v>
      </c>
      <c r="B46" s="5" t="str">
        <f>IFERROR(INDEX('بيانات الحركات'!B:B,MATCH(45,'بيانات الحركات'!$G:$G,0)),"")</f>
        <v>شراء</v>
      </c>
      <c r="C46" s="3" t="str">
        <f>IFERROR(INDEX('بيانات الحركات'!C:C,MATCH(45,'بيانات الحركات'!$G:$G,0)),"")</f>
        <v>امين</v>
      </c>
      <c r="D46" s="3" t="str">
        <f>IFERROR(INDEX('بيانات الحركات'!D:D,MATCH(45,'بيانات الحركات'!$G:$G,0)),"")</f>
        <v>طبالي خشب</v>
      </c>
      <c r="E46" s="21">
        <f>IF($B46="إنتاج طبخة","",IFERROR(INDEX('بيانات الحركات'!E:E,MATCH(45,'بيانات الحركات'!$G:$G,0)),""))</f>
        <v>17</v>
      </c>
      <c r="F46" s="3" t="str">
        <f>IFERROR(INDEX('بيانات الحركات'!F:F,MATCH(45,'بيانات الحركات'!$G:$G,0)),"")</f>
        <v>تنزيل البيانات لأول مرة</v>
      </c>
    </row>
    <row r="47" spans="1:6" ht="21.95" customHeight="1">
      <c r="A47" s="8">
        <f>IFERROR(INDEX('بيانات الحركات'!A:A,MATCH(46,'بيانات الحركات'!$G:$G,0)),"")</f>
        <v>46218</v>
      </c>
      <c r="B47" s="5" t="str">
        <f>IFERROR(INDEX('بيانات الحركات'!B:B,MATCH(46,'بيانات الحركات'!$G:$G,0)),"")</f>
        <v>شراء</v>
      </c>
      <c r="C47" s="3" t="str">
        <f>IFERROR(INDEX('بيانات الحركات'!C:C,MATCH(46,'بيانات الحركات'!$G:$G,0)),"")</f>
        <v>امين</v>
      </c>
      <c r="D47" s="3" t="str">
        <f>IFERROR(INDEX('بيانات الحركات'!D:D,MATCH(46,'بيانات الحركات'!$G:$G,0)),"")</f>
        <v xml:space="preserve">صودا أش </v>
      </c>
      <c r="E47" s="21">
        <f>IF($B47="إنتاج طبخة","",IFERROR(INDEX('بيانات الحركات'!E:E,MATCH(46,'بيانات الحركات'!$G:$G,0)),""))</f>
        <v>0</v>
      </c>
      <c r="F47" s="3" t="str">
        <f>IFERROR(INDEX('بيانات الحركات'!F:F,MATCH(46,'بيانات الحركات'!$G:$G,0)),"")</f>
        <v>تنزيل البيانات لأول مرة</v>
      </c>
    </row>
    <row r="48" spans="1:6" ht="21.95" customHeight="1">
      <c r="A48" s="8">
        <f>IFERROR(INDEX('بيانات الحركات'!A:A,MATCH(47,'بيانات الحركات'!$G:$G,0)),"")</f>
        <v>46218</v>
      </c>
      <c r="B48" s="5" t="str">
        <f>IFERROR(INDEX('بيانات الحركات'!B:B,MATCH(47,'بيانات الحركات'!$G:$G,0)),"")</f>
        <v>شراء</v>
      </c>
      <c r="C48" s="3" t="str">
        <f>IFERROR(INDEX('بيانات الحركات'!C:C,MATCH(47,'بيانات الحركات'!$G:$G,0)),"")</f>
        <v>امين</v>
      </c>
      <c r="D48" s="3" t="str">
        <f>IFERROR(INDEX('بيانات الحركات'!D:D,MATCH(47,'بيانات الحركات'!$G:$G,0)),"")</f>
        <v xml:space="preserve">صبغة </v>
      </c>
      <c r="E48" s="21">
        <f>IF($B48="إنتاج طبخة","",IFERROR(INDEX('بيانات الحركات'!E:E,MATCH(47,'بيانات الحركات'!$G:$G,0)),""))</f>
        <v>1.42</v>
      </c>
      <c r="F48" s="3" t="str">
        <f>IFERROR(INDEX('بيانات الحركات'!F:F,MATCH(47,'بيانات الحركات'!$G:$G,0)),"")</f>
        <v>تنزيل البيانات لأول مرة</v>
      </c>
    </row>
    <row r="49" spans="1:6" ht="21.95" customHeight="1">
      <c r="A49" s="8">
        <f>IFERROR(INDEX('بيانات الحركات'!A:A,MATCH(48,'بيانات الحركات'!$G:$G,0)),"")</f>
        <v>46218</v>
      </c>
      <c r="B49" s="5" t="str">
        <f>IFERROR(INDEX('بيانات الحركات'!B:B,MATCH(48,'بيانات الحركات'!$G:$G,0)),"")</f>
        <v>شراء</v>
      </c>
      <c r="C49" s="3" t="str">
        <f>IFERROR(INDEX('بيانات الحركات'!C:C,MATCH(48,'بيانات الحركات'!$G:$G,0)),"")</f>
        <v>امين</v>
      </c>
      <c r="D49" s="3" t="str">
        <f>IFERROR(INDEX('بيانات الحركات'!D:D,MATCH(48,'بيانات الحركات'!$G:$G,0)),"")</f>
        <v xml:space="preserve">سيليكات سائلة </v>
      </c>
      <c r="E49" s="21">
        <f>IF($B49="إنتاج طبخة","",IFERROR(INDEX('بيانات الحركات'!E:E,MATCH(48,'بيانات الحركات'!$G:$G,0)),""))</f>
        <v>0</v>
      </c>
      <c r="F49" s="3" t="str">
        <f>IFERROR(INDEX('بيانات الحركات'!F:F,MATCH(48,'بيانات الحركات'!$G:$G,0)),"")</f>
        <v>تنزيل البيانات لأول مرة</v>
      </c>
    </row>
    <row r="50" spans="1:6" ht="21.95" customHeight="1">
      <c r="A50" s="8">
        <f>IFERROR(INDEX('بيانات الحركات'!A:A,MATCH(49,'بيانات الحركات'!$G:$G,0)),"")</f>
        <v>46218</v>
      </c>
      <c r="B50" s="5" t="str">
        <f>IFERROR(INDEX('بيانات الحركات'!B:B,MATCH(49,'بيانات الحركات'!$G:$G,0)),"")</f>
        <v>شراء</v>
      </c>
      <c r="C50" s="3" t="str">
        <f>IFERROR(INDEX('بيانات الحركات'!C:C,MATCH(49,'بيانات الحركات'!$G:$G,0)),"")</f>
        <v>امين</v>
      </c>
      <c r="D50" s="3" t="str">
        <f>IFERROR(INDEX('بيانات الحركات'!D:D,MATCH(49,'بيانات الحركات'!$G:$G,0)),"")</f>
        <v>زيت الصنوبر</v>
      </c>
      <c r="E50" s="21">
        <f>IF($B50="إنتاج طبخة","",IFERROR(INDEX('بيانات الحركات'!E:E,MATCH(49,'بيانات الحركات'!$G:$G,0)),""))</f>
        <v>24</v>
      </c>
      <c r="F50" s="3" t="str">
        <f>IFERROR(INDEX('بيانات الحركات'!F:F,MATCH(49,'بيانات الحركات'!$G:$G,0)),"")</f>
        <v>تنزيل البيانات لأول مرة</v>
      </c>
    </row>
    <row r="51" spans="1:6" ht="21.95" customHeight="1">
      <c r="A51" s="8">
        <f>IFERROR(INDEX('بيانات الحركات'!A:A,MATCH(50,'بيانات الحركات'!$G:$G,0)),"")</f>
        <v>46218</v>
      </c>
      <c r="B51" s="5" t="str">
        <f>IFERROR(INDEX('بيانات الحركات'!B:B,MATCH(50,'بيانات الحركات'!$G:$G,0)),"")</f>
        <v>شراء</v>
      </c>
      <c r="C51" s="3" t="str">
        <f>IFERROR(INDEX('بيانات الحركات'!C:C,MATCH(50,'بيانات الحركات'!$G:$G,0)),"")</f>
        <v>امين</v>
      </c>
      <c r="D51" s="3" t="str">
        <f>IFERROR(INDEX('بيانات الحركات'!D:D,MATCH(50,'بيانات الحركات'!$G:$G,0)),"")</f>
        <v>زفتة</v>
      </c>
      <c r="E51" s="21">
        <f>IF($B51="إنتاج طبخة","",IFERROR(INDEX('بيانات الحركات'!E:E,MATCH(50,'بيانات الحركات'!$G:$G,0)),""))</f>
        <v>536</v>
      </c>
      <c r="F51" s="3" t="str">
        <f>IFERROR(INDEX('بيانات الحركات'!F:F,MATCH(50,'بيانات الحركات'!$G:$G,0)),"")</f>
        <v>تنزيل البيانات لأول مرة</v>
      </c>
    </row>
    <row r="52" spans="1:6" ht="21.95" customHeight="1">
      <c r="A52" s="8">
        <f>IFERROR(INDEX('بيانات الحركات'!A:A,MATCH(51,'بيانات الحركات'!$G:$G,0)),"")</f>
        <v>46218</v>
      </c>
      <c r="B52" s="5" t="str">
        <f>IFERROR(INDEX('بيانات الحركات'!B:B,MATCH(51,'بيانات الحركات'!$G:$G,0)),"")</f>
        <v>شراء</v>
      </c>
      <c r="C52" s="3" t="str">
        <f>IFERROR(INDEX('بيانات الحركات'!C:C,MATCH(51,'بيانات الحركات'!$G:$G,0)),"")</f>
        <v>امين</v>
      </c>
      <c r="D52" s="3" t="str">
        <f>IFERROR(INDEX('بيانات الحركات'!D:D,MATCH(51,'بيانات الحركات'!$G:$G,0)),"")</f>
        <v>ديباتيول فينب</v>
      </c>
      <c r="E52" s="21">
        <f>IF($B52="إنتاج طبخة","",IFERROR(INDEX('بيانات الحركات'!E:E,MATCH(51,'بيانات الحركات'!$G:$G,0)),""))</f>
        <v>0</v>
      </c>
      <c r="F52" s="3" t="str">
        <f>IFERROR(INDEX('بيانات الحركات'!F:F,MATCH(51,'بيانات الحركات'!$G:$G,0)),"")</f>
        <v>تنزيل البيانات لأول مرة</v>
      </c>
    </row>
    <row r="53" spans="1:6" ht="21.95" customHeight="1">
      <c r="A53" s="8">
        <f>IFERROR(INDEX('بيانات الحركات'!A:A,MATCH(52,'بيانات الحركات'!$G:$G,0)),"")</f>
        <v>46218</v>
      </c>
      <c r="B53" s="5" t="str">
        <f>IFERROR(INDEX('بيانات الحركات'!B:B,MATCH(52,'بيانات الحركات'!$G:$G,0)),"")</f>
        <v>شراء</v>
      </c>
      <c r="C53" s="3" t="str">
        <f>IFERROR(INDEX('بيانات الحركات'!C:C,MATCH(52,'بيانات الحركات'!$G:$G,0)),"")</f>
        <v>امين</v>
      </c>
      <c r="D53" s="3" t="str">
        <f>IFERROR(INDEX('بيانات الحركات'!D:D,MATCH(52,'بيانات الحركات'!$G:$G,0)),"")</f>
        <v>دواء غسيل نصف مصنع</v>
      </c>
      <c r="E53" s="21">
        <f>IF($B53="إنتاج طبخة","",IFERROR(INDEX('بيانات الحركات'!E:E,MATCH(52,'بيانات الحركات'!$G:$G,0)),""))</f>
        <v>34</v>
      </c>
      <c r="F53" s="3" t="str">
        <f>IFERROR(INDEX('بيانات الحركات'!F:F,MATCH(52,'بيانات الحركات'!$G:$G,0)),"")</f>
        <v>تنزيل البيانات لأول مرة</v>
      </c>
    </row>
    <row r="54" spans="1:6" ht="21.95" customHeight="1">
      <c r="A54" s="8">
        <f>IFERROR(INDEX('بيانات الحركات'!A:A,MATCH(53,'بيانات الحركات'!$G:$G,0)),"")</f>
        <v>46218</v>
      </c>
      <c r="B54" s="5" t="str">
        <f>IFERROR(INDEX('بيانات الحركات'!B:B,MATCH(53,'بيانات الحركات'!$G:$G,0)),"")</f>
        <v>شراء</v>
      </c>
      <c r="C54" s="3" t="str">
        <f>IFERROR(INDEX('بيانات الحركات'!C:C,MATCH(53,'بيانات الحركات'!$G:$G,0)),"")</f>
        <v>امين</v>
      </c>
      <c r="D54" s="3" t="str">
        <f>IFERROR(INDEX('بيانات الحركات'!D:D,MATCH(53,'بيانات الحركات'!$G:$G,0)),"")</f>
        <v>حمض الليمون</v>
      </c>
      <c r="E54" s="21">
        <f>IF($B54="إنتاج طبخة","",IFERROR(INDEX('بيانات الحركات'!E:E,MATCH(53,'بيانات الحركات'!$G:$G,0)),""))</f>
        <v>1</v>
      </c>
      <c r="F54" s="3" t="str">
        <f>IFERROR(INDEX('بيانات الحركات'!F:F,MATCH(53,'بيانات الحركات'!$G:$G,0)),"")</f>
        <v>تنزيل البيانات لأول مرة</v>
      </c>
    </row>
    <row r="55" spans="1:6" ht="21.95" customHeight="1">
      <c r="A55" s="8">
        <f>IFERROR(INDEX('بيانات الحركات'!A:A,MATCH(54,'بيانات الحركات'!$G:$G,0)),"")</f>
        <v>46218</v>
      </c>
      <c r="B55" s="5" t="str">
        <f>IFERROR(INDEX('بيانات الحركات'!B:B,MATCH(54,'بيانات الحركات'!$G:$G,0)),"")</f>
        <v>شراء</v>
      </c>
      <c r="C55" s="3" t="str">
        <f>IFERROR(INDEX('بيانات الحركات'!C:C,MATCH(54,'بيانات الحركات'!$G:$G,0)),"")</f>
        <v>امين</v>
      </c>
      <c r="D55" s="3" t="str">
        <f>IFERROR(INDEX('بيانات الحركات'!D:D,MATCH(54,'بيانات الحركات'!$G:$G,0)),"")</f>
        <v>حمض الكبريت</v>
      </c>
      <c r="E55" s="21">
        <f>IF($B55="إنتاج طبخة","",IFERROR(INDEX('بيانات الحركات'!E:E,MATCH(54,'بيانات الحركات'!$G:$G,0)),""))</f>
        <v>0</v>
      </c>
      <c r="F55" s="3" t="str">
        <f>IFERROR(INDEX('بيانات الحركات'!F:F,MATCH(54,'بيانات الحركات'!$G:$G,0)),"")</f>
        <v>تنزيل البيانات لأول مرة</v>
      </c>
    </row>
    <row r="56" spans="1:6" ht="21.95" customHeight="1">
      <c r="A56" s="8">
        <f>IFERROR(INDEX('بيانات الحركات'!A:A,MATCH(55,'بيانات الحركات'!$G:$G,0)),"")</f>
        <v>46218</v>
      </c>
      <c r="B56" s="5" t="str">
        <f>IFERROR(INDEX('بيانات الحركات'!B:B,MATCH(55,'بيانات الحركات'!$G:$G,0)),"")</f>
        <v>شراء</v>
      </c>
      <c r="C56" s="3" t="str">
        <f>IFERROR(INDEX('بيانات الحركات'!C:C,MATCH(55,'بيانات الحركات'!$G:$G,0)),"")</f>
        <v>امين</v>
      </c>
      <c r="D56" s="3" t="str">
        <f>IFERROR(INDEX('بيانات الحركات'!D:D,MATCH(55,'بيانات الحركات'!$G:$G,0)),"")</f>
        <v>حمض الخل</v>
      </c>
      <c r="E56" s="21">
        <f>IF($B56="إنتاج طبخة","",IFERROR(INDEX('بيانات الحركات'!E:E,MATCH(55,'بيانات الحركات'!$G:$G,0)),""))</f>
        <v>1</v>
      </c>
      <c r="F56" s="3" t="str">
        <f>IFERROR(INDEX('بيانات الحركات'!F:F,MATCH(55,'بيانات الحركات'!$G:$G,0)),"")</f>
        <v>تنزيل البيانات لأول مرة</v>
      </c>
    </row>
    <row r="57" spans="1:6" ht="21.95" customHeight="1">
      <c r="A57" s="8">
        <f>IFERROR(INDEX('بيانات الحركات'!A:A,MATCH(56,'بيانات الحركات'!$G:$G,0)),"")</f>
        <v>46218</v>
      </c>
      <c r="B57" s="5" t="str">
        <f>IFERROR(INDEX('بيانات الحركات'!B:B,MATCH(56,'بيانات الحركات'!$G:$G,0)),"")</f>
        <v>شراء</v>
      </c>
      <c r="C57" s="3" t="str">
        <f>IFERROR(INDEX('بيانات الحركات'!C:C,MATCH(56,'بيانات الحركات'!$G:$G,0)),"")</f>
        <v>امين</v>
      </c>
      <c r="D57" s="3" t="str">
        <f>IFERROR(INDEX('بيانات الحركات'!D:D,MATCH(56,'بيانات الحركات'!$G:$G,0)),"")</f>
        <v>حليب التين</v>
      </c>
      <c r="E57" s="21">
        <f>IF($B57="إنتاج طبخة","",IFERROR(INDEX('بيانات الحركات'!E:E,MATCH(56,'بيانات الحركات'!$G:$G,0)),""))</f>
        <v>0.83</v>
      </c>
      <c r="F57" s="3" t="str">
        <f>IFERROR(INDEX('بيانات الحركات'!F:F,MATCH(56,'بيانات الحركات'!$G:$G,0)),"")</f>
        <v>تنزيل البيانات لأول مرة</v>
      </c>
    </row>
    <row r="58" spans="1:6" ht="21.95" customHeight="1">
      <c r="A58" s="8">
        <f>IFERROR(INDEX('بيانات الحركات'!A:A,MATCH(57,'بيانات الحركات'!$G:$G,0)),"")</f>
        <v>46218</v>
      </c>
      <c r="B58" s="5" t="str">
        <f>IFERROR(INDEX('بيانات الحركات'!B:B,MATCH(57,'بيانات الحركات'!$G:$G,0)),"")</f>
        <v>شراء</v>
      </c>
      <c r="C58" s="3" t="str">
        <f>IFERROR(INDEX('بيانات الحركات'!C:C,MATCH(57,'بيانات الحركات'!$G:$G,0)),"")</f>
        <v>امين</v>
      </c>
      <c r="D58" s="3" t="str">
        <f>IFERROR(INDEX('بيانات الحركات'!D:D,MATCH(57,'بيانات الحركات'!$G:$G,0)),"")</f>
        <v xml:space="preserve">حبيبات ملونة </v>
      </c>
      <c r="E58" s="21">
        <f>IF($B58="إنتاج طبخة","",IFERROR(INDEX('بيانات الحركات'!E:E,MATCH(57,'بيانات الحركات'!$G:$G,0)),""))</f>
        <v>0</v>
      </c>
      <c r="F58" s="3" t="str">
        <f>IFERROR(INDEX('بيانات الحركات'!F:F,MATCH(57,'بيانات الحركات'!$G:$G,0)),"")</f>
        <v>تنزيل البيانات لأول مرة</v>
      </c>
    </row>
    <row r="59" spans="1:6" ht="21.95" customHeight="1">
      <c r="A59" s="8">
        <f>IFERROR(INDEX('بيانات الحركات'!A:A,MATCH(58,'بيانات الحركات'!$G:$G,0)),"")</f>
        <v>46218</v>
      </c>
      <c r="B59" s="5" t="str">
        <f>IFERROR(INDEX('بيانات الحركات'!B:B,MATCH(58,'بيانات الحركات'!$G:$G,0)),"")</f>
        <v>شراء</v>
      </c>
      <c r="C59" s="3" t="str">
        <f>IFERROR(INDEX('بيانات الحركات'!C:C,MATCH(58,'بيانات الحركات'!$G:$G,0)),"")</f>
        <v>امين</v>
      </c>
      <c r="D59" s="3" t="str">
        <f>IFERROR(INDEX('بيانات الحركات'!D:D,MATCH(58,'بيانات الحركات'!$G:$G,0)),"")</f>
        <v>تكسبون</v>
      </c>
      <c r="E59" s="21">
        <f>IF($B59="إنتاج طبخة","",IFERROR(INDEX('بيانات الحركات'!E:E,MATCH(58,'بيانات الحركات'!$G:$G,0)),""))</f>
        <v>468</v>
      </c>
      <c r="F59" s="3" t="str">
        <f>IFERROR(INDEX('بيانات الحركات'!F:F,MATCH(58,'بيانات الحركات'!$G:$G,0)),"")</f>
        <v>تنزيل البيانات لأول مرة</v>
      </c>
    </row>
    <row r="60" spans="1:6" ht="21.95" customHeight="1">
      <c r="A60" s="8">
        <f>IFERROR(INDEX('بيانات الحركات'!A:A,MATCH(59,'بيانات الحركات'!$G:$G,0)),"")</f>
        <v>46218</v>
      </c>
      <c r="B60" s="5" t="str">
        <f>IFERROR(INDEX('بيانات الحركات'!B:B,MATCH(59,'بيانات الحركات'!$G:$G,0)),"")</f>
        <v>شراء</v>
      </c>
      <c r="C60" s="3" t="str">
        <f>IFERROR(INDEX('بيانات الحركات'!C:C,MATCH(59,'بيانات الحركات'!$G:$G,0)),"")</f>
        <v>امين</v>
      </c>
      <c r="D60" s="3" t="str">
        <f>IFERROR(INDEX('بيانات الحركات'!D:D,MATCH(59,'بيانات الحركات'!$G:$G,0)),"")</f>
        <v xml:space="preserve">بيدون 4 لتر </v>
      </c>
      <c r="E60" s="21">
        <f>IF($B60="إنتاج طبخة","",IFERROR(INDEX('بيانات الحركات'!E:E,MATCH(59,'بيانات الحركات'!$G:$G,0)),""))</f>
        <v>12</v>
      </c>
      <c r="F60" s="3" t="str">
        <f>IFERROR(INDEX('بيانات الحركات'!F:F,MATCH(59,'بيانات الحركات'!$G:$G,0)),"")</f>
        <v>تنزيل البيانات لأول مرة</v>
      </c>
    </row>
    <row r="61" spans="1:6" ht="21.95" customHeight="1">
      <c r="A61" s="8">
        <f>IFERROR(INDEX('بيانات الحركات'!A:A,MATCH(60,'بيانات الحركات'!$G:$G,0)),"")</f>
        <v>46218</v>
      </c>
      <c r="B61" s="5" t="str">
        <f>IFERROR(INDEX('بيانات الحركات'!B:B,MATCH(60,'بيانات الحركات'!$G:$G,0)),"")</f>
        <v>شراء</v>
      </c>
      <c r="C61" s="3" t="str">
        <f>IFERROR(INDEX('بيانات الحركات'!C:C,MATCH(60,'بيانات الحركات'!$G:$G,0)),"")</f>
        <v>امين</v>
      </c>
      <c r="D61" s="3" t="str">
        <f>IFERROR(INDEX('بيانات الحركات'!D:D,MATCH(60,'بيانات الحركات'!$G:$G,0)),"")</f>
        <v>بيتائين</v>
      </c>
      <c r="E61" s="21">
        <f>IF($B61="إنتاج طبخة","",IFERROR(INDEX('بيانات الحركات'!E:E,MATCH(60,'بيانات الحركات'!$G:$G,0)),""))</f>
        <v>307.5</v>
      </c>
      <c r="F61" s="3" t="str">
        <f>IFERROR(INDEX('بيانات الحركات'!F:F,MATCH(60,'بيانات الحركات'!$G:$G,0)),"")</f>
        <v>تنزيل البيانات لأول مرة</v>
      </c>
    </row>
    <row r="62" spans="1:6" ht="21.95" customHeight="1">
      <c r="A62" s="8">
        <f>IFERROR(INDEX('بيانات الحركات'!A:A,MATCH(61,'بيانات الحركات'!$G:$G,0)),"")</f>
        <v>46218</v>
      </c>
      <c r="B62" s="5" t="str">
        <f>IFERROR(INDEX('بيانات الحركات'!B:B,MATCH(61,'بيانات الحركات'!$G:$G,0)),"")</f>
        <v>شراء</v>
      </c>
      <c r="C62" s="3" t="str">
        <f>IFERROR(INDEX('بيانات الحركات'!C:C,MATCH(61,'بيانات الحركات'!$G:$G,0)),"")</f>
        <v>امين</v>
      </c>
      <c r="D62" s="3" t="str">
        <f>IFERROR(INDEX('بيانات الحركات'!D:D,MATCH(61,'بيانات الحركات'!$G:$G,0)),"")</f>
        <v>بوتيل غليكول</v>
      </c>
      <c r="E62" s="21">
        <f>IF($B62="إنتاج طبخة","",IFERROR(INDEX('بيانات الحركات'!E:E,MATCH(61,'بيانات الحركات'!$G:$G,0)),""))</f>
        <v>0</v>
      </c>
      <c r="F62" s="3" t="str">
        <f>IFERROR(INDEX('بيانات الحركات'!F:F,MATCH(61,'بيانات الحركات'!$G:$G,0)),"")</f>
        <v>تنزيل البيانات لأول مرة</v>
      </c>
    </row>
    <row r="63" spans="1:6" ht="21.95" customHeight="1">
      <c r="A63" s="8">
        <f>IFERROR(INDEX('بيانات الحركات'!A:A,MATCH(62,'بيانات الحركات'!$G:$G,0)),"")</f>
        <v>46218</v>
      </c>
      <c r="B63" s="5" t="str">
        <f>IFERROR(INDEX('بيانات الحركات'!B:B,MATCH(62,'بيانات الحركات'!$G:$G,0)),"")</f>
        <v>شراء</v>
      </c>
      <c r="C63" s="3" t="str">
        <f>IFERROR(INDEX('بيانات الحركات'!C:C,MATCH(62,'بيانات الحركات'!$G:$G,0)),"")</f>
        <v>امين</v>
      </c>
      <c r="D63" s="3" t="str">
        <f>IFERROR(INDEX('بيانات الحركات'!D:D,MATCH(62,'بيانات الحركات'!$G:$G,0)),"")</f>
        <v>بلسم جامد</v>
      </c>
      <c r="E63" s="21">
        <f>IF($B63="إنتاج طبخة","",IFERROR(INDEX('بيانات الحركات'!E:E,MATCH(62,'بيانات الحركات'!$G:$G,0)),""))</f>
        <v>3</v>
      </c>
      <c r="F63" s="3" t="str">
        <f>IFERROR(INDEX('بيانات الحركات'!F:F,MATCH(62,'بيانات الحركات'!$G:$G,0)),"")</f>
        <v>تنزيل البيانات لأول مرة</v>
      </c>
    </row>
    <row r="64" spans="1:6" ht="21.95" customHeight="1">
      <c r="A64" s="8">
        <f>IFERROR(INDEX('بيانات الحركات'!A:A,MATCH(63,'بيانات الحركات'!$G:$G,0)),"")</f>
        <v>46218</v>
      </c>
      <c r="B64" s="5" t="str">
        <f>IFERROR(INDEX('بيانات الحركات'!B:B,MATCH(63,'بيانات الحركات'!$G:$G,0)),"")</f>
        <v>شراء</v>
      </c>
      <c r="C64" s="3" t="str">
        <f>IFERROR(INDEX('بيانات الحركات'!C:C,MATCH(63,'بيانات الحركات'!$G:$G,0)),"")</f>
        <v>امين</v>
      </c>
      <c r="D64" s="3" t="str">
        <f>IFERROR(INDEX('بيانات الحركات'!D:D,MATCH(63,'بيانات الحركات'!$G:$G,0)),"")</f>
        <v>بروبلين - فينب</v>
      </c>
      <c r="E64" s="21">
        <f>IF($B64="إنتاج طبخة","",IFERROR(INDEX('بيانات الحركات'!E:E,MATCH(63,'بيانات الحركات'!$G:$G,0)),""))</f>
        <v>0</v>
      </c>
      <c r="F64" s="3" t="str">
        <f>IFERROR(INDEX('بيانات الحركات'!F:F,MATCH(63,'بيانات الحركات'!$G:$G,0)),"")</f>
        <v>تنزيل البيانات لأول مرة</v>
      </c>
    </row>
    <row r="65" spans="1:6" ht="21.95" customHeight="1">
      <c r="A65" s="8">
        <f>IFERROR(INDEX('بيانات الحركات'!A:A,MATCH(64,'بيانات الحركات'!$G:$G,0)),"")</f>
        <v>46218</v>
      </c>
      <c r="B65" s="5" t="str">
        <f>IFERROR(INDEX('بيانات الحركات'!B:B,MATCH(64,'بيانات الحركات'!$G:$G,0)),"")</f>
        <v>شراء</v>
      </c>
      <c r="C65" s="3" t="str">
        <f>IFERROR(INDEX('بيانات الحركات'!C:C,MATCH(64,'بيانات الحركات'!$G:$G,0)),"")</f>
        <v>امين</v>
      </c>
      <c r="D65" s="3" t="str">
        <f>IFERROR(INDEX('بيانات الحركات'!D:D,MATCH(64,'بيانات الحركات'!$G:$G,0)),"")</f>
        <v>ايمولجين</v>
      </c>
      <c r="E65" s="21">
        <f>IF($B65="إنتاج طبخة","",IFERROR(INDEX('بيانات الحركات'!E:E,MATCH(64,'بيانات الحركات'!$G:$G,0)),""))</f>
        <v>6</v>
      </c>
      <c r="F65" s="3" t="str">
        <f>IFERROR(INDEX('بيانات الحركات'!F:F,MATCH(64,'بيانات الحركات'!$G:$G,0)),"")</f>
        <v>تنزيل البيانات لأول مرة</v>
      </c>
    </row>
    <row r="66" spans="1:6" ht="21.95" customHeight="1">
      <c r="A66" s="8">
        <f>IFERROR(INDEX('بيانات الحركات'!A:A,MATCH(65,'بيانات الحركات'!$G:$G,0)),"")</f>
        <v>46218</v>
      </c>
      <c r="B66" s="5" t="str">
        <f>IFERROR(INDEX('بيانات الحركات'!B:B,MATCH(65,'بيانات الحركات'!$G:$G,0)),"")</f>
        <v>شراء</v>
      </c>
      <c r="C66" s="3" t="str">
        <f>IFERROR(INDEX('بيانات الحركات'!C:C,MATCH(65,'بيانات الحركات'!$G:$G,0)),"")</f>
        <v>امين</v>
      </c>
      <c r="D66" s="3" t="str">
        <f>IFERROR(INDEX('بيانات الحركات'!D:D,MATCH(65,'بيانات الحركات'!$G:$G,0)),"")</f>
        <v>ايديتا</v>
      </c>
      <c r="E66" s="21">
        <f>IF($B66="إنتاج طبخة","",IFERROR(INDEX('بيانات الحركات'!E:E,MATCH(65,'بيانات الحركات'!$G:$G,0)),""))</f>
        <v>16.5</v>
      </c>
      <c r="F66" s="3" t="str">
        <f>IFERROR(INDEX('بيانات الحركات'!F:F,MATCH(65,'بيانات الحركات'!$G:$G,0)),"")</f>
        <v>تنزيل البيانات لأول مرة</v>
      </c>
    </row>
    <row r="67" spans="1:6" ht="21.95" customHeight="1">
      <c r="A67" s="8">
        <f>IFERROR(INDEX('بيانات الحركات'!A:A,MATCH(66,'بيانات الحركات'!$G:$G,0)),"")</f>
        <v>46218</v>
      </c>
      <c r="B67" s="5" t="str">
        <f>IFERROR(INDEX('بيانات الحركات'!B:B,MATCH(66,'بيانات الحركات'!$G:$G,0)),"")</f>
        <v>شراء</v>
      </c>
      <c r="C67" s="3" t="str">
        <f>IFERROR(INDEX('بيانات الحركات'!C:C,MATCH(66,'بيانات الحركات'!$G:$G,0)),"")</f>
        <v>امين</v>
      </c>
      <c r="D67" s="3" t="str">
        <f>IFERROR(INDEX('بيانات الحركات'!D:D,MATCH(66,'بيانات الحركات'!$G:$G,0)),"")</f>
        <v>اسيد - روح الملح - حمض كلور الماء</v>
      </c>
      <c r="E67" s="21">
        <f>IF($B67="إنتاج طبخة","",IFERROR(INDEX('بيانات الحركات'!E:E,MATCH(66,'بيانات الحركات'!$G:$G,0)),""))</f>
        <v>57</v>
      </c>
      <c r="F67" s="3" t="str">
        <f>IFERROR(INDEX('بيانات الحركات'!F:F,MATCH(66,'بيانات الحركات'!$G:$G,0)),"")</f>
        <v>تنزيل البيانات لأول مرة</v>
      </c>
    </row>
    <row r="68" spans="1:6" ht="21.95" customHeight="1">
      <c r="A68" s="8">
        <f>IFERROR(INDEX('بيانات الحركات'!A:A,MATCH(67,'بيانات الحركات'!$G:$G,0)),"")</f>
        <v>46218</v>
      </c>
      <c r="B68" s="5" t="str">
        <f>IFERROR(INDEX('بيانات الحركات'!B:B,MATCH(67,'بيانات الحركات'!$G:$G,0)),"")</f>
        <v>شراء</v>
      </c>
      <c r="C68" s="3" t="str">
        <f>IFERROR(INDEX('بيانات الحركات'!C:C,MATCH(67,'بيانات الحركات'!$G:$G,0)),"")</f>
        <v>امين</v>
      </c>
      <c r="D68" s="3" t="str">
        <f>IFERROR(INDEX('بيانات الحركات'!D:D,MATCH(67,'بيانات الحركات'!$G:$G,0)),"")</f>
        <v>اسيتون</v>
      </c>
      <c r="E68" s="21">
        <f>IF($B68="إنتاج طبخة","",IFERROR(INDEX('بيانات الحركات'!E:E,MATCH(67,'بيانات الحركات'!$G:$G,0)),""))</f>
        <v>207.5</v>
      </c>
      <c r="F68" s="3" t="str">
        <f>IFERROR(INDEX('بيانات الحركات'!F:F,MATCH(67,'بيانات الحركات'!$G:$G,0)),"")</f>
        <v>تنزيل البيانات لأول مرة</v>
      </c>
    </row>
    <row r="69" spans="1:6" ht="21.95" customHeight="1">
      <c r="A69" s="8">
        <f>IFERROR(INDEX('بيانات الحركات'!A:A,MATCH(68,'بيانات الحركات'!$G:$G,0)),"")</f>
        <v>46218</v>
      </c>
      <c r="B69" s="5" t="str">
        <f>IFERROR(INDEX('بيانات الحركات'!B:B,MATCH(68,'بيانات الحركات'!$G:$G,0)),"")</f>
        <v>شراء</v>
      </c>
      <c r="C69" s="3" t="str">
        <f>IFERROR(INDEX('بيانات الحركات'!C:C,MATCH(68,'بيانات الحركات'!$G:$G,0)),"")</f>
        <v>امين</v>
      </c>
      <c r="D69" s="3" t="str">
        <f>IFERROR(INDEX('بيانات الحركات'!D:D,MATCH(68,'بيانات الحركات'!$G:$G,0)),"")</f>
        <v>لصاقة طابعة</v>
      </c>
      <c r="E69" s="21">
        <f>IF($B69="إنتاج طبخة","",IFERROR(INDEX('بيانات الحركات'!E:E,MATCH(68,'بيانات الحركات'!$G:$G,0)),""))</f>
        <v>0</v>
      </c>
      <c r="F69" s="3" t="str">
        <f>IFERROR(INDEX('بيانات الحركات'!F:F,MATCH(68,'بيانات الحركات'!$G:$G,0)),"")</f>
        <v>تنزيل البيانات لأول مرة</v>
      </c>
    </row>
    <row r="70" spans="1:6" ht="21.95" customHeight="1">
      <c r="A70" s="8">
        <f>IFERROR(INDEX('بيانات الحركات'!A:A,MATCH(69,'بيانات الحركات'!$G:$G,0)),"")</f>
        <v>46218</v>
      </c>
      <c r="B70" s="5" t="str">
        <f>IFERROR(INDEX('بيانات الحركات'!B:B,MATCH(69,'بيانات الحركات'!$G:$G,0)),"")</f>
        <v>شراء</v>
      </c>
      <c r="C70" s="3" t="str">
        <f>IFERROR(INDEX('بيانات الحركات'!C:C,MATCH(69,'بيانات الحركات'!$G:$G,0)),"")</f>
        <v>امين</v>
      </c>
      <c r="D70" s="3" t="str">
        <f>IFERROR(INDEX('بيانات الحركات'!D:D,MATCH(69,'بيانات الحركات'!$G:$G,0)),"")</f>
        <v>كريك بلاستيك</v>
      </c>
      <c r="E70" s="21">
        <f>IF($B70="إنتاج طبخة","",IFERROR(INDEX('بيانات الحركات'!E:E,MATCH(69,'بيانات الحركات'!$G:$G,0)),""))</f>
        <v>1</v>
      </c>
      <c r="F70" s="3" t="str">
        <f>IFERROR(INDEX('بيانات الحركات'!F:F,MATCH(69,'بيانات الحركات'!$G:$G,0)),"")</f>
        <v>تنزيل البيانات لأول مرة</v>
      </c>
    </row>
    <row r="71" spans="1:6" ht="21.95" customHeight="1">
      <c r="A71" s="8">
        <f>IFERROR(INDEX('بيانات الحركات'!A:A,MATCH(70,'بيانات الحركات'!$G:$G,0)),"")</f>
        <v>46218</v>
      </c>
      <c r="B71" s="5" t="str">
        <f>IFERROR(INDEX('بيانات الحركات'!B:B,MATCH(70,'بيانات الحركات'!$G:$G,0)),"")</f>
        <v>شراء</v>
      </c>
      <c r="C71" s="3" t="str">
        <f>IFERROR(INDEX('بيانات الحركات'!C:C,MATCH(70,'بيانات الحركات'!$G:$G,0)),"")</f>
        <v>امين</v>
      </c>
      <c r="D71" s="3" t="str">
        <f>IFERROR(INDEX('بيانات الحركات'!D:D,MATCH(70,'بيانات الحركات'!$G:$G,0)),"")</f>
        <v>فازلين</v>
      </c>
      <c r="E71" s="21">
        <f>IF($B71="إنتاج طبخة","",IFERROR(INDEX('بيانات الحركات'!E:E,MATCH(70,'بيانات الحركات'!$G:$G,0)),""))</f>
        <v>0</v>
      </c>
      <c r="F71" s="3" t="str">
        <f>IFERROR(INDEX('بيانات الحركات'!F:F,MATCH(70,'بيانات الحركات'!$G:$G,0)),"")</f>
        <v>تنزيل البيانات لأول مرة</v>
      </c>
    </row>
    <row r="72" spans="1:6" ht="21.95" customHeight="1">
      <c r="A72" s="8">
        <f>IFERROR(INDEX('بيانات الحركات'!A:A,MATCH(71,'بيانات الحركات'!$G:$G,0)),"")</f>
        <v>46218</v>
      </c>
      <c r="B72" s="5" t="str">
        <f>IFERROR(INDEX('بيانات الحركات'!B:B,MATCH(71,'بيانات الحركات'!$G:$G,0)),"")</f>
        <v>شراء</v>
      </c>
      <c r="C72" s="3" t="str">
        <f>IFERROR(INDEX('بيانات الحركات'!C:C,MATCH(71,'بيانات الحركات'!$G:$G,0)),"")</f>
        <v>امين</v>
      </c>
      <c r="D72" s="3" t="str">
        <f>IFERROR(INDEX('بيانات الحركات'!D:D,MATCH(71,'بيانات الحركات'!$G:$G,0)),"")</f>
        <v xml:space="preserve">عبوات كلور + فلاش فارغة </v>
      </c>
      <c r="E72" s="21">
        <f>IF($B72="إنتاج طبخة","",IFERROR(INDEX('بيانات الحركات'!E:E,MATCH(71,'بيانات الحركات'!$G:$G,0)),""))</f>
        <v>19.829999999999998</v>
      </c>
      <c r="F72" s="3" t="str">
        <f>IFERROR(INDEX('بيانات الحركات'!F:F,MATCH(71,'بيانات الحركات'!$G:$G,0)),"")</f>
        <v>تنزيل البيانات لأول مرة</v>
      </c>
    </row>
    <row r="73" spans="1:6" ht="21.95" customHeight="1">
      <c r="A73" s="8">
        <f>IFERROR(INDEX('بيانات الحركات'!A:A,MATCH(72,'بيانات الحركات'!$G:$G,0)),"")</f>
        <v>46218</v>
      </c>
      <c r="B73" s="5" t="str">
        <f>IFERROR(INDEX('بيانات الحركات'!B:B,MATCH(72,'بيانات الحركات'!$G:$G,0)),"")</f>
        <v>شراء</v>
      </c>
      <c r="C73" s="3" t="str">
        <f>IFERROR(INDEX('بيانات الحركات'!C:C,MATCH(72,'بيانات الحركات'!$G:$G,0)),"")</f>
        <v>امين</v>
      </c>
      <c r="D73" s="3" t="str">
        <f>IFERROR(INDEX('بيانات الحركات'!D:D,MATCH(72,'بيانات الحركات'!$G:$G,0)),"")</f>
        <v>عبوات شفافة 3 لتر</v>
      </c>
      <c r="E73" s="21">
        <f>IF($B73="إنتاج طبخة","",IFERROR(INDEX('بيانات الحركات'!E:E,MATCH(72,'بيانات الحركات'!$G:$G,0)),""))</f>
        <v>11.16</v>
      </c>
      <c r="F73" s="3" t="str">
        <f>IFERROR(INDEX('بيانات الحركات'!F:F,MATCH(72,'بيانات الحركات'!$G:$G,0)),"")</f>
        <v>تنزيل البيانات لأول مرة</v>
      </c>
    </row>
    <row r="74" spans="1:6" ht="21.95" customHeight="1">
      <c r="A74" s="8">
        <f>IFERROR(INDEX('بيانات الحركات'!A:A,MATCH(73,'بيانات الحركات'!$G:$G,0)),"")</f>
        <v>46218</v>
      </c>
      <c r="B74" s="5" t="str">
        <f>IFERROR(INDEX('بيانات الحركات'!B:B,MATCH(73,'بيانات الحركات'!$G:$G,0)),"")</f>
        <v>شراء</v>
      </c>
      <c r="C74" s="3" t="str">
        <f>IFERROR(INDEX('بيانات الحركات'!C:C,MATCH(73,'بيانات الحركات'!$G:$G,0)),"")</f>
        <v>امين</v>
      </c>
      <c r="D74" s="3" t="str">
        <f>IFERROR(INDEX('بيانات الحركات'!D:D,MATCH(73,'بيانات الحركات'!$G:$G,0)),"")</f>
        <v>عبوات حليبي</v>
      </c>
      <c r="E74" s="21">
        <f>IF($B74="إنتاج طبخة","",IFERROR(INDEX('بيانات الحركات'!E:E,MATCH(73,'بيانات الحركات'!$G:$G,0)),""))</f>
        <v>93.75</v>
      </c>
      <c r="F74" s="3" t="str">
        <f>IFERROR(INDEX('بيانات الحركات'!F:F,MATCH(73,'بيانات الحركات'!$G:$G,0)),"")</f>
        <v>تنزيل البيانات لأول مرة</v>
      </c>
    </row>
    <row r="75" spans="1:6" ht="21.95" customHeight="1">
      <c r="A75" s="8">
        <f>IFERROR(INDEX('بيانات الحركات'!A:A,MATCH(74,'بيانات الحركات'!$G:$G,0)),"")</f>
        <v>46218</v>
      </c>
      <c r="B75" s="5" t="str">
        <f>IFERROR(INDEX('بيانات الحركات'!B:B,MATCH(74,'بيانات الحركات'!$G:$G,0)),"")</f>
        <v>شراء</v>
      </c>
      <c r="C75" s="3" t="str">
        <f>IFERROR(INDEX('بيانات الحركات'!C:C,MATCH(74,'بيانات الحركات'!$G:$G,0)),"")</f>
        <v>امين</v>
      </c>
      <c r="D75" s="3" t="str">
        <f>IFERROR(INDEX('بيانات الحركات'!D:D,MATCH(74,'بيانات الحركات'!$G:$G,0)),"")</f>
        <v>ديتول خام</v>
      </c>
      <c r="E75" s="21">
        <f>IF($B75="إنتاج طبخة","",IFERROR(INDEX('بيانات الحركات'!E:E,MATCH(74,'بيانات الحركات'!$G:$G,0)),""))</f>
        <v>0</v>
      </c>
      <c r="F75" s="3" t="str">
        <f>IFERROR(INDEX('بيانات الحركات'!F:F,MATCH(74,'بيانات الحركات'!$G:$G,0)),"")</f>
        <v>تنزيل البيانات لأول مرة</v>
      </c>
    </row>
    <row r="76" spans="1:6" ht="21.95" customHeight="1">
      <c r="A76" s="8">
        <f>IFERROR(INDEX('بيانات الحركات'!A:A,MATCH(75,'بيانات الحركات'!$G:$G,0)),"")</f>
        <v>46211</v>
      </c>
      <c r="B76" s="5" t="str">
        <f>IFERROR(INDEX('بيانات الحركات'!B:B,MATCH(75,'بيانات الحركات'!$G:$G,0)),"")</f>
        <v>صرف مباشر</v>
      </c>
      <c r="C76" s="3" t="str">
        <f>IFERROR(INDEX('بيانات الحركات'!C:C,MATCH(75,'بيانات الحركات'!$G:$G,0)),"")</f>
        <v>أبو خليل</v>
      </c>
      <c r="D76" s="3" t="str">
        <f>IFERROR(INDEX('بيانات الحركات'!D:D,MATCH(75,'بيانات الحركات'!$G:$G,0)),"")</f>
        <v>تكسبون</v>
      </c>
      <c r="E76" s="21">
        <f>IF($B76="إنتاج طبخة","",IFERROR(INDEX('بيانات الحركات'!E:E,MATCH(75,'بيانات الحركات'!$G:$G,0)),""))</f>
        <v>-3</v>
      </c>
      <c r="F76" s="3" t="str">
        <f>IFERROR(INDEX('بيانات الحركات'!F:F,MATCH(75,'بيانات الحركات'!$G:$G,0)),"")</f>
        <v>-</v>
      </c>
    </row>
    <row r="77" spans="1:6" ht="21.95" customHeight="1">
      <c r="A77" s="8">
        <f>IFERROR(INDEX('بيانات الحركات'!A:A,MATCH(76,'بيانات الحركات'!$G:$G,0)),"")</f>
        <v>46219</v>
      </c>
      <c r="B77" s="5" t="str">
        <f>IFERROR(INDEX('بيانات الحركات'!B:B,MATCH(76,'بيانات الحركات'!$G:$G,0)),"")</f>
        <v>صرف مباشر</v>
      </c>
      <c r="C77" s="3" t="str">
        <f>IFERROR(INDEX('بيانات الحركات'!C:C,MATCH(76,'بيانات الحركات'!$G:$G,0)),"")</f>
        <v>أبو خليل ميسشنتبشب شس</v>
      </c>
      <c r="D77" s="3" t="str">
        <f>IFERROR(INDEX('بيانات الحركات'!D:D,MATCH(76,'بيانات الحركات'!$G:$G,0)),"")</f>
        <v>زفتة</v>
      </c>
      <c r="E77" s="21">
        <f>IF($B77="إنتاج طبخة","",IFERROR(INDEX('بيانات الحركات'!E:E,MATCH(76,'بيانات الحركات'!$G:$G,0)),""))</f>
        <v>-20</v>
      </c>
      <c r="F77" s="3" t="str">
        <f>IFERROR(INDEX('بيانات الحركات'!F:F,MATCH(76,'بيانات الحركات'!$G:$G,0)),"")</f>
        <v>منشان نيسشتبكبي مككيللتكمشسيتب</v>
      </c>
    </row>
    <row r="78" spans="1:6" ht="21.95" customHeight="1">
      <c r="A78" s="8">
        <f>IFERROR(INDEX('بيانات الحركات'!A:A,MATCH(77,'بيانات الحركات'!$G:$G,0)),"")</f>
        <v>46211</v>
      </c>
      <c r="B78" s="5" t="str">
        <f>IFERROR(INDEX('بيانات الحركات'!B:B,MATCH(77,'بيانات الحركات'!$G:$G,0)),"")</f>
        <v>إنتاج طبخة</v>
      </c>
      <c r="C78" s="3" t="str">
        <f>IFERROR(INDEX('بيانات الحركات'!C:C,MATCH(77,'بيانات الحركات'!$G:$G,0)),"")</f>
        <v>لودلين سادة رابع</v>
      </c>
      <c r="D78" s="3" t="str">
        <f>IFERROR(INDEX('بيانات الحركات'!D:D,MATCH(77,'بيانات الحركات'!$G:$G,0)),"")</f>
        <v>عدة مواد - راجع صفحة الطبخات</v>
      </c>
      <c r="E78" s="21" t="str">
        <f>IF($B78="إنتاج طبخة","",IFERROR(INDEX('بيانات الحركات'!E:E,MATCH(77,'بيانات الحركات'!$G:$G,0)),""))</f>
        <v/>
      </c>
      <c r="F78" s="3" t="str">
        <f>IFERROR(INDEX('بيانات الحركات'!F:F,MATCH(77,'بيانات الحركات'!$G:$G,0)),"")</f>
        <v>-</v>
      </c>
    </row>
    <row r="79" spans="1:6" ht="21.95" customHeight="1">
      <c r="A79" s="8">
        <f>IFERROR(INDEX('بيانات الحركات'!A:A,MATCH(78,'بيانات الحركات'!$G:$G,0)),"")</f>
        <v>46211</v>
      </c>
      <c r="B79" s="5" t="str">
        <f>IFERROR(INDEX('بيانات الحركات'!B:B,MATCH(78,'بيانات الحركات'!$G:$G,0)),"")</f>
        <v>تعديل جرد</v>
      </c>
      <c r="C79" s="3" t="str">
        <f>IFERROR(INDEX('بيانات الحركات'!C:C,MATCH(78,'بيانات الحركات'!$G:$G,0)),"")</f>
        <v>فقدان</v>
      </c>
      <c r="D79" s="3" t="str">
        <f>IFERROR(INDEX('بيانات الحركات'!D:D,MATCH(78,'بيانات الحركات'!$G:$G,0)),"")</f>
        <v>زفتة</v>
      </c>
      <c r="E79" s="21">
        <f>IF($B79="إنتاج طبخة","",IFERROR(INDEX('بيانات الحركات'!E:E,MATCH(78,'بيانات الحركات'!$G:$G,0)),""))</f>
        <v>-408</v>
      </c>
      <c r="F79" s="3" t="str">
        <f>IFERROR(INDEX('بيانات الحركات'!F:F,MATCH(78,'بيانات الحركات'!$G:$G,0)),"")</f>
        <v>-</v>
      </c>
    </row>
    <row r="80" spans="1:6" ht="21.95" customHeight="1">
      <c r="A80" s="8" t="str">
        <f>IFERROR(INDEX('بيانات الحركات'!A:A,MATCH(79,'بيانات الحركات'!$G:$G,0)),"")</f>
        <v/>
      </c>
      <c r="B80" s="5" t="str">
        <f>IFERROR(INDEX('بيانات الحركات'!B:B,MATCH(79,'بيانات الحركات'!$G:$G,0)),"")</f>
        <v/>
      </c>
      <c r="C80" s="3" t="str">
        <f>IFERROR(INDEX('بيانات الحركات'!C:C,MATCH(79,'بيانات الحركات'!$G:$G,0)),"")</f>
        <v/>
      </c>
      <c r="D80" s="3" t="str">
        <f>IFERROR(INDEX('بيانات الحركات'!D:D,MATCH(79,'بيانات الحركات'!$G:$G,0)),"")</f>
        <v/>
      </c>
      <c r="E80" s="21" t="str">
        <f>IF($B80="إنتاج طبخة","",IFERROR(INDEX('بيانات الحركات'!E:E,MATCH(79,'بيانات الحركات'!$G:$G,0)),""))</f>
        <v/>
      </c>
      <c r="F80" s="3" t="str">
        <f>IFERROR(INDEX('بيانات الحركات'!F:F,MATCH(79,'بيانات الحركات'!$G:$G,0)),"")</f>
        <v/>
      </c>
    </row>
    <row r="81" spans="1:6" ht="21.95" customHeight="1">
      <c r="A81" s="8" t="str">
        <f>IFERROR(INDEX('بيانات الحركات'!A:A,MATCH(80,'بيانات الحركات'!$G:$G,0)),"")</f>
        <v/>
      </c>
      <c r="B81" s="5" t="str">
        <f>IFERROR(INDEX('بيانات الحركات'!B:B,MATCH(80,'بيانات الحركات'!$G:$G,0)),"")</f>
        <v/>
      </c>
      <c r="C81" s="3" t="str">
        <f>IFERROR(INDEX('بيانات الحركات'!C:C,MATCH(80,'بيانات الحركات'!$G:$G,0)),"")</f>
        <v/>
      </c>
      <c r="D81" s="3" t="str">
        <f>IFERROR(INDEX('بيانات الحركات'!D:D,MATCH(80,'بيانات الحركات'!$G:$G,0)),"")</f>
        <v/>
      </c>
      <c r="E81" s="21" t="str">
        <f>IF($B81="إنتاج طبخة","",IFERROR(INDEX('بيانات الحركات'!E:E,MATCH(80,'بيانات الحركات'!$G:$G,0)),""))</f>
        <v/>
      </c>
      <c r="F81" s="3" t="str">
        <f>IFERROR(INDEX('بيانات الحركات'!F:F,MATCH(80,'بيانات الحركات'!$G:$G,0)),"")</f>
        <v/>
      </c>
    </row>
    <row r="82" spans="1:6" ht="21.95" customHeight="1">
      <c r="A82" s="8" t="str">
        <f>IFERROR(INDEX('بيانات الحركات'!A:A,MATCH(81,'بيانات الحركات'!$G:$G,0)),"")</f>
        <v/>
      </c>
      <c r="B82" s="5" t="str">
        <f>IFERROR(INDEX('بيانات الحركات'!B:B,MATCH(81,'بيانات الحركات'!$G:$G,0)),"")</f>
        <v/>
      </c>
      <c r="C82" s="3" t="str">
        <f>IFERROR(INDEX('بيانات الحركات'!C:C,MATCH(81,'بيانات الحركات'!$G:$G,0)),"")</f>
        <v/>
      </c>
      <c r="D82" s="3" t="str">
        <f>IFERROR(INDEX('بيانات الحركات'!D:D,MATCH(81,'بيانات الحركات'!$G:$G,0)),"")</f>
        <v/>
      </c>
      <c r="E82" s="21" t="str">
        <f>IF($B82="إنتاج طبخة","",IFERROR(INDEX('بيانات الحركات'!E:E,MATCH(81,'بيانات الحركات'!$G:$G,0)),""))</f>
        <v/>
      </c>
      <c r="F82" s="3" t="str">
        <f>IFERROR(INDEX('بيانات الحركات'!F:F,MATCH(81,'بيانات الحركات'!$G:$G,0)),"")</f>
        <v/>
      </c>
    </row>
    <row r="83" spans="1:6" ht="21.95" customHeight="1">
      <c r="A83" s="8" t="str">
        <f>IFERROR(INDEX('بيانات الحركات'!A:A,MATCH(82,'بيانات الحركات'!$G:$G,0)),"")</f>
        <v/>
      </c>
      <c r="B83" s="5" t="str">
        <f>IFERROR(INDEX('بيانات الحركات'!B:B,MATCH(82,'بيانات الحركات'!$G:$G,0)),"")</f>
        <v/>
      </c>
      <c r="C83" s="3" t="str">
        <f>IFERROR(INDEX('بيانات الحركات'!C:C,MATCH(82,'بيانات الحركات'!$G:$G,0)),"")</f>
        <v/>
      </c>
      <c r="D83" s="3" t="str">
        <f>IFERROR(INDEX('بيانات الحركات'!D:D,MATCH(82,'بيانات الحركات'!$G:$G,0)),"")</f>
        <v/>
      </c>
      <c r="E83" s="21" t="str">
        <f>IF($B83="إنتاج طبخة","",IFERROR(INDEX('بيانات الحركات'!E:E,MATCH(82,'بيانات الحركات'!$G:$G,0)),""))</f>
        <v/>
      </c>
      <c r="F83" s="3" t="str">
        <f>IFERROR(INDEX('بيانات الحركات'!F:F,MATCH(82,'بيانات الحركات'!$G:$G,0)),"")</f>
        <v/>
      </c>
    </row>
    <row r="84" spans="1:6" ht="21.95" customHeight="1">
      <c r="A84" s="8" t="str">
        <f>IFERROR(INDEX('بيانات الحركات'!A:A,MATCH(83,'بيانات الحركات'!$G:$G,0)),"")</f>
        <v/>
      </c>
      <c r="B84" s="5" t="str">
        <f>IFERROR(INDEX('بيانات الحركات'!B:B,MATCH(83,'بيانات الحركات'!$G:$G,0)),"")</f>
        <v/>
      </c>
      <c r="C84" s="3" t="str">
        <f>IFERROR(INDEX('بيانات الحركات'!C:C,MATCH(83,'بيانات الحركات'!$G:$G,0)),"")</f>
        <v/>
      </c>
      <c r="D84" s="3" t="str">
        <f>IFERROR(INDEX('بيانات الحركات'!D:D,MATCH(83,'بيانات الحركات'!$G:$G,0)),"")</f>
        <v/>
      </c>
      <c r="E84" s="21" t="str">
        <f>IF($B84="إنتاج طبخة","",IFERROR(INDEX('بيانات الحركات'!E:E,MATCH(83,'بيانات الحركات'!$G:$G,0)),""))</f>
        <v/>
      </c>
      <c r="F84" s="3" t="str">
        <f>IFERROR(INDEX('بيانات الحركات'!F:F,MATCH(83,'بيانات الحركات'!$G:$G,0)),"")</f>
        <v/>
      </c>
    </row>
    <row r="85" spans="1:6" ht="21.95" customHeight="1">
      <c r="A85" s="8" t="str">
        <f>IFERROR(INDEX('بيانات الحركات'!A:A,MATCH(84,'بيانات الحركات'!$G:$G,0)),"")</f>
        <v/>
      </c>
      <c r="B85" s="5" t="str">
        <f>IFERROR(INDEX('بيانات الحركات'!B:B,MATCH(84,'بيانات الحركات'!$G:$G,0)),"")</f>
        <v/>
      </c>
      <c r="C85" s="3" t="str">
        <f>IFERROR(INDEX('بيانات الحركات'!C:C,MATCH(84,'بيانات الحركات'!$G:$G,0)),"")</f>
        <v/>
      </c>
      <c r="D85" s="3" t="str">
        <f>IFERROR(INDEX('بيانات الحركات'!D:D,MATCH(84,'بيانات الحركات'!$G:$G,0)),"")</f>
        <v/>
      </c>
      <c r="E85" s="21" t="str">
        <f>IF($B85="إنتاج طبخة","",IFERROR(INDEX('بيانات الحركات'!E:E,MATCH(84,'بيانات الحركات'!$G:$G,0)),""))</f>
        <v/>
      </c>
      <c r="F85" s="3" t="str">
        <f>IFERROR(INDEX('بيانات الحركات'!F:F,MATCH(84,'بيانات الحركات'!$G:$G,0)),"")</f>
        <v/>
      </c>
    </row>
    <row r="86" spans="1:6" ht="21.95" customHeight="1">
      <c r="A86" s="8" t="str">
        <f>IFERROR(INDEX('بيانات الحركات'!A:A,MATCH(85,'بيانات الحركات'!$G:$G,0)),"")</f>
        <v/>
      </c>
      <c r="B86" s="5" t="str">
        <f>IFERROR(INDEX('بيانات الحركات'!B:B,MATCH(85,'بيانات الحركات'!$G:$G,0)),"")</f>
        <v/>
      </c>
      <c r="C86" s="3" t="str">
        <f>IFERROR(INDEX('بيانات الحركات'!C:C,MATCH(85,'بيانات الحركات'!$G:$G,0)),"")</f>
        <v/>
      </c>
      <c r="D86" s="3" t="str">
        <f>IFERROR(INDEX('بيانات الحركات'!D:D,MATCH(85,'بيانات الحركات'!$G:$G,0)),"")</f>
        <v/>
      </c>
      <c r="E86" s="21" t="str">
        <f>IF($B86="إنتاج طبخة","",IFERROR(INDEX('بيانات الحركات'!E:E,MATCH(85,'بيانات الحركات'!$G:$G,0)),""))</f>
        <v/>
      </c>
      <c r="F86" s="3" t="str">
        <f>IFERROR(INDEX('بيانات الحركات'!F:F,MATCH(85,'بيانات الحركات'!$G:$G,0)),"")</f>
        <v/>
      </c>
    </row>
    <row r="87" spans="1:6" ht="21.95" customHeight="1">
      <c r="A87" s="8" t="str">
        <f>IFERROR(INDEX('بيانات الحركات'!A:A,MATCH(86,'بيانات الحركات'!$G:$G,0)),"")</f>
        <v/>
      </c>
      <c r="B87" s="5" t="str">
        <f>IFERROR(INDEX('بيانات الحركات'!B:B,MATCH(86,'بيانات الحركات'!$G:$G,0)),"")</f>
        <v/>
      </c>
      <c r="C87" s="3" t="str">
        <f>IFERROR(INDEX('بيانات الحركات'!C:C,MATCH(86,'بيانات الحركات'!$G:$G,0)),"")</f>
        <v/>
      </c>
      <c r="D87" s="3" t="str">
        <f>IFERROR(INDEX('بيانات الحركات'!D:D,MATCH(86,'بيانات الحركات'!$G:$G,0)),"")</f>
        <v/>
      </c>
      <c r="E87" s="21" t="str">
        <f>IF($B87="إنتاج طبخة","",IFERROR(INDEX('بيانات الحركات'!E:E,MATCH(86,'بيانات الحركات'!$G:$G,0)),""))</f>
        <v/>
      </c>
      <c r="F87" s="3" t="str">
        <f>IFERROR(INDEX('بيانات الحركات'!F:F,MATCH(86,'بيانات الحركات'!$G:$G,0)),"")</f>
        <v/>
      </c>
    </row>
    <row r="88" spans="1:6" ht="21.95" customHeight="1">
      <c r="A88" s="8" t="str">
        <f>IFERROR(INDEX('بيانات الحركات'!A:A,MATCH(87,'بيانات الحركات'!$G:$G,0)),"")</f>
        <v/>
      </c>
      <c r="B88" s="5" t="str">
        <f>IFERROR(INDEX('بيانات الحركات'!B:B,MATCH(87,'بيانات الحركات'!$G:$G,0)),"")</f>
        <v/>
      </c>
      <c r="C88" s="3" t="str">
        <f>IFERROR(INDEX('بيانات الحركات'!C:C,MATCH(87,'بيانات الحركات'!$G:$G,0)),"")</f>
        <v/>
      </c>
      <c r="D88" s="3" t="str">
        <f>IFERROR(INDEX('بيانات الحركات'!D:D,MATCH(87,'بيانات الحركات'!$G:$G,0)),"")</f>
        <v/>
      </c>
      <c r="E88" s="21" t="str">
        <f>IF($B88="إنتاج طبخة","",IFERROR(INDEX('بيانات الحركات'!E:E,MATCH(87,'بيانات الحركات'!$G:$G,0)),""))</f>
        <v/>
      </c>
      <c r="F88" s="3" t="str">
        <f>IFERROR(INDEX('بيانات الحركات'!F:F,MATCH(87,'بيانات الحركات'!$G:$G,0)),"")</f>
        <v/>
      </c>
    </row>
    <row r="89" spans="1:6" ht="21.95" customHeight="1">
      <c r="A89" s="8" t="str">
        <f>IFERROR(INDEX('بيانات الحركات'!A:A,MATCH(88,'بيانات الحركات'!$G:$G,0)),"")</f>
        <v/>
      </c>
      <c r="B89" s="5" t="str">
        <f>IFERROR(INDEX('بيانات الحركات'!B:B,MATCH(88,'بيانات الحركات'!$G:$G,0)),"")</f>
        <v/>
      </c>
      <c r="C89" s="3" t="str">
        <f>IFERROR(INDEX('بيانات الحركات'!C:C,MATCH(88,'بيانات الحركات'!$G:$G,0)),"")</f>
        <v/>
      </c>
      <c r="D89" s="3" t="str">
        <f>IFERROR(INDEX('بيانات الحركات'!D:D,MATCH(88,'بيانات الحركات'!$G:$G,0)),"")</f>
        <v/>
      </c>
      <c r="E89" s="21" t="str">
        <f>IF($B89="إنتاج طبخة","",IFERROR(INDEX('بيانات الحركات'!E:E,MATCH(88,'بيانات الحركات'!$G:$G,0)),""))</f>
        <v/>
      </c>
      <c r="F89" s="3" t="str">
        <f>IFERROR(INDEX('بيانات الحركات'!F:F,MATCH(88,'بيانات الحركات'!$G:$G,0)),"")</f>
        <v/>
      </c>
    </row>
    <row r="90" spans="1:6" ht="21.95" customHeight="1">
      <c r="A90" s="8" t="str">
        <f>IFERROR(INDEX('بيانات الحركات'!A:A,MATCH(89,'بيانات الحركات'!$G:$G,0)),"")</f>
        <v/>
      </c>
      <c r="B90" s="5" t="str">
        <f>IFERROR(INDEX('بيانات الحركات'!B:B,MATCH(89,'بيانات الحركات'!$G:$G,0)),"")</f>
        <v/>
      </c>
      <c r="C90" s="3" t="str">
        <f>IFERROR(INDEX('بيانات الحركات'!C:C,MATCH(89,'بيانات الحركات'!$G:$G,0)),"")</f>
        <v/>
      </c>
      <c r="D90" s="3" t="str">
        <f>IFERROR(INDEX('بيانات الحركات'!D:D,MATCH(89,'بيانات الحركات'!$G:$G,0)),"")</f>
        <v/>
      </c>
      <c r="E90" s="21" t="str">
        <f>IF($B90="إنتاج طبخة","",IFERROR(INDEX('بيانات الحركات'!E:E,MATCH(89,'بيانات الحركات'!$G:$G,0)),""))</f>
        <v/>
      </c>
      <c r="F90" s="3" t="str">
        <f>IFERROR(INDEX('بيانات الحركات'!F:F,MATCH(89,'بيانات الحركات'!$G:$G,0)),"")</f>
        <v/>
      </c>
    </row>
    <row r="91" spans="1:6" ht="21.95" customHeight="1">
      <c r="A91" s="8" t="str">
        <f>IFERROR(INDEX('بيانات الحركات'!A:A,MATCH(90,'بيانات الحركات'!$G:$G,0)),"")</f>
        <v/>
      </c>
      <c r="B91" s="5" t="str">
        <f>IFERROR(INDEX('بيانات الحركات'!B:B,MATCH(90,'بيانات الحركات'!$G:$G,0)),"")</f>
        <v/>
      </c>
      <c r="C91" s="3" t="str">
        <f>IFERROR(INDEX('بيانات الحركات'!C:C,MATCH(90,'بيانات الحركات'!$G:$G,0)),"")</f>
        <v/>
      </c>
      <c r="D91" s="3" t="str">
        <f>IFERROR(INDEX('بيانات الحركات'!D:D,MATCH(90,'بيانات الحركات'!$G:$G,0)),"")</f>
        <v/>
      </c>
      <c r="E91" s="21" t="str">
        <f>IF($B91="إنتاج طبخة","",IFERROR(INDEX('بيانات الحركات'!E:E,MATCH(90,'بيانات الحركات'!$G:$G,0)),""))</f>
        <v/>
      </c>
      <c r="F91" s="3" t="str">
        <f>IFERROR(INDEX('بيانات الحركات'!F:F,MATCH(90,'بيانات الحركات'!$G:$G,0)),"")</f>
        <v/>
      </c>
    </row>
    <row r="92" spans="1:6" ht="21.95" customHeight="1">
      <c r="A92" s="8" t="str">
        <f>IFERROR(INDEX('بيانات الحركات'!A:A,MATCH(91,'بيانات الحركات'!$G:$G,0)),"")</f>
        <v/>
      </c>
      <c r="B92" s="5" t="str">
        <f>IFERROR(INDEX('بيانات الحركات'!B:B,MATCH(91,'بيانات الحركات'!$G:$G,0)),"")</f>
        <v/>
      </c>
      <c r="C92" s="3" t="str">
        <f>IFERROR(INDEX('بيانات الحركات'!C:C,MATCH(91,'بيانات الحركات'!$G:$G,0)),"")</f>
        <v/>
      </c>
      <c r="D92" s="3" t="str">
        <f>IFERROR(INDEX('بيانات الحركات'!D:D,MATCH(91,'بيانات الحركات'!$G:$G,0)),"")</f>
        <v/>
      </c>
      <c r="E92" s="21" t="str">
        <f>IF($B92="إنتاج طبخة","",IFERROR(INDEX('بيانات الحركات'!E:E,MATCH(91,'بيانات الحركات'!$G:$G,0)),""))</f>
        <v/>
      </c>
      <c r="F92" s="3" t="str">
        <f>IFERROR(INDEX('بيانات الحركات'!F:F,MATCH(91,'بيانات الحركات'!$G:$G,0)),"")</f>
        <v/>
      </c>
    </row>
    <row r="93" spans="1:6" ht="21.95" customHeight="1">
      <c r="A93" s="8" t="str">
        <f>IFERROR(INDEX('بيانات الحركات'!A:A,MATCH(92,'بيانات الحركات'!$G:$G,0)),"")</f>
        <v/>
      </c>
      <c r="B93" s="5" t="str">
        <f>IFERROR(INDEX('بيانات الحركات'!B:B,MATCH(92,'بيانات الحركات'!$G:$G,0)),"")</f>
        <v/>
      </c>
      <c r="C93" s="3" t="str">
        <f>IFERROR(INDEX('بيانات الحركات'!C:C,MATCH(92,'بيانات الحركات'!$G:$G,0)),"")</f>
        <v/>
      </c>
      <c r="D93" s="3" t="str">
        <f>IFERROR(INDEX('بيانات الحركات'!D:D,MATCH(92,'بيانات الحركات'!$G:$G,0)),"")</f>
        <v/>
      </c>
      <c r="E93" s="21" t="str">
        <f>IF($B93="إنتاج طبخة","",IFERROR(INDEX('بيانات الحركات'!E:E,MATCH(92,'بيانات الحركات'!$G:$G,0)),""))</f>
        <v/>
      </c>
      <c r="F93" s="3" t="str">
        <f>IFERROR(INDEX('بيانات الحركات'!F:F,MATCH(92,'بيانات الحركات'!$G:$G,0)),"")</f>
        <v/>
      </c>
    </row>
    <row r="94" spans="1:6" ht="21.95" customHeight="1">
      <c r="A94" s="8" t="str">
        <f>IFERROR(INDEX('بيانات الحركات'!A:A,MATCH(93,'بيانات الحركات'!$G:$G,0)),"")</f>
        <v/>
      </c>
      <c r="B94" s="5" t="str">
        <f>IFERROR(INDEX('بيانات الحركات'!B:B,MATCH(93,'بيانات الحركات'!$G:$G,0)),"")</f>
        <v/>
      </c>
      <c r="C94" s="3" t="str">
        <f>IFERROR(INDEX('بيانات الحركات'!C:C,MATCH(93,'بيانات الحركات'!$G:$G,0)),"")</f>
        <v/>
      </c>
      <c r="D94" s="3" t="str">
        <f>IFERROR(INDEX('بيانات الحركات'!D:D,MATCH(93,'بيانات الحركات'!$G:$G,0)),"")</f>
        <v/>
      </c>
      <c r="E94" s="21" t="str">
        <f>IF($B94="إنتاج طبخة","",IFERROR(INDEX('بيانات الحركات'!E:E,MATCH(93,'بيانات الحركات'!$G:$G,0)),""))</f>
        <v/>
      </c>
      <c r="F94" s="3" t="str">
        <f>IFERROR(INDEX('بيانات الحركات'!F:F,MATCH(93,'بيانات الحركات'!$G:$G,0)),"")</f>
        <v/>
      </c>
    </row>
    <row r="95" spans="1:6" ht="21.95" customHeight="1">
      <c r="A95" s="8" t="str">
        <f>IFERROR(INDEX('بيانات الحركات'!A:A,MATCH(94,'بيانات الحركات'!$G:$G,0)),"")</f>
        <v/>
      </c>
      <c r="B95" s="5" t="str">
        <f>IFERROR(INDEX('بيانات الحركات'!B:B,MATCH(94,'بيانات الحركات'!$G:$G,0)),"")</f>
        <v/>
      </c>
      <c r="C95" s="3" t="str">
        <f>IFERROR(INDEX('بيانات الحركات'!C:C,MATCH(94,'بيانات الحركات'!$G:$G,0)),"")</f>
        <v/>
      </c>
      <c r="D95" s="3" t="str">
        <f>IFERROR(INDEX('بيانات الحركات'!D:D,MATCH(94,'بيانات الحركات'!$G:$G,0)),"")</f>
        <v/>
      </c>
      <c r="E95" s="21" t="str">
        <f>IF($B95="إنتاج طبخة","",IFERROR(INDEX('بيانات الحركات'!E:E,MATCH(94,'بيانات الحركات'!$G:$G,0)),""))</f>
        <v/>
      </c>
      <c r="F95" s="3" t="str">
        <f>IFERROR(INDEX('بيانات الحركات'!F:F,MATCH(94,'بيانات الحركات'!$G:$G,0)),"")</f>
        <v/>
      </c>
    </row>
    <row r="96" spans="1:6" ht="21.95" customHeight="1">
      <c r="A96" s="8" t="str">
        <f>IFERROR(INDEX('بيانات الحركات'!A:A,MATCH(95,'بيانات الحركات'!$G:$G,0)),"")</f>
        <v/>
      </c>
      <c r="B96" s="5" t="str">
        <f>IFERROR(INDEX('بيانات الحركات'!B:B,MATCH(95,'بيانات الحركات'!$G:$G,0)),"")</f>
        <v/>
      </c>
      <c r="C96" s="3" t="str">
        <f>IFERROR(INDEX('بيانات الحركات'!C:C,MATCH(95,'بيانات الحركات'!$G:$G,0)),"")</f>
        <v/>
      </c>
      <c r="D96" s="3" t="str">
        <f>IFERROR(INDEX('بيانات الحركات'!D:D,MATCH(95,'بيانات الحركات'!$G:$G,0)),"")</f>
        <v/>
      </c>
      <c r="E96" s="21" t="str">
        <f>IF($B96="إنتاج طبخة","",IFERROR(INDEX('بيانات الحركات'!E:E,MATCH(95,'بيانات الحركات'!$G:$G,0)),""))</f>
        <v/>
      </c>
      <c r="F96" s="3" t="str">
        <f>IFERROR(INDEX('بيانات الحركات'!F:F,MATCH(95,'بيانات الحركات'!$G:$G,0)),"")</f>
        <v/>
      </c>
    </row>
    <row r="97" spans="1:6" ht="21.95" customHeight="1">
      <c r="A97" s="8" t="str">
        <f>IFERROR(INDEX('بيانات الحركات'!A:A,MATCH(96,'بيانات الحركات'!$G:$G,0)),"")</f>
        <v/>
      </c>
      <c r="B97" s="5" t="str">
        <f>IFERROR(INDEX('بيانات الحركات'!B:B,MATCH(96,'بيانات الحركات'!$G:$G,0)),"")</f>
        <v/>
      </c>
      <c r="C97" s="3" t="str">
        <f>IFERROR(INDEX('بيانات الحركات'!C:C,MATCH(96,'بيانات الحركات'!$G:$G,0)),"")</f>
        <v/>
      </c>
      <c r="D97" s="3" t="str">
        <f>IFERROR(INDEX('بيانات الحركات'!D:D,MATCH(96,'بيانات الحركات'!$G:$G,0)),"")</f>
        <v/>
      </c>
      <c r="E97" s="21" t="str">
        <f>IF($B97="إنتاج طبخة","",IFERROR(INDEX('بيانات الحركات'!E:E,MATCH(96,'بيانات الحركات'!$G:$G,0)),""))</f>
        <v/>
      </c>
      <c r="F97" s="3" t="str">
        <f>IFERROR(INDEX('بيانات الحركات'!F:F,MATCH(96,'بيانات الحركات'!$G:$G,0)),"")</f>
        <v/>
      </c>
    </row>
    <row r="98" spans="1:6" ht="21.95" customHeight="1">
      <c r="A98" s="8" t="str">
        <f>IFERROR(INDEX('بيانات الحركات'!A:A,MATCH(97,'بيانات الحركات'!$G:$G,0)),"")</f>
        <v/>
      </c>
      <c r="B98" s="5" t="str">
        <f>IFERROR(INDEX('بيانات الحركات'!B:B,MATCH(97,'بيانات الحركات'!$G:$G,0)),"")</f>
        <v/>
      </c>
      <c r="C98" s="3" t="str">
        <f>IFERROR(INDEX('بيانات الحركات'!C:C,MATCH(97,'بيانات الحركات'!$G:$G,0)),"")</f>
        <v/>
      </c>
      <c r="D98" s="3" t="str">
        <f>IFERROR(INDEX('بيانات الحركات'!D:D,MATCH(97,'بيانات الحركات'!$G:$G,0)),"")</f>
        <v/>
      </c>
      <c r="E98" s="21" t="str">
        <f>IF($B98="إنتاج طبخة","",IFERROR(INDEX('بيانات الحركات'!E:E,MATCH(97,'بيانات الحركات'!$G:$G,0)),""))</f>
        <v/>
      </c>
      <c r="F98" s="3" t="str">
        <f>IFERROR(INDEX('بيانات الحركات'!F:F,MATCH(97,'بيانات الحركات'!$G:$G,0)),"")</f>
        <v/>
      </c>
    </row>
    <row r="99" spans="1:6" ht="21.95" customHeight="1">
      <c r="A99" s="8" t="str">
        <f>IFERROR(INDEX('بيانات الحركات'!A:A,MATCH(98,'بيانات الحركات'!$G:$G,0)),"")</f>
        <v/>
      </c>
      <c r="B99" s="5" t="str">
        <f>IFERROR(INDEX('بيانات الحركات'!B:B,MATCH(98,'بيانات الحركات'!$G:$G,0)),"")</f>
        <v/>
      </c>
      <c r="C99" s="3" t="str">
        <f>IFERROR(INDEX('بيانات الحركات'!C:C,MATCH(98,'بيانات الحركات'!$G:$G,0)),"")</f>
        <v/>
      </c>
      <c r="D99" s="3" t="str">
        <f>IFERROR(INDEX('بيانات الحركات'!D:D,MATCH(98,'بيانات الحركات'!$G:$G,0)),"")</f>
        <v/>
      </c>
      <c r="E99" s="21" t="str">
        <f>IF($B99="إنتاج طبخة","",IFERROR(INDEX('بيانات الحركات'!E:E,MATCH(98,'بيانات الحركات'!$G:$G,0)),""))</f>
        <v/>
      </c>
      <c r="F99" s="3" t="str">
        <f>IFERROR(INDEX('بيانات الحركات'!F:F,MATCH(98,'بيانات الحركات'!$G:$G,0)),"")</f>
        <v/>
      </c>
    </row>
    <row r="100" spans="1:6" ht="21.95" customHeight="1">
      <c r="A100" s="8" t="str">
        <f>IFERROR(INDEX('بيانات الحركات'!A:A,MATCH(99,'بيانات الحركات'!$G:$G,0)),"")</f>
        <v/>
      </c>
      <c r="B100" s="5" t="str">
        <f>IFERROR(INDEX('بيانات الحركات'!B:B,MATCH(99,'بيانات الحركات'!$G:$G,0)),"")</f>
        <v/>
      </c>
      <c r="C100" s="3" t="str">
        <f>IFERROR(INDEX('بيانات الحركات'!C:C,MATCH(99,'بيانات الحركات'!$G:$G,0)),"")</f>
        <v/>
      </c>
      <c r="D100" s="3" t="str">
        <f>IFERROR(INDEX('بيانات الحركات'!D:D,MATCH(99,'بيانات الحركات'!$G:$G,0)),"")</f>
        <v/>
      </c>
      <c r="E100" s="21" t="str">
        <f>IF($B100="إنتاج طبخة","",IFERROR(INDEX('بيانات الحركات'!E:E,MATCH(99,'بيانات الحركات'!$G:$G,0)),""))</f>
        <v/>
      </c>
      <c r="F100" s="3" t="str">
        <f>IFERROR(INDEX('بيانات الحركات'!F:F,MATCH(99,'بيانات الحركات'!$G:$G,0)),"")</f>
        <v/>
      </c>
    </row>
    <row r="101" spans="1:6" ht="21.95" customHeight="1">
      <c r="A101" s="8" t="str">
        <f>IFERROR(INDEX('بيانات الحركات'!A:A,MATCH(100,'بيانات الحركات'!$G:$G,0)),"")</f>
        <v/>
      </c>
      <c r="B101" s="5" t="str">
        <f>IFERROR(INDEX('بيانات الحركات'!B:B,MATCH(100,'بيانات الحركات'!$G:$G,0)),"")</f>
        <v/>
      </c>
      <c r="C101" s="3" t="str">
        <f>IFERROR(INDEX('بيانات الحركات'!C:C,MATCH(100,'بيانات الحركات'!$G:$G,0)),"")</f>
        <v/>
      </c>
      <c r="D101" s="3" t="str">
        <f>IFERROR(INDEX('بيانات الحركات'!D:D,MATCH(100,'بيانات الحركات'!$G:$G,0)),"")</f>
        <v/>
      </c>
      <c r="E101" s="21" t="str">
        <f>IF($B101="إنتاج طبخة","",IFERROR(INDEX('بيانات الحركات'!E:E,MATCH(100,'بيانات الحركات'!$G:$G,0)),""))</f>
        <v/>
      </c>
      <c r="F101" s="3" t="str">
        <f>IFERROR(INDEX('بيانات الحركات'!F:F,MATCH(100,'بيانات الحركات'!$G:$G,0)),"")</f>
        <v/>
      </c>
    </row>
    <row r="102" spans="1:6" ht="21.95" customHeight="1">
      <c r="A102" s="8" t="str">
        <f>IFERROR(INDEX('بيانات الحركات'!A:A,MATCH(101,'بيانات الحركات'!$G:$G,0)),"")</f>
        <v/>
      </c>
      <c r="B102" s="5" t="str">
        <f>IFERROR(INDEX('بيانات الحركات'!B:B,MATCH(101,'بيانات الحركات'!$G:$G,0)),"")</f>
        <v/>
      </c>
      <c r="C102" s="3" t="str">
        <f>IFERROR(INDEX('بيانات الحركات'!C:C,MATCH(101,'بيانات الحركات'!$G:$G,0)),"")</f>
        <v/>
      </c>
      <c r="D102" s="3" t="str">
        <f>IFERROR(INDEX('بيانات الحركات'!D:D,MATCH(101,'بيانات الحركات'!$G:$G,0)),"")</f>
        <v/>
      </c>
      <c r="E102" s="21" t="str">
        <f>IF($B102="إنتاج طبخة","",IFERROR(INDEX('بيانات الحركات'!E:E,MATCH(101,'بيانات الحركات'!$G:$G,0)),""))</f>
        <v/>
      </c>
      <c r="F102" s="3" t="str">
        <f>IFERROR(INDEX('بيانات الحركات'!F:F,MATCH(101,'بيانات الحركات'!$G:$G,0)),"")</f>
        <v/>
      </c>
    </row>
    <row r="103" spans="1:6" ht="21.95" customHeight="1">
      <c r="A103" s="8" t="str">
        <f>IFERROR(INDEX('بيانات الحركات'!A:A,MATCH(102,'بيانات الحركات'!$G:$G,0)),"")</f>
        <v/>
      </c>
      <c r="B103" s="5" t="str">
        <f>IFERROR(INDEX('بيانات الحركات'!B:B,MATCH(102,'بيانات الحركات'!$G:$G,0)),"")</f>
        <v/>
      </c>
      <c r="C103" s="3" t="str">
        <f>IFERROR(INDEX('بيانات الحركات'!C:C,MATCH(102,'بيانات الحركات'!$G:$G,0)),"")</f>
        <v/>
      </c>
      <c r="D103" s="3" t="str">
        <f>IFERROR(INDEX('بيانات الحركات'!D:D,MATCH(102,'بيانات الحركات'!$G:$G,0)),"")</f>
        <v/>
      </c>
      <c r="E103" s="21" t="str">
        <f>IF($B103="إنتاج طبخة","",IFERROR(INDEX('بيانات الحركات'!E:E,MATCH(102,'بيانات الحركات'!$G:$G,0)),""))</f>
        <v/>
      </c>
      <c r="F103" s="3" t="str">
        <f>IFERROR(INDEX('بيانات الحركات'!F:F,MATCH(102,'بيانات الحركات'!$G:$G,0)),"")</f>
        <v/>
      </c>
    </row>
    <row r="104" spans="1:6" ht="21.95" customHeight="1">
      <c r="A104" s="8" t="str">
        <f>IFERROR(INDEX('بيانات الحركات'!A:A,MATCH(103,'بيانات الحركات'!$G:$G,0)),"")</f>
        <v/>
      </c>
      <c r="B104" s="5" t="str">
        <f>IFERROR(INDEX('بيانات الحركات'!B:B,MATCH(103,'بيانات الحركات'!$G:$G,0)),"")</f>
        <v/>
      </c>
      <c r="C104" s="3" t="str">
        <f>IFERROR(INDEX('بيانات الحركات'!C:C,MATCH(103,'بيانات الحركات'!$G:$G,0)),"")</f>
        <v/>
      </c>
      <c r="D104" s="3" t="str">
        <f>IFERROR(INDEX('بيانات الحركات'!D:D,MATCH(103,'بيانات الحركات'!$G:$G,0)),"")</f>
        <v/>
      </c>
      <c r="E104" s="21" t="str">
        <f>IF($B104="إنتاج طبخة","",IFERROR(INDEX('بيانات الحركات'!E:E,MATCH(103,'بيانات الحركات'!$G:$G,0)),""))</f>
        <v/>
      </c>
      <c r="F104" s="3" t="str">
        <f>IFERROR(INDEX('بيانات الحركات'!F:F,MATCH(103,'بيانات الحركات'!$G:$G,0)),"")</f>
        <v/>
      </c>
    </row>
    <row r="105" spans="1:6" ht="21.95" customHeight="1">
      <c r="A105" s="8" t="str">
        <f>IFERROR(INDEX('بيانات الحركات'!A:A,MATCH(104,'بيانات الحركات'!$G:$G,0)),"")</f>
        <v/>
      </c>
      <c r="B105" s="5" t="str">
        <f>IFERROR(INDEX('بيانات الحركات'!B:B,MATCH(104,'بيانات الحركات'!$G:$G,0)),"")</f>
        <v/>
      </c>
      <c r="C105" s="3" t="str">
        <f>IFERROR(INDEX('بيانات الحركات'!C:C,MATCH(104,'بيانات الحركات'!$G:$G,0)),"")</f>
        <v/>
      </c>
      <c r="D105" s="3" t="str">
        <f>IFERROR(INDEX('بيانات الحركات'!D:D,MATCH(104,'بيانات الحركات'!$G:$G,0)),"")</f>
        <v/>
      </c>
      <c r="E105" s="21" t="str">
        <f>IF($B105="إنتاج طبخة","",IFERROR(INDEX('بيانات الحركات'!E:E,MATCH(104,'بيانات الحركات'!$G:$G,0)),""))</f>
        <v/>
      </c>
      <c r="F105" s="3" t="str">
        <f>IFERROR(INDEX('بيانات الحركات'!F:F,MATCH(104,'بيانات الحركات'!$G:$G,0)),"")</f>
        <v/>
      </c>
    </row>
    <row r="106" spans="1:6" ht="21.95" customHeight="1">
      <c r="A106" s="8" t="str">
        <f>IFERROR(INDEX('بيانات الحركات'!A:A,MATCH(105,'بيانات الحركات'!$G:$G,0)),"")</f>
        <v/>
      </c>
      <c r="B106" s="5" t="str">
        <f>IFERROR(INDEX('بيانات الحركات'!B:B,MATCH(105,'بيانات الحركات'!$G:$G,0)),"")</f>
        <v/>
      </c>
      <c r="C106" s="3" t="str">
        <f>IFERROR(INDEX('بيانات الحركات'!C:C,MATCH(105,'بيانات الحركات'!$G:$G,0)),"")</f>
        <v/>
      </c>
      <c r="D106" s="3" t="str">
        <f>IFERROR(INDEX('بيانات الحركات'!D:D,MATCH(105,'بيانات الحركات'!$G:$G,0)),"")</f>
        <v/>
      </c>
      <c r="E106" s="21" t="str">
        <f>IF($B106="إنتاج طبخة","",IFERROR(INDEX('بيانات الحركات'!E:E,MATCH(105,'بيانات الحركات'!$G:$G,0)),""))</f>
        <v/>
      </c>
      <c r="F106" s="3" t="str">
        <f>IFERROR(INDEX('بيانات الحركات'!F:F,MATCH(105,'بيانات الحركات'!$G:$G,0)),"")</f>
        <v/>
      </c>
    </row>
    <row r="107" spans="1:6" ht="21.95" customHeight="1">
      <c r="A107" s="8" t="str">
        <f>IFERROR(INDEX('بيانات الحركات'!A:A,MATCH(106,'بيانات الحركات'!$G:$G,0)),"")</f>
        <v/>
      </c>
      <c r="B107" s="5" t="str">
        <f>IFERROR(INDEX('بيانات الحركات'!B:B,MATCH(106,'بيانات الحركات'!$G:$G,0)),"")</f>
        <v/>
      </c>
      <c r="C107" s="3" t="str">
        <f>IFERROR(INDEX('بيانات الحركات'!C:C,MATCH(106,'بيانات الحركات'!$G:$G,0)),"")</f>
        <v/>
      </c>
      <c r="D107" s="3" t="str">
        <f>IFERROR(INDEX('بيانات الحركات'!D:D,MATCH(106,'بيانات الحركات'!$G:$G,0)),"")</f>
        <v/>
      </c>
      <c r="E107" s="21" t="str">
        <f>IF($B107="إنتاج طبخة","",IFERROR(INDEX('بيانات الحركات'!E:E,MATCH(106,'بيانات الحركات'!$G:$G,0)),""))</f>
        <v/>
      </c>
      <c r="F107" s="3" t="str">
        <f>IFERROR(INDEX('بيانات الحركات'!F:F,MATCH(106,'بيانات الحركات'!$G:$G,0)),"")</f>
        <v/>
      </c>
    </row>
    <row r="108" spans="1:6" ht="21.95" customHeight="1">
      <c r="A108" s="8" t="str">
        <f>IFERROR(INDEX('بيانات الحركات'!A:A,MATCH(107,'بيانات الحركات'!$G:$G,0)),"")</f>
        <v/>
      </c>
      <c r="B108" s="5" t="str">
        <f>IFERROR(INDEX('بيانات الحركات'!B:B,MATCH(107,'بيانات الحركات'!$G:$G,0)),"")</f>
        <v/>
      </c>
      <c r="C108" s="3" t="str">
        <f>IFERROR(INDEX('بيانات الحركات'!C:C,MATCH(107,'بيانات الحركات'!$G:$G,0)),"")</f>
        <v/>
      </c>
      <c r="D108" s="3" t="str">
        <f>IFERROR(INDEX('بيانات الحركات'!D:D,MATCH(107,'بيانات الحركات'!$G:$G,0)),"")</f>
        <v/>
      </c>
      <c r="E108" s="21" t="str">
        <f>IF($B108="إنتاج طبخة","",IFERROR(INDEX('بيانات الحركات'!E:E,MATCH(107,'بيانات الحركات'!$G:$G,0)),""))</f>
        <v/>
      </c>
      <c r="F108" s="3" t="str">
        <f>IFERROR(INDEX('بيانات الحركات'!F:F,MATCH(107,'بيانات الحركات'!$G:$G,0)),"")</f>
        <v/>
      </c>
    </row>
    <row r="109" spans="1:6" ht="21.95" customHeight="1">
      <c r="A109" s="8" t="str">
        <f>IFERROR(INDEX('بيانات الحركات'!A:A,MATCH(108,'بيانات الحركات'!$G:$G,0)),"")</f>
        <v/>
      </c>
      <c r="B109" s="5" t="str">
        <f>IFERROR(INDEX('بيانات الحركات'!B:B,MATCH(108,'بيانات الحركات'!$G:$G,0)),"")</f>
        <v/>
      </c>
      <c r="C109" s="3" t="str">
        <f>IFERROR(INDEX('بيانات الحركات'!C:C,MATCH(108,'بيانات الحركات'!$G:$G,0)),"")</f>
        <v/>
      </c>
      <c r="D109" s="3" t="str">
        <f>IFERROR(INDEX('بيانات الحركات'!D:D,MATCH(108,'بيانات الحركات'!$G:$G,0)),"")</f>
        <v/>
      </c>
      <c r="E109" s="21" t="str">
        <f>IF($B109="إنتاج طبخة","",IFERROR(INDEX('بيانات الحركات'!E:E,MATCH(108,'بيانات الحركات'!$G:$G,0)),""))</f>
        <v/>
      </c>
      <c r="F109" s="3" t="str">
        <f>IFERROR(INDEX('بيانات الحركات'!F:F,MATCH(108,'بيانات الحركات'!$G:$G,0)),"")</f>
        <v/>
      </c>
    </row>
    <row r="110" spans="1:6" ht="21.95" customHeight="1">
      <c r="A110" s="8" t="str">
        <f>IFERROR(INDEX('بيانات الحركات'!A:A,MATCH(109,'بيانات الحركات'!$G:$G,0)),"")</f>
        <v/>
      </c>
      <c r="B110" s="5" t="str">
        <f>IFERROR(INDEX('بيانات الحركات'!B:B,MATCH(109,'بيانات الحركات'!$G:$G,0)),"")</f>
        <v/>
      </c>
      <c r="C110" s="3" t="str">
        <f>IFERROR(INDEX('بيانات الحركات'!C:C,MATCH(109,'بيانات الحركات'!$G:$G,0)),"")</f>
        <v/>
      </c>
      <c r="D110" s="3" t="str">
        <f>IFERROR(INDEX('بيانات الحركات'!D:D,MATCH(109,'بيانات الحركات'!$G:$G,0)),"")</f>
        <v/>
      </c>
      <c r="E110" s="21" t="str">
        <f>IF($B110="إنتاج طبخة","",IFERROR(INDEX('بيانات الحركات'!E:E,MATCH(109,'بيانات الحركات'!$G:$G,0)),""))</f>
        <v/>
      </c>
      <c r="F110" s="3" t="str">
        <f>IFERROR(INDEX('بيانات الحركات'!F:F,MATCH(109,'بيانات الحركات'!$G:$G,0)),"")</f>
        <v/>
      </c>
    </row>
    <row r="111" spans="1:6" ht="21.95" customHeight="1">
      <c r="A111" s="8" t="str">
        <f>IFERROR(INDEX('بيانات الحركات'!A:A,MATCH(110,'بيانات الحركات'!$G:$G,0)),"")</f>
        <v/>
      </c>
      <c r="B111" s="5" t="str">
        <f>IFERROR(INDEX('بيانات الحركات'!B:B,MATCH(110,'بيانات الحركات'!$G:$G,0)),"")</f>
        <v/>
      </c>
      <c r="C111" s="3" t="str">
        <f>IFERROR(INDEX('بيانات الحركات'!C:C,MATCH(110,'بيانات الحركات'!$G:$G,0)),"")</f>
        <v/>
      </c>
      <c r="D111" s="3" t="str">
        <f>IFERROR(INDEX('بيانات الحركات'!D:D,MATCH(110,'بيانات الحركات'!$G:$G,0)),"")</f>
        <v/>
      </c>
      <c r="E111" s="21" t="str">
        <f>IF($B111="إنتاج طبخة","",IFERROR(INDEX('بيانات الحركات'!E:E,MATCH(110,'بيانات الحركات'!$G:$G,0)),""))</f>
        <v/>
      </c>
      <c r="F111" s="3" t="str">
        <f>IFERROR(INDEX('بيانات الحركات'!F:F,MATCH(110,'بيانات الحركات'!$G:$G,0)),"")</f>
        <v/>
      </c>
    </row>
    <row r="112" spans="1:6" ht="21.95" customHeight="1">
      <c r="A112" s="8" t="str">
        <f>IFERROR(INDEX('بيانات الحركات'!A:A,MATCH(111,'بيانات الحركات'!$G:$G,0)),"")</f>
        <v/>
      </c>
      <c r="B112" s="5" t="str">
        <f>IFERROR(INDEX('بيانات الحركات'!B:B,MATCH(111,'بيانات الحركات'!$G:$G,0)),"")</f>
        <v/>
      </c>
      <c r="C112" s="3" t="str">
        <f>IFERROR(INDEX('بيانات الحركات'!C:C,MATCH(111,'بيانات الحركات'!$G:$G,0)),"")</f>
        <v/>
      </c>
      <c r="D112" s="3" t="str">
        <f>IFERROR(INDEX('بيانات الحركات'!D:D,MATCH(111,'بيانات الحركات'!$G:$G,0)),"")</f>
        <v/>
      </c>
      <c r="E112" s="21" t="str">
        <f>IF($B112="إنتاج طبخة","",IFERROR(INDEX('بيانات الحركات'!E:E,MATCH(111,'بيانات الحركات'!$G:$G,0)),""))</f>
        <v/>
      </c>
      <c r="F112" s="3" t="str">
        <f>IFERROR(INDEX('بيانات الحركات'!F:F,MATCH(111,'بيانات الحركات'!$G:$G,0)),"")</f>
        <v/>
      </c>
    </row>
    <row r="113" spans="1:6" ht="21.95" customHeight="1">
      <c r="A113" s="8" t="str">
        <f>IFERROR(INDEX('بيانات الحركات'!A:A,MATCH(112,'بيانات الحركات'!$G:$G,0)),"")</f>
        <v/>
      </c>
      <c r="B113" s="5" t="str">
        <f>IFERROR(INDEX('بيانات الحركات'!B:B,MATCH(112,'بيانات الحركات'!$G:$G,0)),"")</f>
        <v/>
      </c>
      <c r="C113" s="3" t="str">
        <f>IFERROR(INDEX('بيانات الحركات'!C:C,MATCH(112,'بيانات الحركات'!$G:$G,0)),"")</f>
        <v/>
      </c>
      <c r="D113" s="3" t="str">
        <f>IFERROR(INDEX('بيانات الحركات'!D:D,MATCH(112,'بيانات الحركات'!$G:$G,0)),"")</f>
        <v/>
      </c>
      <c r="E113" s="21" t="str">
        <f>IF($B113="إنتاج طبخة","",IFERROR(INDEX('بيانات الحركات'!E:E,MATCH(112,'بيانات الحركات'!$G:$G,0)),""))</f>
        <v/>
      </c>
      <c r="F113" s="3" t="str">
        <f>IFERROR(INDEX('بيانات الحركات'!F:F,MATCH(112,'بيانات الحركات'!$G:$G,0)),"")</f>
        <v/>
      </c>
    </row>
    <row r="114" spans="1:6" ht="21.95" customHeight="1">
      <c r="A114" s="8" t="str">
        <f>IFERROR(INDEX('بيانات الحركات'!A:A,MATCH(113,'بيانات الحركات'!$G:$G,0)),"")</f>
        <v/>
      </c>
      <c r="B114" s="5" t="str">
        <f>IFERROR(INDEX('بيانات الحركات'!B:B,MATCH(113,'بيانات الحركات'!$G:$G,0)),"")</f>
        <v/>
      </c>
      <c r="C114" s="3" t="str">
        <f>IFERROR(INDEX('بيانات الحركات'!C:C,MATCH(113,'بيانات الحركات'!$G:$G,0)),"")</f>
        <v/>
      </c>
      <c r="D114" s="3" t="str">
        <f>IFERROR(INDEX('بيانات الحركات'!D:D,MATCH(113,'بيانات الحركات'!$G:$G,0)),"")</f>
        <v/>
      </c>
      <c r="E114" s="21" t="str">
        <f>IF($B114="إنتاج طبخة","",IFERROR(INDEX('بيانات الحركات'!E:E,MATCH(113,'بيانات الحركات'!$G:$G,0)),""))</f>
        <v/>
      </c>
      <c r="F114" s="3" t="str">
        <f>IFERROR(INDEX('بيانات الحركات'!F:F,MATCH(113,'بيانات الحركات'!$G:$G,0)),"")</f>
        <v/>
      </c>
    </row>
    <row r="115" spans="1:6" ht="21.95" customHeight="1">
      <c r="A115" s="8" t="str">
        <f>IFERROR(INDEX('بيانات الحركات'!A:A,MATCH(114,'بيانات الحركات'!$G:$G,0)),"")</f>
        <v/>
      </c>
      <c r="B115" s="5" t="str">
        <f>IFERROR(INDEX('بيانات الحركات'!B:B,MATCH(114,'بيانات الحركات'!$G:$G,0)),"")</f>
        <v/>
      </c>
      <c r="C115" s="3" t="str">
        <f>IFERROR(INDEX('بيانات الحركات'!C:C,MATCH(114,'بيانات الحركات'!$G:$G,0)),"")</f>
        <v/>
      </c>
      <c r="D115" s="3" t="str">
        <f>IFERROR(INDEX('بيانات الحركات'!D:D,MATCH(114,'بيانات الحركات'!$G:$G,0)),"")</f>
        <v/>
      </c>
      <c r="E115" s="21" t="str">
        <f>IF($B115="إنتاج طبخة","",IFERROR(INDEX('بيانات الحركات'!E:E,MATCH(114,'بيانات الحركات'!$G:$G,0)),""))</f>
        <v/>
      </c>
      <c r="F115" s="3" t="str">
        <f>IFERROR(INDEX('بيانات الحركات'!F:F,MATCH(114,'بيانات الحركات'!$G:$G,0)),"")</f>
        <v/>
      </c>
    </row>
    <row r="116" spans="1:6" ht="21.95" customHeight="1">
      <c r="A116" s="8" t="str">
        <f>IFERROR(INDEX('بيانات الحركات'!A:A,MATCH(115,'بيانات الحركات'!$G:$G,0)),"")</f>
        <v/>
      </c>
      <c r="B116" s="5" t="str">
        <f>IFERROR(INDEX('بيانات الحركات'!B:B,MATCH(115,'بيانات الحركات'!$G:$G,0)),"")</f>
        <v/>
      </c>
      <c r="C116" s="3" t="str">
        <f>IFERROR(INDEX('بيانات الحركات'!C:C,MATCH(115,'بيانات الحركات'!$G:$G,0)),"")</f>
        <v/>
      </c>
      <c r="D116" s="3" t="str">
        <f>IFERROR(INDEX('بيانات الحركات'!D:D,MATCH(115,'بيانات الحركات'!$G:$G,0)),"")</f>
        <v/>
      </c>
      <c r="E116" s="21" t="str">
        <f>IF($B116="إنتاج طبخة","",IFERROR(INDEX('بيانات الحركات'!E:E,MATCH(115,'بيانات الحركات'!$G:$G,0)),""))</f>
        <v/>
      </c>
      <c r="F116" s="3" t="str">
        <f>IFERROR(INDEX('بيانات الحركات'!F:F,MATCH(115,'بيانات الحركات'!$G:$G,0)),"")</f>
        <v/>
      </c>
    </row>
    <row r="117" spans="1:6" ht="21.95" customHeight="1">
      <c r="A117" s="8" t="str">
        <f>IFERROR(INDEX('بيانات الحركات'!A:A,MATCH(116,'بيانات الحركات'!$G:$G,0)),"")</f>
        <v/>
      </c>
      <c r="B117" s="5" t="str">
        <f>IFERROR(INDEX('بيانات الحركات'!B:B,MATCH(116,'بيانات الحركات'!$G:$G,0)),"")</f>
        <v/>
      </c>
      <c r="C117" s="3" t="str">
        <f>IFERROR(INDEX('بيانات الحركات'!C:C,MATCH(116,'بيانات الحركات'!$G:$G,0)),"")</f>
        <v/>
      </c>
      <c r="D117" s="3" t="str">
        <f>IFERROR(INDEX('بيانات الحركات'!D:D,MATCH(116,'بيانات الحركات'!$G:$G,0)),"")</f>
        <v/>
      </c>
      <c r="E117" s="21" t="str">
        <f>IF($B117="إنتاج طبخة","",IFERROR(INDEX('بيانات الحركات'!E:E,MATCH(116,'بيانات الحركات'!$G:$G,0)),""))</f>
        <v/>
      </c>
      <c r="F117" s="3" t="str">
        <f>IFERROR(INDEX('بيانات الحركات'!F:F,MATCH(116,'بيانات الحركات'!$G:$G,0)),"")</f>
        <v/>
      </c>
    </row>
    <row r="118" spans="1:6" ht="21.95" customHeight="1">
      <c r="A118" s="8" t="str">
        <f>IFERROR(INDEX('بيانات الحركات'!A:A,MATCH(117,'بيانات الحركات'!$G:$G,0)),"")</f>
        <v/>
      </c>
      <c r="B118" s="5" t="str">
        <f>IFERROR(INDEX('بيانات الحركات'!B:B,MATCH(117,'بيانات الحركات'!$G:$G,0)),"")</f>
        <v/>
      </c>
      <c r="C118" s="3" t="str">
        <f>IFERROR(INDEX('بيانات الحركات'!C:C,MATCH(117,'بيانات الحركات'!$G:$G,0)),"")</f>
        <v/>
      </c>
      <c r="D118" s="3" t="str">
        <f>IFERROR(INDEX('بيانات الحركات'!D:D,MATCH(117,'بيانات الحركات'!$G:$G,0)),"")</f>
        <v/>
      </c>
      <c r="E118" s="21" t="str">
        <f>IF($B118="إنتاج طبخة","",IFERROR(INDEX('بيانات الحركات'!E:E,MATCH(117,'بيانات الحركات'!$G:$G,0)),""))</f>
        <v/>
      </c>
      <c r="F118" s="3" t="str">
        <f>IFERROR(INDEX('بيانات الحركات'!F:F,MATCH(117,'بيانات الحركات'!$G:$G,0)),"")</f>
        <v/>
      </c>
    </row>
    <row r="119" spans="1:6" ht="21.95" customHeight="1">
      <c r="A119" s="8" t="str">
        <f>IFERROR(INDEX('بيانات الحركات'!A:A,MATCH(118,'بيانات الحركات'!$G:$G,0)),"")</f>
        <v/>
      </c>
      <c r="B119" s="5" t="str">
        <f>IFERROR(INDEX('بيانات الحركات'!B:B,MATCH(118,'بيانات الحركات'!$G:$G,0)),"")</f>
        <v/>
      </c>
      <c r="C119" s="3" t="str">
        <f>IFERROR(INDEX('بيانات الحركات'!C:C,MATCH(118,'بيانات الحركات'!$G:$G,0)),"")</f>
        <v/>
      </c>
      <c r="D119" s="3" t="str">
        <f>IFERROR(INDEX('بيانات الحركات'!D:D,MATCH(118,'بيانات الحركات'!$G:$G,0)),"")</f>
        <v/>
      </c>
      <c r="E119" s="21" t="str">
        <f>IF($B119="إنتاج طبخة","",IFERROR(INDEX('بيانات الحركات'!E:E,MATCH(118,'بيانات الحركات'!$G:$G,0)),""))</f>
        <v/>
      </c>
      <c r="F119" s="3" t="str">
        <f>IFERROR(INDEX('بيانات الحركات'!F:F,MATCH(118,'بيانات الحركات'!$G:$G,0)),"")</f>
        <v/>
      </c>
    </row>
    <row r="120" spans="1:6" ht="21.95" customHeight="1">
      <c r="A120" s="8" t="str">
        <f>IFERROR(INDEX('بيانات الحركات'!A:A,MATCH(119,'بيانات الحركات'!$G:$G,0)),"")</f>
        <v/>
      </c>
      <c r="B120" s="5" t="str">
        <f>IFERROR(INDEX('بيانات الحركات'!B:B,MATCH(119,'بيانات الحركات'!$G:$G,0)),"")</f>
        <v/>
      </c>
      <c r="C120" s="3" t="str">
        <f>IFERROR(INDEX('بيانات الحركات'!C:C,MATCH(119,'بيانات الحركات'!$G:$G,0)),"")</f>
        <v/>
      </c>
      <c r="D120" s="3" t="str">
        <f>IFERROR(INDEX('بيانات الحركات'!D:D,MATCH(119,'بيانات الحركات'!$G:$G,0)),"")</f>
        <v/>
      </c>
      <c r="E120" s="21" t="str">
        <f>IF($B120="إنتاج طبخة","",IFERROR(INDEX('بيانات الحركات'!E:E,MATCH(119,'بيانات الحركات'!$G:$G,0)),""))</f>
        <v/>
      </c>
      <c r="F120" s="3" t="str">
        <f>IFERROR(INDEX('بيانات الحركات'!F:F,MATCH(119,'بيانات الحركات'!$G:$G,0)),"")</f>
        <v/>
      </c>
    </row>
    <row r="121" spans="1:6" ht="21.95" customHeight="1">
      <c r="A121" s="8" t="str">
        <f>IFERROR(INDEX('بيانات الحركات'!A:A,MATCH(120,'بيانات الحركات'!$G:$G,0)),"")</f>
        <v/>
      </c>
      <c r="B121" s="5" t="str">
        <f>IFERROR(INDEX('بيانات الحركات'!B:B,MATCH(120,'بيانات الحركات'!$G:$G,0)),"")</f>
        <v/>
      </c>
      <c r="C121" s="3" t="str">
        <f>IFERROR(INDEX('بيانات الحركات'!C:C,MATCH(120,'بيانات الحركات'!$G:$G,0)),"")</f>
        <v/>
      </c>
      <c r="D121" s="3" t="str">
        <f>IFERROR(INDEX('بيانات الحركات'!D:D,MATCH(120,'بيانات الحركات'!$G:$G,0)),"")</f>
        <v/>
      </c>
      <c r="E121" s="21" t="str">
        <f>IF($B121="إنتاج طبخة","",IFERROR(INDEX('بيانات الحركات'!E:E,MATCH(120,'بيانات الحركات'!$G:$G,0)),""))</f>
        <v/>
      </c>
      <c r="F121" s="3" t="str">
        <f>IFERROR(INDEX('بيانات الحركات'!F:F,MATCH(120,'بيانات الحركات'!$G:$G,0)),"")</f>
        <v/>
      </c>
    </row>
    <row r="122" spans="1:6" ht="21.95" customHeight="1">
      <c r="A122" s="8" t="str">
        <f>IFERROR(INDEX('بيانات الحركات'!A:A,MATCH(121,'بيانات الحركات'!$G:$G,0)),"")</f>
        <v/>
      </c>
      <c r="B122" s="5" t="str">
        <f>IFERROR(INDEX('بيانات الحركات'!B:B,MATCH(121,'بيانات الحركات'!$G:$G,0)),"")</f>
        <v/>
      </c>
      <c r="C122" s="3" t="str">
        <f>IFERROR(INDEX('بيانات الحركات'!C:C,MATCH(121,'بيانات الحركات'!$G:$G,0)),"")</f>
        <v/>
      </c>
      <c r="D122" s="3" t="str">
        <f>IFERROR(INDEX('بيانات الحركات'!D:D,MATCH(121,'بيانات الحركات'!$G:$G,0)),"")</f>
        <v/>
      </c>
      <c r="E122" s="21" t="str">
        <f>IF($B122="إنتاج طبخة","",IFERROR(INDEX('بيانات الحركات'!E:E,MATCH(121,'بيانات الحركات'!$G:$G,0)),""))</f>
        <v/>
      </c>
      <c r="F122" s="3" t="str">
        <f>IFERROR(INDEX('بيانات الحركات'!F:F,MATCH(121,'بيانات الحركات'!$G:$G,0)),"")</f>
        <v/>
      </c>
    </row>
    <row r="123" spans="1:6" ht="21.95" customHeight="1">
      <c r="A123" s="8" t="str">
        <f>IFERROR(INDEX('بيانات الحركات'!A:A,MATCH(122,'بيانات الحركات'!$G:$G,0)),"")</f>
        <v/>
      </c>
      <c r="B123" s="5" t="str">
        <f>IFERROR(INDEX('بيانات الحركات'!B:B,MATCH(122,'بيانات الحركات'!$G:$G,0)),"")</f>
        <v/>
      </c>
      <c r="C123" s="3" t="str">
        <f>IFERROR(INDEX('بيانات الحركات'!C:C,MATCH(122,'بيانات الحركات'!$G:$G,0)),"")</f>
        <v/>
      </c>
      <c r="D123" s="3" t="str">
        <f>IFERROR(INDEX('بيانات الحركات'!D:D,MATCH(122,'بيانات الحركات'!$G:$G,0)),"")</f>
        <v/>
      </c>
      <c r="E123" s="21" t="str">
        <f>IF($B123="إنتاج طبخة","",IFERROR(INDEX('بيانات الحركات'!E:E,MATCH(122,'بيانات الحركات'!$G:$G,0)),""))</f>
        <v/>
      </c>
      <c r="F123" s="3" t="str">
        <f>IFERROR(INDEX('بيانات الحركات'!F:F,MATCH(122,'بيانات الحركات'!$G:$G,0)),"")</f>
        <v/>
      </c>
    </row>
    <row r="124" spans="1:6" ht="21.95" customHeight="1">
      <c r="A124" s="8" t="str">
        <f>IFERROR(INDEX('بيانات الحركات'!A:A,MATCH(123,'بيانات الحركات'!$G:$G,0)),"")</f>
        <v/>
      </c>
      <c r="B124" s="5" t="str">
        <f>IFERROR(INDEX('بيانات الحركات'!B:B,MATCH(123,'بيانات الحركات'!$G:$G,0)),"")</f>
        <v/>
      </c>
      <c r="C124" s="3" t="str">
        <f>IFERROR(INDEX('بيانات الحركات'!C:C,MATCH(123,'بيانات الحركات'!$G:$G,0)),"")</f>
        <v/>
      </c>
      <c r="D124" s="3" t="str">
        <f>IFERROR(INDEX('بيانات الحركات'!D:D,MATCH(123,'بيانات الحركات'!$G:$G,0)),"")</f>
        <v/>
      </c>
      <c r="E124" s="21" t="str">
        <f>IF($B124="إنتاج طبخة","",IFERROR(INDEX('بيانات الحركات'!E:E,MATCH(123,'بيانات الحركات'!$G:$G,0)),""))</f>
        <v/>
      </c>
      <c r="F124" s="3" t="str">
        <f>IFERROR(INDEX('بيانات الحركات'!F:F,MATCH(123,'بيانات الحركات'!$G:$G,0)),"")</f>
        <v/>
      </c>
    </row>
    <row r="125" spans="1:6" ht="21.95" customHeight="1">
      <c r="A125" s="8" t="str">
        <f>IFERROR(INDEX('بيانات الحركات'!A:A,MATCH(124,'بيانات الحركات'!$G:$G,0)),"")</f>
        <v/>
      </c>
      <c r="B125" s="5" t="str">
        <f>IFERROR(INDEX('بيانات الحركات'!B:B,MATCH(124,'بيانات الحركات'!$G:$G,0)),"")</f>
        <v/>
      </c>
      <c r="C125" s="3" t="str">
        <f>IFERROR(INDEX('بيانات الحركات'!C:C,MATCH(124,'بيانات الحركات'!$G:$G,0)),"")</f>
        <v/>
      </c>
      <c r="D125" s="3" t="str">
        <f>IFERROR(INDEX('بيانات الحركات'!D:D,MATCH(124,'بيانات الحركات'!$G:$G,0)),"")</f>
        <v/>
      </c>
      <c r="E125" s="21" t="str">
        <f>IF($B125="إنتاج طبخة","",IFERROR(INDEX('بيانات الحركات'!E:E,MATCH(124,'بيانات الحركات'!$G:$G,0)),""))</f>
        <v/>
      </c>
      <c r="F125" s="3" t="str">
        <f>IFERROR(INDEX('بيانات الحركات'!F:F,MATCH(124,'بيانات الحركات'!$G:$G,0)),"")</f>
        <v/>
      </c>
    </row>
    <row r="126" spans="1:6" ht="21.95" customHeight="1">
      <c r="A126" s="8" t="str">
        <f>IFERROR(INDEX('بيانات الحركات'!A:A,MATCH(125,'بيانات الحركات'!$G:$G,0)),"")</f>
        <v/>
      </c>
      <c r="B126" s="5" t="str">
        <f>IFERROR(INDEX('بيانات الحركات'!B:B,MATCH(125,'بيانات الحركات'!$G:$G,0)),"")</f>
        <v/>
      </c>
      <c r="C126" s="3" t="str">
        <f>IFERROR(INDEX('بيانات الحركات'!C:C,MATCH(125,'بيانات الحركات'!$G:$G,0)),"")</f>
        <v/>
      </c>
      <c r="D126" s="3" t="str">
        <f>IFERROR(INDEX('بيانات الحركات'!D:D,MATCH(125,'بيانات الحركات'!$G:$G,0)),"")</f>
        <v/>
      </c>
      <c r="E126" s="21" t="str">
        <f>IF($B126="إنتاج طبخة","",IFERROR(INDEX('بيانات الحركات'!E:E,MATCH(125,'بيانات الحركات'!$G:$G,0)),""))</f>
        <v/>
      </c>
      <c r="F126" s="3" t="str">
        <f>IFERROR(INDEX('بيانات الحركات'!F:F,MATCH(125,'بيانات الحركات'!$G:$G,0)),"")</f>
        <v/>
      </c>
    </row>
    <row r="127" spans="1:6" ht="21.95" customHeight="1">
      <c r="A127" s="8" t="str">
        <f>IFERROR(INDEX('بيانات الحركات'!A:A,MATCH(126,'بيانات الحركات'!$G:$G,0)),"")</f>
        <v/>
      </c>
      <c r="B127" s="5" t="str">
        <f>IFERROR(INDEX('بيانات الحركات'!B:B,MATCH(126,'بيانات الحركات'!$G:$G,0)),"")</f>
        <v/>
      </c>
      <c r="C127" s="3" t="str">
        <f>IFERROR(INDEX('بيانات الحركات'!C:C,MATCH(126,'بيانات الحركات'!$G:$G,0)),"")</f>
        <v/>
      </c>
      <c r="D127" s="3" t="str">
        <f>IFERROR(INDEX('بيانات الحركات'!D:D,MATCH(126,'بيانات الحركات'!$G:$G,0)),"")</f>
        <v/>
      </c>
      <c r="E127" s="21" t="str">
        <f>IF($B127="إنتاج طبخة","",IFERROR(INDEX('بيانات الحركات'!E:E,MATCH(126,'بيانات الحركات'!$G:$G,0)),""))</f>
        <v/>
      </c>
      <c r="F127" s="3" t="str">
        <f>IFERROR(INDEX('بيانات الحركات'!F:F,MATCH(126,'بيانات الحركات'!$G:$G,0)),"")</f>
        <v/>
      </c>
    </row>
    <row r="128" spans="1:6" ht="21.95" customHeight="1">
      <c r="A128" s="8" t="str">
        <f>IFERROR(INDEX('بيانات الحركات'!A:A,MATCH(127,'بيانات الحركات'!$G:$G,0)),"")</f>
        <v/>
      </c>
      <c r="B128" s="5" t="str">
        <f>IFERROR(INDEX('بيانات الحركات'!B:B,MATCH(127,'بيانات الحركات'!$G:$G,0)),"")</f>
        <v/>
      </c>
      <c r="C128" s="3" t="str">
        <f>IFERROR(INDEX('بيانات الحركات'!C:C,MATCH(127,'بيانات الحركات'!$G:$G,0)),"")</f>
        <v/>
      </c>
      <c r="D128" s="3" t="str">
        <f>IFERROR(INDEX('بيانات الحركات'!D:D,MATCH(127,'بيانات الحركات'!$G:$G,0)),"")</f>
        <v/>
      </c>
      <c r="E128" s="21" t="str">
        <f>IF($B128="إنتاج طبخة","",IFERROR(INDEX('بيانات الحركات'!E:E,MATCH(127,'بيانات الحركات'!$G:$G,0)),""))</f>
        <v/>
      </c>
      <c r="F128" s="3" t="str">
        <f>IFERROR(INDEX('بيانات الحركات'!F:F,MATCH(127,'بيانات الحركات'!$G:$G,0)),"")</f>
        <v/>
      </c>
    </row>
    <row r="129" spans="1:6" ht="21.95" customHeight="1">
      <c r="A129" s="8" t="str">
        <f>IFERROR(INDEX('بيانات الحركات'!A:A,MATCH(128,'بيانات الحركات'!$G:$G,0)),"")</f>
        <v/>
      </c>
      <c r="B129" s="5" t="str">
        <f>IFERROR(INDEX('بيانات الحركات'!B:B,MATCH(128,'بيانات الحركات'!$G:$G,0)),"")</f>
        <v/>
      </c>
      <c r="C129" s="3" t="str">
        <f>IFERROR(INDEX('بيانات الحركات'!C:C,MATCH(128,'بيانات الحركات'!$G:$G,0)),"")</f>
        <v/>
      </c>
      <c r="D129" s="3" t="str">
        <f>IFERROR(INDEX('بيانات الحركات'!D:D,MATCH(128,'بيانات الحركات'!$G:$G,0)),"")</f>
        <v/>
      </c>
      <c r="E129" s="21" t="str">
        <f>IF($B129="إنتاج طبخة","",IFERROR(INDEX('بيانات الحركات'!E:E,MATCH(128,'بيانات الحركات'!$G:$G,0)),""))</f>
        <v/>
      </c>
      <c r="F129" s="3" t="str">
        <f>IFERROR(INDEX('بيانات الحركات'!F:F,MATCH(128,'بيانات الحركات'!$G:$G,0)),"")</f>
        <v/>
      </c>
    </row>
    <row r="130" spans="1:6" ht="21.95" customHeight="1">
      <c r="A130" s="8" t="str">
        <f>IFERROR(INDEX('بيانات الحركات'!A:A,MATCH(129,'بيانات الحركات'!$G:$G,0)),"")</f>
        <v/>
      </c>
      <c r="B130" s="5" t="str">
        <f>IFERROR(INDEX('بيانات الحركات'!B:B,MATCH(129,'بيانات الحركات'!$G:$G,0)),"")</f>
        <v/>
      </c>
      <c r="C130" s="3" t="str">
        <f>IFERROR(INDEX('بيانات الحركات'!C:C,MATCH(129,'بيانات الحركات'!$G:$G,0)),"")</f>
        <v/>
      </c>
      <c r="D130" s="3" t="str">
        <f>IFERROR(INDEX('بيانات الحركات'!D:D,MATCH(129,'بيانات الحركات'!$G:$G,0)),"")</f>
        <v/>
      </c>
      <c r="E130" s="21" t="str">
        <f>IF($B130="إنتاج طبخة","",IFERROR(INDEX('بيانات الحركات'!E:E,MATCH(129,'بيانات الحركات'!$G:$G,0)),""))</f>
        <v/>
      </c>
      <c r="F130" s="3" t="str">
        <f>IFERROR(INDEX('بيانات الحركات'!F:F,MATCH(129,'بيانات الحركات'!$G:$G,0)),"")</f>
        <v/>
      </c>
    </row>
    <row r="131" spans="1:6" ht="21.95" customHeight="1">
      <c r="A131" s="8" t="str">
        <f>IFERROR(INDEX('بيانات الحركات'!A:A,MATCH(130,'بيانات الحركات'!$G:$G,0)),"")</f>
        <v/>
      </c>
      <c r="B131" s="5" t="str">
        <f>IFERROR(INDEX('بيانات الحركات'!B:B,MATCH(130,'بيانات الحركات'!$G:$G,0)),"")</f>
        <v/>
      </c>
      <c r="C131" s="3" t="str">
        <f>IFERROR(INDEX('بيانات الحركات'!C:C,MATCH(130,'بيانات الحركات'!$G:$G,0)),"")</f>
        <v/>
      </c>
      <c r="D131" s="3" t="str">
        <f>IFERROR(INDEX('بيانات الحركات'!D:D,MATCH(130,'بيانات الحركات'!$G:$G,0)),"")</f>
        <v/>
      </c>
      <c r="E131" s="21" t="str">
        <f>IF($B131="إنتاج طبخة","",IFERROR(INDEX('بيانات الحركات'!E:E,MATCH(130,'بيانات الحركات'!$G:$G,0)),""))</f>
        <v/>
      </c>
      <c r="F131" s="3" t="str">
        <f>IFERROR(INDEX('بيانات الحركات'!F:F,MATCH(130,'بيانات الحركات'!$G:$G,0)),"")</f>
        <v/>
      </c>
    </row>
    <row r="132" spans="1:6" ht="21.95" customHeight="1">
      <c r="A132" s="8" t="str">
        <f>IFERROR(INDEX('بيانات الحركات'!A:A,MATCH(131,'بيانات الحركات'!$G:$G,0)),"")</f>
        <v/>
      </c>
      <c r="B132" s="5" t="str">
        <f>IFERROR(INDEX('بيانات الحركات'!B:B,MATCH(131,'بيانات الحركات'!$G:$G,0)),"")</f>
        <v/>
      </c>
      <c r="C132" s="3" t="str">
        <f>IFERROR(INDEX('بيانات الحركات'!C:C,MATCH(131,'بيانات الحركات'!$G:$G,0)),"")</f>
        <v/>
      </c>
      <c r="D132" s="3" t="str">
        <f>IFERROR(INDEX('بيانات الحركات'!D:D,MATCH(131,'بيانات الحركات'!$G:$G,0)),"")</f>
        <v/>
      </c>
      <c r="E132" s="21" t="str">
        <f>IF($B132="إنتاج طبخة","",IFERROR(INDEX('بيانات الحركات'!E:E,MATCH(131,'بيانات الحركات'!$G:$G,0)),""))</f>
        <v/>
      </c>
      <c r="F132" s="3" t="str">
        <f>IFERROR(INDEX('بيانات الحركات'!F:F,MATCH(131,'بيانات الحركات'!$G:$G,0)),"")</f>
        <v/>
      </c>
    </row>
    <row r="133" spans="1:6" ht="21.95" customHeight="1">
      <c r="A133" s="8" t="str">
        <f>IFERROR(INDEX('بيانات الحركات'!A:A,MATCH(132,'بيانات الحركات'!$G:$G,0)),"")</f>
        <v/>
      </c>
      <c r="B133" s="5" t="str">
        <f>IFERROR(INDEX('بيانات الحركات'!B:B,MATCH(132,'بيانات الحركات'!$G:$G,0)),"")</f>
        <v/>
      </c>
      <c r="C133" s="3" t="str">
        <f>IFERROR(INDEX('بيانات الحركات'!C:C,MATCH(132,'بيانات الحركات'!$G:$G,0)),"")</f>
        <v/>
      </c>
      <c r="D133" s="3" t="str">
        <f>IFERROR(INDEX('بيانات الحركات'!D:D,MATCH(132,'بيانات الحركات'!$G:$G,0)),"")</f>
        <v/>
      </c>
      <c r="E133" s="21" t="str">
        <f>IF($B133="إنتاج طبخة","",IFERROR(INDEX('بيانات الحركات'!E:E,MATCH(132,'بيانات الحركات'!$G:$G,0)),""))</f>
        <v/>
      </c>
      <c r="F133" s="3" t="str">
        <f>IFERROR(INDEX('بيانات الحركات'!F:F,MATCH(132,'بيانات الحركات'!$G:$G,0)),"")</f>
        <v/>
      </c>
    </row>
    <row r="134" spans="1:6" ht="21.95" customHeight="1">
      <c r="A134" s="8" t="str">
        <f>IFERROR(INDEX('بيانات الحركات'!A:A,MATCH(133,'بيانات الحركات'!$G:$G,0)),"")</f>
        <v/>
      </c>
      <c r="B134" s="5" t="str">
        <f>IFERROR(INDEX('بيانات الحركات'!B:B,MATCH(133,'بيانات الحركات'!$G:$G,0)),"")</f>
        <v/>
      </c>
      <c r="C134" s="3" t="str">
        <f>IFERROR(INDEX('بيانات الحركات'!C:C,MATCH(133,'بيانات الحركات'!$G:$G,0)),"")</f>
        <v/>
      </c>
      <c r="D134" s="3" t="str">
        <f>IFERROR(INDEX('بيانات الحركات'!D:D,MATCH(133,'بيانات الحركات'!$G:$G,0)),"")</f>
        <v/>
      </c>
      <c r="E134" s="21" t="str">
        <f>IF($B134="إنتاج طبخة","",IFERROR(INDEX('بيانات الحركات'!E:E,MATCH(133,'بيانات الحركات'!$G:$G,0)),""))</f>
        <v/>
      </c>
      <c r="F134" s="3" t="str">
        <f>IFERROR(INDEX('بيانات الحركات'!F:F,MATCH(133,'بيانات الحركات'!$G:$G,0)),"")</f>
        <v/>
      </c>
    </row>
    <row r="135" spans="1:6" ht="21.95" customHeight="1">
      <c r="A135" s="8" t="str">
        <f>IFERROR(INDEX('بيانات الحركات'!A:A,MATCH(134,'بيانات الحركات'!$G:$G,0)),"")</f>
        <v/>
      </c>
      <c r="B135" s="5" t="str">
        <f>IFERROR(INDEX('بيانات الحركات'!B:B,MATCH(134,'بيانات الحركات'!$G:$G,0)),"")</f>
        <v/>
      </c>
      <c r="C135" s="3" t="str">
        <f>IFERROR(INDEX('بيانات الحركات'!C:C,MATCH(134,'بيانات الحركات'!$G:$G,0)),"")</f>
        <v/>
      </c>
      <c r="D135" s="3" t="str">
        <f>IFERROR(INDEX('بيانات الحركات'!D:D,MATCH(134,'بيانات الحركات'!$G:$G,0)),"")</f>
        <v/>
      </c>
      <c r="E135" s="21" t="str">
        <f>IF($B135="إنتاج طبخة","",IFERROR(INDEX('بيانات الحركات'!E:E,MATCH(134,'بيانات الحركات'!$G:$G,0)),""))</f>
        <v/>
      </c>
      <c r="F135" s="3" t="str">
        <f>IFERROR(INDEX('بيانات الحركات'!F:F,MATCH(134,'بيانات الحركات'!$G:$G,0)),"")</f>
        <v/>
      </c>
    </row>
    <row r="136" spans="1:6" ht="21.95" customHeight="1">
      <c r="A136" s="8" t="str">
        <f>IFERROR(INDEX('بيانات الحركات'!A:A,MATCH(135,'بيانات الحركات'!$G:$G,0)),"")</f>
        <v/>
      </c>
      <c r="B136" s="5" t="str">
        <f>IFERROR(INDEX('بيانات الحركات'!B:B,MATCH(135,'بيانات الحركات'!$G:$G,0)),"")</f>
        <v/>
      </c>
      <c r="C136" s="3" t="str">
        <f>IFERROR(INDEX('بيانات الحركات'!C:C,MATCH(135,'بيانات الحركات'!$G:$G,0)),"")</f>
        <v/>
      </c>
      <c r="D136" s="3" t="str">
        <f>IFERROR(INDEX('بيانات الحركات'!D:D,MATCH(135,'بيانات الحركات'!$G:$G,0)),"")</f>
        <v/>
      </c>
      <c r="E136" s="21" t="str">
        <f>IF($B136="إنتاج طبخة","",IFERROR(INDEX('بيانات الحركات'!E:E,MATCH(135,'بيانات الحركات'!$G:$G,0)),""))</f>
        <v/>
      </c>
      <c r="F136" s="3" t="str">
        <f>IFERROR(INDEX('بيانات الحركات'!F:F,MATCH(135,'بيانات الحركات'!$G:$G,0)),"")</f>
        <v/>
      </c>
    </row>
    <row r="137" spans="1:6" ht="21.95" customHeight="1">
      <c r="A137" s="8" t="str">
        <f>IFERROR(INDEX('بيانات الحركات'!A:A,MATCH(136,'بيانات الحركات'!$G:$G,0)),"")</f>
        <v/>
      </c>
      <c r="B137" s="5" t="str">
        <f>IFERROR(INDEX('بيانات الحركات'!B:B,MATCH(136,'بيانات الحركات'!$G:$G,0)),"")</f>
        <v/>
      </c>
      <c r="C137" s="3" t="str">
        <f>IFERROR(INDEX('بيانات الحركات'!C:C,MATCH(136,'بيانات الحركات'!$G:$G,0)),"")</f>
        <v/>
      </c>
      <c r="D137" s="3" t="str">
        <f>IFERROR(INDEX('بيانات الحركات'!D:D,MATCH(136,'بيانات الحركات'!$G:$G,0)),"")</f>
        <v/>
      </c>
      <c r="E137" s="21" t="str">
        <f>IF($B137="إنتاج طبخة","",IFERROR(INDEX('بيانات الحركات'!E:E,MATCH(136,'بيانات الحركات'!$G:$G,0)),""))</f>
        <v/>
      </c>
      <c r="F137" s="3" t="str">
        <f>IFERROR(INDEX('بيانات الحركات'!F:F,MATCH(136,'بيانات الحركات'!$G:$G,0)),"")</f>
        <v/>
      </c>
    </row>
    <row r="138" spans="1:6" ht="21.95" customHeight="1">
      <c r="A138" s="8" t="str">
        <f>IFERROR(INDEX('بيانات الحركات'!A:A,MATCH(137,'بيانات الحركات'!$G:$G,0)),"")</f>
        <v/>
      </c>
      <c r="B138" s="5" t="str">
        <f>IFERROR(INDEX('بيانات الحركات'!B:B,MATCH(137,'بيانات الحركات'!$G:$G,0)),"")</f>
        <v/>
      </c>
      <c r="C138" s="3" t="str">
        <f>IFERROR(INDEX('بيانات الحركات'!C:C,MATCH(137,'بيانات الحركات'!$G:$G,0)),"")</f>
        <v/>
      </c>
      <c r="D138" s="3" t="str">
        <f>IFERROR(INDEX('بيانات الحركات'!D:D,MATCH(137,'بيانات الحركات'!$G:$G,0)),"")</f>
        <v/>
      </c>
      <c r="E138" s="21" t="str">
        <f>IF($B138="إنتاج طبخة","",IFERROR(INDEX('بيانات الحركات'!E:E,MATCH(137,'بيانات الحركات'!$G:$G,0)),""))</f>
        <v/>
      </c>
      <c r="F138" s="3" t="str">
        <f>IFERROR(INDEX('بيانات الحركات'!F:F,MATCH(137,'بيانات الحركات'!$G:$G,0)),"")</f>
        <v/>
      </c>
    </row>
    <row r="139" spans="1:6" ht="21.95" customHeight="1">
      <c r="A139" s="8" t="str">
        <f>IFERROR(INDEX('بيانات الحركات'!A:A,MATCH(138,'بيانات الحركات'!$G:$G,0)),"")</f>
        <v/>
      </c>
      <c r="B139" s="5" t="str">
        <f>IFERROR(INDEX('بيانات الحركات'!B:B,MATCH(138,'بيانات الحركات'!$G:$G,0)),"")</f>
        <v/>
      </c>
      <c r="C139" s="3" t="str">
        <f>IFERROR(INDEX('بيانات الحركات'!C:C,MATCH(138,'بيانات الحركات'!$G:$G,0)),"")</f>
        <v/>
      </c>
      <c r="D139" s="3" t="str">
        <f>IFERROR(INDEX('بيانات الحركات'!D:D,MATCH(138,'بيانات الحركات'!$G:$G,0)),"")</f>
        <v/>
      </c>
      <c r="E139" s="21" t="str">
        <f>IF($B139="إنتاج طبخة","",IFERROR(INDEX('بيانات الحركات'!E:E,MATCH(138,'بيانات الحركات'!$G:$G,0)),""))</f>
        <v/>
      </c>
      <c r="F139" s="3" t="str">
        <f>IFERROR(INDEX('بيانات الحركات'!F:F,MATCH(138,'بيانات الحركات'!$G:$G,0)),"")</f>
        <v/>
      </c>
    </row>
    <row r="140" spans="1:6" ht="21.95" customHeight="1">
      <c r="A140" s="8" t="str">
        <f>IFERROR(INDEX('بيانات الحركات'!A:A,MATCH(139,'بيانات الحركات'!$G:$G,0)),"")</f>
        <v/>
      </c>
      <c r="B140" s="5" t="str">
        <f>IFERROR(INDEX('بيانات الحركات'!B:B,MATCH(139,'بيانات الحركات'!$G:$G,0)),"")</f>
        <v/>
      </c>
      <c r="C140" s="3" t="str">
        <f>IFERROR(INDEX('بيانات الحركات'!C:C,MATCH(139,'بيانات الحركات'!$G:$G,0)),"")</f>
        <v/>
      </c>
      <c r="D140" s="3" t="str">
        <f>IFERROR(INDEX('بيانات الحركات'!D:D,MATCH(139,'بيانات الحركات'!$G:$G,0)),"")</f>
        <v/>
      </c>
      <c r="E140" s="21" t="str">
        <f>IF($B140="إنتاج طبخة","",IFERROR(INDEX('بيانات الحركات'!E:E,MATCH(139,'بيانات الحركات'!$G:$G,0)),""))</f>
        <v/>
      </c>
      <c r="F140" s="3" t="str">
        <f>IFERROR(INDEX('بيانات الحركات'!F:F,MATCH(139,'بيانات الحركات'!$G:$G,0)),"")</f>
        <v/>
      </c>
    </row>
    <row r="141" spans="1:6" ht="21.95" customHeight="1">
      <c r="A141" s="8" t="str">
        <f>IFERROR(INDEX('بيانات الحركات'!A:A,MATCH(140,'بيانات الحركات'!$G:$G,0)),"")</f>
        <v/>
      </c>
      <c r="B141" s="5" t="str">
        <f>IFERROR(INDEX('بيانات الحركات'!B:B,MATCH(140,'بيانات الحركات'!$G:$G,0)),"")</f>
        <v/>
      </c>
      <c r="C141" s="3" t="str">
        <f>IFERROR(INDEX('بيانات الحركات'!C:C,MATCH(140,'بيانات الحركات'!$G:$G,0)),"")</f>
        <v/>
      </c>
      <c r="D141" s="3" t="str">
        <f>IFERROR(INDEX('بيانات الحركات'!D:D,MATCH(140,'بيانات الحركات'!$G:$G,0)),"")</f>
        <v/>
      </c>
      <c r="E141" s="21" t="str">
        <f>IF($B141="إنتاج طبخة","",IFERROR(INDEX('بيانات الحركات'!E:E,MATCH(140,'بيانات الحركات'!$G:$G,0)),""))</f>
        <v/>
      </c>
      <c r="F141" s="3" t="str">
        <f>IFERROR(INDEX('بيانات الحركات'!F:F,MATCH(140,'بيانات الحركات'!$G:$G,0)),"")</f>
        <v/>
      </c>
    </row>
    <row r="142" spans="1:6" ht="21.95" customHeight="1">
      <c r="A142" s="8" t="str">
        <f>IFERROR(INDEX('بيانات الحركات'!A:A,MATCH(141,'بيانات الحركات'!$G:$G,0)),"")</f>
        <v/>
      </c>
      <c r="B142" s="5" t="str">
        <f>IFERROR(INDEX('بيانات الحركات'!B:B,MATCH(141,'بيانات الحركات'!$G:$G,0)),"")</f>
        <v/>
      </c>
      <c r="C142" s="3" t="str">
        <f>IFERROR(INDEX('بيانات الحركات'!C:C,MATCH(141,'بيانات الحركات'!$G:$G,0)),"")</f>
        <v/>
      </c>
      <c r="D142" s="3" t="str">
        <f>IFERROR(INDEX('بيانات الحركات'!D:D,MATCH(141,'بيانات الحركات'!$G:$G,0)),"")</f>
        <v/>
      </c>
      <c r="E142" s="21" t="str">
        <f>IF($B142="إنتاج طبخة","",IFERROR(INDEX('بيانات الحركات'!E:E,MATCH(141,'بيانات الحركات'!$G:$G,0)),""))</f>
        <v/>
      </c>
      <c r="F142" s="3" t="str">
        <f>IFERROR(INDEX('بيانات الحركات'!F:F,MATCH(141,'بيانات الحركات'!$G:$G,0)),"")</f>
        <v/>
      </c>
    </row>
    <row r="143" spans="1:6" ht="21.95" customHeight="1">
      <c r="A143" s="8" t="str">
        <f>IFERROR(INDEX('بيانات الحركات'!A:A,MATCH(142,'بيانات الحركات'!$G:$G,0)),"")</f>
        <v/>
      </c>
      <c r="B143" s="5" t="str">
        <f>IFERROR(INDEX('بيانات الحركات'!B:B,MATCH(142,'بيانات الحركات'!$G:$G,0)),"")</f>
        <v/>
      </c>
      <c r="C143" s="3" t="str">
        <f>IFERROR(INDEX('بيانات الحركات'!C:C,MATCH(142,'بيانات الحركات'!$G:$G,0)),"")</f>
        <v/>
      </c>
      <c r="D143" s="3" t="str">
        <f>IFERROR(INDEX('بيانات الحركات'!D:D,MATCH(142,'بيانات الحركات'!$G:$G,0)),"")</f>
        <v/>
      </c>
      <c r="E143" s="21" t="str">
        <f>IF($B143="إنتاج طبخة","",IFERROR(INDEX('بيانات الحركات'!E:E,MATCH(142,'بيانات الحركات'!$G:$G,0)),""))</f>
        <v/>
      </c>
      <c r="F143" s="3" t="str">
        <f>IFERROR(INDEX('بيانات الحركات'!F:F,MATCH(142,'بيانات الحركات'!$G:$G,0)),"")</f>
        <v/>
      </c>
    </row>
    <row r="144" spans="1:6" ht="21.95" customHeight="1">
      <c r="A144" s="8" t="str">
        <f>IFERROR(INDEX('بيانات الحركات'!A:A,MATCH(143,'بيانات الحركات'!$G:$G,0)),"")</f>
        <v/>
      </c>
      <c r="B144" s="5" t="str">
        <f>IFERROR(INDEX('بيانات الحركات'!B:B,MATCH(143,'بيانات الحركات'!$G:$G,0)),"")</f>
        <v/>
      </c>
      <c r="C144" s="3" t="str">
        <f>IFERROR(INDEX('بيانات الحركات'!C:C,MATCH(143,'بيانات الحركات'!$G:$G,0)),"")</f>
        <v/>
      </c>
      <c r="D144" s="3" t="str">
        <f>IFERROR(INDEX('بيانات الحركات'!D:D,MATCH(143,'بيانات الحركات'!$G:$G,0)),"")</f>
        <v/>
      </c>
      <c r="E144" s="21" t="str">
        <f>IF($B144="إنتاج طبخة","",IFERROR(INDEX('بيانات الحركات'!E:E,MATCH(143,'بيانات الحركات'!$G:$G,0)),""))</f>
        <v/>
      </c>
      <c r="F144" s="3" t="str">
        <f>IFERROR(INDEX('بيانات الحركات'!F:F,MATCH(143,'بيانات الحركات'!$G:$G,0)),"")</f>
        <v/>
      </c>
    </row>
    <row r="145" spans="1:6" ht="21.95" customHeight="1">
      <c r="A145" s="8" t="str">
        <f>IFERROR(INDEX('بيانات الحركات'!A:A,MATCH(144,'بيانات الحركات'!$G:$G,0)),"")</f>
        <v/>
      </c>
      <c r="B145" s="5" t="str">
        <f>IFERROR(INDEX('بيانات الحركات'!B:B,MATCH(144,'بيانات الحركات'!$G:$G,0)),"")</f>
        <v/>
      </c>
      <c r="C145" s="3" t="str">
        <f>IFERROR(INDEX('بيانات الحركات'!C:C,MATCH(144,'بيانات الحركات'!$G:$G,0)),"")</f>
        <v/>
      </c>
      <c r="D145" s="3" t="str">
        <f>IFERROR(INDEX('بيانات الحركات'!D:D,MATCH(144,'بيانات الحركات'!$G:$G,0)),"")</f>
        <v/>
      </c>
      <c r="E145" s="21" t="str">
        <f>IF($B145="إنتاج طبخة","",IFERROR(INDEX('بيانات الحركات'!E:E,MATCH(144,'بيانات الحركات'!$G:$G,0)),""))</f>
        <v/>
      </c>
      <c r="F145" s="3" t="str">
        <f>IFERROR(INDEX('بيانات الحركات'!F:F,MATCH(144,'بيانات الحركات'!$G:$G,0)),"")</f>
        <v/>
      </c>
    </row>
    <row r="146" spans="1:6" ht="21.95" customHeight="1">
      <c r="A146" s="8" t="str">
        <f>IFERROR(INDEX('بيانات الحركات'!A:A,MATCH(145,'بيانات الحركات'!$G:$G,0)),"")</f>
        <v/>
      </c>
      <c r="B146" s="5" t="str">
        <f>IFERROR(INDEX('بيانات الحركات'!B:B,MATCH(145,'بيانات الحركات'!$G:$G,0)),"")</f>
        <v/>
      </c>
      <c r="C146" s="3" t="str">
        <f>IFERROR(INDEX('بيانات الحركات'!C:C,MATCH(145,'بيانات الحركات'!$G:$G,0)),"")</f>
        <v/>
      </c>
      <c r="D146" s="3" t="str">
        <f>IFERROR(INDEX('بيانات الحركات'!D:D,MATCH(145,'بيانات الحركات'!$G:$G,0)),"")</f>
        <v/>
      </c>
      <c r="E146" s="21" t="str">
        <f>IF($B146="إنتاج طبخة","",IFERROR(INDEX('بيانات الحركات'!E:E,MATCH(145,'بيانات الحركات'!$G:$G,0)),""))</f>
        <v/>
      </c>
      <c r="F146" s="3" t="str">
        <f>IFERROR(INDEX('بيانات الحركات'!F:F,MATCH(145,'بيانات الحركات'!$G:$G,0)),"")</f>
        <v/>
      </c>
    </row>
    <row r="147" spans="1:6" ht="21.95" customHeight="1">
      <c r="A147" s="8" t="str">
        <f>IFERROR(INDEX('بيانات الحركات'!A:A,MATCH(146,'بيانات الحركات'!$G:$G,0)),"")</f>
        <v/>
      </c>
      <c r="B147" s="5" t="str">
        <f>IFERROR(INDEX('بيانات الحركات'!B:B,MATCH(146,'بيانات الحركات'!$G:$G,0)),"")</f>
        <v/>
      </c>
      <c r="C147" s="3" t="str">
        <f>IFERROR(INDEX('بيانات الحركات'!C:C,MATCH(146,'بيانات الحركات'!$G:$G,0)),"")</f>
        <v/>
      </c>
      <c r="D147" s="3" t="str">
        <f>IFERROR(INDEX('بيانات الحركات'!D:D,MATCH(146,'بيانات الحركات'!$G:$G,0)),"")</f>
        <v/>
      </c>
      <c r="E147" s="21" t="str">
        <f>IF($B147="إنتاج طبخة","",IFERROR(INDEX('بيانات الحركات'!E:E,MATCH(146,'بيانات الحركات'!$G:$G,0)),""))</f>
        <v/>
      </c>
      <c r="F147" s="3" t="str">
        <f>IFERROR(INDEX('بيانات الحركات'!F:F,MATCH(146,'بيانات الحركات'!$G:$G,0)),"")</f>
        <v/>
      </c>
    </row>
    <row r="148" spans="1:6" ht="21.95" customHeight="1">
      <c r="A148" s="8" t="str">
        <f>IFERROR(INDEX('بيانات الحركات'!A:A,MATCH(147,'بيانات الحركات'!$G:$G,0)),"")</f>
        <v/>
      </c>
      <c r="B148" s="5" t="str">
        <f>IFERROR(INDEX('بيانات الحركات'!B:B,MATCH(147,'بيانات الحركات'!$G:$G,0)),"")</f>
        <v/>
      </c>
      <c r="C148" s="3" t="str">
        <f>IFERROR(INDEX('بيانات الحركات'!C:C,MATCH(147,'بيانات الحركات'!$G:$G,0)),"")</f>
        <v/>
      </c>
      <c r="D148" s="3" t="str">
        <f>IFERROR(INDEX('بيانات الحركات'!D:D,MATCH(147,'بيانات الحركات'!$G:$G,0)),"")</f>
        <v/>
      </c>
      <c r="E148" s="21" t="str">
        <f>IF($B148="إنتاج طبخة","",IFERROR(INDEX('بيانات الحركات'!E:E,MATCH(147,'بيانات الحركات'!$G:$G,0)),""))</f>
        <v/>
      </c>
      <c r="F148" s="3" t="str">
        <f>IFERROR(INDEX('بيانات الحركات'!F:F,MATCH(147,'بيانات الحركات'!$G:$G,0)),"")</f>
        <v/>
      </c>
    </row>
    <row r="149" spans="1:6" ht="21.95" customHeight="1">
      <c r="A149" s="8" t="str">
        <f>IFERROR(INDEX('بيانات الحركات'!A:A,MATCH(148,'بيانات الحركات'!$G:$G,0)),"")</f>
        <v/>
      </c>
      <c r="B149" s="5" t="str">
        <f>IFERROR(INDEX('بيانات الحركات'!B:B,MATCH(148,'بيانات الحركات'!$G:$G,0)),"")</f>
        <v/>
      </c>
      <c r="C149" s="3" t="str">
        <f>IFERROR(INDEX('بيانات الحركات'!C:C,MATCH(148,'بيانات الحركات'!$G:$G,0)),"")</f>
        <v/>
      </c>
      <c r="D149" s="3" t="str">
        <f>IFERROR(INDEX('بيانات الحركات'!D:D,MATCH(148,'بيانات الحركات'!$G:$G,0)),"")</f>
        <v/>
      </c>
      <c r="E149" s="21" t="str">
        <f>IF($B149="إنتاج طبخة","",IFERROR(INDEX('بيانات الحركات'!E:E,MATCH(148,'بيانات الحركات'!$G:$G,0)),""))</f>
        <v/>
      </c>
      <c r="F149" s="3" t="str">
        <f>IFERROR(INDEX('بيانات الحركات'!F:F,MATCH(148,'بيانات الحركات'!$G:$G,0)),"")</f>
        <v/>
      </c>
    </row>
    <row r="150" spans="1:6" ht="21.95" customHeight="1">
      <c r="A150" s="8" t="str">
        <f>IFERROR(INDEX('بيانات الحركات'!A:A,MATCH(149,'بيانات الحركات'!$G:$G,0)),"")</f>
        <v/>
      </c>
      <c r="B150" s="5" t="str">
        <f>IFERROR(INDEX('بيانات الحركات'!B:B,MATCH(149,'بيانات الحركات'!$G:$G,0)),"")</f>
        <v/>
      </c>
      <c r="C150" s="3" t="str">
        <f>IFERROR(INDEX('بيانات الحركات'!C:C,MATCH(149,'بيانات الحركات'!$G:$G,0)),"")</f>
        <v/>
      </c>
      <c r="D150" s="3" t="str">
        <f>IFERROR(INDEX('بيانات الحركات'!D:D,MATCH(149,'بيانات الحركات'!$G:$G,0)),"")</f>
        <v/>
      </c>
      <c r="E150" s="21" t="str">
        <f>IF($B150="إنتاج طبخة","",IFERROR(INDEX('بيانات الحركات'!E:E,MATCH(149,'بيانات الحركات'!$G:$G,0)),""))</f>
        <v/>
      </c>
      <c r="F150" s="3" t="str">
        <f>IFERROR(INDEX('بيانات الحركات'!F:F,MATCH(149,'بيانات الحركات'!$G:$G,0)),"")</f>
        <v/>
      </c>
    </row>
    <row r="151" spans="1:6" ht="21.95" customHeight="1">
      <c r="A151" s="8" t="str">
        <f>IFERROR(INDEX('بيانات الحركات'!A:A,MATCH(150,'بيانات الحركات'!$G:$G,0)),"")</f>
        <v/>
      </c>
      <c r="B151" s="5" t="str">
        <f>IFERROR(INDEX('بيانات الحركات'!B:B,MATCH(150,'بيانات الحركات'!$G:$G,0)),"")</f>
        <v/>
      </c>
      <c r="C151" s="3" t="str">
        <f>IFERROR(INDEX('بيانات الحركات'!C:C,MATCH(150,'بيانات الحركات'!$G:$G,0)),"")</f>
        <v/>
      </c>
      <c r="D151" s="3" t="str">
        <f>IFERROR(INDEX('بيانات الحركات'!D:D,MATCH(150,'بيانات الحركات'!$G:$G,0)),"")</f>
        <v/>
      </c>
      <c r="E151" s="21" t="str">
        <f>IF($B151="إنتاج طبخة","",IFERROR(INDEX('بيانات الحركات'!E:E,MATCH(150,'بيانات الحركات'!$G:$G,0)),""))</f>
        <v/>
      </c>
      <c r="F151" s="3" t="str">
        <f>IFERROR(INDEX('بيانات الحركات'!F:F,MATCH(150,'بيانات الحركات'!$G:$G,0)),"")</f>
        <v/>
      </c>
    </row>
    <row r="152" spans="1:6" ht="21.95" customHeight="1">
      <c r="A152" s="8" t="str">
        <f>IFERROR(INDEX('بيانات الحركات'!A:A,MATCH(151,'بيانات الحركات'!$G:$G,0)),"")</f>
        <v/>
      </c>
      <c r="B152" s="5" t="str">
        <f>IFERROR(INDEX('بيانات الحركات'!B:B,MATCH(151,'بيانات الحركات'!$G:$G,0)),"")</f>
        <v/>
      </c>
      <c r="C152" s="3" t="str">
        <f>IFERROR(INDEX('بيانات الحركات'!C:C,MATCH(151,'بيانات الحركات'!$G:$G,0)),"")</f>
        <v/>
      </c>
      <c r="D152" s="3" t="str">
        <f>IFERROR(INDEX('بيانات الحركات'!D:D,MATCH(151,'بيانات الحركات'!$G:$G,0)),"")</f>
        <v/>
      </c>
      <c r="E152" s="21" t="str">
        <f>IF($B152="إنتاج طبخة","",IFERROR(INDEX('بيانات الحركات'!E:E,MATCH(151,'بيانات الحركات'!$G:$G,0)),""))</f>
        <v/>
      </c>
      <c r="F152" s="3" t="str">
        <f>IFERROR(INDEX('بيانات الحركات'!F:F,MATCH(151,'بيانات الحركات'!$G:$G,0)),"")</f>
        <v/>
      </c>
    </row>
    <row r="153" spans="1:6" ht="21.95" customHeight="1">
      <c r="A153" s="8" t="str">
        <f>IFERROR(INDEX('بيانات الحركات'!A:A,MATCH(152,'بيانات الحركات'!$G:$G,0)),"")</f>
        <v/>
      </c>
      <c r="B153" s="5" t="str">
        <f>IFERROR(INDEX('بيانات الحركات'!B:B,MATCH(152,'بيانات الحركات'!$G:$G,0)),"")</f>
        <v/>
      </c>
      <c r="C153" s="3" t="str">
        <f>IFERROR(INDEX('بيانات الحركات'!C:C,MATCH(152,'بيانات الحركات'!$G:$G,0)),"")</f>
        <v/>
      </c>
      <c r="D153" s="3" t="str">
        <f>IFERROR(INDEX('بيانات الحركات'!D:D,MATCH(152,'بيانات الحركات'!$G:$G,0)),"")</f>
        <v/>
      </c>
      <c r="E153" s="21" t="str">
        <f>IF($B153="إنتاج طبخة","",IFERROR(INDEX('بيانات الحركات'!E:E,MATCH(152,'بيانات الحركات'!$G:$G,0)),""))</f>
        <v/>
      </c>
      <c r="F153" s="3" t="str">
        <f>IFERROR(INDEX('بيانات الحركات'!F:F,MATCH(152,'بيانات الحركات'!$G:$G,0)),"")</f>
        <v/>
      </c>
    </row>
    <row r="154" spans="1:6" ht="21.95" customHeight="1">
      <c r="A154" s="8" t="str">
        <f>IFERROR(INDEX('بيانات الحركات'!A:A,MATCH(153,'بيانات الحركات'!$G:$G,0)),"")</f>
        <v/>
      </c>
      <c r="B154" s="5" t="str">
        <f>IFERROR(INDEX('بيانات الحركات'!B:B,MATCH(153,'بيانات الحركات'!$G:$G,0)),"")</f>
        <v/>
      </c>
      <c r="C154" s="3" t="str">
        <f>IFERROR(INDEX('بيانات الحركات'!C:C,MATCH(153,'بيانات الحركات'!$G:$G,0)),"")</f>
        <v/>
      </c>
      <c r="D154" s="3" t="str">
        <f>IFERROR(INDEX('بيانات الحركات'!D:D,MATCH(153,'بيانات الحركات'!$G:$G,0)),"")</f>
        <v/>
      </c>
      <c r="E154" s="21" t="str">
        <f>IF($B154="إنتاج طبخة","",IFERROR(INDEX('بيانات الحركات'!E:E,MATCH(153,'بيانات الحركات'!$G:$G,0)),""))</f>
        <v/>
      </c>
      <c r="F154" s="3" t="str">
        <f>IFERROR(INDEX('بيانات الحركات'!F:F,MATCH(153,'بيانات الحركات'!$G:$G,0)),"")</f>
        <v/>
      </c>
    </row>
    <row r="155" spans="1:6" ht="21.95" customHeight="1">
      <c r="A155" s="8" t="str">
        <f>IFERROR(INDEX('بيانات الحركات'!A:A,MATCH(154,'بيانات الحركات'!$G:$G,0)),"")</f>
        <v/>
      </c>
      <c r="B155" s="5" t="str">
        <f>IFERROR(INDEX('بيانات الحركات'!B:B,MATCH(154,'بيانات الحركات'!$G:$G,0)),"")</f>
        <v/>
      </c>
      <c r="C155" s="3" t="str">
        <f>IFERROR(INDEX('بيانات الحركات'!C:C,MATCH(154,'بيانات الحركات'!$G:$G,0)),"")</f>
        <v/>
      </c>
      <c r="D155" s="3" t="str">
        <f>IFERROR(INDEX('بيانات الحركات'!D:D,MATCH(154,'بيانات الحركات'!$G:$G,0)),"")</f>
        <v/>
      </c>
      <c r="E155" s="21" t="str">
        <f>IF($B155="إنتاج طبخة","",IFERROR(INDEX('بيانات الحركات'!E:E,MATCH(154,'بيانات الحركات'!$G:$G,0)),""))</f>
        <v/>
      </c>
      <c r="F155" s="3" t="str">
        <f>IFERROR(INDEX('بيانات الحركات'!F:F,MATCH(154,'بيانات الحركات'!$G:$G,0)),"")</f>
        <v/>
      </c>
    </row>
    <row r="156" spans="1:6" ht="21.95" customHeight="1">
      <c r="A156" s="8" t="str">
        <f>IFERROR(INDEX('بيانات الحركات'!A:A,MATCH(155,'بيانات الحركات'!$G:$G,0)),"")</f>
        <v/>
      </c>
      <c r="B156" s="5" t="str">
        <f>IFERROR(INDEX('بيانات الحركات'!B:B,MATCH(155,'بيانات الحركات'!$G:$G,0)),"")</f>
        <v/>
      </c>
      <c r="C156" s="3" t="str">
        <f>IFERROR(INDEX('بيانات الحركات'!C:C,MATCH(155,'بيانات الحركات'!$G:$G,0)),"")</f>
        <v/>
      </c>
      <c r="D156" s="3" t="str">
        <f>IFERROR(INDEX('بيانات الحركات'!D:D,MATCH(155,'بيانات الحركات'!$G:$G,0)),"")</f>
        <v/>
      </c>
      <c r="E156" s="21" t="str">
        <f>IF($B156="إنتاج طبخة","",IFERROR(INDEX('بيانات الحركات'!E:E,MATCH(155,'بيانات الحركات'!$G:$G,0)),""))</f>
        <v/>
      </c>
      <c r="F156" s="3" t="str">
        <f>IFERROR(INDEX('بيانات الحركات'!F:F,MATCH(155,'بيانات الحركات'!$G:$G,0)),"")</f>
        <v/>
      </c>
    </row>
    <row r="157" spans="1:6" ht="21.95" customHeight="1">
      <c r="A157" s="8" t="str">
        <f>IFERROR(INDEX('بيانات الحركات'!A:A,MATCH(156,'بيانات الحركات'!$G:$G,0)),"")</f>
        <v/>
      </c>
      <c r="B157" s="5" t="str">
        <f>IFERROR(INDEX('بيانات الحركات'!B:B,MATCH(156,'بيانات الحركات'!$G:$G,0)),"")</f>
        <v/>
      </c>
      <c r="C157" s="3" t="str">
        <f>IFERROR(INDEX('بيانات الحركات'!C:C,MATCH(156,'بيانات الحركات'!$G:$G,0)),"")</f>
        <v/>
      </c>
      <c r="D157" s="3" t="str">
        <f>IFERROR(INDEX('بيانات الحركات'!D:D,MATCH(156,'بيانات الحركات'!$G:$G,0)),"")</f>
        <v/>
      </c>
      <c r="E157" s="21" t="str">
        <f>IF($B157="إنتاج طبخة","",IFERROR(INDEX('بيانات الحركات'!E:E,MATCH(156,'بيانات الحركات'!$G:$G,0)),""))</f>
        <v/>
      </c>
      <c r="F157" s="3" t="str">
        <f>IFERROR(INDEX('بيانات الحركات'!F:F,MATCH(156,'بيانات الحركات'!$G:$G,0)),"")</f>
        <v/>
      </c>
    </row>
    <row r="158" spans="1:6" ht="21.95" customHeight="1">
      <c r="A158" s="8" t="str">
        <f>IFERROR(INDEX('بيانات الحركات'!A:A,MATCH(157,'بيانات الحركات'!$G:$G,0)),"")</f>
        <v/>
      </c>
      <c r="B158" s="5" t="str">
        <f>IFERROR(INDEX('بيانات الحركات'!B:B,MATCH(157,'بيانات الحركات'!$G:$G,0)),"")</f>
        <v/>
      </c>
      <c r="C158" s="3" t="str">
        <f>IFERROR(INDEX('بيانات الحركات'!C:C,MATCH(157,'بيانات الحركات'!$G:$G,0)),"")</f>
        <v/>
      </c>
      <c r="D158" s="3" t="str">
        <f>IFERROR(INDEX('بيانات الحركات'!D:D,MATCH(157,'بيانات الحركات'!$G:$G,0)),"")</f>
        <v/>
      </c>
      <c r="E158" s="21" t="str">
        <f>IF($B158="إنتاج طبخة","",IFERROR(INDEX('بيانات الحركات'!E:E,MATCH(157,'بيانات الحركات'!$G:$G,0)),""))</f>
        <v/>
      </c>
      <c r="F158" s="3" t="str">
        <f>IFERROR(INDEX('بيانات الحركات'!F:F,MATCH(157,'بيانات الحركات'!$G:$G,0)),"")</f>
        <v/>
      </c>
    </row>
    <row r="159" spans="1:6" ht="21.95" customHeight="1">
      <c r="A159" s="8" t="str">
        <f>IFERROR(INDEX('بيانات الحركات'!A:A,MATCH(158,'بيانات الحركات'!$G:$G,0)),"")</f>
        <v/>
      </c>
      <c r="B159" s="5" t="str">
        <f>IFERROR(INDEX('بيانات الحركات'!B:B,MATCH(158,'بيانات الحركات'!$G:$G,0)),"")</f>
        <v/>
      </c>
      <c r="C159" s="3" t="str">
        <f>IFERROR(INDEX('بيانات الحركات'!C:C,MATCH(158,'بيانات الحركات'!$G:$G,0)),"")</f>
        <v/>
      </c>
      <c r="D159" s="3" t="str">
        <f>IFERROR(INDEX('بيانات الحركات'!D:D,MATCH(158,'بيانات الحركات'!$G:$G,0)),"")</f>
        <v/>
      </c>
      <c r="E159" s="21" t="str">
        <f>IF($B159="إنتاج طبخة","",IFERROR(INDEX('بيانات الحركات'!E:E,MATCH(158,'بيانات الحركات'!$G:$G,0)),""))</f>
        <v/>
      </c>
      <c r="F159" s="3" t="str">
        <f>IFERROR(INDEX('بيانات الحركات'!F:F,MATCH(158,'بيانات الحركات'!$G:$G,0)),"")</f>
        <v/>
      </c>
    </row>
    <row r="160" spans="1:6" ht="21.95" customHeight="1">
      <c r="A160" s="8" t="str">
        <f>IFERROR(INDEX('بيانات الحركات'!A:A,MATCH(159,'بيانات الحركات'!$G:$G,0)),"")</f>
        <v/>
      </c>
      <c r="B160" s="5" t="str">
        <f>IFERROR(INDEX('بيانات الحركات'!B:B,MATCH(159,'بيانات الحركات'!$G:$G,0)),"")</f>
        <v/>
      </c>
      <c r="C160" s="3" t="str">
        <f>IFERROR(INDEX('بيانات الحركات'!C:C,MATCH(159,'بيانات الحركات'!$G:$G,0)),"")</f>
        <v/>
      </c>
      <c r="D160" s="3" t="str">
        <f>IFERROR(INDEX('بيانات الحركات'!D:D,MATCH(159,'بيانات الحركات'!$G:$G,0)),"")</f>
        <v/>
      </c>
      <c r="E160" s="21" t="str">
        <f>IF($B160="إنتاج طبخة","",IFERROR(INDEX('بيانات الحركات'!E:E,MATCH(159,'بيانات الحركات'!$G:$G,0)),""))</f>
        <v/>
      </c>
      <c r="F160" s="3" t="str">
        <f>IFERROR(INDEX('بيانات الحركات'!F:F,MATCH(159,'بيانات الحركات'!$G:$G,0)),"")</f>
        <v/>
      </c>
    </row>
    <row r="161" spans="1:6" ht="21.95" customHeight="1">
      <c r="A161" s="8" t="str">
        <f>IFERROR(INDEX('بيانات الحركات'!A:A,MATCH(160,'بيانات الحركات'!$G:$G,0)),"")</f>
        <v/>
      </c>
      <c r="B161" s="5" t="str">
        <f>IFERROR(INDEX('بيانات الحركات'!B:B,MATCH(160,'بيانات الحركات'!$G:$G,0)),"")</f>
        <v/>
      </c>
      <c r="C161" s="3" t="str">
        <f>IFERROR(INDEX('بيانات الحركات'!C:C,MATCH(160,'بيانات الحركات'!$G:$G,0)),"")</f>
        <v/>
      </c>
      <c r="D161" s="3" t="str">
        <f>IFERROR(INDEX('بيانات الحركات'!D:D,MATCH(160,'بيانات الحركات'!$G:$G,0)),"")</f>
        <v/>
      </c>
      <c r="E161" s="21" t="str">
        <f>IF($B161="إنتاج طبخة","",IFERROR(INDEX('بيانات الحركات'!E:E,MATCH(160,'بيانات الحركات'!$G:$G,0)),""))</f>
        <v/>
      </c>
      <c r="F161" s="3" t="str">
        <f>IFERROR(INDEX('بيانات الحركات'!F:F,MATCH(160,'بيانات الحركات'!$G:$G,0)),"")</f>
        <v/>
      </c>
    </row>
    <row r="162" spans="1:6" ht="21.95" customHeight="1">
      <c r="A162" s="8" t="str">
        <f>IFERROR(INDEX('بيانات الحركات'!A:A,MATCH(161,'بيانات الحركات'!$G:$G,0)),"")</f>
        <v/>
      </c>
      <c r="B162" s="5" t="str">
        <f>IFERROR(INDEX('بيانات الحركات'!B:B,MATCH(161,'بيانات الحركات'!$G:$G,0)),"")</f>
        <v/>
      </c>
      <c r="C162" s="3" t="str">
        <f>IFERROR(INDEX('بيانات الحركات'!C:C,MATCH(161,'بيانات الحركات'!$G:$G,0)),"")</f>
        <v/>
      </c>
      <c r="D162" s="3" t="str">
        <f>IFERROR(INDEX('بيانات الحركات'!D:D,MATCH(161,'بيانات الحركات'!$G:$G,0)),"")</f>
        <v/>
      </c>
      <c r="E162" s="21" t="str">
        <f>IF($B162="إنتاج طبخة","",IFERROR(INDEX('بيانات الحركات'!E:E,MATCH(161,'بيانات الحركات'!$G:$G,0)),""))</f>
        <v/>
      </c>
      <c r="F162" s="3" t="str">
        <f>IFERROR(INDEX('بيانات الحركات'!F:F,MATCH(161,'بيانات الحركات'!$G:$G,0)),"")</f>
        <v/>
      </c>
    </row>
    <row r="163" spans="1:6" ht="21.95" customHeight="1">
      <c r="A163" s="8" t="str">
        <f>IFERROR(INDEX('بيانات الحركات'!A:A,MATCH(162,'بيانات الحركات'!$G:$G,0)),"")</f>
        <v/>
      </c>
      <c r="B163" s="5" t="str">
        <f>IFERROR(INDEX('بيانات الحركات'!B:B,MATCH(162,'بيانات الحركات'!$G:$G,0)),"")</f>
        <v/>
      </c>
      <c r="C163" s="3" t="str">
        <f>IFERROR(INDEX('بيانات الحركات'!C:C,MATCH(162,'بيانات الحركات'!$G:$G,0)),"")</f>
        <v/>
      </c>
      <c r="D163" s="3" t="str">
        <f>IFERROR(INDEX('بيانات الحركات'!D:D,MATCH(162,'بيانات الحركات'!$G:$G,0)),"")</f>
        <v/>
      </c>
      <c r="E163" s="21" t="str">
        <f>IF($B163="إنتاج طبخة","",IFERROR(INDEX('بيانات الحركات'!E:E,MATCH(162,'بيانات الحركات'!$G:$G,0)),""))</f>
        <v/>
      </c>
      <c r="F163" s="3" t="str">
        <f>IFERROR(INDEX('بيانات الحركات'!F:F,MATCH(162,'بيانات الحركات'!$G:$G,0)),"")</f>
        <v/>
      </c>
    </row>
    <row r="164" spans="1:6" ht="21.95" customHeight="1">
      <c r="A164" s="8" t="str">
        <f>IFERROR(INDEX('بيانات الحركات'!A:A,MATCH(163,'بيانات الحركات'!$G:$G,0)),"")</f>
        <v/>
      </c>
      <c r="B164" s="5" t="str">
        <f>IFERROR(INDEX('بيانات الحركات'!B:B,MATCH(163,'بيانات الحركات'!$G:$G,0)),"")</f>
        <v/>
      </c>
      <c r="C164" s="3" t="str">
        <f>IFERROR(INDEX('بيانات الحركات'!C:C,MATCH(163,'بيانات الحركات'!$G:$G,0)),"")</f>
        <v/>
      </c>
      <c r="D164" s="3" t="str">
        <f>IFERROR(INDEX('بيانات الحركات'!D:D,MATCH(163,'بيانات الحركات'!$G:$G,0)),"")</f>
        <v/>
      </c>
      <c r="E164" s="21" t="str">
        <f>IF($B164="إنتاج طبخة","",IFERROR(INDEX('بيانات الحركات'!E:E,MATCH(163,'بيانات الحركات'!$G:$G,0)),""))</f>
        <v/>
      </c>
      <c r="F164" s="3" t="str">
        <f>IFERROR(INDEX('بيانات الحركات'!F:F,MATCH(163,'بيانات الحركات'!$G:$G,0)),"")</f>
        <v/>
      </c>
    </row>
    <row r="165" spans="1:6" ht="21.95" customHeight="1">
      <c r="A165" s="8" t="str">
        <f>IFERROR(INDEX('بيانات الحركات'!A:A,MATCH(164,'بيانات الحركات'!$G:$G,0)),"")</f>
        <v/>
      </c>
      <c r="B165" s="5" t="str">
        <f>IFERROR(INDEX('بيانات الحركات'!B:B,MATCH(164,'بيانات الحركات'!$G:$G,0)),"")</f>
        <v/>
      </c>
      <c r="C165" s="3" t="str">
        <f>IFERROR(INDEX('بيانات الحركات'!C:C,MATCH(164,'بيانات الحركات'!$G:$G,0)),"")</f>
        <v/>
      </c>
      <c r="D165" s="3" t="str">
        <f>IFERROR(INDEX('بيانات الحركات'!D:D,MATCH(164,'بيانات الحركات'!$G:$G,0)),"")</f>
        <v/>
      </c>
      <c r="E165" s="21" t="str">
        <f>IF($B165="إنتاج طبخة","",IFERROR(INDEX('بيانات الحركات'!E:E,MATCH(164,'بيانات الحركات'!$G:$G,0)),""))</f>
        <v/>
      </c>
      <c r="F165" s="3" t="str">
        <f>IFERROR(INDEX('بيانات الحركات'!F:F,MATCH(164,'بيانات الحركات'!$G:$G,0)),"")</f>
        <v/>
      </c>
    </row>
    <row r="166" spans="1:6" ht="21.95" customHeight="1">
      <c r="A166" s="8" t="str">
        <f>IFERROR(INDEX('بيانات الحركات'!A:A,MATCH(165,'بيانات الحركات'!$G:$G,0)),"")</f>
        <v/>
      </c>
      <c r="B166" s="5" t="str">
        <f>IFERROR(INDEX('بيانات الحركات'!B:B,MATCH(165,'بيانات الحركات'!$G:$G,0)),"")</f>
        <v/>
      </c>
      <c r="C166" s="3" t="str">
        <f>IFERROR(INDEX('بيانات الحركات'!C:C,MATCH(165,'بيانات الحركات'!$G:$G,0)),"")</f>
        <v/>
      </c>
      <c r="D166" s="3" t="str">
        <f>IFERROR(INDEX('بيانات الحركات'!D:D,MATCH(165,'بيانات الحركات'!$G:$G,0)),"")</f>
        <v/>
      </c>
      <c r="E166" s="21" t="str">
        <f>IF($B166="إنتاج طبخة","",IFERROR(INDEX('بيانات الحركات'!E:E,MATCH(165,'بيانات الحركات'!$G:$G,0)),""))</f>
        <v/>
      </c>
      <c r="F166" s="3" t="str">
        <f>IFERROR(INDEX('بيانات الحركات'!F:F,MATCH(165,'بيانات الحركات'!$G:$G,0)),"")</f>
        <v/>
      </c>
    </row>
    <row r="167" spans="1:6" ht="21.95" customHeight="1">
      <c r="A167" s="8" t="str">
        <f>IFERROR(INDEX('بيانات الحركات'!A:A,MATCH(166,'بيانات الحركات'!$G:$G,0)),"")</f>
        <v/>
      </c>
      <c r="B167" s="5" t="str">
        <f>IFERROR(INDEX('بيانات الحركات'!B:B,MATCH(166,'بيانات الحركات'!$G:$G,0)),"")</f>
        <v/>
      </c>
      <c r="C167" s="3" t="str">
        <f>IFERROR(INDEX('بيانات الحركات'!C:C,MATCH(166,'بيانات الحركات'!$G:$G,0)),"")</f>
        <v/>
      </c>
      <c r="D167" s="3" t="str">
        <f>IFERROR(INDEX('بيانات الحركات'!D:D,MATCH(166,'بيانات الحركات'!$G:$G,0)),"")</f>
        <v/>
      </c>
      <c r="E167" s="21" t="str">
        <f>IF($B167="إنتاج طبخة","",IFERROR(INDEX('بيانات الحركات'!E:E,MATCH(166,'بيانات الحركات'!$G:$G,0)),""))</f>
        <v/>
      </c>
      <c r="F167" s="3" t="str">
        <f>IFERROR(INDEX('بيانات الحركات'!F:F,MATCH(166,'بيانات الحركات'!$G:$G,0)),"")</f>
        <v/>
      </c>
    </row>
    <row r="168" spans="1:6" ht="21.95" customHeight="1">
      <c r="A168" s="8" t="str">
        <f>IFERROR(INDEX('بيانات الحركات'!A:A,MATCH(167,'بيانات الحركات'!$G:$G,0)),"")</f>
        <v/>
      </c>
      <c r="B168" s="5" t="str">
        <f>IFERROR(INDEX('بيانات الحركات'!B:B,MATCH(167,'بيانات الحركات'!$G:$G,0)),"")</f>
        <v/>
      </c>
      <c r="C168" s="3" t="str">
        <f>IFERROR(INDEX('بيانات الحركات'!C:C,MATCH(167,'بيانات الحركات'!$G:$G,0)),"")</f>
        <v/>
      </c>
      <c r="D168" s="3" t="str">
        <f>IFERROR(INDEX('بيانات الحركات'!D:D,MATCH(167,'بيانات الحركات'!$G:$G,0)),"")</f>
        <v/>
      </c>
      <c r="E168" s="21" t="str">
        <f>IF($B168="إنتاج طبخة","",IFERROR(INDEX('بيانات الحركات'!E:E,MATCH(167,'بيانات الحركات'!$G:$G,0)),""))</f>
        <v/>
      </c>
      <c r="F168" s="3" t="str">
        <f>IFERROR(INDEX('بيانات الحركات'!F:F,MATCH(167,'بيانات الحركات'!$G:$G,0)),"")</f>
        <v/>
      </c>
    </row>
    <row r="169" spans="1:6" ht="21.95" customHeight="1">
      <c r="A169" s="8" t="str">
        <f>IFERROR(INDEX('بيانات الحركات'!A:A,MATCH(168,'بيانات الحركات'!$G:$G,0)),"")</f>
        <v/>
      </c>
      <c r="B169" s="5" t="str">
        <f>IFERROR(INDEX('بيانات الحركات'!B:B,MATCH(168,'بيانات الحركات'!$G:$G,0)),"")</f>
        <v/>
      </c>
      <c r="C169" s="3" t="str">
        <f>IFERROR(INDEX('بيانات الحركات'!C:C,MATCH(168,'بيانات الحركات'!$G:$G,0)),"")</f>
        <v/>
      </c>
      <c r="D169" s="3" t="str">
        <f>IFERROR(INDEX('بيانات الحركات'!D:D,MATCH(168,'بيانات الحركات'!$G:$G,0)),"")</f>
        <v/>
      </c>
      <c r="E169" s="21" t="str">
        <f>IF($B169="إنتاج طبخة","",IFERROR(INDEX('بيانات الحركات'!E:E,MATCH(168,'بيانات الحركات'!$G:$G,0)),""))</f>
        <v/>
      </c>
      <c r="F169" s="3" t="str">
        <f>IFERROR(INDEX('بيانات الحركات'!F:F,MATCH(168,'بيانات الحركات'!$G:$G,0)),"")</f>
        <v/>
      </c>
    </row>
    <row r="170" spans="1:6" ht="21.95" customHeight="1">
      <c r="A170" s="8" t="str">
        <f>IFERROR(INDEX('بيانات الحركات'!A:A,MATCH(169,'بيانات الحركات'!$G:$G,0)),"")</f>
        <v/>
      </c>
      <c r="B170" s="5" t="str">
        <f>IFERROR(INDEX('بيانات الحركات'!B:B,MATCH(169,'بيانات الحركات'!$G:$G,0)),"")</f>
        <v/>
      </c>
      <c r="C170" s="3" t="str">
        <f>IFERROR(INDEX('بيانات الحركات'!C:C,MATCH(169,'بيانات الحركات'!$G:$G,0)),"")</f>
        <v/>
      </c>
      <c r="D170" s="3" t="str">
        <f>IFERROR(INDEX('بيانات الحركات'!D:D,MATCH(169,'بيانات الحركات'!$G:$G,0)),"")</f>
        <v/>
      </c>
      <c r="E170" s="21" t="str">
        <f>IF($B170="إنتاج طبخة","",IFERROR(INDEX('بيانات الحركات'!E:E,MATCH(169,'بيانات الحركات'!$G:$G,0)),""))</f>
        <v/>
      </c>
      <c r="F170" s="3" t="str">
        <f>IFERROR(INDEX('بيانات الحركات'!F:F,MATCH(169,'بيانات الحركات'!$G:$G,0)),"")</f>
        <v/>
      </c>
    </row>
    <row r="171" spans="1:6" ht="21.95" customHeight="1">
      <c r="A171" s="8" t="str">
        <f>IFERROR(INDEX('بيانات الحركات'!A:A,MATCH(170,'بيانات الحركات'!$G:$G,0)),"")</f>
        <v/>
      </c>
      <c r="B171" s="5" t="str">
        <f>IFERROR(INDEX('بيانات الحركات'!B:B,MATCH(170,'بيانات الحركات'!$G:$G,0)),"")</f>
        <v/>
      </c>
      <c r="C171" s="3" t="str">
        <f>IFERROR(INDEX('بيانات الحركات'!C:C,MATCH(170,'بيانات الحركات'!$G:$G,0)),"")</f>
        <v/>
      </c>
      <c r="D171" s="3" t="str">
        <f>IFERROR(INDEX('بيانات الحركات'!D:D,MATCH(170,'بيانات الحركات'!$G:$G,0)),"")</f>
        <v/>
      </c>
      <c r="E171" s="21" t="str">
        <f>IF($B171="إنتاج طبخة","",IFERROR(INDEX('بيانات الحركات'!E:E,MATCH(170,'بيانات الحركات'!$G:$G,0)),""))</f>
        <v/>
      </c>
      <c r="F171" s="3" t="str">
        <f>IFERROR(INDEX('بيانات الحركات'!F:F,MATCH(170,'بيانات الحركات'!$G:$G,0)),"")</f>
        <v/>
      </c>
    </row>
    <row r="172" spans="1:6" ht="21.95" customHeight="1">
      <c r="A172" s="8" t="str">
        <f>IFERROR(INDEX('بيانات الحركات'!A:A,MATCH(171,'بيانات الحركات'!$G:$G,0)),"")</f>
        <v/>
      </c>
      <c r="B172" s="5" t="str">
        <f>IFERROR(INDEX('بيانات الحركات'!B:B,MATCH(171,'بيانات الحركات'!$G:$G,0)),"")</f>
        <v/>
      </c>
      <c r="C172" s="3" t="str">
        <f>IFERROR(INDEX('بيانات الحركات'!C:C,MATCH(171,'بيانات الحركات'!$G:$G,0)),"")</f>
        <v/>
      </c>
      <c r="D172" s="3" t="str">
        <f>IFERROR(INDEX('بيانات الحركات'!D:D,MATCH(171,'بيانات الحركات'!$G:$G,0)),"")</f>
        <v/>
      </c>
      <c r="E172" s="21" t="str">
        <f>IF($B172="إنتاج طبخة","",IFERROR(INDEX('بيانات الحركات'!E:E,MATCH(171,'بيانات الحركات'!$G:$G,0)),""))</f>
        <v/>
      </c>
      <c r="F172" s="3" t="str">
        <f>IFERROR(INDEX('بيانات الحركات'!F:F,MATCH(171,'بيانات الحركات'!$G:$G,0)),"")</f>
        <v/>
      </c>
    </row>
    <row r="173" spans="1:6" ht="21.95" customHeight="1">
      <c r="A173" s="8" t="str">
        <f>IFERROR(INDEX('بيانات الحركات'!A:A,MATCH(172,'بيانات الحركات'!$G:$G,0)),"")</f>
        <v/>
      </c>
      <c r="B173" s="5" t="str">
        <f>IFERROR(INDEX('بيانات الحركات'!B:B,MATCH(172,'بيانات الحركات'!$G:$G,0)),"")</f>
        <v/>
      </c>
      <c r="C173" s="3" t="str">
        <f>IFERROR(INDEX('بيانات الحركات'!C:C,MATCH(172,'بيانات الحركات'!$G:$G,0)),"")</f>
        <v/>
      </c>
      <c r="D173" s="3" t="str">
        <f>IFERROR(INDEX('بيانات الحركات'!D:D,MATCH(172,'بيانات الحركات'!$G:$G,0)),"")</f>
        <v/>
      </c>
      <c r="E173" s="21" t="str">
        <f>IF($B173="إنتاج طبخة","",IFERROR(INDEX('بيانات الحركات'!E:E,MATCH(172,'بيانات الحركات'!$G:$G,0)),""))</f>
        <v/>
      </c>
      <c r="F173" s="3" t="str">
        <f>IFERROR(INDEX('بيانات الحركات'!F:F,MATCH(172,'بيانات الحركات'!$G:$G,0)),"")</f>
        <v/>
      </c>
    </row>
    <row r="174" spans="1:6" ht="21.95" customHeight="1">
      <c r="A174" s="8" t="str">
        <f>IFERROR(INDEX('بيانات الحركات'!A:A,MATCH(173,'بيانات الحركات'!$G:$G,0)),"")</f>
        <v/>
      </c>
      <c r="B174" s="5" t="str">
        <f>IFERROR(INDEX('بيانات الحركات'!B:B,MATCH(173,'بيانات الحركات'!$G:$G,0)),"")</f>
        <v/>
      </c>
      <c r="C174" s="3" t="str">
        <f>IFERROR(INDEX('بيانات الحركات'!C:C,MATCH(173,'بيانات الحركات'!$G:$G,0)),"")</f>
        <v/>
      </c>
      <c r="D174" s="3" t="str">
        <f>IFERROR(INDEX('بيانات الحركات'!D:D,MATCH(173,'بيانات الحركات'!$G:$G,0)),"")</f>
        <v/>
      </c>
      <c r="E174" s="21" t="str">
        <f>IF($B174="إنتاج طبخة","",IFERROR(INDEX('بيانات الحركات'!E:E,MATCH(173,'بيانات الحركات'!$G:$G,0)),""))</f>
        <v/>
      </c>
      <c r="F174" s="3" t="str">
        <f>IFERROR(INDEX('بيانات الحركات'!F:F,MATCH(173,'بيانات الحركات'!$G:$G,0)),"")</f>
        <v/>
      </c>
    </row>
    <row r="175" spans="1:6" ht="21.95" customHeight="1">
      <c r="A175" s="8" t="str">
        <f>IFERROR(INDEX('بيانات الحركات'!A:A,MATCH(174,'بيانات الحركات'!$G:$G,0)),"")</f>
        <v/>
      </c>
      <c r="B175" s="5" t="str">
        <f>IFERROR(INDEX('بيانات الحركات'!B:B,MATCH(174,'بيانات الحركات'!$G:$G,0)),"")</f>
        <v/>
      </c>
      <c r="C175" s="3" t="str">
        <f>IFERROR(INDEX('بيانات الحركات'!C:C,MATCH(174,'بيانات الحركات'!$G:$G,0)),"")</f>
        <v/>
      </c>
      <c r="D175" s="3" t="str">
        <f>IFERROR(INDEX('بيانات الحركات'!D:D,MATCH(174,'بيانات الحركات'!$G:$G,0)),"")</f>
        <v/>
      </c>
      <c r="E175" s="21" t="str">
        <f>IF($B175="إنتاج طبخة","",IFERROR(INDEX('بيانات الحركات'!E:E,MATCH(174,'بيانات الحركات'!$G:$G,0)),""))</f>
        <v/>
      </c>
      <c r="F175" s="3" t="str">
        <f>IFERROR(INDEX('بيانات الحركات'!F:F,MATCH(174,'بيانات الحركات'!$G:$G,0)),"")</f>
        <v/>
      </c>
    </row>
    <row r="176" spans="1:6" ht="21.95" customHeight="1">
      <c r="A176" s="8" t="str">
        <f>IFERROR(INDEX('بيانات الحركات'!A:A,MATCH(175,'بيانات الحركات'!$G:$G,0)),"")</f>
        <v/>
      </c>
      <c r="B176" s="5" t="str">
        <f>IFERROR(INDEX('بيانات الحركات'!B:B,MATCH(175,'بيانات الحركات'!$G:$G,0)),"")</f>
        <v/>
      </c>
      <c r="C176" s="3" t="str">
        <f>IFERROR(INDEX('بيانات الحركات'!C:C,MATCH(175,'بيانات الحركات'!$G:$G,0)),"")</f>
        <v/>
      </c>
      <c r="D176" s="3" t="str">
        <f>IFERROR(INDEX('بيانات الحركات'!D:D,MATCH(175,'بيانات الحركات'!$G:$G,0)),"")</f>
        <v/>
      </c>
      <c r="E176" s="21" t="str">
        <f>IF($B176="إنتاج طبخة","",IFERROR(INDEX('بيانات الحركات'!E:E,MATCH(175,'بيانات الحركات'!$G:$G,0)),""))</f>
        <v/>
      </c>
      <c r="F176" s="3" t="str">
        <f>IFERROR(INDEX('بيانات الحركات'!F:F,MATCH(175,'بيانات الحركات'!$G:$G,0)),"")</f>
        <v/>
      </c>
    </row>
    <row r="177" spans="1:6" ht="21.95" customHeight="1">
      <c r="A177" s="8" t="str">
        <f>IFERROR(INDEX('بيانات الحركات'!A:A,MATCH(176,'بيانات الحركات'!$G:$G,0)),"")</f>
        <v/>
      </c>
      <c r="B177" s="5" t="str">
        <f>IFERROR(INDEX('بيانات الحركات'!B:B,MATCH(176,'بيانات الحركات'!$G:$G,0)),"")</f>
        <v/>
      </c>
      <c r="C177" s="3" t="str">
        <f>IFERROR(INDEX('بيانات الحركات'!C:C,MATCH(176,'بيانات الحركات'!$G:$G,0)),"")</f>
        <v/>
      </c>
      <c r="D177" s="3" t="str">
        <f>IFERROR(INDEX('بيانات الحركات'!D:D,MATCH(176,'بيانات الحركات'!$G:$G,0)),"")</f>
        <v/>
      </c>
      <c r="E177" s="21" t="str">
        <f>IF($B177="إنتاج طبخة","",IFERROR(INDEX('بيانات الحركات'!E:E,MATCH(176,'بيانات الحركات'!$G:$G,0)),""))</f>
        <v/>
      </c>
      <c r="F177" s="3" t="str">
        <f>IFERROR(INDEX('بيانات الحركات'!F:F,MATCH(176,'بيانات الحركات'!$G:$G,0)),"")</f>
        <v/>
      </c>
    </row>
    <row r="178" spans="1:6" ht="21.95" customHeight="1">
      <c r="A178" s="8" t="str">
        <f>IFERROR(INDEX('بيانات الحركات'!A:A,MATCH(177,'بيانات الحركات'!$G:$G,0)),"")</f>
        <v/>
      </c>
      <c r="B178" s="5" t="str">
        <f>IFERROR(INDEX('بيانات الحركات'!B:B,MATCH(177,'بيانات الحركات'!$G:$G,0)),"")</f>
        <v/>
      </c>
      <c r="C178" s="3" t="str">
        <f>IFERROR(INDEX('بيانات الحركات'!C:C,MATCH(177,'بيانات الحركات'!$G:$G,0)),"")</f>
        <v/>
      </c>
      <c r="D178" s="3" t="str">
        <f>IFERROR(INDEX('بيانات الحركات'!D:D,MATCH(177,'بيانات الحركات'!$G:$G,0)),"")</f>
        <v/>
      </c>
      <c r="E178" s="21" t="str">
        <f>IF($B178="إنتاج طبخة","",IFERROR(INDEX('بيانات الحركات'!E:E,MATCH(177,'بيانات الحركات'!$G:$G,0)),""))</f>
        <v/>
      </c>
      <c r="F178" s="3" t="str">
        <f>IFERROR(INDEX('بيانات الحركات'!F:F,MATCH(177,'بيانات الحركات'!$G:$G,0)),"")</f>
        <v/>
      </c>
    </row>
    <row r="179" spans="1:6" ht="21.95" customHeight="1">
      <c r="A179" s="8" t="str">
        <f>IFERROR(INDEX('بيانات الحركات'!A:A,MATCH(178,'بيانات الحركات'!$G:$G,0)),"")</f>
        <v/>
      </c>
      <c r="B179" s="5" t="str">
        <f>IFERROR(INDEX('بيانات الحركات'!B:B,MATCH(178,'بيانات الحركات'!$G:$G,0)),"")</f>
        <v/>
      </c>
      <c r="C179" s="3" t="str">
        <f>IFERROR(INDEX('بيانات الحركات'!C:C,MATCH(178,'بيانات الحركات'!$G:$G,0)),"")</f>
        <v/>
      </c>
      <c r="D179" s="3" t="str">
        <f>IFERROR(INDEX('بيانات الحركات'!D:D,MATCH(178,'بيانات الحركات'!$G:$G,0)),"")</f>
        <v/>
      </c>
      <c r="E179" s="21" t="str">
        <f>IF($B179="إنتاج طبخة","",IFERROR(INDEX('بيانات الحركات'!E:E,MATCH(178,'بيانات الحركات'!$G:$G,0)),""))</f>
        <v/>
      </c>
      <c r="F179" s="3" t="str">
        <f>IFERROR(INDEX('بيانات الحركات'!F:F,MATCH(178,'بيانات الحركات'!$G:$G,0)),"")</f>
        <v/>
      </c>
    </row>
    <row r="180" spans="1:6" ht="21.95" customHeight="1">
      <c r="A180" s="8" t="str">
        <f>IFERROR(INDEX('بيانات الحركات'!A:A,MATCH(179,'بيانات الحركات'!$G:$G,0)),"")</f>
        <v/>
      </c>
      <c r="B180" s="5" t="str">
        <f>IFERROR(INDEX('بيانات الحركات'!B:B,MATCH(179,'بيانات الحركات'!$G:$G,0)),"")</f>
        <v/>
      </c>
      <c r="C180" s="3" t="str">
        <f>IFERROR(INDEX('بيانات الحركات'!C:C,MATCH(179,'بيانات الحركات'!$G:$G,0)),"")</f>
        <v/>
      </c>
      <c r="D180" s="3" t="str">
        <f>IFERROR(INDEX('بيانات الحركات'!D:D,MATCH(179,'بيانات الحركات'!$G:$G,0)),"")</f>
        <v/>
      </c>
      <c r="E180" s="21" t="str">
        <f>IF($B180="إنتاج طبخة","",IFERROR(INDEX('بيانات الحركات'!E:E,MATCH(179,'بيانات الحركات'!$G:$G,0)),""))</f>
        <v/>
      </c>
      <c r="F180" s="3" t="str">
        <f>IFERROR(INDEX('بيانات الحركات'!F:F,MATCH(179,'بيانات الحركات'!$G:$G,0)),"")</f>
        <v/>
      </c>
    </row>
    <row r="181" spans="1:6" ht="21.95" customHeight="1">
      <c r="A181" s="8" t="str">
        <f>IFERROR(INDEX('بيانات الحركات'!A:A,MATCH(180,'بيانات الحركات'!$G:$G,0)),"")</f>
        <v/>
      </c>
      <c r="B181" s="5" t="str">
        <f>IFERROR(INDEX('بيانات الحركات'!B:B,MATCH(180,'بيانات الحركات'!$G:$G,0)),"")</f>
        <v/>
      </c>
      <c r="C181" s="3" t="str">
        <f>IFERROR(INDEX('بيانات الحركات'!C:C,MATCH(180,'بيانات الحركات'!$G:$G,0)),"")</f>
        <v/>
      </c>
      <c r="D181" s="3" t="str">
        <f>IFERROR(INDEX('بيانات الحركات'!D:D,MATCH(180,'بيانات الحركات'!$G:$G,0)),"")</f>
        <v/>
      </c>
      <c r="E181" s="21" t="str">
        <f>IF($B181="إنتاج طبخة","",IFERROR(INDEX('بيانات الحركات'!E:E,MATCH(180,'بيانات الحركات'!$G:$G,0)),""))</f>
        <v/>
      </c>
      <c r="F181" s="3" t="str">
        <f>IFERROR(INDEX('بيانات الحركات'!F:F,MATCH(180,'بيانات الحركات'!$G:$G,0)),"")</f>
        <v/>
      </c>
    </row>
    <row r="182" spans="1:6" ht="21.95" customHeight="1">
      <c r="A182" s="8" t="str">
        <f>IFERROR(INDEX('بيانات الحركات'!A:A,MATCH(181,'بيانات الحركات'!$G:$G,0)),"")</f>
        <v/>
      </c>
      <c r="B182" s="5" t="str">
        <f>IFERROR(INDEX('بيانات الحركات'!B:B,MATCH(181,'بيانات الحركات'!$G:$G,0)),"")</f>
        <v/>
      </c>
      <c r="C182" s="3" t="str">
        <f>IFERROR(INDEX('بيانات الحركات'!C:C,MATCH(181,'بيانات الحركات'!$G:$G,0)),"")</f>
        <v/>
      </c>
      <c r="D182" s="3" t="str">
        <f>IFERROR(INDEX('بيانات الحركات'!D:D,MATCH(181,'بيانات الحركات'!$G:$G,0)),"")</f>
        <v/>
      </c>
      <c r="E182" s="21" t="str">
        <f>IF($B182="إنتاج طبخة","",IFERROR(INDEX('بيانات الحركات'!E:E,MATCH(181,'بيانات الحركات'!$G:$G,0)),""))</f>
        <v/>
      </c>
      <c r="F182" s="3" t="str">
        <f>IFERROR(INDEX('بيانات الحركات'!F:F,MATCH(181,'بيانات الحركات'!$G:$G,0)),"")</f>
        <v/>
      </c>
    </row>
    <row r="183" spans="1:6" ht="21.95" customHeight="1">
      <c r="A183" s="8" t="str">
        <f>IFERROR(INDEX('بيانات الحركات'!A:A,MATCH(182,'بيانات الحركات'!$G:$G,0)),"")</f>
        <v/>
      </c>
      <c r="B183" s="5" t="str">
        <f>IFERROR(INDEX('بيانات الحركات'!B:B,MATCH(182,'بيانات الحركات'!$G:$G,0)),"")</f>
        <v/>
      </c>
      <c r="C183" s="3" t="str">
        <f>IFERROR(INDEX('بيانات الحركات'!C:C,MATCH(182,'بيانات الحركات'!$G:$G,0)),"")</f>
        <v/>
      </c>
      <c r="D183" s="3" t="str">
        <f>IFERROR(INDEX('بيانات الحركات'!D:D,MATCH(182,'بيانات الحركات'!$G:$G,0)),"")</f>
        <v/>
      </c>
      <c r="E183" s="21" t="str">
        <f>IF($B183="إنتاج طبخة","",IFERROR(INDEX('بيانات الحركات'!E:E,MATCH(182,'بيانات الحركات'!$G:$G,0)),""))</f>
        <v/>
      </c>
      <c r="F183" s="3" t="str">
        <f>IFERROR(INDEX('بيانات الحركات'!F:F,MATCH(182,'بيانات الحركات'!$G:$G,0)),"")</f>
        <v/>
      </c>
    </row>
    <row r="184" spans="1:6" ht="21.95" customHeight="1">
      <c r="A184" s="8" t="str">
        <f>IFERROR(INDEX('بيانات الحركات'!A:A,MATCH(183,'بيانات الحركات'!$G:$G,0)),"")</f>
        <v/>
      </c>
      <c r="B184" s="5" t="str">
        <f>IFERROR(INDEX('بيانات الحركات'!B:B,MATCH(183,'بيانات الحركات'!$G:$G,0)),"")</f>
        <v/>
      </c>
      <c r="C184" s="3" t="str">
        <f>IFERROR(INDEX('بيانات الحركات'!C:C,MATCH(183,'بيانات الحركات'!$G:$G,0)),"")</f>
        <v/>
      </c>
      <c r="D184" s="3" t="str">
        <f>IFERROR(INDEX('بيانات الحركات'!D:D,MATCH(183,'بيانات الحركات'!$G:$G,0)),"")</f>
        <v/>
      </c>
      <c r="E184" s="21" t="str">
        <f>IF($B184="إنتاج طبخة","",IFERROR(INDEX('بيانات الحركات'!E:E,MATCH(183,'بيانات الحركات'!$G:$G,0)),""))</f>
        <v/>
      </c>
      <c r="F184" s="3" t="str">
        <f>IFERROR(INDEX('بيانات الحركات'!F:F,MATCH(183,'بيانات الحركات'!$G:$G,0)),"")</f>
        <v/>
      </c>
    </row>
    <row r="185" spans="1:6" ht="21.95" customHeight="1">
      <c r="A185" s="8" t="str">
        <f>IFERROR(INDEX('بيانات الحركات'!A:A,MATCH(184,'بيانات الحركات'!$G:$G,0)),"")</f>
        <v/>
      </c>
      <c r="B185" s="5" t="str">
        <f>IFERROR(INDEX('بيانات الحركات'!B:B,MATCH(184,'بيانات الحركات'!$G:$G,0)),"")</f>
        <v/>
      </c>
      <c r="C185" s="3" t="str">
        <f>IFERROR(INDEX('بيانات الحركات'!C:C,MATCH(184,'بيانات الحركات'!$G:$G,0)),"")</f>
        <v/>
      </c>
      <c r="D185" s="3" t="str">
        <f>IFERROR(INDEX('بيانات الحركات'!D:D,MATCH(184,'بيانات الحركات'!$G:$G,0)),"")</f>
        <v/>
      </c>
      <c r="E185" s="21" t="str">
        <f>IF($B185="إنتاج طبخة","",IFERROR(INDEX('بيانات الحركات'!E:E,MATCH(184,'بيانات الحركات'!$G:$G,0)),""))</f>
        <v/>
      </c>
      <c r="F185" s="3" t="str">
        <f>IFERROR(INDEX('بيانات الحركات'!F:F,MATCH(184,'بيانات الحركات'!$G:$G,0)),"")</f>
        <v/>
      </c>
    </row>
    <row r="186" spans="1:6" ht="21.95" customHeight="1">
      <c r="A186" s="8" t="str">
        <f>IFERROR(INDEX('بيانات الحركات'!A:A,MATCH(185,'بيانات الحركات'!$G:$G,0)),"")</f>
        <v/>
      </c>
      <c r="B186" s="5" t="str">
        <f>IFERROR(INDEX('بيانات الحركات'!B:B,MATCH(185,'بيانات الحركات'!$G:$G,0)),"")</f>
        <v/>
      </c>
      <c r="C186" s="3" t="str">
        <f>IFERROR(INDEX('بيانات الحركات'!C:C,MATCH(185,'بيانات الحركات'!$G:$G,0)),"")</f>
        <v/>
      </c>
      <c r="D186" s="3" t="str">
        <f>IFERROR(INDEX('بيانات الحركات'!D:D,MATCH(185,'بيانات الحركات'!$G:$G,0)),"")</f>
        <v/>
      </c>
      <c r="E186" s="21" t="str">
        <f>IF($B186="إنتاج طبخة","",IFERROR(INDEX('بيانات الحركات'!E:E,MATCH(185,'بيانات الحركات'!$G:$G,0)),""))</f>
        <v/>
      </c>
      <c r="F186" s="3" t="str">
        <f>IFERROR(INDEX('بيانات الحركات'!F:F,MATCH(185,'بيانات الحركات'!$G:$G,0)),"")</f>
        <v/>
      </c>
    </row>
    <row r="187" spans="1:6" ht="21.95" customHeight="1">
      <c r="A187" s="8" t="str">
        <f>IFERROR(INDEX('بيانات الحركات'!A:A,MATCH(186,'بيانات الحركات'!$G:$G,0)),"")</f>
        <v/>
      </c>
      <c r="B187" s="5" t="str">
        <f>IFERROR(INDEX('بيانات الحركات'!B:B,MATCH(186,'بيانات الحركات'!$G:$G,0)),"")</f>
        <v/>
      </c>
      <c r="C187" s="3" t="str">
        <f>IFERROR(INDEX('بيانات الحركات'!C:C,MATCH(186,'بيانات الحركات'!$G:$G,0)),"")</f>
        <v/>
      </c>
      <c r="D187" s="3" t="str">
        <f>IFERROR(INDEX('بيانات الحركات'!D:D,MATCH(186,'بيانات الحركات'!$G:$G,0)),"")</f>
        <v/>
      </c>
      <c r="E187" s="21" t="str">
        <f>IF($B187="إنتاج طبخة","",IFERROR(INDEX('بيانات الحركات'!E:E,MATCH(186,'بيانات الحركات'!$G:$G,0)),""))</f>
        <v/>
      </c>
      <c r="F187" s="3" t="str">
        <f>IFERROR(INDEX('بيانات الحركات'!F:F,MATCH(186,'بيانات الحركات'!$G:$G,0)),"")</f>
        <v/>
      </c>
    </row>
    <row r="188" spans="1:6" ht="21.95" customHeight="1">
      <c r="A188" s="8" t="str">
        <f>IFERROR(INDEX('بيانات الحركات'!A:A,MATCH(187,'بيانات الحركات'!$G:$G,0)),"")</f>
        <v/>
      </c>
      <c r="B188" s="5" t="str">
        <f>IFERROR(INDEX('بيانات الحركات'!B:B,MATCH(187,'بيانات الحركات'!$G:$G,0)),"")</f>
        <v/>
      </c>
      <c r="C188" s="3" t="str">
        <f>IFERROR(INDEX('بيانات الحركات'!C:C,MATCH(187,'بيانات الحركات'!$G:$G,0)),"")</f>
        <v/>
      </c>
      <c r="D188" s="3" t="str">
        <f>IFERROR(INDEX('بيانات الحركات'!D:D,MATCH(187,'بيانات الحركات'!$G:$G,0)),"")</f>
        <v/>
      </c>
      <c r="E188" s="21" t="str">
        <f>IF($B188="إنتاج طبخة","",IFERROR(INDEX('بيانات الحركات'!E:E,MATCH(187,'بيانات الحركات'!$G:$G,0)),""))</f>
        <v/>
      </c>
      <c r="F188" s="3" t="str">
        <f>IFERROR(INDEX('بيانات الحركات'!F:F,MATCH(187,'بيانات الحركات'!$G:$G,0)),"")</f>
        <v/>
      </c>
    </row>
    <row r="189" spans="1:6" ht="21.95" customHeight="1">
      <c r="A189" s="8" t="str">
        <f>IFERROR(INDEX('بيانات الحركات'!A:A,MATCH(188,'بيانات الحركات'!$G:$G,0)),"")</f>
        <v/>
      </c>
      <c r="B189" s="5" t="str">
        <f>IFERROR(INDEX('بيانات الحركات'!B:B,MATCH(188,'بيانات الحركات'!$G:$G,0)),"")</f>
        <v/>
      </c>
      <c r="C189" s="3" t="str">
        <f>IFERROR(INDEX('بيانات الحركات'!C:C,MATCH(188,'بيانات الحركات'!$G:$G,0)),"")</f>
        <v/>
      </c>
      <c r="D189" s="3" t="str">
        <f>IFERROR(INDEX('بيانات الحركات'!D:D,MATCH(188,'بيانات الحركات'!$G:$G,0)),"")</f>
        <v/>
      </c>
      <c r="E189" s="21" t="str">
        <f>IF($B189="إنتاج طبخة","",IFERROR(INDEX('بيانات الحركات'!E:E,MATCH(188,'بيانات الحركات'!$G:$G,0)),""))</f>
        <v/>
      </c>
      <c r="F189" s="3" t="str">
        <f>IFERROR(INDEX('بيانات الحركات'!F:F,MATCH(188,'بيانات الحركات'!$G:$G,0)),"")</f>
        <v/>
      </c>
    </row>
    <row r="190" spans="1:6" ht="21.95" customHeight="1">
      <c r="A190" s="8" t="str">
        <f>IFERROR(INDEX('بيانات الحركات'!A:A,MATCH(189,'بيانات الحركات'!$G:$G,0)),"")</f>
        <v/>
      </c>
      <c r="B190" s="5" t="str">
        <f>IFERROR(INDEX('بيانات الحركات'!B:B,MATCH(189,'بيانات الحركات'!$G:$G,0)),"")</f>
        <v/>
      </c>
      <c r="C190" s="3" t="str">
        <f>IFERROR(INDEX('بيانات الحركات'!C:C,MATCH(189,'بيانات الحركات'!$G:$G,0)),"")</f>
        <v/>
      </c>
      <c r="D190" s="3" t="str">
        <f>IFERROR(INDEX('بيانات الحركات'!D:D,MATCH(189,'بيانات الحركات'!$G:$G,0)),"")</f>
        <v/>
      </c>
      <c r="E190" s="21" t="str">
        <f>IF($B190="إنتاج طبخة","",IFERROR(INDEX('بيانات الحركات'!E:E,MATCH(189,'بيانات الحركات'!$G:$G,0)),""))</f>
        <v/>
      </c>
      <c r="F190" s="3" t="str">
        <f>IFERROR(INDEX('بيانات الحركات'!F:F,MATCH(189,'بيانات الحركات'!$G:$G,0)),"")</f>
        <v/>
      </c>
    </row>
    <row r="191" spans="1:6" ht="21.95" customHeight="1">
      <c r="A191" s="8" t="str">
        <f>IFERROR(INDEX('بيانات الحركات'!A:A,MATCH(190,'بيانات الحركات'!$G:$G,0)),"")</f>
        <v/>
      </c>
      <c r="B191" s="5" t="str">
        <f>IFERROR(INDEX('بيانات الحركات'!B:B,MATCH(190,'بيانات الحركات'!$G:$G,0)),"")</f>
        <v/>
      </c>
      <c r="C191" s="3" t="str">
        <f>IFERROR(INDEX('بيانات الحركات'!C:C,MATCH(190,'بيانات الحركات'!$G:$G,0)),"")</f>
        <v/>
      </c>
      <c r="D191" s="3" t="str">
        <f>IFERROR(INDEX('بيانات الحركات'!D:D,MATCH(190,'بيانات الحركات'!$G:$G,0)),"")</f>
        <v/>
      </c>
      <c r="E191" s="21" t="str">
        <f>IF($B191="إنتاج طبخة","",IFERROR(INDEX('بيانات الحركات'!E:E,MATCH(190,'بيانات الحركات'!$G:$G,0)),""))</f>
        <v/>
      </c>
      <c r="F191" s="3" t="str">
        <f>IFERROR(INDEX('بيانات الحركات'!F:F,MATCH(190,'بيانات الحركات'!$G:$G,0)),"")</f>
        <v/>
      </c>
    </row>
    <row r="192" spans="1:6" ht="21.95" customHeight="1">
      <c r="A192" s="8" t="str">
        <f>IFERROR(INDEX('بيانات الحركات'!A:A,MATCH(191,'بيانات الحركات'!$G:$G,0)),"")</f>
        <v/>
      </c>
      <c r="B192" s="5" t="str">
        <f>IFERROR(INDEX('بيانات الحركات'!B:B,MATCH(191,'بيانات الحركات'!$G:$G,0)),"")</f>
        <v/>
      </c>
      <c r="C192" s="3" t="str">
        <f>IFERROR(INDEX('بيانات الحركات'!C:C,MATCH(191,'بيانات الحركات'!$G:$G,0)),"")</f>
        <v/>
      </c>
      <c r="D192" s="3" t="str">
        <f>IFERROR(INDEX('بيانات الحركات'!D:D,MATCH(191,'بيانات الحركات'!$G:$G,0)),"")</f>
        <v/>
      </c>
      <c r="E192" s="21" t="str">
        <f>IF($B192="إنتاج طبخة","",IFERROR(INDEX('بيانات الحركات'!E:E,MATCH(191,'بيانات الحركات'!$G:$G,0)),""))</f>
        <v/>
      </c>
      <c r="F192" s="3" t="str">
        <f>IFERROR(INDEX('بيانات الحركات'!F:F,MATCH(191,'بيانات الحركات'!$G:$G,0)),"")</f>
        <v/>
      </c>
    </row>
    <row r="193" spans="1:6" ht="21.95" customHeight="1">
      <c r="A193" s="8" t="str">
        <f>IFERROR(INDEX('بيانات الحركات'!A:A,MATCH(192,'بيانات الحركات'!$G:$G,0)),"")</f>
        <v/>
      </c>
      <c r="B193" s="5" t="str">
        <f>IFERROR(INDEX('بيانات الحركات'!B:B,MATCH(192,'بيانات الحركات'!$G:$G,0)),"")</f>
        <v/>
      </c>
      <c r="C193" s="3" t="str">
        <f>IFERROR(INDEX('بيانات الحركات'!C:C,MATCH(192,'بيانات الحركات'!$G:$G,0)),"")</f>
        <v/>
      </c>
      <c r="D193" s="3" t="str">
        <f>IFERROR(INDEX('بيانات الحركات'!D:D,MATCH(192,'بيانات الحركات'!$G:$G,0)),"")</f>
        <v/>
      </c>
      <c r="E193" s="21" t="str">
        <f>IF($B193="إنتاج طبخة","",IFERROR(INDEX('بيانات الحركات'!E:E,MATCH(192,'بيانات الحركات'!$G:$G,0)),""))</f>
        <v/>
      </c>
      <c r="F193" s="3" t="str">
        <f>IFERROR(INDEX('بيانات الحركات'!F:F,MATCH(192,'بيانات الحركات'!$G:$G,0)),"")</f>
        <v/>
      </c>
    </row>
    <row r="194" spans="1:6" ht="21.95" customHeight="1">
      <c r="A194" s="8" t="str">
        <f>IFERROR(INDEX('بيانات الحركات'!A:A,MATCH(193,'بيانات الحركات'!$G:$G,0)),"")</f>
        <v/>
      </c>
      <c r="B194" s="5" t="str">
        <f>IFERROR(INDEX('بيانات الحركات'!B:B,MATCH(193,'بيانات الحركات'!$G:$G,0)),"")</f>
        <v/>
      </c>
      <c r="C194" s="3" t="str">
        <f>IFERROR(INDEX('بيانات الحركات'!C:C,MATCH(193,'بيانات الحركات'!$G:$G,0)),"")</f>
        <v/>
      </c>
      <c r="D194" s="3" t="str">
        <f>IFERROR(INDEX('بيانات الحركات'!D:D,MATCH(193,'بيانات الحركات'!$G:$G,0)),"")</f>
        <v/>
      </c>
      <c r="E194" s="21" t="str">
        <f>IF($B194="إنتاج طبخة","",IFERROR(INDEX('بيانات الحركات'!E:E,MATCH(193,'بيانات الحركات'!$G:$G,0)),""))</f>
        <v/>
      </c>
      <c r="F194" s="3" t="str">
        <f>IFERROR(INDEX('بيانات الحركات'!F:F,MATCH(193,'بيانات الحركات'!$G:$G,0)),"")</f>
        <v/>
      </c>
    </row>
    <row r="195" spans="1:6" ht="21.95" customHeight="1">
      <c r="A195" s="8" t="str">
        <f>IFERROR(INDEX('بيانات الحركات'!A:A,MATCH(194,'بيانات الحركات'!$G:$G,0)),"")</f>
        <v/>
      </c>
      <c r="B195" s="5" t="str">
        <f>IFERROR(INDEX('بيانات الحركات'!B:B,MATCH(194,'بيانات الحركات'!$G:$G,0)),"")</f>
        <v/>
      </c>
      <c r="C195" s="3" t="str">
        <f>IFERROR(INDEX('بيانات الحركات'!C:C,MATCH(194,'بيانات الحركات'!$G:$G,0)),"")</f>
        <v/>
      </c>
      <c r="D195" s="3" t="str">
        <f>IFERROR(INDEX('بيانات الحركات'!D:D,MATCH(194,'بيانات الحركات'!$G:$G,0)),"")</f>
        <v/>
      </c>
      <c r="E195" s="21" t="str">
        <f>IF($B195="إنتاج طبخة","",IFERROR(INDEX('بيانات الحركات'!E:E,MATCH(194,'بيانات الحركات'!$G:$G,0)),""))</f>
        <v/>
      </c>
      <c r="F195" s="3" t="str">
        <f>IFERROR(INDEX('بيانات الحركات'!F:F,MATCH(194,'بيانات الحركات'!$G:$G,0)),"")</f>
        <v/>
      </c>
    </row>
    <row r="196" spans="1:6" ht="21.95" customHeight="1">
      <c r="A196" s="8" t="str">
        <f>IFERROR(INDEX('بيانات الحركات'!A:A,MATCH(195,'بيانات الحركات'!$G:$G,0)),"")</f>
        <v/>
      </c>
      <c r="B196" s="5" t="str">
        <f>IFERROR(INDEX('بيانات الحركات'!B:B,MATCH(195,'بيانات الحركات'!$G:$G,0)),"")</f>
        <v/>
      </c>
      <c r="C196" s="3" t="str">
        <f>IFERROR(INDEX('بيانات الحركات'!C:C,MATCH(195,'بيانات الحركات'!$G:$G,0)),"")</f>
        <v/>
      </c>
      <c r="D196" s="3" t="str">
        <f>IFERROR(INDEX('بيانات الحركات'!D:D,MATCH(195,'بيانات الحركات'!$G:$G,0)),"")</f>
        <v/>
      </c>
      <c r="E196" s="21" t="str">
        <f>IF($B196="إنتاج طبخة","",IFERROR(INDEX('بيانات الحركات'!E:E,MATCH(195,'بيانات الحركات'!$G:$G,0)),""))</f>
        <v/>
      </c>
      <c r="F196" s="3" t="str">
        <f>IFERROR(INDEX('بيانات الحركات'!F:F,MATCH(195,'بيانات الحركات'!$G:$G,0)),"")</f>
        <v/>
      </c>
    </row>
    <row r="197" spans="1:6" ht="21.95" customHeight="1">
      <c r="A197" s="8" t="str">
        <f>IFERROR(INDEX('بيانات الحركات'!A:A,MATCH(196,'بيانات الحركات'!$G:$G,0)),"")</f>
        <v/>
      </c>
      <c r="B197" s="5" t="str">
        <f>IFERROR(INDEX('بيانات الحركات'!B:B,MATCH(196,'بيانات الحركات'!$G:$G,0)),"")</f>
        <v/>
      </c>
      <c r="C197" s="3" t="str">
        <f>IFERROR(INDEX('بيانات الحركات'!C:C,MATCH(196,'بيانات الحركات'!$G:$G,0)),"")</f>
        <v/>
      </c>
      <c r="D197" s="3" t="str">
        <f>IFERROR(INDEX('بيانات الحركات'!D:D,MATCH(196,'بيانات الحركات'!$G:$G,0)),"")</f>
        <v/>
      </c>
      <c r="E197" s="21" t="str">
        <f>IF($B197="إنتاج طبخة","",IFERROR(INDEX('بيانات الحركات'!E:E,MATCH(196,'بيانات الحركات'!$G:$G,0)),""))</f>
        <v/>
      </c>
      <c r="F197" s="3" t="str">
        <f>IFERROR(INDEX('بيانات الحركات'!F:F,MATCH(196,'بيانات الحركات'!$G:$G,0)),"")</f>
        <v/>
      </c>
    </row>
    <row r="198" spans="1:6" ht="21.95" customHeight="1">
      <c r="A198" s="8" t="str">
        <f>IFERROR(INDEX('بيانات الحركات'!A:A,MATCH(197,'بيانات الحركات'!$G:$G,0)),"")</f>
        <v/>
      </c>
      <c r="B198" s="5" t="str">
        <f>IFERROR(INDEX('بيانات الحركات'!B:B,MATCH(197,'بيانات الحركات'!$G:$G,0)),"")</f>
        <v/>
      </c>
      <c r="C198" s="3" t="str">
        <f>IFERROR(INDEX('بيانات الحركات'!C:C,MATCH(197,'بيانات الحركات'!$G:$G,0)),"")</f>
        <v/>
      </c>
      <c r="D198" s="3" t="str">
        <f>IFERROR(INDEX('بيانات الحركات'!D:D,MATCH(197,'بيانات الحركات'!$G:$G,0)),"")</f>
        <v/>
      </c>
      <c r="E198" s="21" t="str">
        <f>IF($B198="إنتاج طبخة","",IFERROR(INDEX('بيانات الحركات'!E:E,MATCH(197,'بيانات الحركات'!$G:$G,0)),""))</f>
        <v/>
      </c>
      <c r="F198" s="3" t="str">
        <f>IFERROR(INDEX('بيانات الحركات'!F:F,MATCH(197,'بيانات الحركات'!$G:$G,0)),"")</f>
        <v/>
      </c>
    </row>
    <row r="199" spans="1:6" ht="21.95" customHeight="1">
      <c r="A199" s="8" t="str">
        <f>IFERROR(INDEX('بيانات الحركات'!A:A,MATCH(198,'بيانات الحركات'!$G:$G,0)),"")</f>
        <v/>
      </c>
      <c r="B199" s="5" t="str">
        <f>IFERROR(INDEX('بيانات الحركات'!B:B,MATCH(198,'بيانات الحركات'!$G:$G,0)),"")</f>
        <v/>
      </c>
      <c r="C199" s="3" t="str">
        <f>IFERROR(INDEX('بيانات الحركات'!C:C,MATCH(198,'بيانات الحركات'!$G:$G,0)),"")</f>
        <v/>
      </c>
      <c r="D199" s="3" t="str">
        <f>IFERROR(INDEX('بيانات الحركات'!D:D,MATCH(198,'بيانات الحركات'!$G:$G,0)),"")</f>
        <v/>
      </c>
      <c r="E199" s="21" t="str">
        <f>IF($B199="إنتاج طبخة","",IFERROR(INDEX('بيانات الحركات'!E:E,MATCH(198,'بيانات الحركات'!$G:$G,0)),""))</f>
        <v/>
      </c>
      <c r="F199" s="3" t="str">
        <f>IFERROR(INDEX('بيانات الحركات'!F:F,MATCH(198,'بيانات الحركات'!$G:$G,0)),"")</f>
        <v/>
      </c>
    </row>
    <row r="200" spans="1:6" ht="21.95" customHeight="1">
      <c r="A200" s="8" t="str">
        <f>IFERROR(INDEX('بيانات الحركات'!A:A,MATCH(199,'بيانات الحركات'!$G:$G,0)),"")</f>
        <v/>
      </c>
      <c r="B200" s="5" t="str">
        <f>IFERROR(INDEX('بيانات الحركات'!B:B,MATCH(199,'بيانات الحركات'!$G:$G,0)),"")</f>
        <v/>
      </c>
      <c r="C200" s="3" t="str">
        <f>IFERROR(INDEX('بيانات الحركات'!C:C,MATCH(199,'بيانات الحركات'!$G:$G,0)),"")</f>
        <v/>
      </c>
      <c r="D200" s="3" t="str">
        <f>IFERROR(INDEX('بيانات الحركات'!D:D,MATCH(199,'بيانات الحركات'!$G:$G,0)),"")</f>
        <v/>
      </c>
      <c r="E200" s="21" t="str">
        <f>IF($B200="إنتاج طبخة","",IFERROR(INDEX('بيانات الحركات'!E:E,MATCH(199,'بيانات الحركات'!$G:$G,0)),""))</f>
        <v/>
      </c>
      <c r="F200" s="3" t="str">
        <f>IFERROR(INDEX('بيانات الحركات'!F:F,MATCH(199,'بيانات الحركات'!$G:$G,0)),"")</f>
        <v/>
      </c>
    </row>
    <row r="201" spans="1:6" ht="21.95" customHeight="1">
      <c r="A201" s="8" t="str">
        <f>IFERROR(INDEX('بيانات الحركات'!A:A,MATCH(200,'بيانات الحركات'!$G:$G,0)),"")</f>
        <v/>
      </c>
      <c r="B201" s="5" t="str">
        <f>IFERROR(INDEX('بيانات الحركات'!B:B,MATCH(200,'بيانات الحركات'!$G:$G,0)),"")</f>
        <v/>
      </c>
      <c r="C201" s="3" t="str">
        <f>IFERROR(INDEX('بيانات الحركات'!C:C,MATCH(200,'بيانات الحركات'!$G:$G,0)),"")</f>
        <v/>
      </c>
      <c r="D201" s="3" t="str">
        <f>IFERROR(INDEX('بيانات الحركات'!D:D,MATCH(200,'بيانات الحركات'!$G:$G,0)),"")</f>
        <v/>
      </c>
      <c r="E201" s="21" t="str">
        <f>IF($B201="إنتاج طبخة","",IFERROR(INDEX('بيانات الحركات'!E:E,MATCH(200,'بيانات الحركات'!$G:$G,0)),""))</f>
        <v/>
      </c>
      <c r="F201" s="3" t="str">
        <f>IFERROR(INDEX('بيانات الحركات'!F:F,MATCH(200,'بيانات الحركات'!$G:$G,0)),"")</f>
        <v/>
      </c>
    </row>
    <row r="202" spans="1:6" ht="21.95" customHeight="1">
      <c r="A202" s="8" t="str">
        <f>IFERROR(INDEX('بيانات الحركات'!A:A,MATCH(201,'بيانات الحركات'!$G:$G,0)),"")</f>
        <v/>
      </c>
      <c r="B202" s="5" t="str">
        <f>IFERROR(INDEX('بيانات الحركات'!B:B,MATCH(201,'بيانات الحركات'!$G:$G,0)),"")</f>
        <v/>
      </c>
      <c r="C202" s="3" t="str">
        <f>IFERROR(INDEX('بيانات الحركات'!C:C,MATCH(201,'بيانات الحركات'!$G:$G,0)),"")</f>
        <v/>
      </c>
      <c r="D202" s="3" t="str">
        <f>IFERROR(INDEX('بيانات الحركات'!D:D,MATCH(201,'بيانات الحركات'!$G:$G,0)),"")</f>
        <v/>
      </c>
      <c r="E202" s="21" t="str">
        <f>IF($B202="إنتاج طبخة","",IFERROR(INDEX('بيانات الحركات'!E:E,MATCH(201,'بيانات الحركات'!$G:$G,0)),""))</f>
        <v/>
      </c>
      <c r="F202" s="3" t="str">
        <f>IFERROR(INDEX('بيانات الحركات'!F:F,MATCH(201,'بيانات الحركات'!$G:$G,0)),"")</f>
        <v/>
      </c>
    </row>
    <row r="203" spans="1:6" ht="21.95" customHeight="1">
      <c r="A203" s="8" t="str">
        <f>IFERROR(INDEX('بيانات الحركات'!A:A,MATCH(202,'بيانات الحركات'!$G:$G,0)),"")</f>
        <v/>
      </c>
      <c r="B203" s="5" t="str">
        <f>IFERROR(INDEX('بيانات الحركات'!B:B,MATCH(202,'بيانات الحركات'!$G:$G,0)),"")</f>
        <v/>
      </c>
      <c r="C203" s="3" t="str">
        <f>IFERROR(INDEX('بيانات الحركات'!C:C,MATCH(202,'بيانات الحركات'!$G:$G,0)),"")</f>
        <v/>
      </c>
      <c r="D203" s="3" t="str">
        <f>IFERROR(INDEX('بيانات الحركات'!D:D,MATCH(202,'بيانات الحركات'!$G:$G,0)),"")</f>
        <v/>
      </c>
      <c r="E203" s="21" t="str">
        <f>IF($B203="إنتاج طبخة","",IFERROR(INDEX('بيانات الحركات'!E:E,MATCH(202,'بيانات الحركات'!$G:$G,0)),""))</f>
        <v/>
      </c>
      <c r="F203" s="3" t="str">
        <f>IFERROR(INDEX('بيانات الحركات'!F:F,MATCH(202,'بيانات الحركات'!$G:$G,0)),"")</f>
        <v/>
      </c>
    </row>
    <row r="204" spans="1:6" ht="21.95" customHeight="1">
      <c r="A204" s="8" t="str">
        <f>IFERROR(INDEX('بيانات الحركات'!A:A,MATCH(203,'بيانات الحركات'!$G:$G,0)),"")</f>
        <v/>
      </c>
      <c r="B204" s="5" t="str">
        <f>IFERROR(INDEX('بيانات الحركات'!B:B,MATCH(203,'بيانات الحركات'!$G:$G,0)),"")</f>
        <v/>
      </c>
      <c r="C204" s="3" t="str">
        <f>IFERROR(INDEX('بيانات الحركات'!C:C,MATCH(203,'بيانات الحركات'!$G:$G,0)),"")</f>
        <v/>
      </c>
      <c r="D204" s="3" t="str">
        <f>IFERROR(INDEX('بيانات الحركات'!D:D,MATCH(203,'بيانات الحركات'!$G:$G,0)),"")</f>
        <v/>
      </c>
      <c r="E204" s="21" t="str">
        <f>IF($B204="إنتاج طبخة","",IFERROR(INDEX('بيانات الحركات'!E:E,MATCH(203,'بيانات الحركات'!$G:$G,0)),""))</f>
        <v/>
      </c>
      <c r="F204" s="3" t="str">
        <f>IFERROR(INDEX('بيانات الحركات'!F:F,MATCH(203,'بيانات الحركات'!$G:$G,0)),"")</f>
        <v/>
      </c>
    </row>
    <row r="205" spans="1:6" ht="21.95" customHeight="1">
      <c r="A205" s="8" t="str">
        <f>IFERROR(INDEX('بيانات الحركات'!A:A,MATCH(204,'بيانات الحركات'!$G:$G,0)),"")</f>
        <v/>
      </c>
      <c r="B205" s="5" t="str">
        <f>IFERROR(INDEX('بيانات الحركات'!B:B,MATCH(204,'بيانات الحركات'!$G:$G,0)),"")</f>
        <v/>
      </c>
      <c r="C205" s="3" t="str">
        <f>IFERROR(INDEX('بيانات الحركات'!C:C,MATCH(204,'بيانات الحركات'!$G:$G,0)),"")</f>
        <v/>
      </c>
      <c r="D205" s="3" t="str">
        <f>IFERROR(INDEX('بيانات الحركات'!D:D,MATCH(204,'بيانات الحركات'!$G:$G,0)),"")</f>
        <v/>
      </c>
      <c r="E205" s="21" t="str">
        <f>IF($B205="إنتاج طبخة","",IFERROR(INDEX('بيانات الحركات'!E:E,MATCH(204,'بيانات الحركات'!$G:$G,0)),""))</f>
        <v/>
      </c>
      <c r="F205" s="3" t="str">
        <f>IFERROR(INDEX('بيانات الحركات'!F:F,MATCH(204,'بيانات الحركات'!$G:$G,0)),"")</f>
        <v/>
      </c>
    </row>
    <row r="206" spans="1:6" ht="21.95" customHeight="1">
      <c r="A206" s="8" t="str">
        <f>IFERROR(INDEX('بيانات الحركات'!A:A,MATCH(205,'بيانات الحركات'!$G:$G,0)),"")</f>
        <v/>
      </c>
      <c r="B206" s="5" t="str">
        <f>IFERROR(INDEX('بيانات الحركات'!B:B,MATCH(205,'بيانات الحركات'!$G:$G,0)),"")</f>
        <v/>
      </c>
      <c r="C206" s="3" t="str">
        <f>IFERROR(INDEX('بيانات الحركات'!C:C,MATCH(205,'بيانات الحركات'!$G:$G,0)),"")</f>
        <v/>
      </c>
      <c r="D206" s="3" t="str">
        <f>IFERROR(INDEX('بيانات الحركات'!D:D,MATCH(205,'بيانات الحركات'!$G:$G,0)),"")</f>
        <v/>
      </c>
      <c r="E206" s="21" t="str">
        <f>IF($B206="إنتاج طبخة","",IFERROR(INDEX('بيانات الحركات'!E:E,MATCH(205,'بيانات الحركات'!$G:$G,0)),""))</f>
        <v/>
      </c>
      <c r="F206" s="3" t="str">
        <f>IFERROR(INDEX('بيانات الحركات'!F:F,MATCH(205,'بيانات الحركات'!$G:$G,0)),"")</f>
        <v/>
      </c>
    </row>
    <row r="207" spans="1:6" ht="21.95" customHeight="1">
      <c r="A207" s="8" t="str">
        <f>IFERROR(INDEX('بيانات الحركات'!A:A,MATCH(206,'بيانات الحركات'!$G:$G,0)),"")</f>
        <v/>
      </c>
      <c r="B207" s="5" t="str">
        <f>IFERROR(INDEX('بيانات الحركات'!B:B,MATCH(206,'بيانات الحركات'!$G:$G,0)),"")</f>
        <v/>
      </c>
      <c r="C207" s="3" t="str">
        <f>IFERROR(INDEX('بيانات الحركات'!C:C,MATCH(206,'بيانات الحركات'!$G:$G,0)),"")</f>
        <v/>
      </c>
      <c r="D207" s="3" t="str">
        <f>IFERROR(INDEX('بيانات الحركات'!D:D,MATCH(206,'بيانات الحركات'!$G:$G,0)),"")</f>
        <v/>
      </c>
      <c r="E207" s="21" t="str">
        <f>IF($B207="إنتاج طبخة","",IFERROR(INDEX('بيانات الحركات'!E:E,MATCH(206,'بيانات الحركات'!$G:$G,0)),""))</f>
        <v/>
      </c>
      <c r="F207" s="3" t="str">
        <f>IFERROR(INDEX('بيانات الحركات'!F:F,MATCH(206,'بيانات الحركات'!$G:$G,0)),"")</f>
        <v/>
      </c>
    </row>
    <row r="208" spans="1:6" ht="21.95" customHeight="1">
      <c r="A208" s="8" t="str">
        <f>IFERROR(INDEX('بيانات الحركات'!A:A,MATCH(207,'بيانات الحركات'!$G:$G,0)),"")</f>
        <v/>
      </c>
      <c r="B208" s="5" t="str">
        <f>IFERROR(INDEX('بيانات الحركات'!B:B,MATCH(207,'بيانات الحركات'!$G:$G,0)),"")</f>
        <v/>
      </c>
      <c r="C208" s="3" t="str">
        <f>IFERROR(INDEX('بيانات الحركات'!C:C,MATCH(207,'بيانات الحركات'!$G:$G,0)),"")</f>
        <v/>
      </c>
      <c r="D208" s="3" t="str">
        <f>IFERROR(INDEX('بيانات الحركات'!D:D,MATCH(207,'بيانات الحركات'!$G:$G,0)),"")</f>
        <v/>
      </c>
      <c r="E208" s="21" t="str">
        <f>IF($B208="إنتاج طبخة","",IFERROR(INDEX('بيانات الحركات'!E:E,MATCH(207,'بيانات الحركات'!$G:$G,0)),""))</f>
        <v/>
      </c>
      <c r="F208" s="3" t="str">
        <f>IFERROR(INDEX('بيانات الحركات'!F:F,MATCH(207,'بيانات الحركات'!$G:$G,0)),"")</f>
        <v/>
      </c>
    </row>
    <row r="209" spans="1:6" ht="21.95" customHeight="1">
      <c r="A209" s="8" t="str">
        <f>IFERROR(INDEX('بيانات الحركات'!A:A,MATCH(208,'بيانات الحركات'!$G:$G,0)),"")</f>
        <v/>
      </c>
      <c r="B209" s="5" t="str">
        <f>IFERROR(INDEX('بيانات الحركات'!B:B,MATCH(208,'بيانات الحركات'!$G:$G,0)),"")</f>
        <v/>
      </c>
      <c r="C209" s="3" t="str">
        <f>IFERROR(INDEX('بيانات الحركات'!C:C,MATCH(208,'بيانات الحركات'!$G:$G,0)),"")</f>
        <v/>
      </c>
      <c r="D209" s="3" t="str">
        <f>IFERROR(INDEX('بيانات الحركات'!D:D,MATCH(208,'بيانات الحركات'!$G:$G,0)),"")</f>
        <v/>
      </c>
      <c r="E209" s="21" t="str">
        <f>IF($B209="إنتاج طبخة","",IFERROR(INDEX('بيانات الحركات'!E:E,MATCH(208,'بيانات الحركات'!$G:$G,0)),""))</f>
        <v/>
      </c>
      <c r="F209" s="3" t="str">
        <f>IFERROR(INDEX('بيانات الحركات'!F:F,MATCH(208,'بيانات الحركات'!$G:$G,0)),"")</f>
        <v/>
      </c>
    </row>
    <row r="210" spans="1:6" ht="21.95" customHeight="1">
      <c r="A210" s="8" t="str">
        <f>IFERROR(INDEX('بيانات الحركات'!A:A,MATCH(209,'بيانات الحركات'!$G:$G,0)),"")</f>
        <v/>
      </c>
      <c r="B210" s="5" t="str">
        <f>IFERROR(INDEX('بيانات الحركات'!B:B,MATCH(209,'بيانات الحركات'!$G:$G,0)),"")</f>
        <v/>
      </c>
      <c r="C210" s="3" t="str">
        <f>IFERROR(INDEX('بيانات الحركات'!C:C,MATCH(209,'بيانات الحركات'!$G:$G,0)),"")</f>
        <v/>
      </c>
      <c r="D210" s="3" t="str">
        <f>IFERROR(INDEX('بيانات الحركات'!D:D,MATCH(209,'بيانات الحركات'!$G:$G,0)),"")</f>
        <v/>
      </c>
      <c r="E210" s="21" t="str">
        <f>IF($B210="إنتاج طبخة","",IFERROR(INDEX('بيانات الحركات'!E:E,MATCH(209,'بيانات الحركات'!$G:$G,0)),""))</f>
        <v/>
      </c>
      <c r="F210" s="3" t="str">
        <f>IFERROR(INDEX('بيانات الحركات'!F:F,MATCH(209,'بيانات الحركات'!$G:$G,0)),"")</f>
        <v/>
      </c>
    </row>
    <row r="211" spans="1:6" ht="21.95" customHeight="1">
      <c r="A211" s="8" t="str">
        <f>IFERROR(INDEX('بيانات الحركات'!A:A,MATCH(210,'بيانات الحركات'!$G:$G,0)),"")</f>
        <v/>
      </c>
      <c r="B211" s="5" t="str">
        <f>IFERROR(INDEX('بيانات الحركات'!B:B,MATCH(210,'بيانات الحركات'!$G:$G,0)),"")</f>
        <v/>
      </c>
      <c r="C211" s="3" t="str">
        <f>IFERROR(INDEX('بيانات الحركات'!C:C,MATCH(210,'بيانات الحركات'!$G:$G,0)),"")</f>
        <v/>
      </c>
      <c r="D211" s="3" t="str">
        <f>IFERROR(INDEX('بيانات الحركات'!D:D,MATCH(210,'بيانات الحركات'!$G:$G,0)),"")</f>
        <v/>
      </c>
      <c r="E211" s="21" t="str">
        <f>IF($B211="إنتاج طبخة","",IFERROR(INDEX('بيانات الحركات'!E:E,MATCH(210,'بيانات الحركات'!$G:$G,0)),""))</f>
        <v/>
      </c>
      <c r="F211" s="3" t="str">
        <f>IFERROR(INDEX('بيانات الحركات'!F:F,MATCH(210,'بيانات الحركات'!$G:$G,0)),"")</f>
        <v/>
      </c>
    </row>
    <row r="212" spans="1:6" ht="21.95" customHeight="1">
      <c r="A212" s="8" t="str">
        <f>IFERROR(INDEX('بيانات الحركات'!A:A,MATCH(211,'بيانات الحركات'!$G:$G,0)),"")</f>
        <v/>
      </c>
      <c r="B212" s="5" t="str">
        <f>IFERROR(INDEX('بيانات الحركات'!B:B,MATCH(211,'بيانات الحركات'!$G:$G,0)),"")</f>
        <v/>
      </c>
      <c r="C212" s="3" t="str">
        <f>IFERROR(INDEX('بيانات الحركات'!C:C,MATCH(211,'بيانات الحركات'!$G:$G,0)),"")</f>
        <v/>
      </c>
      <c r="D212" s="3" t="str">
        <f>IFERROR(INDEX('بيانات الحركات'!D:D,MATCH(211,'بيانات الحركات'!$G:$G,0)),"")</f>
        <v/>
      </c>
      <c r="E212" s="21" t="str">
        <f>IF($B212="إنتاج طبخة","",IFERROR(INDEX('بيانات الحركات'!E:E,MATCH(211,'بيانات الحركات'!$G:$G,0)),""))</f>
        <v/>
      </c>
      <c r="F212" s="3" t="str">
        <f>IFERROR(INDEX('بيانات الحركات'!F:F,MATCH(211,'بيانات الحركات'!$G:$G,0)),"")</f>
        <v/>
      </c>
    </row>
    <row r="213" spans="1:6" ht="21.95" customHeight="1">
      <c r="A213" s="8" t="str">
        <f>IFERROR(INDEX('بيانات الحركات'!A:A,MATCH(212,'بيانات الحركات'!$G:$G,0)),"")</f>
        <v/>
      </c>
      <c r="B213" s="5" t="str">
        <f>IFERROR(INDEX('بيانات الحركات'!B:B,MATCH(212,'بيانات الحركات'!$G:$G,0)),"")</f>
        <v/>
      </c>
      <c r="C213" s="3" t="str">
        <f>IFERROR(INDEX('بيانات الحركات'!C:C,MATCH(212,'بيانات الحركات'!$G:$G,0)),"")</f>
        <v/>
      </c>
      <c r="D213" s="3" t="str">
        <f>IFERROR(INDEX('بيانات الحركات'!D:D,MATCH(212,'بيانات الحركات'!$G:$G,0)),"")</f>
        <v/>
      </c>
      <c r="E213" s="21" t="str">
        <f>IF($B213="إنتاج طبخة","",IFERROR(INDEX('بيانات الحركات'!E:E,MATCH(212,'بيانات الحركات'!$G:$G,0)),""))</f>
        <v/>
      </c>
      <c r="F213" s="3" t="str">
        <f>IFERROR(INDEX('بيانات الحركات'!F:F,MATCH(212,'بيانات الحركات'!$G:$G,0)),"")</f>
        <v/>
      </c>
    </row>
    <row r="214" spans="1:6" ht="21.95" customHeight="1">
      <c r="A214" s="8" t="str">
        <f>IFERROR(INDEX('بيانات الحركات'!A:A,MATCH(213,'بيانات الحركات'!$G:$G,0)),"")</f>
        <v/>
      </c>
      <c r="B214" s="5" t="str">
        <f>IFERROR(INDEX('بيانات الحركات'!B:B,MATCH(213,'بيانات الحركات'!$G:$G,0)),"")</f>
        <v/>
      </c>
      <c r="C214" s="3" t="str">
        <f>IFERROR(INDEX('بيانات الحركات'!C:C,MATCH(213,'بيانات الحركات'!$G:$G,0)),"")</f>
        <v/>
      </c>
      <c r="D214" s="3" t="str">
        <f>IFERROR(INDEX('بيانات الحركات'!D:D,MATCH(213,'بيانات الحركات'!$G:$G,0)),"")</f>
        <v/>
      </c>
      <c r="E214" s="21" t="str">
        <f>IF($B214="إنتاج طبخة","",IFERROR(INDEX('بيانات الحركات'!E:E,MATCH(213,'بيانات الحركات'!$G:$G,0)),""))</f>
        <v/>
      </c>
      <c r="F214" s="3" t="str">
        <f>IFERROR(INDEX('بيانات الحركات'!F:F,MATCH(213,'بيانات الحركات'!$G:$G,0)),"")</f>
        <v/>
      </c>
    </row>
    <row r="215" spans="1:6" ht="21.95" customHeight="1">
      <c r="A215" s="8" t="str">
        <f>IFERROR(INDEX('بيانات الحركات'!A:A,MATCH(214,'بيانات الحركات'!$G:$G,0)),"")</f>
        <v/>
      </c>
      <c r="B215" s="5" t="str">
        <f>IFERROR(INDEX('بيانات الحركات'!B:B,MATCH(214,'بيانات الحركات'!$G:$G,0)),"")</f>
        <v/>
      </c>
      <c r="C215" s="3" t="str">
        <f>IFERROR(INDEX('بيانات الحركات'!C:C,MATCH(214,'بيانات الحركات'!$G:$G,0)),"")</f>
        <v/>
      </c>
      <c r="D215" s="3" t="str">
        <f>IFERROR(INDEX('بيانات الحركات'!D:D,MATCH(214,'بيانات الحركات'!$G:$G,0)),"")</f>
        <v/>
      </c>
      <c r="E215" s="21" t="str">
        <f>IF($B215="إنتاج طبخة","",IFERROR(INDEX('بيانات الحركات'!E:E,MATCH(214,'بيانات الحركات'!$G:$G,0)),""))</f>
        <v/>
      </c>
      <c r="F215" s="3" t="str">
        <f>IFERROR(INDEX('بيانات الحركات'!F:F,MATCH(214,'بيانات الحركات'!$G:$G,0)),"")</f>
        <v/>
      </c>
    </row>
    <row r="216" spans="1:6" ht="21.95" customHeight="1">
      <c r="A216" s="8" t="str">
        <f>IFERROR(INDEX('بيانات الحركات'!A:A,MATCH(215,'بيانات الحركات'!$G:$G,0)),"")</f>
        <v/>
      </c>
      <c r="B216" s="5" t="str">
        <f>IFERROR(INDEX('بيانات الحركات'!B:B,MATCH(215,'بيانات الحركات'!$G:$G,0)),"")</f>
        <v/>
      </c>
      <c r="C216" s="3" t="str">
        <f>IFERROR(INDEX('بيانات الحركات'!C:C,MATCH(215,'بيانات الحركات'!$G:$G,0)),"")</f>
        <v/>
      </c>
      <c r="D216" s="3" t="str">
        <f>IFERROR(INDEX('بيانات الحركات'!D:D,MATCH(215,'بيانات الحركات'!$G:$G,0)),"")</f>
        <v/>
      </c>
      <c r="E216" s="21" t="str">
        <f>IF($B216="إنتاج طبخة","",IFERROR(INDEX('بيانات الحركات'!E:E,MATCH(215,'بيانات الحركات'!$G:$G,0)),""))</f>
        <v/>
      </c>
      <c r="F216" s="3" t="str">
        <f>IFERROR(INDEX('بيانات الحركات'!F:F,MATCH(215,'بيانات الحركات'!$G:$G,0)),"")</f>
        <v/>
      </c>
    </row>
    <row r="217" spans="1:6" ht="21.95" customHeight="1">
      <c r="A217" s="8" t="str">
        <f>IFERROR(INDEX('بيانات الحركات'!A:A,MATCH(216,'بيانات الحركات'!$G:$G,0)),"")</f>
        <v/>
      </c>
      <c r="B217" s="5" t="str">
        <f>IFERROR(INDEX('بيانات الحركات'!B:B,MATCH(216,'بيانات الحركات'!$G:$G,0)),"")</f>
        <v/>
      </c>
      <c r="C217" s="3" t="str">
        <f>IFERROR(INDEX('بيانات الحركات'!C:C,MATCH(216,'بيانات الحركات'!$G:$G,0)),"")</f>
        <v/>
      </c>
      <c r="D217" s="3" t="str">
        <f>IFERROR(INDEX('بيانات الحركات'!D:D,MATCH(216,'بيانات الحركات'!$G:$G,0)),"")</f>
        <v/>
      </c>
      <c r="E217" s="21" t="str">
        <f>IF($B217="إنتاج طبخة","",IFERROR(INDEX('بيانات الحركات'!E:E,MATCH(216,'بيانات الحركات'!$G:$G,0)),""))</f>
        <v/>
      </c>
      <c r="F217" s="3" t="str">
        <f>IFERROR(INDEX('بيانات الحركات'!F:F,MATCH(216,'بيانات الحركات'!$G:$G,0)),"")</f>
        <v/>
      </c>
    </row>
    <row r="218" spans="1:6" ht="21.95" customHeight="1">
      <c r="A218" s="8" t="str">
        <f>IFERROR(INDEX('بيانات الحركات'!A:A,MATCH(217,'بيانات الحركات'!$G:$G,0)),"")</f>
        <v/>
      </c>
      <c r="B218" s="5" t="str">
        <f>IFERROR(INDEX('بيانات الحركات'!B:B,MATCH(217,'بيانات الحركات'!$G:$G,0)),"")</f>
        <v/>
      </c>
      <c r="C218" s="3" t="str">
        <f>IFERROR(INDEX('بيانات الحركات'!C:C,MATCH(217,'بيانات الحركات'!$G:$G,0)),"")</f>
        <v/>
      </c>
      <c r="D218" s="3" t="str">
        <f>IFERROR(INDEX('بيانات الحركات'!D:D,MATCH(217,'بيانات الحركات'!$G:$G,0)),"")</f>
        <v/>
      </c>
      <c r="E218" s="21" t="str">
        <f>IF($B218="إنتاج طبخة","",IFERROR(INDEX('بيانات الحركات'!E:E,MATCH(217,'بيانات الحركات'!$G:$G,0)),""))</f>
        <v/>
      </c>
      <c r="F218" s="3" t="str">
        <f>IFERROR(INDEX('بيانات الحركات'!F:F,MATCH(217,'بيانات الحركات'!$G:$G,0)),"")</f>
        <v/>
      </c>
    </row>
    <row r="219" spans="1:6" ht="21.95" customHeight="1">
      <c r="A219" s="8" t="str">
        <f>IFERROR(INDEX('بيانات الحركات'!A:A,MATCH(218,'بيانات الحركات'!$G:$G,0)),"")</f>
        <v/>
      </c>
      <c r="B219" s="5" t="str">
        <f>IFERROR(INDEX('بيانات الحركات'!B:B,MATCH(218,'بيانات الحركات'!$G:$G,0)),"")</f>
        <v/>
      </c>
      <c r="C219" s="3" t="str">
        <f>IFERROR(INDEX('بيانات الحركات'!C:C,MATCH(218,'بيانات الحركات'!$G:$G,0)),"")</f>
        <v/>
      </c>
      <c r="D219" s="3" t="str">
        <f>IFERROR(INDEX('بيانات الحركات'!D:D,MATCH(218,'بيانات الحركات'!$G:$G,0)),"")</f>
        <v/>
      </c>
      <c r="E219" s="21" t="str">
        <f>IF($B219="إنتاج طبخة","",IFERROR(INDEX('بيانات الحركات'!E:E,MATCH(218,'بيانات الحركات'!$G:$G,0)),""))</f>
        <v/>
      </c>
      <c r="F219" s="3" t="str">
        <f>IFERROR(INDEX('بيانات الحركات'!F:F,MATCH(218,'بيانات الحركات'!$G:$G,0)),"")</f>
        <v/>
      </c>
    </row>
    <row r="220" spans="1:6" ht="21.95" customHeight="1">
      <c r="A220" s="8" t="str">
        <f>IFERROR(INDEX('بيانات الحركات'!A:A,MATCH(219,'بيانات الحركات'!$G:$G,0)),"")</f>
        <v/>
      </c>
      <c r="B220" s="5" t="str">
        <f>IFERROR(INDEX('بيانات الحركات'!B:B,MATCH(219,'بيانات الحركات'!$G:$G,0)),"")</f>
        <v/>
      </c>
      <c r="C220" s="3" t="str">
        <f>IFERROR(INDEX('بيانات الحركات'!C:C,MATCH(219,'بيانات الحركات'!$G:$G,0)),"")</f>
        <v/>
      </c>
      <c r="D220" s="3" t="str">
        <f>IFERROR(INDEX('بيانات الحركات'!D:D,MATCH(219,'بيانات الحركات'!$G:$G,0)),"")</f>
        <v/>
      </c>
      <c r="E220" s="21" t="str">
        <f>IF($B220="إنتاج طبخة","",IFERROR(INDEX('بيانات الحركات'!E:E,MATCH(219,'بيانات الحركات'!$G:$G,0)),""))</f>
        <v/>
      </c>
      <c r="F220" s="3" t="str">
        <f>IFERROR(INDEX('بيانات الحركات'!F:F,MATCH(219,'بيانات الحركات'!$G:$G,0)),"")</f>
        <v/>
      </c>
    </row>
    <row r="221" spans="1:6" ht="21.95" customHeight="1">
      <c r="A221" s="8" t="str">
        <f>IFERROR(INDEX('بيانات الحركات'!A:A,MATCH(220,'بيانات الحركات'!$G:$G,0)),"")</f>
        <v/>
      </c>
      <c r="B221" s="5" t="str">
        <f>IFERROR(INDEX('بيانات الحركات'!B:B,MATCH(220,'بيانات الحركات'!$G:$G,0)),"")</f>
        <v/>
      </c>
      <c r="C221" s="3" t="str">
        <f>IFERROR(INDEX('بيانات الحركات'!C:C,MATCH(220,'بيانات الحركات'!$G:$G,0)),"")</f>
        <v/>
      </c>
      <c r="D221" s="3" t="str">
        <f>IFERROR(INDEX('بيانات الحركات'!D:D,MATCH(220,'بيانات الحركات'!$G:$G,0)),"")</f>
        <v/>
      </c>
      <c r="E221" s="21" t="str">
        <f>IF($B221="إنتاج طبخة","",IFERROR(INDEX('بيانات الحركات'!E:E,MATCH(220,'بيانات الحركات'!$G:$G,0)),""))</f>
        <v/>
      </c>
      <c r="F221" s="3" t="str">
        <f>IFERROR(INDEX('بيانات الحركات'!F:F,MATCH(220,'بيانات الحركات'!$G:$G,0)),"")</f>
        <v/>
      </c>
    </row>
    <row r="222" spans="1:6" ht="21.95" customHeight="1">
      <c r="A222" s="8" t="str">
        <f>IFERROR(INDEX('بيانات الحركات'!A:A,MATCH(221,'بيانات الحركات'!$G:$G,0)),"")</f>
        <v/>
      </c>
      <c r="B222" s="5" t="str">
        <f>IFERROR(INDEX('بيانات الحركات'!B:B,MATCH(221,'بيانات الحركات'!$G:$G,0)),"")</f>
        <v/>
      </c>
      <c r="C222" s="3" t="str">
        <f>IFERROR(INDEX('بيانات الحركات'!C:C,MATCH(221,'بيانات الحركات'!$G:$G,0)),"")</f>
        <v/>
      </c>
      <c r="D222" s="3" t="str">
        <f>IFERROR(INDEX('بيانات الحركات'!D:D,MATCH(221,'بيانات الحركات'!$G:$G,0)),"")</f>
        <v/>
      </c>
      <c r="E222" s="21" t="str">
        <f>IF($B222="إنتاج طبخة","",IFERROR(INDEX('بيانات الحركات'!E:E,MATCH(221,'بيانات الحركات'!$G:$G,0)),""))</f>
        <v/>
      </c>
      <c r="F222" s="3" t="str">
        <f>IFERROR(INDEX('بيانات الحركات'!F:F,MATCH(221,'بيانات الحركات'!$G:$G,0)),"")</f>
        <v/>
      </c>
    </row>
    <row r="223" spans="1:6" ht="21.95" customHeight="1">
      <c r="A223" s="8" t="str">
        <f>IFERROR(INDEX('بيانات الحركات'!A:A,MATCH(222,'بيانات الحركات'!$G:$G,0)),"")</f>
        <v/>
      </c>
      <c r="B223" s="5" t="str">
        <f>IFERROR(INDEX('بيانات الحركات'!B:B,MATCH(222,'بيانات الحركات'!$G:$G,0)),"")</f>
        <v/>
      </c>
      <c r="C223" s="3" t="str">
        <f>IFERROR(INDEX('بيانات الحركات'!C:C,MATCH(222,'بيانات الحركات'!$G:$G,0)),"")</f>
        <v/>
      </c>
      <c r="D223" s="3" t="str">
        <f>IFERROR(INDEX('بيانات الحركات'!D:D,MATCH(222,'بيانات الحركات'!$G:$G,0)),"")</f>
        <v/>
      </c>
      <c r="E223" s="21" t="str">
        <f>IF($B223="إنتاج طبخة","",IFERROR(INDEX('بيانات الحركات'!E:E,MATCH(222,'بيانات الحركات'!$G:$G,0)),""))</f>
        <v/>
      </c>
      <c r="F223" s="3" t="str">
        <f>IFERROR(INDEX('بيانات الحركات'!F:F,MATCH(222,'بيانات الحركات'!$G:$G,0)),"")</f>
        <v/>
      </c>
    </row>
    <row r="224" spans="1:6" ht="21.95" customHeight="1">
      <c r="A224" s="8" t="str">
        <f>IFERROR(INDEX('بيانات الحركات'!A:A,MATCH(223,'بيانات الحركات'!$G:$G,0)),"")</f>
        <v/>
      </c>
      <c r="B224" s="5" t="str">
        <f>IFERROR(INDEX('بيانات الحركات'!B:B,MATCH(223,'بيانات الحركات'!$G:$G,0)),"")</f>
        <v/>
      </c>
      <c r="C224" s="3" t="str">
        <f>IFERROR(INDEX('بيانات الحركات'!C:C,MATCH(223,'بيانات الحركات'!$G:$G,0)),"")</f>
        <v/>
      </c>
      <c r="D224" s="3" t="str">
        <f>IFERROR(INDEX('بيانات الحركات'!D:D,MATCH(223,'بيانات الحركات'!$G:$G,0)),"")</f>
        <v/>
      </c>
      <c r="E224" s="21" t="str">
        <f>IF($B224="إنتاج طبخة","",IFERROR(INDEX('بيانات الحركات'!E:E,MATCH(223,'بيانات الحركات'!$G:$G,0)),""))</f>
        <v/>
      </c>
      <c r="F224" s="3" t="str">
        <f>IFERROR(INDEX('بيانات الحركات'!F:F,MATCH(223,'بيانات الحركات'!$G:$G,0)),"")</f>
        <v/>
      </c>
    </row>
    <row r="225" spans="1:6" ht="21.95" customHeight="1">
      <c r="A225" s="8" t="str">
        <f>IFERROR(INDEX('بيانات الحركات'!A:A,MATCH(224,'بيانات الحركات'!$G:$G,0)),"")</f>
        <v/>
      </c>
      <c r="B225" s="5" t="str">
        <f>IFERROR(INDEX('بيانات الحركات'!B:B,MATCH(224,'بيانات الحركات'!$G:$G,0)),"")</f>
        <v/>
      </c>
      <c r="C225" s="3" t="str">
        <f>IFERROR(INDEX('بيانات الحركات'!C:C,MATCH(224,'بيانات الحركات'!$G:$G,0)),"")</f>
        <v/>
      </c>
      <c r="D225" s="3" t="str">
        <f>IFERROR(INDEX('بيانات الحركات'!D:D,MATCH(224,'بيانات الحركات'!$G:$G,0)),"")</f>
        <v/>
      </c>
      <c r="E225" s="21" t="str">
        <f>IF($B225="إنتاج طبخة","",IFERROR(INDEX('بيانات الحركات'!E:E,MATCH(224,'بيانات الحركات'!$G:$G,0)),""))</f>
        <v/>
      </c>
      <c r="F225" s="3" t="str">
        <f>IFERROR(INDEX('بيانات الحركات'!F:F,MATCH(224,'بيانات الحركات'!$G:$G,0)),"")</f>
        <v/>
      </c>
    </row>
    <row r="226" spans="1:6" ht="21.95" customHeight="1">
      <c r="A226" s="8" t="str">
        <f>IFERROR(INDEX('بيانات الحركات'!A:A,MATCH(225,'بيانات الحركات'!$G:$G,0)),"")</f>
        <v/>
      </c>
      <c r="B226" s="5" t="str">
        <f>IFERROR(INDEX('بيانات الحركات'!B:B,MATCH(225,'بيانات الحركات'!$G:$G,0)),"")</f>
        <v/>
      </c>
      <c r="C226" s="3" t="str">
        <f>IFERROR(INDEX('بيانات الحركات'!C:C,MATCH(225,'بيانات الحركات'!$G:$G,0)),"")</f>
        <v/>
      </c>
      <c r="D226" s="3" t="str">
        <f>IFERROR(INDEX('بيانات الحركات'!D:D,MATCH(225,'بيانات الحركات'!$G:$G,0)),"")</f>
        <v/>
      </c>
      <c r="E226" s="21" t="str">
        <f>IF($B226="إنتاج طبخة","",IFERROR(INDEX('بيانات الحركات'!E:E,MATCH(225,'بيانات الحركات'!$G:$G,0)),""))</f>
        <v/>
      </c>
      <c r="F226" s="3" t="str">
        <f>IFERROR(INDEX('بيانات الحركات'!F:F,MATCH(225,'بيانات الحركات'!$G:$G,0)),"")</f>
        <v/>
      </c>
    </row>
    <row r="227" spans="1:6" ht="21.95" customHeight="1">
      <c r="A227" s="8" t="str">
        <f>IFERROR(INDEX('بيانات الحركات'!A:A,MATCH(226,'بيانات الحركات'!$G:$G,0)),"")</f>
        <v/>
      </c>
      <c r="B227" s="5" t="str">
        <f>IFERROR(INDEX('بيانات الحركات'!B:B,MATCH(226,'بيانات الحركات'!$G:$G,0)),"")</f>
        <v/>
      </c>
      <c r="C227" s="3" t="str">
        <f>IFERROR(INDEX('بيانات الحركات'!C:C,MATCH(226,'بيانات الحركات'!$G:$G,0)),"")</f>
        <v/>
      </c>
      <c r="D227" s="3" t="str">
        <f>IFERROR(INDEX('بيانات الحركات'!D:D,MATCH(226,'بيانات الحركات'!$G:$G,0)),"")</f>
        <v/>
      </c>
      <c r="E227" s="21" t="str">
        <f>IF($B227="إنتاج طبخة","",IFERROR(INDEX('بيانات الحركات'!E:E,MATCH(226,'بيانات الحركات'!$G:$G,0)),""))</f>
        <v/>
      </c>
      <c r="F227" s="3" t="str">
        <f>IFERROR(INDEX('بيانات الحركات'!F:F,MATCH(226,'بيانات الحركات'!$G:$G,0)),"")</f>
        <v/>
      </c>
    </row>
    <row r="228" spans="1:6" ht="21.95" customHeight="1">
      <c r="A228" s="8" t="str">
        <f>IFERROR(INDEX('بيانات الحركات'!A:A,MATCH(227,'بيانات الحركات'!$G:$G,0)),"")</f>
        <v/>
      </c>
      <c r="B228" s="5" t="str">
        <f>IFERROR(INDEX('بيانات الحركات'!B:B,MATCH(227,'بيانات الحركات'!$G:$G,0)),"")</f>
        <v/>
      </c>
      <c r="C228" s="3" t="str">
        <f>IFERROR(INDEX('بيانات الحركات'!C:C,MATCH(227,'بيانات الحركات'!$G:$G,0)),"")</f>
        <v/>
      </c>
      <c r="D228" s="3" t="str">
        <f>IFERROR(INDEX('بيانات الحركات'!D:D,MATCH(227,'بيانات الحركات'!$G:$G,0)),"")</f>
        <v/>
      </c>
      <c r="E228" s="21" t="str">
        <f>IF($B228="إنتاج طبخة","",IFERROR(INDEX('بيانات الحركات'!E:E,MATCH(227,'بيانات الحركات'!$G:$G,0)),""))</f>
        <v/>
      </c>
      <c r="F228" s="3" t="str">
        <f>IFERROR(INDEX('بيانات الحركات'!F:F,MATCH(227,'بيانات الحركات'!$G:$G,0)),"")</f>
        <v/>
      </c>
    </row>
    <row r="229" spans="1:6" ht="21.95" customHeight="1">
      <c r="A229" s="8" t="str">
        <f>IFERROR(INDEX('بيانات الحركات'!A:A,MATCH(228,'بيانات الحركات'!$G:$G,0)),"")</f>
        <v/>
      </c>
      <c r="B229" s="5" t="str">
        <f>IFERROR(INDEX('بيانات الحركات'!B:B,MATCH(228,'بيانات الحركات'!$G:$G,0)),"")</f>
        <v/>
      </c>
      <c r="C229" s="3" t="str">
        <f>IFERROR(INDEX('بيانات الحركات'!C:C,MATCH(228,'بيانات الحركات'!$G:$G,0)),"")</f>
        <v/>
      </c>
      <c r="D229" s="3" t="str">
        <f>IFERROR(INDEX('بيانات الحركات'!D:D,MATCH(228,'بيانات الحركات'!$G:$G,0)),"")</f>
        <v/>
      </c>
      <c r="E229" s="21" t="str">
        <f>IF($B229="إنتاج طبخة","",IFERROR(INDEX('بيانات الحركات'!E:E,MATCH(228,'بيانات الحركات'!$G:$G,0)),""))</f>
        <v/>
      </c>
      <c r="F229" s="3" t="str">
        <f>IFERROR(INDEX('بيانات الحركات'!F:F,MATCH(228,'بيانات الحركات'!$G:$G,0)),"")</f>
        <v/>
      </c>
    </row>
    <row r="230" spans="1:6" ht="21.95" customHeight="1">
      <c r="A230" s="8" t="str">
        <f>IFERROR(INDEX('بيانات الحركات'!A:A,MATCH(229,'بيانات الحركات'!$G:$G,0)),"")</f>
        <v/>
      </c>
      <c r="B230" s="5" t="str">
        <f>IFERROR(INDEX('بيانات الحركات'!B:B,MATCH(229,'بيانات الحركات'!$G:$G,0)),"")</f>
        <v/>
      </c>
      <c r="C230" s="3" t="str">
        <f>IFERROR(INDEX('بيانات الحركات'!C:C,MATCH(229,'بيانات الحركات'!$G:$G,0)),"")</f>
        <v/>
      </c>
      <c r="D230" s="3" t="str">
        <f>IFERROR(INDEX('بيانات الحركات'!D:D,MATCH(229,'بيانات الحركات'!$G:$G,0)),"")</f>
        <v/>
      </c>
      <c r="E230" s="21" t="str">
        <f>IF($B230="إنتاج طبخة","",IFERROR(INDEX('بيانات الحركات'!E:E,MATCH(229,'بيانات الحركات'!$G:$G,0)),""))</f>
        <v/>
      </c>
      <c r="F230" s="3" t="str">
        <f>IFERROR(INDEX('بيانات الحركات'!F:F,MATCH(229,'بيانات الحركات'!$G:$G,0)),"")</f>
        <v/>
      </c>
    </row>
    <row r="231" spans="1:6" ht="21.95" customHeight="1">
      <c r="A231" s="8" t="str">
        <f>IFERROR(INDEX('بيانات الحركات'!A:A,MATCH(230,'بيانات الحركات'!$G:$G,0)),"")</f>
        <v/>
      </c>
      <c r="B231" s="5" t="str">
        <f>IFERROR(INDEX('بيانات الحركات'!B:B,MATCH(230,'بيانات الحركات'!$G:$G,0)),"")</f>
        <v/>
      </c>
      <c r="C231" s="3" t="str">
        <f>IFERROR(INDEX('بيانات الحركات'!C:C,MATCH(230,'بيانات الحركات'!$G:$G,0)),"")</f>
        <v/>
      </c>
      <c r="D231" s="3" t="str">
        <f>IFERROR(INDEX('بيانات الحركات'!D:D,MATCH(230,'بيانات الحركات'!$G:$G,0)),"")</f>
        <v/>
      </c>
      <c r="E231" s="21" t="str">
        <f>IF($B231="إنتاج طبخة","",IFERROR(INDEX('بيانات الحركات'!E:E,MATCH(230,'بيانات الحركات'!$G:$G,0)),""))</f>
        <v/>
      </c>
      <c r="F231" s="3" t="str">
        <f>IFERROR(INDEX('بيانات الحركات'!F:F,MATCH(230,'بيانات الحركات'!$G:$G,0)),"")</f>
        <v/>
      </c>
    </row>
    <row r="232" spans="1:6" ht="21.95" customHeight="1">
      <c r="A232" s="8" t="str">
        <f>IFERROR(INDEX('بيانات الحركات'!A:A,MATCH(231,'بيانات الحركات'!$G:$G,0)),"")</f>
        <v/>
      </c>
      <c r="B232" s="5" t="str">
        <f>IFERROR(INDEX('بيانات الحركات'!B:B,MATCH(231,'بيانات الحركات'!$G:$G,0)),"")</f>
        <v/>
      </c>
      <c r="C232" s="3" t="str">
        <f>IFERROR(INDEX('بيانات الحركات'!C:C,MATCH(231,'بيانات الحركات'!$G:$G,0)),"")</f>
        <v/>
      </c>
      <c r="D232" s="3" t="str">
        <f>IFERROR(INDEX('بيانات الحركات'!D:D,MATCH(231,'بيانات الحركات'!$G:$G,0)),"")</f>
        <v/>
      </c>
      <c r="E232" s="21" t="str">
        <f>IF($B232="إنتاج طبخة","",IFERROR(INDEX('بيانات الحركات'!E:E,MATCH(231,'بيانات الحركات'!$G:$G,0)),""))</f>
        <v/>
      </c>
      <c r="F232" s="3" t="str">
        <f>IFERROR(INDEX('بيانات الحركات'!F:F,MATCH(231,'بيانات الحركات'!$G:$G,0)),"")</f>
        <v/>
      </c>
    </row>
    <row r="233" spans="1:6" ht="21.95" customHeight="1">
      <c r="A233" s="8" t="str">
        <f>IFERROR(INDEX('بيانات الحركات'!A:A,MATCH(232,'بيانات الحركات'!$G:$G,0)),"")</f>
        <v/>
      </c>
      <c r="B233" s="5" t="str">
        <f>IFERROR(INDEX('بيانات الحركات'!B:B,MATCH(232,'بيانات الحركات'!$G:$G,0)),"")</f>
        <v/>
      </c>
      <c r="C233" s="3" t="str">
        <f>IFERROR(INDEX('بيانات الحركات'!C:C,MATCH(232,'بيانات الحركات'!$G:$G,0)),"")</f>
        <v/>
      </c>
      <c r="D233" s="3" t="str">
        <f>IFERROR(INDEX('بيانات الحركات'!D:D,MATCH(232,'بيانات الحركات'!$G:$G,0)),"")</f>
        <v/>
      </c>
      <c r="E233" s="21" t="str">
        <f>IF($B233="إنتاج طبخة","",IFERROR(INDEX('بيانات الحركات'!E:E,MATCH(232,'بيانات الحركات'!$G:$G,0)),""))</f>
        <v/>
      </c>
      <c r="F233" s="3" t="str">
        <f>IFERROR(INDEX('بيانات الحركات'!F:F,MATCH(232,'بيانات الحركات'!$G:$G,0)),"")</f>
        <v/>
      </c>
    </row>
    <row r="234" spans="1:6" ht="21.95" customHeight="1">
      <c r="A234" s="8" t="str">
        <f>IFERROR(INDEX('بيانات الحركات'!A:A,MATCH(233,'بيانات الحركات'!$G:$G,0)),"")</f>
        <v/>
      </c>
      <c r="B234" s="5" t="str">
        <f>IFERROR(INDEX('بيانات الحركات'!B:B,MATCH(233,'بيانات الحركات'!$G:$G,0)),"")</f>
        <v/>
      </c>
      <c r="C234" s="3" t="str">
        <f>IFERROR(INDEX('بيانات الحركات'!C:C,MATCH(233,'بيانات الحركات'!$G:$G,0)),"")</f>
        <v/>
      </c>
      <c r="D234" s="3" t="str">
        <f>IFERROR(INDEX('بيانات الحركات'!D:D,MATCH(233,'بيانات الحركات'!$G:$G,0)),"")</f>
        <v/>
      </c>
      <c r="E234" s="21" t="str">
        <f>IF($B234="إنتاج طبخة","",IFERROR(INDEX('بيانات الحركات'!E:E,MATCH(233,'بيانات الحركات'!$G:$G,0)),""))</f>
        <v/>
      </c>
      <c r="F234" s="3" t="str">
        <f>IFERROR(INDEX('بيانات الحركات'!F:F,MATCH(233,'بيانات الحركات'!$G:$G,0)),"")</f>
        <v/>
      </c>
    </row>
    <row r="235" spans="1:6" ht="21.95" customHeight="1">
      <c r="A235" s="8" t="str">
        <f>IFERROR(INDEX('بيانات الحركات'!A:A,MATCH(234,'بيانات الحركات'!$G:$G,0)),"")</f>
        <v/>
      </c>
      <c r="B235" s="5" t="str">
        <f>IFERROR(INDEX('بيانات الحركات'!B:B,MATCH(234,'بيانات الحركات'!$G:$G,0)),"")</f>
        <v/>
      </c>
      <c r="C235" s="3" t="str">
        <f>IFERROR(INDEX('بيانات الحركات'!C:C,MATCH(234,'بيانات الحركات'!$G:$G,0)),"")</f>
        <v/>
      </c>
      <c r="D235" s="3" t="str">
        <f>IFERROR(INDEX('بيانات الحركات'!D:D,MATCH(234,'بيانات الحركات'!$G:$G,0)),"")</f>
        <v/>
      </c>
      <c r="E235" s="21" t="str">
        <f>IF($B235="إنتاج طبخة","",IFERROR(INDEX('بيانات الحركات'!E:E,MATCH(234,'بيانات الحركات'!$G:$G,0)),""))</f>
        <v/>
      </c>
      <c r="F235" s="3" t="str">
        <f>IFERROR(INDEX('بيانات الحركات'!F:F,MATCH(234,'بيانات الحركات'!$G:$G,0)),"")</f>
        <v/>
      </c>
    </row>
    <row r="236" spans="1:6" ht="21.95" customHeight="1">
      <c r="A236" s="8" t="str">
        <f>IFERROR(INDEX('بيانات الحركات'!A:A,MATCH(235,'بيانات الحركات'!$G:$G,0)),"")</f>
        <v/>
      </c>
      <c r="B236" s="5" t="str">
        <f>IFERROR(INDEX('بيانات الحركات'!B:B,MATCH(235,'بيانات الحركات'!$G:$G,0)),"")</f>
        <v/>
      </c>
      <c r="C236" s="3" t="str">
        <f>IFERROR(INDEX('بيانات الحركات'!C:C,MATCH(235,'بيانات الحركات'!$G:$G,0)),"")</f>
        <v/>
      </c>
      <c r="D236" s="3" t="str">
        <f>IFERROR(INDEX('بيانات الحركات'!D:D,MATCH(235,'بيانات الحركات'!$G:$G,0)),"")</f>
        <v/>
      </c>
      <c r="E236" s="21" t="str">
        <f>IF($B236="إنتاج طبخة","",IFERROR(INDEX('بيانات الحركات'!E:E,MATCH(235,'بيانات الحركات'!$G:$G,0)),""))</f>
        <v/>
      </c>
      <c r="F236" s="3" t="str">
        <f>IFERROR(INDEX('بيانات الحركات'!F:F,MATCH(235,'بيانات الحركات'!$G:$G,0)),"")</f>
        <v/>
      </c>
    </row>
    <row r="237" spans="1:6" ht="21.95" customHeight="1">
      <c r="A237" s="8" t="str">
        <f>IFERROR(INDEX('بيانات الحركات'!A:A,MATCH(236,'بيانات الحركات'!$G:$G,0)),"")</f>
        <v/>
      </c>
      <c r="B237" s="5" t="str">
        <f>IFERROR(INDEX('بيانات الحركات'!B:B,MATCH(236,'بيانات الحركات'!$G:$G,0)),"")</f>
        <v/>
      </c>
      <c r="C237" s="3" t="str">
        <f>IFERROR(INDEX('بيانات الحركات'!C:C,MATCH(236,'بيانات الحركات'!$G:$G,0)),"")</f>
        <v/>
      </c>
      <c r="D237" s="3" t="str">
        <f>IFERROR(INDEX('بيانات الحركات'!D:D,MATCH(236,'بيانات الحركات'!$G:$G,0)),"")</f>
        <v/>
      </c>
      <c r="E237" s="21" t="str">
        <f>IF($B237="إنتاج طبخة","",IFERROR(INDEX('بيانات الحركات'!E:E,MATCH(236,'بيانات الحركات'!$G:$G,0)),""))</f>
        <v/>
      </c>
      <c r="F237" s="3" t="str">
        <f>IFERROR(INDEX('بيانات الحركات'!F:F,MATCH(236,'بيانات الحركات'!$G:$G,0)),"")</f>
        <v/>
      </c>
    </row>
    <row r="238" spans="1:6" ht="21.95" customHeight="1">
      <c r="A238" s="8" t="str">
        <f>IFERROR(INDEX('بيانات الحركات'!A:A,MATCH(237,'بيانات الحركات'!$G:$G,0)),"")</f>
        <v/>
      </c>
      <c r="B238" s="5" t="str">
        <f>IFERROR(INDEX('بيانات الحركات'!B:B,MATCH(237,'بيانات الحركات'!$G:$G,0)),"")</f>
        <v/>
      </c>
      <c r="C238" s="3" t="str">
        <f>IFERROR(INDEX('بيانات الحركات'!C:C,MATCH(237,'بيانات الحركات'!$G:$G,0)),"")</f>
        <v/>
      </c>
      <c r="D238" s="3" t="str">
        <f>IFERROR(INDEX('بيانات الحركات'!D:D,MATCH(237,'بيانات الحركات'!$G:$G,0)),"")</f>
        <v/>
      </c>
      <c r="E238" s="21" t="str">
        <f>IF($B238="إنتاج طبخة","",IFERROR(INDEX('بيانات الحركات'!E:E,MATCH(237,'بيانات الحركات'!$G:$G,0)),""))</f>
        <v/>
      </c>
      <c r="F238" s="3" t="str">
        <f>IFERROR(INDEX('بيانات الحركات'!F:F,MATCH(237,'بيانات الحركات'!$G:$G,0)),"")</f>
        <v/>
      </c>
    </row>
    <row r="239" spans="1:6" ht="21.95" customHeight="1">
      <c r="A239" s="8" t="str">
        <f>IFERROR(INDEX('بيانات الحركات'!A:A,MATCH(238,'بيانات الحركات'!$G:$G,0)),"")</f>
        <v/>
      </c>
      <c r="B239" s="5" t="str">
        <f>IFERROR(INDEX('بيانات الحركات'!B:B,MATCH(238,'بيانات الحركات'!$G:$G,0)),"")</f>
        <v/>
      </c>
      <c r="C239" s="3" t="str">
        <f>IFERROR(INDEX('بيانات الحركات'!C:C,MATCH(238,'بيانات الحركات'!$G:$G,0)),"")</f>
        <v/>
      </c>
      <c r="D239" s="3" t="str">
        <f>IFERROR(INDEX('بيانات الحركات'!D:D,MATCH(238,'بيانات الحركات'!$G:$G,0)),"")</f>
        <v/>
      </c>
      <c r="E239" s="21" t="str">
        <f>IF($B239="إنتاج طبخة","",IFERROR(INDEX('بيانات الحركات'!E:E,MATCH(238,'بيانات الحركات'!$G:$G,0)),""))</f>
        <v/>
      </c>
      <c r="F239" s="3" t="str">
        <f>IFERROR(INDEX('بيانات الحركات'!F:F,MATCH(238,'بيانات الحركات'!$G:$G,0)),"")</f>
        <v/>
      </c>
    </row>
    <row r="240" spans="1:6" ht="21.95" customHeight="1">
      <c r="A240" s="8" t="str">
        <f>IFERROR(INDEX('بيانات الحركات'!A:A,MATCH(239,'بيانات الحركات'!$G:$G,0)),"")</f>
        <v/>
      </c>
      <c r="B240" s="5" t="str">
        <f>IFERROR(INDEX('بيانات الحركات'!B:B,MATCH(239,'بيانات الحركات'!$G:$G,0)),"")</f>
        <v/>
      </c>
      <c r="C240" s="3" t="str">
        <f>IFERROR(INDEX('بيانات الحركات'!C:C,MATCH(239,'بيانات الحركات'!$G:$G,0)),"")</f>
        <v/>
      </c>
      <c r="D240" s="3" t="str">
        <f>IFERROR(INDEX('بيانات الحركات'!D:D,MATCH(239,'بيانات الحركات'!$G:$G,0)),"")</f>
        <v/>
      </c>
      <c r="E240" s="21" t="str">
        <f>IF($B240="إنتاج طبخة","",IFERROR(INDEX('بيانات الحركات'!E:E,MATCH(239,'بيانات الحركات'!$G:$G,0)),""))</f>
        <v/>
      </c>
      <c r="F240" s="3" t="str">
        <f>IFERROR(INDEX('بيانات الحركات'!F:F,MATCH(239,'بيانات الحركات'!$G:$G,0)),"")</f>
        <v/>
      </c>
    </row>
    <row r="241" spans="1:6" ht="21.95" customHeight="1">
      <c r="A241" s="8" t="str">
        <f>IFERROR(INDEX('بيانات الحركات'!A:A,MATCH(240,'بيانات الحركات'!$G:$G,0)),"")</f>
        <v/>
      </c>
      <c r="B241" s="5" t="str">
        <f>IFERROR(INDEX('بيانات الحركات'!B:B,MATCH(240,'بيانات الحركات'!$G:$G,0)),"")</f>
        <v/>
      </c>
      <c r="C241" s="3" t="str">
        <f>IFERROR(INDEX('بيانات الحركات'!C:C,MATCH(240,'بيانات الحركات'!$G:$G,0)),"")</f>
        <v/>
      </c>
      <c r="D241" s="3" t="str">
        <f>IFERROR(INDEX('بيانات الحركات'!D:D,MATCH(240,'بيانات الحركات'!$G:$G,0)),"")</f>
        <v/>
      </c>
      <c r="E241" s="21" t="str">
        <f>IF($B241="إنتاج طبخة","",IFERROR(INDEX('بيانات الحركات'!E:E,MATCH(240,'بيانات الحركات'!$G:$G,0)),""))</f>
        <v/>
      </c>
      <c r="F241" s="3" t="str">
        <f>IFERROR(INDEX('بيانات الحركات'!F:F,MATCH(240,'بيانات الحركات'!$G:$G,0)),"")</f>
        <v/>
      </c>
    </row>
    <row r="242" spans="1:6" ht="21.95" customHeight="1">
      <c r="A242" s="8" t="str">
        <f>IFERROR(INDEX('بيانات الحركات'!A:A,MATCH(241,'بيانات الحركات'!$G:$G,0)),"")</f>
        <v/>
      </c>
      <c r="B242" s="5" t="str">
        <f>IFERROR(INDEX('بيانات الحركات'!B:B,MATCH(241,'بيانات الحركات'!$G:$G,0)),"")</f>
        <v/>
      </c>
      <c r="C242" s="3" t="str">
        <f>IFERROR(INDEX('بيانات الحركات'!C:C,MATCH(241,'بيانات الحركات'!$G:$G,0)),"")</f>
        <v/>
      </c>
      <c r="D242" s="3" t="str">
        <f>IFERROR(INDEX('بيانات الحركات'!D:D,MATCH(241,'بيانات الحركات'!$G:$G,0)),"")</f>
        <v/>
      </c>
      <c r="E242" s="21" t="str">
        <f>IF($B242="إنتاج طبخة","",IFERROR(INDEX('بيانات الحركات'!E:E,MATCH(241,'بيانات الحركات'!$G:$G,0)),""))</f>
        <v/>
      </c>
      <c r="F242" s="3" t="str">
        <f>IFERROR(INDEX('بيانات الحركات'!F:F,MATCH(241,'بيانات الحركات'!$G:$G,0)),"")</f>
        <v/>
      </c>
    </row>
    <row r="243" spans="1:6" ht="21.95" customHeight="1">
      <c r="A243" s="8" t="str">
        <f>IFERROR(INDEX('بيانات الحركات'!A:A,MATCH(242,'بيانات الحركات'!$G:$G,0)),"")</f>
        <v/>
      </c>
      <c r="B243" s="5" t="str">
        <f>IFERROR(INDEX('بيانات الحركات'!B:B,MATCH(242,'بيانات الحركات'!$G:$G,0)),"")</f>
        <v/>
      </c>
      <c r="C243" s="3" t="str">
        <f>IFERROR(INDEX('بيانات الحركات'!C:C,MATCH(242,'بيانات الحركات'!$G:$G,0)),"")</f>
        <v/>
      </c>
      <c r="D243" s="3" t="str">
        <f>IFERROR(INDEX('بيانات الحركات'!D:D,MATCH(242,'بيانات الحركات'!$G:$G,0)),"")</f>
        <v/>
      </c>
      <c r="E243" s="21" t="str">
        <f>IF($B243="إنتاج طبخة","",IFERROR(INDEX('بيانات الحركات'!E:E,MATCH(242,'بيانات الحركات'!$G:$G,0)),""))</f>
        <v/>
      </c>
      <c r="F243" s="3" t="str">
        <f>IFERROR(INDEX('بيانات الحركات'!F:F,MATCH(242,'بيانات الحركات'!$G:$G,0)),"")</f>
        <v/>
      </c>
    </row>
    <row r="244" spans="1:6" ht="21.95" customHeight="1">
      <c r="A244" s="8" t="str">
        <f>IFERROR(INDEX('بيانات الحركات'!A:A,MATCH(243,'بيانات الحركات'!$G:$G,0)),"")</f>
        <v/>
      </c>
      <c r="B244" s="5" t="str">
        <f>IFERROR(INDEX('بيانات الحركات'!B:B,MATCH(243,'بيانات الحركات'!$G:$G,0)),"")</f>
        <v/>
      </c>
      <c r="C244" s="3" t="str">
        <f>IFERROR(INDEX('بيانات الحركات'!C:C,MATCH(243,'بيانات الحركات'!$G:$G,0)),"")</f>
        <v/>
      </c>
      <c r="D244" s="3" t="str">
        <f>IFERROR(INDEX('بيانات الحركات'!D:D,MATCH(243,'بيانات الحركات'!$G:$G,0)),"")</f>
        <v/>
      </c>
      <c r="E244" s="21" t="str">
        <f>IF($B244="إنتاج طبخة","",IFERROR(INDEX('بيانات الحركات'!E:E,MATCH(243,'بيانات الحركات'!$G:$G,0)),""))</f>
        <v/>
      </c>
      <c r="F244" s="3" t="str">
        <f>IFERROR(INDEX('بيانات الحركات'!F:F,MATCH(243,'بيانات الحركات'!$G:$G,0)),"")</f>
        <v/>
      </c>
    </row>
    <row r="245" spans="1:6" ht="21.95" customHeight="1">
      <c r="A245" s="8" t="str">
        <f>IFERROR(INDEX('بيانات الحركات'!A:A,MATCH(244,'بيانات الحركات'!$G:$G,0)),"")</f>
        <v/>
      </c>
      <c r="B245" s="5" t="str">
        <f>IFERROR(INDEX('بيانات الحركات'!B:B,MATCH(244,'بيانات الحركات'!$G:$G,0)),"")</f>
        <v/>
      </c>
      <c r="C245" s="3" t="str">
        <f>IFERROR(INDEX('بيانات الحركات'!C:C,MATCH(244,'بيانات الحركات'!$G:$G,0)),"")</f>
        <v/>
      </c>
      <c r="D245" s="3" t="str">
        <f>IFERROR(INDEX('بيانات الحركات'!D:D,MATCH(244,'بيانات الحركات'!$G:$G,0)),"")</f>
        <v/>
      </c>
      <c r="E245" s="21" t="str">
        <f>IF($B245="إنتاج طبخة","",IFERROR(INDEX('بيانات الحركات'!E:E,MATCH(244,'بيانات الحركات'!$G:$G,0)),""))</f>
        <v/>
      </c>
      <c r="F245" s="3" t="str">
        <f>IFERROR(INDEX('بيانات الحركات'!F:F,MATCH(244,'بيانات الحركات'!$G:$G,0)),"")</f>
        <v/>
      </c>
    </row>
    <row r="246" spans="1:6" ht="21.95" customHeight="1">
      <c r="A246" s="8" t="str">
        <f>IFERROR(INDEX('بيانات الحركات'!A:A,MATCH(245,'بيانات الحركات'!$G:$G,0)),"")</f>
        <v/>
      </c>
      <c r="B246" s="5" t="str">
        <f>IFERROR(INDEX('بيانات الحركات'!B:B,MATCH(245,'بيانات الحركات'!$G:$G,0)),"")</f>
        <v/>
      </c>
      <c r="C246" s="3" t="str">
        <f>IFERROR(INDEX('بيانات الحركات'!C:C,MATCH(245,'بيانات الحركات'!$G:$G,0)),"")</f>
        <v/>
      </c>
      <c r="D246" s="3" t="str">
        <f>IFERROR(INDEX('بيانات الحركات'!D:D,MATCH(245,'بيانات الحركات'!$G:$G,0)),"")</f>
        <v/>
      </c>
      <c r="E246" s="21" t="str">
        <f>IF($B246="إنتاج طبخة","",IFERROR(INDEX('بيانات الحركات'!E:E,MATCH(245,'بيانات الحركات'!$G:$G,0)),""))</f>
        <v/>
      </c>
      <c r="F246" s="3" t="str">
        <f>IFERROR(INDEX('بيانات الحركات'!F:F,MATCH(245,'بيانات الحركات'!$G:$G,0)),"")</f>
        <v/>
      </c>
    </row>
    <row r="247" spans="1:6" ht="21.95" customHeight="1">
      <c r="A247" s="8" t="str">
        <f>IFERROR(INDEX('بيانات الحركات'!A:A,MATCH(246,'بيانات الحركات'!$G:$G,0)),"")</f>
        <v/>
      </c>
      <c r="B247" s="5" t="str">
        <f>IFERROR(INDEX('بيانات الحركات'!B:B,MATCH(246,'بيانات الحركات'!$G:$G,0)),"")</f>
        <v/>
      </c>
      <c r="C247" s="3" t="str">
        <f>IFERROR(INDEX('بيانات الحركات'!C:C,MATCH(246,'بيانات الحركات'!$G:$G,0)),"")</f>
        <v/>
      </c>
      <c r="D247" s="3" t="str">
        <f>IFERROR(INDEX('بيانات الحركات'!D:D,MATCH(246,'بيانات الحركات'!$G:$G,0)),"")</f>
        <v/>
      </c>
      <c r="E247" s="21" t="str">
        <f>IF($B247="إنتاج طبخة","",IFERROR(INDEX('بيانات الحركات'!E:E,MATCH(246,'بيانات الحركات'!$G:$G,0)),""))</f>
        <v/>
      </c>
      <c r="F247" s="3" t="str">
        <f>IFERROR(INDEX('بيانات الحركات'!F:F,MATCH(246,'بيانات الحركات'!$G:$G,0)),"")</f>
        <v/>
      </c>
    </row>
    <row r="248" spans="1:6" ht="21.95" customHeight="1">
      <c r="A248" s="8" t="str">
        <f>IFERROR(INDEX('بيانات الحركات'!A:A,MATCH(247,'بيانات الحركات'!$G:$G,0)),"")</f>
        <v/>
      </c>
      <c r="B248" s="5" t="str">
        <f>IFERROR(INDEX('بيانات الحركات'!B:B,MATCH(247,'بيانات الحركات'!$G:$G,0)),"")</f>
        <v/>
      </c>
      <c r="C248" s="3" t="str">
        <f>IFERROR(INDEX('بيانات الحركات'!C:C,MATCH(247,'بيانات الحركات'!$G:$G,0)),"")</f>
        <v/>
      </c>
      <c r="D248" s="3" t="str">
        <f>IFERROR(INDEX('بيانات الحركات'!D:D,MATCH(247,'بيانات الحركات'!$G:$G,0)),"")</f>
        <v/>
      </c>
      <c r="E248" s="21" t="str">
        <f>IF($B248="إنتاج طبخة","",IFERROR(INDEX('بيانات الحركات'!E:E,MATCH(247,'بيانات الحركات'!$G:$G,0)),""))</f>
        <v/>
      </c>
      <c r="F248" s="3" t="str">
        <f>IFERROR(INDEX('بيانات الحركات'!F:F,MATCH(247,'بيانات الحركات'!$G:$G,0)),"")</f>
        <v/>
      </c>
    </row>
    <row r="249" spans="1:6" ht="21.95" customHeight="1">
      <c r="A249" s="8" t="str">
        <f>IFERROR(INDEX('بيانات الحركات'!A:A,MATCH(248,'بيانات الحركات'!$G:$G,0)),"")</f>
        <v/>
      </c>
      <c r="B249" s="5" t="str">
        <f>IFERROR(INDEX('بيانات الحركات'!B:B,MATCH(248,'بيانات الحركات'!$G:$G,0)),"")</f>
        <v/>
      </c>
      <c r="C249" s="3" t="str">
        <f>IFERROR(INDEX('بيانات الحركات'!C:C,MATCH(248,'بيانات الحركات'!$G:$G,0)),"")</f>
        <v/>
      </c>
      <c r="D249" s="3" t="str">
        <f>IFERROR(INDEX('بيانات الحركات'!D:D,MATCH(248,'بيانات الحركات'!$G:$G,0)),"")</f>
        <v/>
      </c>
      <c r="E249" s="21" t="str">
        <f>IF($B249="إنتاج طبخة","",IFERROR(INDEX('بيانات الحركات'!E:E,MATCH(248,'بيانات الحركات'!$G:$G,0)),""))</f>
        <v/>
      </c>
      <c r="F249" s="3" t="str">
        <f>IFERROR(INDEX('بيانات الحركات'!F:F,MATCH(248,'بيانات الحركات'!$G:$G,0)),"")</f>
        <v/>
      </c>
    </row>
    <row r="250" spans="1:6" ht="21.95" customHeight="1">
      <c r="A250" s="8" t="str">
        <f>IFERROR(INDEX('بيانات الحركات'!A:A,MATCH(249,'بيانات الحركات'!$G:$G,0)),"")</f>
        <v/>
      </c>
      <c r="B250" s="5" t="str">
        <f>IFERROR(INDEX('بيانات الحركات'!B:B,MATCH(249,'بيانات الحركات'!$G:$G,0)),"")</f>
        <v/>
      </c>
      <c r="C250" s="3" t="str">
        <f>IFERROR(INDEX('بيانات الحركات'!C:C,MATCH(249,'بيانات الحركات'!$G:$G,0)),"")</f>
        <v/>
      </c>
      <c r="D250" s="3" t="str">
        <f>IFERROR(INDEX('بيانات الحركات'!D:D,MATCH(249,'بيانات الحركات'!$G:$G,0)),"")</f>
        <v/>
      </c>
      <c r="E250" s="21" t="str">
        <f>IF($B250="إنتاج طبخة","",IFERROR(INDEX('بيانات الحركات'!E:E,MATCH(249,'بيانات الحركات'!$G:$G,0)),""))</f>
        <v/>
      </c>
      <c r="F250" s="3" t="str">
        <f>IFERROR(INDEX('بيانات الحركات'!F:F,MATCH(249,'بيانات الحركات'!$G:$G,0)),"")</f>
        <v/>
      </c>
    </row>
    <row r="251" spans="1:6" ht="21.95" customHeight="1">
      <c r="A251" s="8" t="str">
        <f>IFERROR(INDEX('بيانات الحركات'!A:A,MATCH(250,'بيانات الحركات'!$G:$G,0)),"")</f>
        <v/>
      </c>
      <c r="B251" s="5" t="str">
        <f>IFERROR(INDEX('بيانات الحركات'!B:B,MATCH(250,'بيانات الحركات'!$G:$G,0)),"")</f>
        <v/>
      </c>
      <c r="C251" s="3" t="str">
        <f>IFERROR(INDEX('بيانات الحركات'!C:C,MATCH(250,'بيانات الحركات'!$G:$G,0)),"")</f>
        <v/>
      </c>
      <c r="D251" s="3" t="str">
        <f>IFERROR(INDEX('بيانات الحركات'!D:D,MATCH(250,'بيانات الحركات'!$G:$G,0)),"")</f>
        <v/>
      </c>
      <c r="E251" s="21" t="str">
        <f>IF($B251="إنتاج طبخة","",IFERROR(INDEX('بيانات الحركات'!E:E,MATCH(250,'بيانات الحركات'!$G:$G,0)),""))</f>
        <v/>
      </c>
      <c r="F251" s="3" t="str">
        <f>IFERROR(INDEX('بيانات الحركات'!F:F,MATCH(250,'بيانات الحركات'!$G:$G,0)),"")</f>
        <v/>
      </c>
    </row>
    <row r="252" spans="1:6" ht="21.95" customHeight="1">
      <c r="A252" s="8" t="str">
        <f>IFERROR(INDEX('بيانات الحركات'!A:A,MATCH(251,'بيانات الحركات'!$G:$G,0)),"")</f>
        <v/>
      </c>
      <c r="B252" s="5" t="str">
        <f>IFERROR(INDEX('بيانات الحركات'!B:B,MATCH(251,'بيانات الحركات'!$G:$G,0)),"")</f>
        <v/>
      </c>
      <c r="C252" s="3" t="str">
        <f>IFERROR(INDEX('بيانات الحركات'!C:C,MATCH(251,'بيانات الحركات'!$G:$G,0)),"")</f>
        <v/>
      </c>
      <c r="D252" s="3" t="str">
        <f>IFERROR(INDEX('بيانات الحركات'!D:D,MATCH(251,'بيانات الحركات'!$G:$G,0)),"")</f>
        <v/>
      </c>
      <c r="E252" s="21" t="str">
        <f>IF($B252="إنتاج طبخة","",IFERROR(INDEX('بيانات الحركات'!E:E,MATCH(251,'بيانات الحركات'!$G:$G,0)),""))</f>
        <v/>
      </c>
      <c r="F252" s="3" t="str">
        <f>IFERROR(INDEX('بيانات الحركات'!F:F,MATCH(251,'بيانات الحركات'!$G:$G,0)),"")</f>
        <v/>
      </c>
    </row>
    <row r="253" spans="1:6" ht="21.95" customHeight="1">
      <c r="A253" s="8" t="str">
        <f>IFERROR(INDEX('بيانات الحركات'!A:A,MATCH(252,'بيانات الحركات'!$G:$G,0)),"")</f>
        <v/>
      </c>
      <c r="B253" s="5" t="str">
        <f>IFERROR(INDEX('بيانات الحركات'!B:B,MATCH(252,'بيانات الحركات'!$G:$G,0)),"")</f>
        <v/>
      </c>
      <c r="C253" s="3" t="str">
        <f>IFERROR(INDEX('بيانات الحركات'!C:C,MATCH(252,'بيانات الحركات'!$G:$G,0)),"")</f>
        <v/>
      </c>
      <c r="D253" s="3" t="str">
        <f>IFERROR(INDEX('بيانات الحركات'!D:D,MATCH(252,'بيانات الحركات'!$G:$G,0)),"")</f>
        <v/>
      </c>
      <c r="E253" s="21" t="str">
        <f>IF($B253="إنتاج طبخة","",IFERROR(INDEX('بيانات الحركات'!E:E,MATCH(252,'بيانات الحركات'!$G:$G,0)),""))</f>
        <v/>
      </c>
      <c r="F253" s="3" t="str">
        <f>IFERROR(INDEX('بيانات الحركات'!F:F,MATCH(252,'بيانات الحركات'!$G:$G,0)),"")</f>
        <v/>
      </c>
    </row>
    <row r="254" spans="1:6" ht="21.95" customHeight="1">
      <c r="A254" s="8" t="str">
        <f>IFERROR(INDEX('بيانات الحركات'!A:A,MATCH(253,'بيانات الحركات'!$G:$G,0)),"")</f>
        <v/>
      </c>
      <c r="B254" s="5" t="str">
        <f>IFERROR(INDEX('بيانات الحركات'!B:B,MATCH(253,'بيانات الحركات'!$G:$G,0)),"")</f>
        <v/>
      </c>
      <c r="C254" s="3" t="str">
        <f>IFERROR(INDEX('بيانات الحركات'!C:C,MATCH(253,'بيانات الحركات'!$G:$G,0)),"")</f>
        <v/>
      </c>
      <c r="D254" s="3" t="str">
        <f>IFERROR(INDEX('بيانات الحركات'!D:D,MATCH(253,'بيانات الحركات'!$G:$G,0)),"")</f>
        <v/>
      </c>
      <c r="E254" s="21" t="str">
        <f>IF($B254="إنتاج طبخة","",IFERROR(INDEX('بيانات الحركات'!E:E,MATCH(253,'بيانات الحركات'!$G:$G,0)),""))</f>
        <v/>
      </c>
      <c r="F254" s="3" t="str">
        <f>IFERROR(INDEX('بيانات الحركات'!F:F,MATCH(253,'بيانات الحركات'!$G:$G,0)),"")</f>
        <v/>
      </c>
    </row>
    <row r="255" spans="1:6" ht="21.95" customHeight="1">
      <c r="A255" s="8" t="str">
        <f>IFERROR(INDEX('بيانات الحركات'!A:A,MATCH(254,'بيانات الحركات'!$G:$G,0)),"")</f>
        <v/>
      </c>
      <c r="B255" s="5" t="str">
        <f>IFERROR(INDEX('بيانات الحركات'!B:B,MATCH(254,'بيانات الحركات'!$G:$G,0)),"")</f>
        <v/>
      </c>
      <c r="C255" s="3" t="str">
        <f>IFERROR(INDEX('بيانات الحركات'!C:C,MATCH(254,'بيانات الحركات'!$G:$G,0)),"")</f>
        <v/>
      </c>
      <c r="D255" s="3" t="str">
        <f>IFERROR(INDEX('بيانات الحركات'!D:D,MATCH(254,'بيانات الحركات'!$G:$G,0)),"")</f>
        <v/>
      </c>
      <c r="E255" s="21" t="str">
        <f>IF($B255="إنتاج طبخة","",IFERROR(INDEX('بيانات الحركات'!E:E,MATCH(254,'بيانات الحركات'!$G:$G,0)),""))</f>
        <v/>
      </c>
      <c r="F255" s="3" t="str">
        <f>IFERROR(INDEX('بيانات الحركات'!F:F,MATCH(254,'بيانات الحركات'!$G:$G,0)),"")</f>
        <v/>
      </c>
    </row>
    <row r="256" spans="1:6" ht="21.95" customHeight="1">
      <c r="A256" s="8" t="str">
        <f>IFERROR(INDEX('بيانات الحركات'!A:A,MATCH(255,'بيانات الحركات'!$G:$G,0)),"")</f>
        <v/>
      </c>
      <c r="B256" s="5" t="str">
        <f>IFERROR(INDEX('بيانات الحركات'!B:B,MATCH(255,'بيانات الحركات'!$G:$G,0)),"")</f>
        <v/>
      </c>
      <c r="C256" s="3" t="str">
        <f>IFERROR(INDEX('بيانات الحركات'!C:C,MATCH(255,'بيانات الحركات'!$G:$G,0)),"")</f>
        <v/>
      </c>
      <c r="D256" s="3" t="str">
        <f>IFERROR(INDEX('بيانات الحركات'!D:D,MATCH(255,'بيانات الحركات'!$G:$G,0)),"")</f>
        <v/>
      </c>
      <c r="E256" s="21" t="str">
        <f>IF($B256="إنتاج طبخة","",IFERROR(INDEX('بيانات الحركات'!E:E,MATCH(255,'بيانات الحركات'!$G:$G,0)),""))</f>
        <v/>
      </c>
      <c r="F256" s="3" t="str">
        <f>IFERROR(INDEX('بيانات الحركات'!F:F,MATCH(255,'بيانات الحركات'!$G:$G,0)),"")</f>
        <v/>
      </c>
    </row>
    <row r="257" spans="1:6" ht="21.95" customHeight="1">
      <c r="A257" s="8" t="str">
        <f>IFERROR(INDEX('بيانات الحركات'!A:A,MATCH(256,'بيانات الحركات'!$G:$G,0)),"")</f>
        <v/>
      </c>
      <c r="B257" s="5" t="str">
        <f>IFERROR(INDEX('بيانات الحركات'!B:B,MATCH(256,'بيانات الحركات'!$G:$G,0)),"")</f>
        <v/>
      </c>
      <c r="C257" s="3" t="str">
        <f>IFERROR(INDEX('بيانات الحركات'!C:C,MATCH(256,'بيانات الحركات'!$G:$G,0)),"")</f>
        <v/>
      </c>
      <c r="D257" s="3" t="str">
        <f>IFERROR(INDEX('بيانات الحركات'!D:D,MATCH(256,'بيانات الحركات'!$G:$G,0)),"")</f>
        <v/>
      </c>
      <c r="E257" s="21" t="str">
        <f>IF($B257="إنتاج طبخة","",IFERROR(INDEX('بيانات الحركات'!E:E,MATCH(256,'بيانات الحركات'!$G:$G,0)),""))</f>
        <v/>
      </c>
      <c r="F257" s="3" t="str">
        <f>IFERROR(INDEX('بيانات الحركات'!F:F,MATCH(256,'بيانات الحركات'!$G:$G,0)),"")</f>
        <v/>
      </c>
    </row>
    <row r="258" spans="1:6" ht="21.95" customHeight="1">
      <c r="A258" s="8" t="str">
        <f>IFERROR(INDEX('بيانات الحركات'!A:A,MATCH(257,'بيانات الحركات'!$G:$G,0)),"")</f>
        <v/>
      </c>
      <c r="B258" s="5" t="str">
        <f>IFERROR(INDEX('بيانات الحركات'!B:B,MATCH(257,'بيانات الحركات'!$G:$G,0)),"")</f>
        <v/>
      </c>
      <c r="C258" s="3" t="str">
        <f>IFERROR(INDEX('بيانات الحركات'!C:C,MATCH(257,'بيانات الحركات'!$G:$G,0)),"")</f>
        <v/>
      </c>
      <c r="D258" s="3" t="str">
        <f>IFERROR(INDEX('بيانات الحركات'!D:D,MATCH(257,'بيانات الحركات'!$G:$G,0)),"")</f>
        <v/>
      </c>
      <c r="E258" s="21" t="str">
        <f>IF($B258="إنتاج طبخة","",IFERROR(INDEX('بيانات الحركات'!E:E,MATCH(257,'بيانات الحركات'!$G:$G,0)),""))</f>
        <v/>
      </c>
      <c r="F258" s="3" t="str">
        <f>IFERROR(INDEX('بيانات الحركات'!F:F,MATCH(257,'بيانات الحركات'!$G:$G,0)),"")</f>
        <v/>
      </c>
    </row>
    <row r="259" spans="1:6" ht="21.95" customHeight="1">
      <c r="A259" s="8" t="str">
        <f>IFERROR(INDEX('بيانات الحركات'!A:A,MATCH(258,'بيانات الحركات'!$G:$G,0)),"")</f>
        <v/>
      </c>
      <c r="B259" s="5" t="str">
        <f>IFERROR(INDEX('بيانات الحركات'!B:B,MATCH(258,'بيانات الحركات'!$G:$G,0)),"")</f>
        <v/>
      </c>
      <c r="C259" s="3" t="str">
        <f>IFERROR(INDEX('بيانات الحركات'!C:C,MATCH(258,'بيانات الحركات'!$G:$G,0)),"")</f>
        <v/>
      </c>
      <c r="D259" s="3" t="str">
        <f>IFERROR(INDEX('بيانات الحركات'!D:D,MATCH(258,'بيانات الحركات'!$G:$G,0)),"")</f>
        <v/>
      </c>
      <c r="E259" s="21" t="str">
        <f>IF($B259="إنتاج طبخة","",IFERROR(INDEX('بيانات الحركات'!E:E,MATCH(258,'بيانات الحركات'!$G:$G,0)),""))</f>
        <v/>
      </c>
      <c r="F259" s="3" t="str">
        <f>IFERROR(INDEX('بيانات الحركات'!F:F,MATCH(258,'بيانات الحركات'!$G:$G,0)),"")</f>
        <v/>
      </c>
    </row>
    <row r="260" spans="1:6" ht="21.95" customHeight="1">
      <c r="A260" s="8" t="str">
        <f>IFERROR(INDEX('بيانات الحركات'!A:A,MATCH(259,'بيانات الحركات'!$G:$G,0)),"")</f>
        <v/>
      </c>
      <c r="B260" s="5" t="str">
        <f>IFERROR(INDEX('بيانات الحركات'!B:B,MATCH(259,'بيانات الحركات'!$G:$G,0)),"")</f>
        <v/>
      </c>
      <c r="C260" s="3" t="str">
        <f>IFERROR(INDEX('بيانات الحركات'!C:C,MATCH(259,'بيانات الحركات'!$G:$G,0)),"")</f>
        <v/>
      </c>
      <c r="D260" s="3" t="str">
        <f>IFERROR(INDEX('بيانات الحركات'!D:D,MATCH(259,'بيانات الحركات'!$G:$G,0)),"")</f>
        <v/>
      </c>
      <c r="E260" s="21" t="str">
        <f>IF($B260="إنتاج طبخة","",IFERROR(INDEX('بيانات الحركات'!E:E,MATCH(259,'بيانات الحركات'!$G:$G,0)),""))</f>
        <v/>
      </c>
      <c r="F260" s="3" t="str">
        <f>IFERROR(INDEX('بيانات الحركات'!F:F,MATCH(259,'بيانات الحركات'!$G:$G,0)),"")</f>
        <v/>
      </c>
    </row>
    <row r="261" spans="1:6" ht="21.95" customHeight="1">
      <c r="A261" s="8" t="str">
        <f>IFERROR(INDEX('بيانات الحركات'!A:A,MATCH(260,'بيانات الحركات'!$G:$G,0)),"")</f>
        <v/>
      </c>
      <c r="B261" s="5" t="str">
        <f>IFERROR(INDEX('بيانات الحركات'!B:B,MATCH(260,'بيانات الحركات'!$G:$G,0)),"")</f>
        <v/>
      </c>
      <c r="C261" s="3" t="str">
        <f>IFERROR(INDEX('بيانات الحركات'!C:C,MATCH(260,'بيانات الحركات'!$G:$G,0)),"")</f>
        <v/>
      </c>
      <c r="D261" s="3" t="str">
        <f>IFERROR(INDEX('بيانات الحركات'!D:D,MATCH(260,'بيانات الحركات'!$G:$G,0)),"")</f>
        <v/>
      </c>
      <c r="E261" s="21" t="str">
        <f>IF($B261="إنتاج طبخة","",IFERROR(INDEX('بيانات الحركات'!E:E,MATCH(260,'بيانات الحركات'!$G:$G,0)),""))</f>
        <v/>
      </c>
      <c r="F261" s="3" t="str">
        <f>IFERROR(INDEX('بيانات الحركات'!F:F,MATCH(260,'بيانات الحركات'!$G:$G,0)),"")</f>
        <v/>
      </c>
    </row>
    <row r="262" spans="1:6" ht="21.95" customHeight="1">
      <c r="A262" s="8" t="str">
        <f>IFERROR(INDEX('بيانات الحركات'!A:A,MATCH(261,'بيانات الحركات'!$G:$G,0)),"")</f>
        <v/>
      </c>
      <c r="B262" s="5" t="str">
        <f>IFERROR(INDEX('بيانات الحركات'!B:B,MATCH(261,'بيانات الحركات'!$G:$G,0)),"")</f>
        <v/>
      </c>
      <c r="C262" s="3" t="str">
        <f>IFERROR(INDEX('بيانات الحركات'!C:C,MATCH(261,'بيانات الحركات'!$G:$G,0)),"")</f>
        <v/>
      </c>
      <c r="D262" s="3" t="str">
        <f>IFERROR(INDEX('بيانات الحركات'!D:D,MATCH(261,'بيانات الحركات'!$G:$G,0)),"")</f>
        <v/>
      </c>
      <c r="E262" s="21" t="str">
        <f>IF($B262="إنتاج طبخة","",IFERROR(INDEX('بيانات الحركات'!E:E,MATCH(261,'بيانات الحركات'!$G:$G,0)),""))</f>
        <v/>
      </c>
      <c r="F262" s="3" t="str">
        <f>IFERROR(INDEX('بيانات الحركات'!F:F,MATCH(261,'بيانات الحركات'!$G:$G,0)),"")</f>
        <v/>
      </c>
    </row>
    <row r="263" spans="1:6" ht="21.95" customHeight="1">
      <c r="A263" s="8" t="str">
        <f>IFERROR(INDEX('بيانات الحركات'!A:A,MATCH(262,'بيانات الحركات'!$G:$G,0)),"")</f>
        <v/>
      </c>
      <c r="B263" s="5" t="str">
        <f>IFERROR(INDEX('بيانات الحركات'!B:B,MATCH(262,'بيانات الحركات'!$G:$G,0)),"")</f>
        <v/>
      </c>
      <c r="C263" s="3" t="str">
        <f>IFERROR(INDEX('بيانات الحركات'!C:C,MATCH(262,'بيانات الحركات'!$G:$G,0)),"")</f>
        <v/>
      </c>
      <c r="D263" s="3" t="str">
        <f>IFERROR(INDEX('بيانات الحركات'!D:D,MATCH(262,'بيانات الحركات'!$G:$G,0)),"")</f>
        <v/>
      </c>
      <c r="E263" s="21" t="str">
        <f>IF($B263="إنتاج طبخة","",IFERROR(INDEX('بيانات الحركات'!E:E,MATCH(262,'بيانات الحركات'!$G:$G,0)),""))</f>
        <v/>
      </c>
      <c r="F263" s="3" t="str">
        <f>IFERROR(INDEX('بيانات الحركات'!F:F,MATCH(262,'بيانات الحركات'!$G:$G,0)),"")</f>
        <v/>
      </c>
    </row>
    <row r="264" spans="1:6" ht="21.95" customHeight="1">
      <c r="A264" s="8" t="str">
        <f>IFERROR(INDEX('بيانات الحركات'!A:A,MATCH(263,'بيانات الحركات'!$G:$G,0)),"")</f>
        <v/>
      </c>
      <c r="B264" s="5" t="str">
        <f>IFERROR(INDEX('بيانات الحركات'!B:B,MATCH(263,'بيانات الحركات'!$G:$G,0)),"")</f>
        <v/>
      </c>
      <c r="C264" s="3" t="str">
        <f>IFERROR(INDEX('بيانات الحركات'!C:C,MATCH(263,'بيانات الحركات'!$G:$G,0)),"")</f>
        <v/>
      </c>
      <c r="D264" s="3" t="str">
        <f>IFERROR(INDEX('بيانات الحركات'!D:D,MATCH(263,'بيانات الحركات'!$G:$G,0)),"")</f>
        <v/>
      </c>
      <c r="E264" s="21" t="str">
        <f>IF($B264="إنتاج طبخة","",IFERROR(INDEX('بيانات الحركات'!E:E,MATCH(263,'بيانات الحركات'!$G:$G,0)),""))</f>
        <v/>
      </c>
      <c r="F264" s="3" t="str">
        <f>IFERROR(INDEX('بيانات الحركات'!F:F,MATCH(263,'بيانات الحركات'!$G:$G,0)),"")</f>
        <v/>
      </c>
    </row>
    <row r="265" spans="1:6" ht="21.95" customHeight="1">
      <c r="A265" s="8" t="str">
        <f>IFERROR(INDEX('بيانات الحركات'!A:A,MATCH(264,'بيانات الحركات'!$G:$G,0)),"")</f>
        <v/>
      </c>
      <c r="B265" s="5" t="str">
        <f>IFERROR(INDEX('بيانات الحركات'!B:B,MATCH(264,'بيانات الحركات'!$G:$G,0)),"")</f>
        <v/>
      </c>
      <c r="C265" s="3" t="str">
        <f>IFERROR(INDEX('بيانات الحركات'!C:C,MATCH(264,'بيانات الحركات'!$G:$G,0)),"")</f>
        <v/>
      </c>
      <c r="D265" s="3" t="str">
        <f>IFERROR(INDEX('بيانات الحركات'!D:D,MATCH(264,'بيانات الحركات'!$G:$G,0)),"")</f>
        <v/>
      </c>
      <c r="E265" s="21" t="str">
        <f>IF($B265="إنتاج طبخة","",IFERROR(INDEX('بيانات الحركات'!E:E,MATCH(264,'بيانات الحركات'!$G:$G,0)),""))</f>
        <v/>
      </c>
      <c r="F265" s="3" t="str">
        <f>IFERROR(INDEX('بيانات الحركات'!F:F,MATCH(264,'بيانات الحركات'!$G:$G,0)),"")</f>
        <v/>
      </c>
    </row>
    <row r="266" spans="1:6" ht="21.95" customHeight="1">
      <c r="A266" s="8" t="str">
        <f>IFERROR(INDEX('بيانات الحركات'!A:A,MATCH(265,'بيانات الحركات'!$G:$G,0)),"")</f>
        <v/>
      </c>
      <c r="B266" s="5" t="str">
        <f>IFERROR(INDEX('بيانات الحركات'!B:B,MATCH(265,'بيانات الحركات'!$G:$G,0)),"")</f>
        <v/>
      </c>
      <c r="C266" s="3" t="str">
        <f>IFERROR(INDEX('بيانات الحركات'!C:C,MATCH(265,'بيانات الحركات'!$G:$G,0)),"")</f>
        <v/>
      </c>
      <c r="D266" s="3" t="str">
        <f>IFERROR(INDEX('بيانات الحركات'!D:D,MATCH(265,'بيانات الحركات'!$G:$G,0)),"")</f>
        <v/>
      </c>
      <c r="E266" s="21" t="str">
        <f>IF($B266="إنتاج طبخة","",IFERROR(INDEX('بيانات الحركات'!E:E,MATCH(265,'بيانات الحركات'!$G:$G,0)),""))</f>
        <v/>
      </c>
      <c r="F266" s="3" t="str">
        <f>IFERROR(INDEX('بيانات الحركات'!F:F,MATCH(265,'بيانات الحركات'!$G:$G,0)),"")</f>
        <v/>
      </c>
    </row>
    <row r="267" spans="1:6" ht="21.95" customHeight="1">
      <c r="A267" s="8" t="str">
        <f>IFERROR(INDEX('بيانات الحركات'!A:A,MATCH(266,'بيانات الحركات'!$G:$G,0)),"")</f>
        <v/>
      </c>
      <c r="B267" s="5" t="str">
        <f>IFERROR(INDEX('بيانات الحركات'!B:B,MATCH(266,'بيانات الحركات'!$G:$G,0)),"")</f>
        <v/>
      </c>
      <c r="C267" s="3" t="str">
        <f>IFERROR(INDEX('بيانات الحركات'!C:C,MATCH(266,'بيانات الحركات'!$G:$G,0)),"")</f>
        <v/>
      </c>
      <c r="D267" s="3" t="str">
        <f>IFERROR(INDEX('بيانات الحركات'!D:D,MATCH(266,'بيانات الحركات'!$G:$G,0)),"")</f>
        <v/>
      </c>
      <c r="E267" s="21" t="str">
        <f>IF($B267="إنتاج طبخة","",IFERROR(INDEX('بيانات الحركات'!E:E,MATCH(266,'بيانات الحركات'!$G:$G,0)),""))</f>
        <v/>
      </c>
      <c r="F267" s="3" t="str">
        <f>IFERROR(INDEX('بيانات الحركات'!F:F,MATCH(266,'بيانات الحركات'!$G:$G,0)),"")</f>
        <v/>
      </c>
    </row>
    <row r="268" spans="1:6" ht="21.95" customHeight="1">
      <c r="A268" s="8" t="str">
        <f>IFERROR(INDEX('بيانات الحركات'!A:A,MATCH(267,'بيانات الحركات'!$G:$G,0)),"")</f>
        <v/>
      </c>
      <c r="B268" s="5" t="str">
        <f>IFERROR(INDEX('بيانات الحركات'!B:B,MATCH(267,'بيانات الحركات'!$G:$G,0)),"")</f>
        <v/>
      </c>
      <c r="C268" s="3" t="str">
        <f>IFERROR(INDEX('بيانات الحركات'!C:C,MATCH(267,'بيانات الحركات'!$G:$G,0)),"")</f>
        <v/>
      </c>
      <c r="D268" s="3" t="str">
        <f>IFERROR(INDEX('بيانات الحركات'!D:D,MATCH(267,'بيانات الحركات'!$G:$G,0)),"")</f>
        <v/>
      </c>
      <c r="E268" s="21" t="str">
        <f>IF($B268="إنتاج طبخة","",IFERROR(INDEX('بيانات الحركات'!E:E,MATCH(267,'بيانات الحركات'!$G:$G,0)),""))</f>
        <v/>
      </c>
      <c r="F268" s="3" t="str">
        <f>IFERROR(INDEX('بيانات الحركات'!F:F,MATCH(267,'بيانات الحركات'!$G:$G,0)),"")</f>
        <v/>
      </c>
    </row>
    <row r="269" spans="1:6" ht="21.95" customHeight="1">
      <c r="A269" s="8" t="str">
        <f>IFERROR(INDEX('بيانات الحركات'!A:A,MATCH(268,'بيانات الحركات'!$G:$G,0)),"")</f>
        <v/>
      </c>
      <c r="B269" s="5" t="str">
        <f>IFERROR(INDEX('بيانات الحركات'!B:B,MATCH(268,'بيانات الحركات'!$G:$G,0)),"")</f>
        <v/>
      </c>
      <c r="C269" s="3" t="str">
        <f>IFERROR(INDEX('بيانات الحركات'!C:C,MATCH(268,'بيانات الحركات'!$G:$G,0)),"")</f>
        <v/>
      </c>
      <c r="D269" s="3" t="str">
        <f>IFERROR(INDEX('بيانات الحركات'!D:D,MATCH(268,'بيانات الحركات'!$G:$G,0)),"")</f>
        <v/>
      </c>
      <c r="E269" s="21" t="str">
        <f>IF($B269="إنتاج طبخة","",IFERROR(INDEX('بيانات الحركات'!E:E,MATCH(268,'بيانات الحركات'!$G:$G,0)),""))</f>
        <v/>
      </c>
      <c r="F269" s="3" t="str">
        <f>IFERROR(INDEX('بيانات الحركات'!F:F,MATCH(268,'بيانات الحركات'!$G:$G,0)),"")</f>
        <v/>
      </c>
    </row>
    <row r="270" spans="1:6" ht="21.95" customHeight="1">
      <c r="A270" s="8" t="str">
        <f>IFERROR(INDEX('بيانات الحركات'!A:A,MATCH(269,'بيانات الحركات'!$G:$G,0)),"")</f>
        <v/>
      </c>
      <c r="B270" s="5" t="str">
        <f>IFERROR(INDEX('بيانات الحركات'!B:B,MATCH(269,'بيانات الحركات'!$G:$G,0)),"")</f>
        <v/>
      </c>
      <c r="C270" s="3" t="str">
        <f>IFERROR(INDEX('بيانات الحركات'!C:C,MATCH(269,'بيانات الحركات'!$G:$G,0)),"")</f>
        <v/>
      </c>
      <c r="D270" s="3" t="str">
        <f>IFERROR(INDEX('بيانات الحركات'!D:D,MATCH(269,'بيانات الحركات'!$G:$G,0)),"")</f>
        <v/>
      </c>
      <c r="E270" s="21" t="str">
        <f>IF($B270="إنتاج طبخة","",IFERROR(INDEX('بيانات الحركات'!E:E,MATCH(269,'بيانات الحركات'!$G:$G,0)),""))</f>
        <v/>
      </c>
      <c r="F270" s="3" t="str">
        <f>IFERROR(INDEX('بيانات الحركات'!F:F,MATCH(269,'بيانات الحركات'!$G:$G,0)),"")</f>
        <v/>
      </c>
    </row>
    <row r="271" spans="1:6" ht="21.95" customHeight="1">
      <c r="A271" s="8" t="str">
        <f>IFERROR(INDEX('بيانات الحركات'!A:A,MATCH(270,'بيانات الحركات'!$G:$G,0)),"")</f>
        <v/>
      </c>
      <c r="B271" s="5" t="str">
        <f>IFERROR(INDEX('بيانات الحركات'!B:B,MATCH(270,'بيانات الحركات'!$G:$G,0)),"")</f>
        <v/>
      </c>
      <c r="C271" s="3" t="str">
        <f>IFERROR(INDEX('بيانات الحركات'!C:C,MATCH(270,'بيانات الحركات'!$G:$G,0)),"")</f>
        <v/>
      </c>
      <c r="D271" s="3" t="str">
        <f>IFERROR(INDEX('بيانات الحركات'!D:D,MATCH(270,'بيانات الحركات'!$G:$G,0)),"")</f>
        <v/>
      </c>
      <c r="E271" s="21" t="str">
        <f>IF($B271="إنتاج طبخة","",IFERROR(INDEX('بيانات الحركات'!E:E,MATCH(270,'بيانات الحركات'!$G:$G,0)),""))</f>
        <v/>
      </c>
      <c r="F271" s="3" t="str">
        <f>IFERROR(INDEX('بيانات الحركات'!F:F,MATCH(270,'بيانات الحركات'!$G:$G,0)),"")</f>
        <v/>
      </c>
    </row>
    <row r="272" spans="1:6" ht="21.95" customHeight="1">
      <c r="A272" s="8" t="str">
        <f>IFERROR(INDEX('بيانات الحركات'!A:A,MATCH(271,'بيانات الحركات'!$G:$G,0)),"")</f>
        <v/>
      </c>
      <c r="B272" s="5" t="str">
        <f>IFERROR(INDEX('بيانات الحركات'!B:B,MATCH(271,'بيانات الحركات'!$G:$G,0)),"")</f>
        <v/>
      </c>
      <c r="C272" s="3" t="str">
        <f>IFERROR(INDEX('بيانات الحركات'!C:C,MATCH(271,'بيانات الحركات'!$G:$G,0)),"")</f>
        <v/>
      </c>
      <c r="D272" s="3" t="str">
        <f>IFERROR(INDEX('بيانات الحركات'!D:D,MATCH(271,'بيانات الحركات'!$G:$G,0)),"")</f>
        <v/>
      </c>
      <c r="E272" s="21" t="str">
        <f>IF($B272="إنتاج طبخة","",IFERROR(INDEX('بيانات الحركات'!E:E,MATCH(271,'بيانات الحركات'!$G:$G,0)),""))</f>
        <v/>
      </c>
      <c r="F272" s="3" t="str">
        <f>IFERROR(INDEX('بيانات الحركات'!F:F,MATCH(271,'بيانات الحركات'!$G:$G,0)),"")</f>
        <v/>
      </c>
    </row>
    <row r="273" spans="1:6" ht="21.95" customHeight="1">
      <c r="A273" s="8" t="str">
        <f>IFERROR(INDEX('بيانات الحركات'!A:A,MATCH(272,'بيانات الحركات'!$G:$G,0)),"")</f>
        <v/>
      </c>
      <c r="B273" s="5" t="str">
        <f>IFERROR(INDEX('بيانات الحركات'!B:B,MATCH(272,'بيانات الحركات'!$G:$G,0)),"")</f>
        <v/>
      </c>
      <c r="C273" s="3" t="str">
        <f>IFERROR(INDEX('بيانات الحركات'!C:C,MATCH(272,'بيانات الحركات'!$G:$G,0)),"")</f>
        <v/>
      </c>
      <c r="D273" s="3" t="str">
        <f>IFERROR(INDEX('بيانات الحركات'!D:D,MATCH(272,'بيانات الحركات'!$G:$G,0)),"")</f>
        <v/>
      </c>
      <c r="E273" s="21" t="str">
        <f>IF($B273="إنتاج طبخة","",IFERROR(INDEX('بيانات الحركات'!E:E,MATCH(272,'بيانات الحركات'!$G:$G,0)),""))</f>
        <v/>
      </c>
      <c r="F273" s="3" t="str">
        <f>IFERROR(INDEX('بيانات الحركات'!F:F,MATCH(272,'بيانات الحركات'!$G:$G,0)),"")</f>
        <v/>
      </c>
    </row>
    <row r="274" spans="1:6" ht="21.95" customHeight="1">
      <c r="A274" s="8" t="str">
        <f>IFERROR(INDEX('بيانات الحركات'!A:A,MATCH(273,'بيانات الحركات'!$G:$G,0)),"")</f>
        <v/>
      </c>
      <c r="B274" s="5" t="str">
        <f>IFERROR(INDEX('بيانات الحركات'!B:B,MATCH(273,'بيانات الحركات'!$G:$G,0)),"")</f>
        <v/>
      </c>
      <c r="C274" s="3" t="str">
        <f>IFERROR(INDEX('بيانات الحركات'!C:C,MATCH(273,'بيانات الحركات'!$G:$G,0)),"")</f>
        <v/>
      </c>
      <c r="D274" s="3" t="str">
        <f>IFERROR(INDEX('بيانات الحركات'!D:D,MATCH(273,'بيانات الحركات'!$G:$G,0)),"")</f>
        <v/>
      </c>
      <c r="E274" s="21" t="str">
        <f>IF($B274="إنتاج طبخة","",IFERROR(INDEX('بيانات الحركات'!E:E,MATCH(273,'بيانات الحركات'!$G:$G,0)),""))</f>
        <v/>
      </c>
      <c r="F274" s="3" t="str">
        <f>IFERROR(INDEX('بيانات الحركات'!F:F,MATCH(273,'بيانات الحركات'!$G:$G,0)),"")</f>
        <v/>
      </c>
    </row>
    <row r="275" spans="1:6" ht="21.95" customHeight="1">
      <c r="A275" s="8" t="str">
        <f>IFERROR(INDEX('بيانات الحركات'!A:A,MATCH(274,'بيانات الحركات'!$G:$G,0)),"")</f>
        <v/>
      </c>
      <c r="B275" s="5" t="str">
        <f>IFERROR(INDEX('بيانات الحركات'!B:B,MATCH(274,'بيانات الحركات'!$G:$G,0)),"")</f>
        <v/>
      </c>
      <c r="C275" s="3" t="str">
        <f>IFERROR(INDEX('بيانات الحركات'!C:C,MATCH(274,'بيانات الحركات'!$G:$G,0)),"")</f>
        <v/>
      </c>
      <c r="D275" s="3" t="str">
        <f>IFERROR(INDEX('بيانات الحركات'!D:D,MATCH(274,'بيانات الحركات'!$G:$G,0)),"")</f>
        <v/>
      </c>
      <c r="E275" s="21" t="str">
        <f>IF($B275="إنتاج طبخة","",IFERROR(INDEX('بيانات الحركات'!E:E,MATCH(274,'بيانات الحركات'!$G:$G,0)),""))</f>
        <v/>
      </c>
      <c r="F275" s="3" t="str">
        <f>IFERROR(INDEX('بيانات الحركات'!F:F,MATCH(274,'بيانات الحركات'!$G:$G,0)),"")</f>
        <v/>
      </c>
    </row>
    <row r="276" spans="1:6" ht="21.95" customHeight="1">
      <c r="A276" s="8" t="str">
        <f>IFERROR(INDEX('بيانات الحركات'!A:A,MATCH(275,'بيانات الحركات'!$G:$G,0)),"")</f>
        <v/>
      </c>
      <c r="B276" s="5" t="str">
        <f>IFERROR(INDEX('بيانات الحركات'!B:B,MATCH(275,'بيانات الحركات'!$G:$G,0)),"")</f>
        <v/>
      </c>
      <c r="C276" s="3" t="str">
        <f>IFERROR(INDEX('بيانات الحركات'!C:C,MATCH(275,'بيانات الحركات'!$G:$G,0)),"")</f>
        <v/>
      </c>
      <c r="D276" s="3" t="str">
        <f>IFERROR(INDEX('بيانات الحركات'!D:D,MATCH(275,'بيانات الحركات'!$G:$G,0)),"")</f>
        <v/>
      </c>
      <c r="E276" s="21" t="str">
        <f>IF($B276="إنتاج طبخة","",IFERROR(INDEX('بيانات الحركات'!E:E,MATCH(275,'بيانات الحركات'!$G:$G,0)),""))</f>
        <v/>
      </c>
      <c r="F276" s="3" t="str">
        <f>IFERROR(INDEX('بيانات الحركات'!F:F,MATCH(275,'بيانات الحركات'!$G:$G,0)),"")</f>
        <v/>
      </c>
    </row>
    <row r="277" spans="1:6" ht="21.95" customHeight="1">
      <c r="A277" s="8" t="str">
        <f>IFERROR(INDEX('بيانات الحركات'!A:A,MATCH(276,'بيانات الحركات'!$G:$G,0)),"")</f>
        <v/>
      </c>
      <c r="B277" s="5" t="str">
        <f>IFERROR(INDEX('بيانات الحركات'!B:B,MATCH(276,'بيانات الحركات'!$G:$G,0)),"")</f>
        <v/>
      </c>
      <c r="C277" s="3" t="str">
        <f>IFERROR(INDEX('بيانات الحركات'!C:C,MATCH(276,'بيانات الحركات'!$G:$G,0)),"")</f>
        <v/>
      </c>
      <c r="D277" s="3" t="str">
        <f>IFERROR(INDEX('بيانات الحركات'!D:D,MATCH(276,'بيانات الحركات'!$G:$G,0)),"")</f>
        <v/>
      </c>
      <c r="E277" s="21" t="str">
        <f>IF($B277="إنتاج طبخة","",IFERROR(INDEX('بيانات الحركات'!E:E,MATCH(276,'بيانات الحركات'!$G:$G,0)),""))</f>
        <v/>
      </c>
      <c r="F277" s="3" t="str">
        <f>IFERROR(INDEX('بيانات الحركات'!F:F,MATCH(276,'بيانات الحركات'!$G:$G,0)),"")</f>
        <v/>
      </c>
    </row>
    <row r="278" spans="1:6" ht="21.95" customHeight="1">
      <c r="A278" s="8" t="str">
        <f>IFERROR(INDEX('بيانات الحركات'!A:A,MATCH(277,'بيانات الحركات'!$G:$G,0)),"")</f>
        <v/>
      </c>
      <c r="B278" s="5" t="str">
        <f>IFERROR(INDEX('بيانات الحركات'!B:B,MATCH(277,'بيانات الحركات'!$G:$G,0)),"")</f>
        <v/>
      </c>
      <c r="C278" s="3" t="str">
        <f>IFERROR(INDEX('بيانات الحركات'!C:C,MATCH(277,'بيانات الحركات'!$G:$G,0)),"")</f>
        <v/>
      </c>
      <c r="D278" s="3" t="str">
        <f>IFERROR(INDEX('بيانات الحركات'!D:D,MATCH(277,'بيانات الحركات'!$G:$G,0)),"")</f>
        <v/>
      </c>
      <c r="E278" s="21" t="str">
        <f>IF($B278="إنتاج طبخة","",IFERROR(INDEX('بيانات الحركات'!E:E,MATCH(277,'بيانات الحركات'!$G:$G,0)),""))</f>
        <v/>
      </c>
      <c r="F278" s="3" t="str">
        <f>IFERROR(INDEX('بيانات الحركات'!F:F,MATCH(277,'بيانات الحركات'!$G:$G,0)),"")</f>
        <v/>
      </c>
    </row>
    <row r="279" spans="1:6" ht="21.95" customHeight="1">
      <c r="A279" s="8" t="str">
        <f>IFERROR(INDEX('بيانات الحركات'!A:A,MATCH(278,'بيانات الحركات'!$G:$G,0)),"")</f>
        <v/>
      </c>
      <c r="B279" s="5" t="str">
        <f>IFERROR(INDEX('بيانات الحركات'!B:B,MATCH(278,'بيانات الحركات'!$G:$G,0)),"")</f>
        <v/>
      </c>
      <c r="C279" s="3" t="str">
        <f>IFERROR(INDEX('بيانات الحركات'!C:C,MATCH(278,'بيانات الحركات'!$G:$G,0)),"")</f>
        <v/>
      </c>
      <c r="D279" s="3" t="str">
        <f>IFERROR(INDEX('بيانات الحركات'!D:D,MATCH(278,'بيانات الحركات'!$G:$G,0)),"")</f>
        <v/>
      </c>
      <c r="E279" s="21" t="str">
        <f>IF($B279="إنتاج طبخة","",IFERROR(INDEX('بيانات الحركات'!E:E,MATCH(278,'بيانات الحركات'!$G:$G,0)),""))</f>
        <v/>
      </c>
      <c r="F279" s="3" t="str">
        <f>IFERROR(INDEX('بيانات الحركات'!F:F,MATCH(278,'بيانات الحركات'!$G:$G,0)),"")</f>
        <v/>
      </c>
    </row>
    <row r="280" spans="1:6" ht="21.95" customHeight="1">
      <c r="A280" s="8" t="str">
        <f>IFERROR(INDEX('بيانات الحركات'!A:A,MATCH(279,'بيانات الحركات'!$G:$G,0)),"")</f>
        <v/>
      </c>
      <c r="B280" s="5" t="str">
        <f>IFERROR(INDEX('بيانات الحركات'!B:B,MATCH(279,'بيانات الحركات'!$G:$G,0)),"")</f>
        <v/>
      </c>
      <c r="C280" s="3" t="str">
        <f>IFERROR(INDEX('بيانات الحركات'!C:C,MATCH(279,'بيانات الحركات'!$G:$G,0)),"")</f>
        <v/>
      </c>
      <c r="D280" s="3" t="str">
        <f>IFERROR(INDEX('بيانات الحركات'!D:D,MATCH(279,'بيانات الحركات'!$G:$G,0)),"")</f>
        <v/>
      </c>
      <c r="E280" s="21" t="str">
        <f>IF($B280="إنتاج طبخة","",IFERROR(INDEX('بيانات الحركات'!E:E,MATCH(279,'بيانات الحركات'!$G:$G,0)),""))</f>
        <v/>
      </c>
      <c r="F280" s="3" t="str">
        <f>IFERROR(INDEX('بيانات الحركات'!F:F,MATCH(279,'بيانات الحركات'!$G:$G,0)),"")</f>
        <v/>
      </c>
    </row>
    <row r="281" spans="1:6" ht="21.95" customHeight="1">
      <c r="A281" s="8" t="str">
        <f>IFERROR(INDEX('بيانات الحركات'!A:A,MATCH(280,'بيانات الحركات'!$G:$G,0)),"")</f>
        <v/>
      </c>
      <c r="B281" s="5" t="str">
        <f>IFERROR(INDEX('بيانات الحركات'!B:B,MATCH(280,'بيانات الحركات'!$G:$G,0)),"")</f>
        <v/>
      </c>
      <c r="C281" s="3" t="str">
        <f>IFERROR(INDEX('بيانات الحركات'!C:C,MATCH(280,'بيانات الحركات'!$G:$G,0)),"")</f>
        <v/>
      </c>
      <c r="D281" s="3" t="str">
        <f>IFERROR(INDEX('بيانات الحركات'!D:D,MATCH(280,'بيانات الحركات'!$G:$G,0)),"")</f>
        <v/>
      </c>
      <c r="E281" s="21" t="str">
        <f>IF($B281="إنتاج طبخة","",IFERROR(INDEX('بيانات الحركات'!E:E,MATCH(280,'بيانات الحركات'!$G:$G,0)),""))</f>
        <v/>
      </c>
      <c r="F281" s="3" t="str">
        <f>IFERROR(INDEX('بيانات الحركات'!F:F,MATCH(280,'بيانات الحركات'!$G:$G,0)),"")</f>
        <v/>
      </c>
    </row>
    <row r="282" spans="1:6" ht="21.95" customHeight="1">
      <c r="A282" s="8" t="str">
        <f>IFERROR(INDEX('بيانات الحركات'!A:A,MATCH(281,'بيانات الحركات'!$G:$G,0)),"")</f>
        <v/>
      </c>
      <c r="B282" s="5" t="str">
        <f>IFERROR(INDEX('بيانات الحركات'!B:B,MATCH(281,'بيانات الحركات'!$G:$G,0)),"")</f>
        <v/>
      </c>
      <c r="C282" s="3" t="str">
        <f>IFERROR(INDEX('بيانات الحركات'!C:C,MATCH(281,'بيانات الحركات'!$G:$G,0)),"")</f>
        <v/>
      </c>
      <c r="D282" s="3" t="str">
        <f>IFERROR(INDEX('بيانات الحركات'!D:D,MATCH(281,'بيانات الحركات'!$G:$G,0)),"")</f>
        <v/>
      </c>
      <c r="E282" s="21" t="str">
        <f>IF($B282="إنتاج طبخة","",IFERROR(INDEX('بيانات الحركات'!E:E,MATCH(281,'بيانات الحركات'!$G:$G,0)),""))</f>
        <v/>
      </c>
      <c r="F282" s="3" t="str">
        <f>IFERROR(INDEX('بيانات الحركات'!F:F,MATCH(281,'بيانات الحركات'!$G:$G,0)),"")</f>
        <v/>
      </c>
    </row>
    <row r="283" spans="1:6" ht="21.95" customHeight="1">
      <c r="A283" s="8" t="str">
        <f>IFERROR(INDEX('بيانات الحركات'!A:A,MATCH(282,'بيانات الحركات'!$G:$G,0)),"")</f>
        <v/>
      </c>
      <c r="B283" s="5" t="str">
        <f>IFERROR(INDEX('بيانات الحركات'!B:B,MATCH(282,'بيانات الحركات'!$G:$G,0)),"")</f>
        <v/>
      </c>
      <c r="C283" s="3" t="str">
        <f>IFERROR(INDEX('بيانات الحركات'!C:C,MATCH(282,'بيانات الحركات'!$G:$G,0)),"")</f>
        <v/>
      </c>
      <c r="D283" s="3" t="str">
        <f>IFERROR(INDEX('بيانات الحركات'!D:D,MATCH(282,'بيانات الحركات'!$G:$G,0)),"")</f>
        <v/>
      </c>
      <c r="E283" s="21" t="str">
        <f>IF($B283="إنتاج طبخة","",IFERROR(INDEX('بيانات الحركات'!E:E,MATCH(282,'بيانات الحركات'!$G:$G,0)),""))</f>
        <v/>
      </c>
      <c r="F283" s="3" t="str">
        <f>IFERROR(INDEX('بيانات الحركات'!F:F,MATCH(282,'بيانات الحركات'!$G:$G,0)),"")</f>
        <v/>
      </c>
    </row>
    <row r="284" spans="1:6" ht="21.95" customHeight="1">
      <c r="A284" s="8" t="str">
        <f>IFERROR(INDEX('بيانات الحركات'!A:A,MATCH(283,'بيانات الحركات'!$G:$G,0)),"")</f>
        <v/>
      </c>
      <c r="B284" s="5" t="str">
        <f>IFERROR(INDEX('بيانات الحركات'!B:B,MATCH(283,'بيانات الحركات'!$G:$G,0)),"")</f>
        <v/>
      </c>
      <c r="C284" s="3" t="str">
        <f>IFERROR(INDEX('بيانات الحركات'!C:C,MATCH(283,'بيانات الحركات'!$G:$G,0)),"")</f>
        <v/>
      </c>
      <c r="D284" s="3" t="str">
        <f>IFERROR(INDEX('بيانات الحركات'!D:D,MATCH(283,'بيانات الحركات'!$G:$G,0)),"")</f>
        <v/>
      </c>
      <c r="E284" s="21" t="str">
        <f>IF($B284="إنتاج طبخة","",IFERROR(INDEX('بيانات الحركات'!E:E,MATCH(283,'بيانات الحركات'!$G:$G,0)),""))</f>
        <v/>
      </c>
      <c r="F284" s="3" t="str">
        <f>IFERROR(INDEX('بيانات الحركات'!F:F,MATCH(283,'بيانات الحركات'!$G:$G,0)),"")</f>
        <v/>
      </c>
    </row>
    <row r="285" spans="1:6" ht="21.95" customHeight="1">
      <c r="A285" s="8" t="str">
        <f>IFERROR(INDEX('بيانات الحركات'!A:A,MATCH(284,'بيانات الحركات'!$G:$G,0)),"")</f>
        <v/>
      </c>
      <c r="B285" s="5" t="str">
        <f>IFERROR(INDEX('بيانات الحركات'!B:B,MATCH(284,'بيانات الحركات'!$G:$G,0)),"")</f>
        <v/>
      </c>
      <c r="C285" s="3" t="str">
        <f>IFERROR(INDEX('بيانات الحركات'!C:C,MATCH(284,'بيانات الحركات'!$G:$G,0)),"")</f>
        <v/>
      </c>
      <c r="D285" s="3" t="str">
        <f>IFERROR(INDEX('بيانات الحركات'!D:D,MATCH(284,'بيانات الحركات'!$G:$G,0)),"")</f>
        <v/>
      </c>
      <c r="E285" s="21" t="str">
        <f>IF($B285="إنتاج طبخة","",IFERROR(INDEX('بيانات الحركات'!E:E,MATCH(284,'بيانات الحركات'!$G:$G,0)),""))</f>
        <v/>
      </c>
      <c r="F285" s="3" t="str">
        <f>IFERROR(INDEX('بيانات الحركات'!F:F,MATCH(284,'بيانات الحركات'!$G:$G,0)),"")</f>
        <v/>
      </c>
    </row>
    <row r="286" spans="1:6" ht="21.95" customHeight="1">
      <c r="A286" s="8" t="str">
        <f>IFERROR(INDEX('بيانات الحركات'!A:A,MATCH(285,'بيانات الحركات'!$G:$G,0)),"")</f>
        <v/>
      </c>
      <c r="B286" s="5" t="str">
        <f>IFERROR(INDEX('بيانات الحركات'!B:B,MATCH(285,'بيانات الحركات'!$G:$G,0)),"")</f>
        <v/>
      </c>
      <c r="C286" s="3" t="str">
        <f>IFERROR(INDEX('بيانات الحركات'!C:C,MATCH(285,'بيانات الحركات'!$G:$G,0)),"")</f>
        <v/>
      </c>
      <c r="D286" s="3" t="str">
        <f>IFERROR(INDEX('بيانات الحركات'!D:D,MATCH(285,'بيانات الحركات'!$G:$G,0)),"")</f>
        <v/>
      </c>
      <c r="E286" s="21" t="str">
        <f>IF($B286="إنتاج طبخة","",IFERROR(INDEX('بيانات الحركات'!E:E,MATCH(285,'بيانات الحركات'!$G:$G,0)),""))</f>
        <v/>
      </c>
      <c r="F286" s="3" t="str">
        <f>IFERROR(INDEX('بيانات الحركات'!F:F,MATCH(285,'بيانات الحركات'!$G:$G,0)),"")</f>
        <v/>
      </c>
    </row>
    <row r="287" spans="1:6" ht="21.95" customHeight="1">
      <c r="A287" s="8" t="str">
        <f>IFERROR(INDEX('بيانات الحركات'!A:A,MATCH(286,'بيانات الحركات'!$G:$G,0)),"")</f>
        <v/>
      </c>
      <c r="B287" s="5" t="str">
        <f>IFERROR(INDEX('بيانات الحركات'!B:B,MATCH(286,'بيانات الحركات'!$G:$G,0)),"")</f>
        <v/>
      </c>
      <c r="C287" s="3" t="str">
        <f>IFERROR(INDEX('بيانات الحركات'!C:C,MATCH(286,'بيانات الحركات'!$G:$G,0)),"")</f>
        <v/>
      </c>
      <c r="D287" s="3" t="str">
        <f>IFERROR(INDEX('بيانات الحركات'!D:D,MATCH(286,'بيانات الحركات'!$G:$G,0)),"")</f>
        <v/>
      </c>
      <c r="E287" s="21" t="str">
        <f>IF($B287="إنتاج طبخة","",IFERROR(INDEX('بيانات الحركات'!E:E,MATCH(286,'بيانات الحركات'!$G:$G,0)),""))</f>
        <v/>
      </c>
      <c r="F287" s="3" t="str">
        <f>IFERROR(INDEX('بيانات الحركات'!F:F,MATCH(286,'بيانات الحركات'!$G:$G,0)),"")</f>
        <v/>
      </c>
    </row>
    <row r="288" spans="1:6" ht="21.95" customHeight="1">
      <c r="A288" s="8" t="str">
        <f>IFERROR(INDEX('بيانات الحركات'!A:A,MATCH(287,'بيانات الحركات'!$G:$G,0)),"")</f>
        <v/>
      </c>
      <c r="B288" s="5" t="str">
        <f>IFERROR(INDEX('بيانات الحركات'!B:B,MATCH(287,'بيانات الحركات'!$G:$G,0)),"")</f>
        <v/>
      </c>
      <c r="C288" s="3" t="str">
        <f>IFERROR(INDEX('بيانات الحركات'!C:C,MATCH(287,'بيانات الحركات'!$G:$G,0)),"")</f>
        <v/>
      </c>
      <c r="D288" s="3" t="str">
        <f>IFERROR(INDEX('بيانات الحركات'!D:D,MATCH(287,'بيانات الحركات'!$G:$G,0)),"")</f>
        <v/>
      </c>
      <c r="E288" s="21" t="str">
        <f>IF($B288="إنتاج طبخة","",IFERROR(INDEX('بيانات الحركات'!E:E,MATCH(287,'بيانات الحركات'!$G:$G,0)),""))</f>
        <v/>
      </c>
      <c r="F288" s="3" t="str">
        <f>IFERROR(INDEX('بيانات الحركات'!F:F,MATCH(287,'بيانات الحركات'!$G:$G,0)),"")</f>
        <v/>
      </c>
    </row>
    <row r="289" spans="1:6" ht="21.95" customHeight="1">
      <c r="A289" s="8" t="str">
        <f>IFERROR(INDEX('بيانات الحركات'!A:A,MATCH(288,'بيانات الحركات'!$G:$G,0)),"")</f>
        <v/>
      </c>
      <c r="B289" s="5" t="str">
        <f>IFERROR(INDEX('بيانات الحركات'!B:B,MATCH(288,'بيانات الحركات'!$G:$G,0)),"")</f>
        <v/>
      </c>
      <c r="C289" s="3" t="str">
        <f>IFERROR(INDEX('بيانات الحركات'!C:C,MATCH(288,'بيانات الحركات'!$G:$G,0)),"")</f>
        <v/>
      </c>
      <c r="D289" s="3" t="str">
        <f>IFERROR(INDEX('بيانات الحركات'!D:D,MATCH(288,'بيانات الحركات'!$G:$G,0)),"")</f>
        <v/>
      </c>
      <c r="E289" s="21" t="str">
        <f>IF($B289="إنتاج طبخة","",IFERROR(INDEX('بيانات الحركات'!E:E,MATCH(288,'بيانات الحركات'!$G:$G,0)),""))</f>
        <v/>
      </c>
      <c r="F289" s="3" t="str">
        <f>IFERROR(INDEX('بيانات الحركات'!F:F,MATCH(288,'بيانات الحركات'!$G:$G,0)),"")</f>
        <v/>
      </c>
    </row>
    <row r="290" spans="1:6" ht="21.95" customHeight="1">
      <c r="A290" s="8" t="str">
        <f>IFERROR(INDEX('بيانات الحركات'!A:A,MATCH(289,'بيانات الحركات'!$G:$G,0)),"")</f>
        <v/>
      </c>
      <c r="B290" s="5" t="str">
        <f>IFERROR(INDEX('بيانات الحركات'!B:B,MATCH(289,'بيانات الحركات'!$G:$G,0)),"")</f>
        <v/>
      </c>
      <c r="C290" s="3" t="str">
        <f>IFERROR(INDEX('بيانات الحركات'!C:C,MATCH(289,'بيانات الحركات'!$G:$G,0)),"")</f>
        <v/>
      </c>
      <c r="D290" s="3" t="str">
        <f>IFERROR(INDEX('بيانات الحركات'!D:D,MATCH(289,'بيانات الحركات'!$G:$G,0)),"")</f>
        <v/>
      </c>
      <c r="E290" s="21" t="str">
        <f>IF($B290="إنتاج طبخة","",IFERROR(INDEX('بيانات الحركات'!E:E,MATCH(289,'بيانات الحركات'!$G:$G,0)),""))</f>
        <v/>
      </c>
      <c r="F290" s="3" t="str">
        <f>IFERROR(INDEX('بيانات الحركات'!F:F,MATCH(289,'بيانات الحركات'!$G:$G,0)),"")</f>
        <v/>
      </c>
    </row>
    <row r="291" spans="1:6" ht="21.95" customHeight="1">
      <c r="A291" s="8" t="str">
        <f>IFERROR(INDEX('بيانات الحركات'!A:A,MATCH(290,'بيانات الحركات'!$G:$G,0)),"")</f>
        <v/>
      </c>
      <c r="B291" s="5" t="str">
        <f>IFERROR(INDEX('بيانات الحركات'!B:B,MATCH(290,'بيانات الحركات'!$G:$G,0)),"")</f>
        <v/>
      </c>
      <c r="C291" s="3" t="str">
        <f>IFERROR(INDEX('بيانات الحركات'!C:C,MATCH(290,'بيانات الحركات'!$G:$G,0)),"")</f>
        <v/>
      </c>
      <c r="D291" s="3" t="str">
        <f>IFERROR(INDEX('بيانات الحركات'!D:D,MATCH(290,'بيانات الحركات'!$G:$G,0)),"")</f>
        <v/>
      </c>
      <c r="E291" s="21" t="str">
        <f>IF($B291="إنتاج طبخة","",IFERROR(INDEX('بيانات الحركات'!E:E,MATCH(290,'بيانات الحركات'!$G:$G,0)),""))</f>
        <v/>
      </c>
      <c r="F291" s="3" t="str">
        <f>IFERROR(INDEX('بيانات الحركات'!F:F,MATCH(290,'بيانات الحركات'!$G:$G,0)),"")</f>
        <v/>
      </c>
    </row>
    <row r="292" spans="1:6" ht="21.95" customHeight="1">
      <c r="A292" s="8" t="str">
        <f>IFERROR(INDEX('بيانات الحركات'!A:A,MATCH(291,'بيانات الحركات'!$G:$G,0)),"")</f>
        <v/>
      </c>
      <c r="B292" s="5" t="str">
        <f>IFERROR(INDEX('بيانات الحركات'!B:B,MATCH(291,'بيانات الحركات'!$G:$G,0)),"")</f>
        <v/>
      </c>
      <c r="C292" s="3" t="str">
        <f>IFERROR(INDEX('بيانات الحركات'!C:C,MATCH(291,'بيانات الحركات'!$G:$G,0)),"")</f>
        <v/>
      </c>
      <c r="D292" s="3" t="str">
        <f>IFERROR(INDEX('بيانات الحركات'!D:D,MATCH(291,'بيانات الحركات'!$G:$G,0)),"")</f>
        <v/>
      </c>
      <c r="E292" s="21" t="str">
        <f>IF($B292="إنتاج طبخة","",IFERROR(INDEX('بيانات الحركات'!E:E,MATCH(291,'بيانات الحركات'!$G:$G,0)),""))</f>
        <v/>
      </c>
      <c r="F292" s="3" t="str">
        <f>IFERROR(INDEX('بيانات الحركات'!F:F,MATCH(291,'بيانات الحركات'!$G:$G,0)),"")</f>
        <v/>
      </c>
    </row>
    <row r="293" spans="1:6" ht="21.95" customHeight="1">
      <c r="A293" s="8" t="str">
        <f>IFERROR(INDEX('بيانات الحركات'!A:A,MATCH(292,'بيانات الحركات'!$G:$G,0)),"")</f>
        <v/>
      </c>
      <c r="B293" s="5" t="str">
        <f>IFERROR(INDEX('بيانات الحركات'!B:B,MATCH(292,'بيانات الحركات'!$G:$G,0)),"")</f>
        <v/>
      </c>
      <c r="C293" s="3" t="str">
        <f>IFERROR(INDEX('بيانات الحركات'!C:C,MATCH(292,'بيانات الحركات'!$G:$G,0)),"")</f>
        <v/>
      </c>
      <c r="D293" s="3" t="str">
        <f>IFERROR(INDEX('بيانات الحركات'!D:D,MATCH(292,'بيانات الحركات'!$G:$G,0)),"")</f>
        <v/>
      </c>
      <c r="E293" s="21" t="str">
        <f>IF($B293="إنتاج طبخة","",IFERROR(INDEX('بيانات الحركات'!E:E,MATCH(292,'بيانات الحركات'!$G:$G,0)),""))</f>
        <v/>
      </c>
      <c r="F293" s="3" t="str">
        <f>IFERROR(INDEX('بيانات الحركات'!F:F,MATCH(292,'بيانات الحركات'!$G:$G,0)),"")</f>
        <v/>
      </c>
    </row>
    <row r="294" spans="1:6" ht="21.95" customHeight="1">
      <c r="A294" s="8" t="str">
        <f>IFERROR(INDEX('بيانات الحركات'!A:A,MATCH(293,'بيانات الحركات'!$G:$G,0)),"")</f>
        <v/>
      </c>
      <c r="B294" s="5" t="str">
        <f>IFERROR(INDEX('بيانات الحركات'!B:B,MATCH(293,'بيانات الحركات'!$G:$G,0)),"")</f>
        <v/>
      </c>
      <c r="C294" s="3" t="str">
        <f>IFERROR(INDEX('بيانات الحركات'!C:C,MATCH(293,'بيانات الحركات'!$G:$G,0)),"")</f>
        <v/>
      </c>
      <c r="D294" s="3" t="str">
        <f>IFERROR(INDEX('بيانات الحركات'!D:D,MATCH(293,'بيانات الحركات'!$G:$G,0)),"")</f>
        <v/>
      </c>
      <c r="E294" s="21" t="str">
        <f>IF($B294="إنتاج طبخة","",IFERROR(INDEX('بيانات الحركات'!E:E,MATCH(293,'بيانات الحركات'!$G:$G,0)),""))</f>
        <v/>
      </c>
      <c r="F294" s="3" t="str">
        <f>IFERROR(INDEX('بيانات الحركات'!F:F,MATCH(293,'بيانات الحركات'!$G:$G,0)),"")</f>
        <v/>
      </c>
    </row>
    <row r="295" spans="1:6" ht="21.95" customHeight="1">
      <c r="A295" s="8" t="str">
        <f>IFERROR(INDEX('بيانات الحركات'!A:A,MATCH(294,'بيانات الحركات'!$G:$G,0)),"")</f>
        <v/>
      </c>
      <c r="B295" s="5" t="str">
        <f>IFERROR(INDEX('بيانات الحركات'!B:B,MATCH(294,'بيانات الحركات'!$G:$G,0)),"")</f>
        <v/>
      </c>
      <c r="C295" s="3" t="str">
        <f>IFERROR(INDEX('بيانات الحركات'!C:C,MATCH(294,'بيانات الحركات'!$G:$G,0)),"")</f>
        <v/>
      </c>
      <c r="D295" s="3" t="str">
        <f>IFERROR(INDEX('بيانات الحركات'!D:D,MATCH(294,'بيانات الحركات'!$G:$G,0)),"")</f>
        <v/>
      </c>
      <c r="E295" s="21" t="str">
        <f>IF($B295="إنتاج طبخة","",IFERROR(INDEX('بيانات الحركات'!E:E,MATCH(294,'بيانات الحركات'!$G:$G,0)),""))</f>
        <v/>
      </c>
      <c r="F295" s="3" t="str">
        <f>IFERROR(INDEX('بيانات الحركات'!F:F,MATCH(294,'بيانات الحركات'!$G:$G,0)),"")</f>
        <v/>
      </c>
    </row>
    <row r="296" spans="1:6" ht="21.95" customHeight="1">
      <c r="A296" s="8" t="str">
        <f>IFERROR(INDEX('بيانات الحركات'!A:A,MATCH(295,'بيانات الحركات'!$G:$G,0)),"")</f>
        <v/>
      </c>
      <c r="B296" s="5" t="str">
        <f>IFERROR(INDEX('بيانات الحركات'!B:B,MATCH(295,'بيانات الحركات'!$G:$G,0)),"")</f>
        <v/>
      </c>
      <c r="C296" s="3" t="str">
        <f>IFERROR(INDEX('بيانات الحركات'!C:C,MATCH(295,'بيانات الحركات'!$G:$G,0)),"")</f>
        <v/>
      </c>
      <c r="D296" s="3" t="str">
        <f>IFERROR(INDEX('بيانات الحركات'!D:D,MATCH(295,'بيانات الحركات'!$G:$G,0)),"")</f>
        <v/>
      </c>
      <c r="E296" s="21" t="str">
        <f>IF($B296="إنتاج طبخة","",IFERROR(INDEX('بيانات الحركات'!E:E,MATCH(295,'بيانات الحركات'!$G:$G,0)),""))</f>
        <v/>
      </c>
      <c r="F296" s="3" t="str">
        <f>IFERROR(INDEX('بيانات الحركات'!F:F,MATCH(295,'بيانات الحركات'!$G:$G,0)),"")</f>
        <v/>
      </c>
    </row>
    <row r="297" spans="1:6" ht="21.95" customHeight="1">
      <c r="A297" s="8" t="str">
        <f>IFERROR(INDEX('بيانات الحركات'!A:A,MATCH(296,'بيانات الحركات'!$G:$G,0)),"")</f>
        <v/>
      </c>
      <c r="B297" s="5" t="str">
        <f>IFERROR(INDEX('بيانات الحركات'!B:B,MATCH(296,'بيانات الحركات'!$G:$G,0)),"")</f>
        <v/>
      </c>
      <c r="C297" s="3" t="str">
        <f>IFERROR(INDEX('بيانات الحركات'!C:C,MATCH(296,'بيانات الحركات'!$G:$G,0)),"")</f>
        <v/>
      </c>
      <c r="D297" s="3" t="str">
        <f>IFERROR(INDEX('بيانات الحركات'!D:D,MATCH(296,'بيانات الحركات'!$G:$G,0)),"")</f>
        <v/>
      </c>
      <c r="E297" s="21" t="str">
        <f>IF($B297="إنتاج طبخة","",IFERROR(INDEX('بيانات الحركات'!E:E,MATCH(296,'بيانات الحركات'!$G:$G,0)),""))</f>
        <v/>
      </c>
      <c r="F297" s="3" t="str">
        <f>IFERROR(INDEX('بيانات الحركات'!F:F,MATCH(296,'بيانات الحركات'!$G:$G,0)),"")</f>
        <v/>
      </c>
    </row>
    <row r="298" spans="1:6" ht="21.95" customHeight="1">
      <c r="A298" s="8" t="str">
        <f>IFERROR(INDEX('بيانات الحركات'!A:A,MATCH(297,'بيانات الحركات'!$G:$G,0)),"")</f>
        <v/>
      </c>
      <c r="B298" s="5" t="str">
        <f>IFERROR(INDEX('بيانات الحركات'!B:B,MATCH(297,'بيانات الحركات'!$G:$G,0)),"")</f>
        <v/>
      </c>
      <c r="C298" s="3" t="str">
        <f>IFERROR(INDEX('بيانات الحركات'!C:C,MATCH(297,'بيانات الحركات'!$G:$G,0)),"")</f>
        <v/>
      </c>
      <c r="D298" s="3" t="str">
        <f>IFERROR(INDEX('بيانات الحركات'!D:D,MATCH(297,'بيانات الحركات'!$G:$G,0)),"")</f>
        <v/>
      </c>
      <c r="E298" s="21" t="str">
        <f>IF($B298="إنتاج طبخة","",IFERROR(INDEX('بيانات الحركات'!E:E,MATCH(297,'بيانات الحركات'!$G:$G,0)),""))</f>
        <v/>
      </c>
      <c r="F298" s="3" t="str">
        <f>IFERROR(INDEX('بيانات الحركات'!F:F,MATCH(297,'بيانات الحركات'!$G:$G,0)),"")</f>
        <v/>
      </c>
    </row>
    <row r="299" spans="1:6" ht="21.95" customHeight="1">
      <c r="A299" s="8" t="str">
        <f>IFERROR(INDEX('بيانات الحركات'!A:A,MATCH(298,'بيانات الحركات'!$G:$G,0)),"")</f>
        <v/>
      </c>
      <c r="B299" s="5" t="str">
        <f>IFERROR(INDEX('بيانات الحركات'!B:B,MATCH(298,'بيانات الحركات'!$G:$G,0)),"")</f>
        <v/>
      </c>
      <c r="C299" s="3" t="str">
        <f>IFERROR(INDEX('بيانات الحركات'!C:C,MATCH(298,'بيانات الحركات'!$G:$G,0)),"")</f>
        <v/>
      </c>
      <c r="D299" s="3" t="str">
        <f>IFERROR(INDEX('بيانات الحركات'!D:D,MATCH(298,'بيانات الحركات'!$G:$G,0)),"")</f>
        <v/>
      </c>
      <c r="E299" s="21" t="str">
        <f>IF($B299="إنتاج طبخة","",IFERROR(INDEX('بيانات الحركات'!E:E,MATCH(298,'بيانات الحركات'!$G:$G,0)),""))</f>
        <v/>
      </c>
      <c r="F299" s="3" t="str">
        <f>IFERROR(INDEX('بيانات الحركات'!F:F,MATCH(298,'بيانات الحركات'!$G:$G,0)),"")</f>
        <v/>
      </c>
    </row>
    <row r="300" spans="1:6" ht="21.95" customHeight="1">
      <c r="A300" s="8" t="str">
        <f>IFERROR(INDEX('بيانات الحركات'!A:A,MATCH(299,'بيانات الحركات'!$G:$G,0)),"")</f>
        <v/>
      </c>
      <c r="B300" s="5" t="str">
        <f>IFERROR(INDEX('بيانات الحركات'!B:B,MATCH(299,'بيانات الحركات'!$G:$G,0)),"")</f>
        <v/>
      </c>
      <c r="C300" s="3" t="str">
        <f>IFERROR(INDEX('بيانات الحركات'!C:C,MATCH(299,'بيانات الحركات'!$G:$G,0)),"")</f>
        <v/>
      </c>
      <c r="D300" s="3" t="str">
        <f>IFERROR(INDEX('بيانات الحركات'!D:D,MATCH(299,'بيانات الحركات'!$G:$G,0)),"")</f>
        <v/>
      </c>
      <c r="E300" s="21" t="str">
        <f>IF($B300="إنتاج طبخة","",IFERROR(INDEX('بيانات الحركات'!E:E,MATCH(299,'بيانات الحركات'!$G:$G,0)),""))</f>
        <v/>
      </c>
      <c r="F300" s="3" t="str">
        <f>IFERROR(INDEX('بيانات الحركات'!F:F,MATCH(299,'بيانات الحركات'!$G:$G,0)),"")</f>
        <v/>
      </c>
    </row>
    <row r="301" spans="1:6" ht="21.95" customHeight="1">
      <c r="A301" s="8" t="str">
        <f>IFERROR(INDEX('بيانات الحركات'!A:A,MATCH(300,'بيانات الحركات'!$G:$G,0)),"")</f>
        <v/>
      </c>
      <c r="B301" s="5" t="str">
        <f>IFERROR(INDEX('بيانات الحركات'!B:B,MATCH(300,'بيانات الحركات'!$G:$G,0)),"")</f>
        <v/>
      </c>
      <c r="C301" s="3" t="str">
        <f>IFERROR(INDEX('بيانات الحركات'!C:C,MATCH(300,'بيانات الحركات'!$G:$G,0)),"")</f>
        <v/>
      </c>
      <c r="D301" s="3" t="str">
        <f>IFERROR(INDEX('بيانات الحركات'!D:D,MATCH(300,'بيانات الحركات'!$G:$G,0)),"")</f>
        <v/>
      </c>
      <c r="E301" s="21" t="str">
        <f>IF($B301="إنتاج طبخة","",IFERROR(INDEX('بيانات الحركات'!E:E,MATCH(300,'بيانات الحركات'!$G:$G,0)),""))</f>
        <v/>
      </c>
      <c r="F301" s="3" t="str">
        <f>IFERROR(INDEX('بيانات الحركات'!F:F,MATCH(300,'بيانات الحركات'!$G:$G,0)),"")</f>
        <v/>
      </c>
    </row>
    <row r="302" spans="1:6" ht="21.95" customHeight="1">
      <c r="A302" s="8" t="str">
        <f>IFERROR(INDEX('بيانات الحركات'!A:A,MATCH(301,'بيانات الحركات'!$G:$G,0)),"")</f>
        <v/>
      </c>
      <c r="B302" s="5" t="str">
        <f>IFERROR(INDEX('بيانات الحركات'!B:B,MATCH(301,'بيانات الحركات'!$G:$G,0)),"")</f>
        <v/>
      </c>
      <c r="C302" s="3" t="str">
        <f>IFERROR(INDEX('بيانات الحركات'!C:C,MATCH(301,'بيانات الحركات'!$G:$G,0)),"")</f>
        <v/>
      </c>
      <c r="D302" s="3" t="str">
        <f>IFERROR(INDEX('بيانات الحركات'!D:D,MATCH(301,'بيانات الحركات'!$G:$G,0)),"")</f>
        <v/>
      </c>
      <c r="E302" s="21" t="str">
        <f>IF($B302="إنتاج طبخة","",IFERROR(INDEX('بيانات الحركات'!E:E,MATCH(301,'بيانات الحركات'!$G:$G,0)),""))</f>
        <v/>
      </c>
      <c r="F302" s="3" t="str">
        <f>IFERROR(INDEX('بيانات الحركات'!F:F,MATCH(301,'بيانات الحركات'!$G:$G,0)),"")</f>
        <v/>
      </c>
    </row>
    <row r="303" spans="1:6" ht="21.95" customHeight="1">
      <c r="A303" s="8" t="str">
        <f>IFERROR(INDEX('بيانات الحركات'!A:A,MATCH(302,'بيانات الحركات'!$G:$G,0)),"")</f>
        <v/>
      </c>
      <c r="B303" s="5" t="str">
        <f>IFERROR(INDEX('بيانات الحركات'!B:B,MATCH(302,'بيانات الحركات'!$G:$G,0)),"")</f>
        <v/>
      </c>
      <c r="C303" s="3" t="str">
        <f>IFERROR(INDEX('بيانات الحركات'!C:C,MATCH(302,'بيانات الحركات'!$G:$G,0)),"")</f>
        <v/>
      </c>
      <c r="D303" s="3" t="str">
        <f>IFERROR(INDEX('بيانات الحركات'!D:D,MATCH(302,'بيانات الحركات'!$G:$G,0)),"")</f>
        <v/>
      </c>
      <c r="E303" s="21" t="str">
        <f>IF($B303="إنتاج طبخة","",IFERROR(INDEX('بيانات الحركات'!E:E,MATCH(302,'بيانات الحركات'!$G:$G,0)),""))</f>
        <v/>
      </c>
      <c r="F303" s="3" t="str">
        <f>IFERROR(INDEX('بيانات الحركات'!F:F,MATCH(302,'بيانات الحركات'!$G:$G,0)),"")</f>
        <v/>
      </c>
    </row>
    <row r="304" spans="1:6" ht="21.95" customHeight="1">
      <c r="A304" s="8" t="str">
        <f>IFERROR(INDEX('بيانات الحركات'!A:A,MATCH(303,'بيانات الحركات'!$G:$G,0)),"")</f>
        <v/>
      </c>
      <c r="B304" s="5" t="str">
        <f>IFERROR(INDEX('بيانات الحركات'!B:B,MATCH(303,'بيانات الحركات'!$G:$G,0)),"")</f>
        <v/>
      </c>
      <c r="C304" s="3" t="str">
        <f>IFERROR(INDEX('بيانات الحركات'!C:C,MATCH(303,'بيانات الحركات'!$G:$G,0)),"")</f>
        <v/>
      </c>
      <c r="D304" s="3" t="str">
        <f>IFERROR(INDEX('بيانات الحركات'!D:D,MATCH(303,'بيانات الحركات'!$G:$G,0)),"")</f>
        <v/>
      </c>
      <c r="E304" s="21" t="str">
        <f>IF($B304="إنتاج طبخة","",IFERROR(INDEX('بيانات الحركات'!E:E,MATCH(303,'بيانات الحركات'!$G:$G,0)),""))</f>
        <v/>
      </c>
      <c r="F304" s="3" t="str">
        <f>IFERROR(INDEX('بيانات الحركات'!F:F,MATCH(303,'بيانات الحركات'!$G:$G,0)),"")</f>
        <v/>
      </c>
    </row>
    <row r="305" spans="1:6" ht="21.95" customHeight="1">
      <c r="A305" s="8" t="str">
        <f>IFERROR(INDEX('بيانات الحركات'!A:A,MATCH(304,'بيانات الحركات'!$G:$G,0)),"")</f>
        <v/>
      </c>
      <c r="B305" s="5" t="str">
        <f>IFERROR(INDEX('بيانات الحركات'!B:B,MATCH(304,'بيانات الحركات'!$G:$G,0)),"")</f>
        <v/>
      </c>
      <c r="C305" s="3" t="str">
        <f>IFERROR(INDEX('بيانات الحركات'!C:C,MATCH(304,'بيانات الحركات'!$G:$G,0)),"")</f>
        <v/>
      </c>
      <c r="D305" s="3" t="str">
        <f>IFERROR(INDEX('بيانات الحركات'!D:D,MATCH(304,'بيانات الحركات'!$G:$G,0)),"")</f>
        <v/>
      </c>
      <c r="E305" s="21" t="str">
        <f>IF($B305="إنتاج طبخة","",IFERROR(INDEX('بيانات الحركات'!E:E,MATCH(304,'بيانات الحركات'!$G:$G,0)),""))</f>
        <v/>
      </c>
      <c r="F305" s="3" t="str">
        <f>IFERROR(INDEX('بيانات الحركات'!F:F,MATCH(304,'بيانات الحركات'!$G:$G,0)),"")</f>
        <v/>
      </c>
    </row>
    <row r="306" spans="1:6" ht="21.95" customHeight="1">
      <c r="A306" s="8" t="str">
        <f>IFERROR(INDEX('بيانات الحركات'!A:A,MATCH(305,'بيانات الحركات'!$G:$G,0)),"")</f>
        <v/>
      </c>
      <c r="B306" s="5" t="str">
        <f>IFERROR(INDEX('بيانات الحركات'!B:B,MATCH(305,'بيانات الحركات'!$G:$G,0)),"")</f>
        <v/>
      </c>
      <c r="C306" s="3" t="str">
        <f>IFERROR(INDEX('بيانات الحركات'!C:C,MATCH(305,'بيانات الحركات'!$G:$G,0)),"")</f>
        <v/>
      </c>
      <c r="D306" s="3" t="str">
        <f>IFERROR(INDEX('بيانات الحركات'!D:D,MATCH(305,'بيانات الحركات'!$G:$G,0)),"")</f>
        <v/>
      </c>
      <c r="E306" s="21" t="str">
        <f>IF($B306="إنتاج طبخة","",IFERROR(INDEX('بيانات الحركات'!E:E,MATCH(305,'بيانات الحركات'!$G:$G,0)),""))</f>
        <v/>
      </c>
      <c r="F306" s="3" t="str">
        <f>IFERROR(INDEX('بيانات الحركات'!F:F,MATCH(305,'بيانات الحركات'!$G:$G,0)),"")</f>
        <v/>
      </c>
    </row>
    <row r="307" spans="1:6" ht="21.95" customHeight="1">
      <c r="A307" s="8" t="str">
        <f>IFERROR(INDEX('بيانات الحركات'!A:A,MATCH(306,'بيانات الحركات'!$G:$G,0)),"")</f>
        <v/>
      </c>
      <c r="B307" s="5" t="str">
        <f>IFERROR(INDEX('بيانات الحركات'!B:B,MATCH(306,'بيانات الحركات'!$G:$G,0)),"")</f>
        <v/>
      </c>
      <c r="C307" s="3" t="str">
        <f>IFERROR(INDEX('بيانات الحركات'!C:C,MATCH(306,'بيانات الحركات'!$G:$G,0)),"")</f>
        <v/>
      </c>
      <c r="D307" s="3" t="str">
        <f>IFERROR(INDEX('بيانات الحركات'!D:D,MATCH(306,'بيانات الحركات'!$G:$G,0)),"")</f>
        <v/>
      </c>
      <c r="E307" s="21" t="str">
        <f>IF($B307="إنتاج طبخة","",IFERROR(INDEX('بيانات الحركات'!E:E,MATCH(306,'بيانات الحركات'!$G:$G,0)),""))</f>
        <v/>
      </c>
      <c r="F307" s="3" t="str">
        <f>IFERROR(INDEX('بيانات الحركات'!F:F,MATCH(306,'بيانات الحركات'!$G:$G,0)),"")</f>
        <v/>
      </c>
    </row>
    <row r="308" spans="1:6" ht="21.95" customHeight="1">
      <c r="A308" s="8" t="str">
        <f>IFERROR(INDEX('بيانات الحركات'!A:A,MATCH(307,'بيانات الحركات'!$G:$G,0)),"")</f>
        <v/>
      </c>
      <c r="B308" s="5" t="str">
        <f>IFERROR(INDEX('بيانات الحركات'!B:B,MATCH(307,'بيانات الحركات'!$G:$G,0)),"")</f>
        <v/>
      </c>
      <c r="C308" s="3" t="str">
        <f>IFERROR(INDEX('بيانات الحركات'!C:C,MATCH(307,'بيانات الحركات'!$G:$G,0)),"")</f>
        <v/>
      </c>
      <c r="D308" s="3" t="str">
        <f>IFERROR(INDEX('بيانات الحركات'!D:D,MATCH(307,'بيانات الحركات'!$G:$G,0)),"")</f>
        <v/>
      </c>
      <c r="E308" s="21" t="str">
        <f>IF($B308="إنتاج طبخة","",IFERROR(INDEX('بيانات الحركات'!E:E,MATCH(307,'بيانات الحركات'!$G:$G,0)),""))</f>
        <v/>
      </c>
      <c r="F308" s="3" t="str">
        <f>IFERROR(INDEX('بيانات الحركات'!F:F,MATCH(307,'بيانات الحركات'!$G:$G,0)),"")</f>
        <v/>
      </c>
    </row>
    <row r="309" spans="1:6" ht="21.95" customHeight="1">
      <c r="A309" s="8" t="str">
        <f>IFERROR(INDEX('بيانات الحركات'!A:A,MATCH(308,'بيانات الحركات'!$G:$G,0)),"")</f>
        <v/>
      </c>
      <c r="B309" s="5" t="str">
        <f>IFERROR(INDEX('بيانات الحركات'!B:B,MATCH(308,'بيانات الحركات'!$G:$G,0)),"")</f>
        <v/>
      </c>
      <c r="C309" s="3" t="str">
        <f>IFERROR(INDEX('بيانات الحركات'!C:C,MATCH(308,'بيانات الحركات'!$G:$G,0)),"")</f>
        <v/>
      </c>
      <c r="D309" s="3" t="str">
        <f>IFERROR(INDEX('بيانات الحركات'!D:D,MATCH(308,'بيانات الحركات'!$G:$G,0)),"")</f>
        <v/>
      </c>
      <c r="E309" s="21" t="str">
        <f>IF($B309="إنتاج طبخة","",IFERROR(INDEX('بيانات الحركات'!E:E,MATCH(308,'بيانات الحركات'!$G:$G,0)),""))</f>
        <v/>
      </c>
      <c r="F309" s="3" t="str">
        <f>IFERROR(INDEX('بيانات الحركات'!F:F,MATCH(308,'بيانات الحركات'!$G:$G,0)),"")</f>
        <v/>
      </c>
    </row>
    <row r="310" spans="1:6" ht="21.95" customHeight="1">
      <c r="A310" s="8" t="str">
        <f>IFERROR(INDEX('بيانات الحركات'!A:A,MATCH(309,'بيانات الحركات'!$G:$G,0)),"")</f>
        <v/>
      </c>
      <c r="B310" s="5" t="str">
        <f>IFERROR(INDEX('بيانات الحركات'!B:B,MATCH(309,'بيانات الحركات'!$G:$G,0)),"")</f>
        <v/>
      </c>
      <c r="C310" s="3" t="str">
        <f>IFERROR(INDEX('بيانات الحركات'!C:C,MATCH(309,'بيانات الحركات'!$G:$G,0)),"")</f>
        <v/>
      </c>
      <c r="D310" s="3" t="str">
        <f>IFERROR(INDEX('بيانات الحركات'!D:D,MATCH(309,'بيانات الحركات'!$G:$G,0)),"")</f>
        <v/>
      </c>
      <c r="E310" s="21" t="str">
        <f>IF($B310="إنتاج طبخة","",IFERROR(INDEX('بيانات الحركات'!E:E,MATCH(309,'بيانات الحركات'!$G:$G,0)),""))</f>
        <v/>
      </c>
      <c r="F310" s="3" t="str">
        <f>IFERROR(INDEX('بيانات الحركات'!F:F,MATCH(309,'بيانات الحركات'!$G:$G,0)),"")</f>
        <v/>
      </c>
    </row>
    <row r="311" spans="1:6" ht="21.95" customHeight="1">
      <c r="A311" s="8" t="str">
        <f>IFERROR(INDEX('بيانات الحركات'!A:A,MATCH(310,'بيانات الحركات'!$G:$G,0)),"")</f>
        <v/>
      </c>
      <c r="B311" s="5" t="str">
        <f>IFERROR(INDEX('بيانات الحركات'!B:B,MATCH(310,'بيانات الحركات'!$G:$G,0)),"")</f>
        <v/>
      </c>
      <c r="C311" s="3" t="str">
        <f>IFERROR(INDEX('بيانات الحركات'!C:C,MATCH(310,'بيانات الحركات'!$G:$G,0)),"")</f>
        <v/>
      </c>
      <c r="D311" s="3" t="str">
        <f>IFERROR(INDEX('بيانات الحركات'!D:D,MATCH(310,'بيانات الحركات'!$G:$G,0)),"")</f>
        <v/>
      </c>
      <c r="E311" s="21" t="str">
        <f>IF($B311="إنتاج طبخة","",IFERROR(INDEX('بيانات الحركات'!E:E,MATCH(310,'بيانات الحركات'!$G:$G,0)),""))</f>
        <v/>
      </c>
      <c r="F311" s="3" t="str">
        <f>IFERROR(INDEX('بيانات الحركات'!F:F,MATCH(310,'بيانات الحركات'!$G:$G,0)),"")</f>
        <v/>
      </c>
    </row>
    <row r="312" spans="1:6" ht="21.95" customHeight="1">
      <c r="A312" s="8" t="str">
        <f>IFERROR(INDEX('بيانات الحركات'!A:A,MATCH(311,'بيانات الحركات'!$G:$G,0)),"")</f>
        <v/>
      </c>
      <c r="B312" s="5" t="str">
        <f>IFERROR(INDEX('بيانات الحركات'!B:B,MATCH(311,'بيانات الحركات'!$G:$G,0)),"")</f>
        <v/>
      </c>
      <c r="C312" s="3" t="str">
        <f>IFERROR(INDEX('بيانات الحركات'!C:C,MATCH(311,'بيانات الحركات'!$G:$G,0)),"")</f>
        <v/>
      </c>
      <c r="D312" s="3" t="str">
        <f>IFERROR(INDEX('بيانات الحركات'!D:D,MATCH(311,'بيانات الحركات'!$G:$G,0)),"")</f>
        <v/>
      </c>
      <c r="E312" s="21" t="str">
        <f>IF($B312="إنتاج طبخة","",IFERROR(INDEX('بيانات الحركات'!E:E,MATCH(311,'بيانات الحركات'!$G:$G,0)),""))</f>
        <v/>
      </c>
      <c r="F312" s="3" t="str">
        <f>IFERROR(INDEX('بيانات الحركات'!F:F,MATCH(311,'بيانات الحركات'!$G:$G,0)),"")</f>
        <v/>
      </c>
    </row>
    <row r="313" spans="1:6" ht="21.95" customHeight="1">
      <c r="A313" s="8" t="str">
        <f>IFERROR(INDEX('بيانات الحركات'!A:A,MATCH(312,'بيانات الحركات'!$G:$G,0)),"")</f>
        <v/>
      </c>
      <c r="B313" s="5" t="str">
        <f>IFERROR(INDEX('بيانات الحركات'!B:B,MATCH(312,'بيانات الحركات'!$G:$G,0)),"")</f>
        <v/>
      </c>
      <c r="C313" s="3" t="str">
        <f>IFERROR(INDEX('بيانات الحركات'!C:C,MATCH(312,'بيانات الحركات'!$G:$G,0)),"")</f>
        <v/>
      </c>
      <c r="D313" s="3" t="str">
        <f>IFERROR(INDEX('بيانات الحركات'!D:D,MATCH(312,'بيانات الحركات'!$G:$G,0)),"")</f>
        <v/>
      </c>
      <c r="E313" s="21" t="str">
        <f>IF($B313="إنتاج طبخة","",IFERROR(INDEX('بيانات الحركات'!E:E,MATCH(312,'بيانات الحركات'!$G:$G,0)),""))</f>
        <v/>
      </c>
      <c r="F313" s="3" t="str">
        <f>IFERROR(INDEX('بيانات الحركات'!F:F,MATCH(312,'بيانات الحركات'!$G:$G,0)),"")</f>
        <v/>
      </c>
    </row>
    <row r="314" spans="1:6" ht="21.95" customHeight="1">
      <c r="A314" s="8" t="str">
        <f>IFERROR(INDEX('بيانات الحركات'!A:A,MATCH(313,'بيانات الحركات'!$G:$G,0)),"")</f>
        <v/>
      </c>
      <c r="B314" s="5" t="str">
        <f>IFERROR(INDEX('بيانات الحركات'!B:B,MATCH(313,'بيانات الحركات'!$G:$G,0)),"")</f>
        <v/>
      </c>
      <c r="C314" s="3" t="str">
        <f>IFERROR(INDEX('بيانات الحركات'!C:C,MATCH(313,'بيانات الحركات'!$G:$G,0)),"")</f>
        <v/>
      </c>
      <c r="D314" s="3" t="str">
        <f>IFERROR(INDEX('بيانات الحركات'!D:D,MATCH(313,'بيانات الحركات'!$G:$G,0)),"")</f>
        <v/>
      </c>
      <c r="E314" s="21" t="str">
        <f>IF($B314="إنتاج طبخة","",IFERROR(INDEX('بيانات الحركات'!E:E,MATCH(313,'بيانات الحركات'!$G:$G,0)),""))</f>
        <v/>
      </c>
      <c r="F314" s="3" t="str">
        <f>IFERROR(INDEX('بيانات الحركات'!F:F,MATCH(313,'بيانات الحركات'!$G:$G,0)),"")</f>
        <v/>
      </c>
    </row>
    <row r="315" spans="1:6" ht="21.95" customHeight="1">
      <c r="A315" s="8" t="str">
        <f>IFERROR(INDEX('بيانات الحركات'!A:A,MATCH(314,'بيانات الحركات'!$G:$G,0)),"")</f>
        <v/>
      </c>
      <c r="B315" s="5" t="str">
        <f>IFERROR(INDEX('بيانات الحركات'!B:B,MATCH(314,'بيانات الحركات'!$G:$G,0)),"")</f>
        <v/>
      </c>
      <c r="C315" s="3" t="str">
        <f>IFERROR(INDEX('بيانات الحركات'!C:C,MATCH(314,'بيانات الحركات'!$G:$G,0)),"")</f>
        <v/>
      </c>
      <c r="D315" s="3" t="str">
        <f>IFERROR(INDEX('بيانات الحركات'!D:D,MATCH(314,'بيانات الحركات'!$G:$G,0)),"")</f>
        <v/>
      </c>
      <c r="E315" s="21" t="str">
        <f>IF($B315="إنتاج طبخة","",IFERROR(INDEX('بيانات الحركات'!E:E,MATCH(314,'بيانات الحركات'!$G:$G,0)),""))</f>
        <v/>
      </c>
      <c r="F315" s="3" t="str">
        <f>IFERROR(INDEX('بيانات الحركات'!F:F,MATCH(314,'بيانات الحركات'!$G:$G,0)),"")</f>
        <v/>
      </c>
    </row>
    <row r="316" spans="1:6" ht="21.95" customHeight="1">
      <c r="A316" s="8" t="str">
        <f>IFERROR(INDEX('بيانات الحركات'!A:A,MATCH(315,'بيانات الحركات'!$G:$G,0)),"")</f>
        <v/>
      </c>
      <c r="B316" s="5" t="str">
        <f>IFERROR(INDEX('بيانات الحركات'!B:B,MATCH(315,'بيانات الحركات'!$G:$G,0)),"")</f>
        <v/>
      </c>
      <c r="C316" s="3" t="str">
        <f>IFERROR(INDEX('بيانات الحركات'!C:C,MATCH(315,'بيانات الحركات'!$G:$G,0)),"")</f>
        <v/>
      </c>
      <c r="D316" s="3" t="str">
        <f>IFERROR(INDEX('بيانات الحركات'!D:D,MATCH(315,'بيانات الحركات'!$G:$G,0)),"")</f>
        <v/>
      </c>
      <c r="E316" s="21" t="str">
        <f>IF($B316="إنتاج طبخة","",IFERROR(INDEX('بيانات الحركات'!E:E,MATCH(315,'بيانات الحركات'!$G:$G,0)),""))</f>
        <v/>
      </c>
      <c r="F316" s="3" t="str">
        <f>IFERROR(INDEX('بيانات الحركات'!F:F,MATCH(315,'بيانات الحركات'!$G:$G,0)),"")</f>
        <v/>
      </c>
    </row>
    <row r="317" spans="1:6" ht="21.95" customHeight="1">
      <c r="A317" s="8" t="str">
        <f>IFERROR(INDEX('بيانات الحركات'!A:A,MATCH(316,'بيانات الحركات'!$G:$G,0)),"")</f>
        <v/>
      </c>
      <c r="B317" s="5" t="str">
        <f>IFERROR(INDEX('بيانات الحركات'!B:B,MATCH(316,'بيانات الحركات'!$G:$G,0)),"")</f>
        <v/>
      </c>
      <c r="C317" s="3" t="str">
        <f>IFERROR(INDEX('بيانات الحركات'!C:C,MATCH(316,'بيانات الحركات'!$G:$G,0)),"")</f>
        <v/>
      </c>
      <c r="D317" s="3" t="str">
        <f>IFERROR(INDEX('بيانات الحركات'!D:D,MATCH(316,'بيانات الحركات'!$G:$G,0)),"")</f>
        <v/>
      </c>
      <c r="E317" s="21" t="str">
        <f>IF($B317="إنتاج طبخة","",IFERROR(INDEX('بيانات الحركات'!E:E,MATCH(316,'بيانات الحركات'!$G:$G,0)),""))</f>
        <v/>
      </c>
      <c r="F317" s="3" t="str">
        <f>IFERROR(INDEX('بيانات الحركات'!F:F,MATCH(316,'بيانات الحركات'!$G:$G,0)),"")</f>
        <v/>
      </c>
    </row>
    <row r="318" spans="1:6" ht="21.95" customHeight="1">
      <c r="A318" s="8" t="str">
        <f>IFERROR(INDEX('بيانات الحركات'!A:A,MATCH(317,'بيانات الحركات'!$G:$G,0)),"")</f>
        <v/>
      </c>
      <c r="B318" s="5" t="str">
        <f>IFERROR(INDEX('بيانات الحركات'!B:B,MATCH(317,'بيانات الحركات'!$G:$G,0)),"")</f>
        <v/>
      </c>
      <c r="C318" s="3" t="str">
        <f>IFERROR(INDEX('بيانات الحركات'!C:C,MATCH(317,'بيانات الحركات'!$G:$G,0)),"")</f>
        <v/>
      </c>
      <c r="D318" s="3" t="str">
        <f>IFERROR(INDEX('بيانات الحركات'!D:D,MATCH(317,'بيانات الحركات'!$G:$G,0)),"")</f>
        <v/>
      </c>
      <c r="E318" s="21" t="str">
        <f>IF($B318="إنتاج طبخة","",IFERROR(INDEX('بيانات الحركات'!E:E,MATCH(317,'بيانات الحركات'!$G:$G,0)),""))</f>
        <v/>
      </c>
      <c r="F318" s="3" t="str">
        <f>IFERROR(INDEX('بيانات الحركات'!F:F,MATCH(317,'بيانات الحركات'!$G:$G,0)),"")</f>
        <v/>
      </c>
    </row>
    <row r="319" spans="1:6" ht="21.95" customHeight="1">
      <c r="A319" s="8" t="str">
        <f>IFERROR(INDEX('بيانات الحركات'!A:A,MATCH(318,'بيانات الحركات'!$G:$G,0)),"")</f>
        <v/>
      </c>
      <c r="B319" s="5" t="str">
        <f>IFERROR(INDEX('بيانات الحركات'!B:B,MATCH(318,'بيانات الحركات'!$G:$G,0)),"")</f>
        <v/>
      </c>
      <c r="C319" s="3" t="str">
        <f>IFERROR(INDEX('بيانات الحركات'!C:C,MATCH(318,'بيانات الحركات'!$G:$G,0)),"")</f>
        <v/>
      </c>
      <c r="D319" s="3" t="str">
        <f>IFERROR(INDEX('بيانات الحركات'!D:D,MATCH(318,'بيانات الحركات'!$G:$G,0)),"")</f>
        <v/>
      </c>
      <c r="E319" s="21" t="str">
        <f>IF($B319="إنتاج طبخة","",IFERROR(INDEX('بيانات الحركات'!E:E,MATCH(318,'بيانات الحركات'!$G:$G,0)),""))</f>
        <v/>
      </c>
      <c r="F319" s="3" t="str">
        <f>IFERROR(INDEX('بيانات الحركات'!F:F,MATCH(318,'بيانات الحركات'!$G:$G,0)),"")</f>
        <v/>
      </c>
    </row>
    <row r="320" spans="1:6" ht="21.95" customHeight="1">
      <c r="A320" s="8" t="str">
        <f>IFERROR(INDEX('بيانات الحركات'!A:A,MATCH(319,'بيانات الحركات'!$G:$G,0)),"")</f>
        <v/>
      </c>
      <c r="B320" s="5" t="str">
        <f>IFERROR(INDEX('بيانات الحركات'!B:B,MATCH(319,'بيانات الحركات'!$G:$G,0)),"")</f>
        <v/>
      </c>
      <c r="C320" s="3" t="str">
        <f>IFERROR(INDEX('بيانات الحركات'!C:C,MATCH(319,'بيانات الحركات'!$G:$G,0)),"")</f>
        <v/>
      </c>
      <c r="D320" s="3" t="str">
        <f>IFERROR(INDEX('بيانات الحركات'!D:D,MATCH(319,'بيانات الحركات'!$G:$G,0)),"")</f>
        <v/>
      </c>
      <c r="E320" s="21" t="str">
        <f>IF($B320="إنتاج طبخة","",IFERROR(INDEX('بيانات الحركات'!E:E,MATCH(319,'بيانات الحركات'!$G:$G,0)),""))</f>
        <v/>
      </c>
      <c r="F320" s="3" t="str">
        <f>IFERROR(INDEX('بيانات الحركات'!F:F,MATCH(319,'بيانات الحركات'!$G:$G,0)),"")</f>
        <v/>
      </c>
    </row>
    <row r="321" spans="1:6" ht="21.95" customHeight="1">
      <c r="A321" s="8" t="str">
        <f>IFERROR(INDEX('بيانات الحركات'!A:A,MATCH(320,'بيانات الحركات'!$G:$G,0)),"")</f>
        <v/>
      </c>
      <c r="B321" s="5" t="str">
        <f>IFERROR(INDEX('بيانات الحركات'!B:B,MATCH(320,'بيانات الحركات'!$G:$G,0)),"")</f>
        <v/>
      </c>
      <c r="C321" s="3" t="str">
        <f>IFERROR(INDEX('بيانات الحركات'!C:C,MATCH(320,'بيانات الحركات'!$G:$G,0)),"")</f>
        <v/>
      </c>
      <c r="D321" s="3" t="str">
        <f>IFERROR(INDEX('بيانات الحركات'!D:D,MATCH(320,'بيانات الحركات'!$G:$G,0)),"")</f>
        <v/>
      </c>
      <c r="E321" s="21" t="str">
        <f>IF($B321="إنتاج طبخة","",IFERROR(INDEX('بيانات الحركات'!E:E,MATCH(320,'بيانات الحركات'!$G:$G,0)),""))</f>
        <v/>
      </c>
      <c r="F321" s="3" t="str">
        <f>IFERROR(INDEX('بيانات الحركات'!F:F,MATCH(320,'بيانات الحركات'!$G:$G,0)),"")</f>
        <v/>
      </c>
    </row>
    <row r="322" spans="1:6" ht="21.95" customHeight="1">
      <c r="A322" s="8" t="str">
        <f>IFERROR(INDEX('بيانات الحركات'!A:A,MATCH(321,'بيانات الحركات'!$G:$G,0)),"")</f>
        <v/>
      </c>
      <c r="B322" s="5" t="str">
        <f>IFERROR(INDEX('بيانات الحركات'!B:B,MATCH(321,'بيانات الحركات'!$G:$G,0)),"")</f>
        <v/>
      </c>
      <c r="C322" s="3" t="str">
        <f>IFERROR(INDEX('بيانات الحركات'!C:C,MATCH(321,'بيانات الحركات'!$G:$G,0)),"")</f>
        <v/>
      </c>
      <c r="D322" s="3" t="str">
        <f>IFERROR(INDEX('بيانات الحركات'!D:D,MATCH(321,'بيانات الحركات'!$G:$G,0)),"")</f>
        <v/>
      </c>
      <c r="E322" s="21" t="str">
        <f>IF($B322="إنتاج طبخة","",IFERROR(INDEX('بيانات الحركات'!E:E,MATCH(321,'بيانات الحركات'!$G:$G,0)),""))</f>
        <v/>
      </c>
      <c r="F322" s="3" t="str">
        <f>IFERROR(INDEX('بيانات الحركات'!F:F,MATCH(321,'بيانات الحركات'!$G:$G,0)),"")</f>
        <v/>
      </c>
    </row>
    <row r="323" spans="1:6" ht="21.95" customHeight="1">
      <c r="A323" s="8" t="str">
        <f>IFERROR(INDEX('بيانات الحركات'!A:A,MATCH(322,'بيانات الحركات'!$G:$G,0)),"")</f>
        <v/>
      </c>
      <c r="B323" s="5" t="str">
        <f>IFERROR(INDEX('بيانات الحركات'!B:B,MATCH(322,'بيانات الحركات'!$G:$G,0)),"")</f>
        <v/>
      </c>
      <c r="C323" s="3" t="str">
        <f>IFERROR(INDEX('بيانات الحركات'!C:C,MATCH(322,'بيانات الحركات'!$G:$G,0)),"")</f>
        <v/>
      </c>
      <c r="D323" s="3" t="str">
        <f>IFERROR(INDEX('بيانات الحركات'!D:D,MATCH(322,'بيانات الحركات'!$G:$G,0)),"")</f>
        <v/>
      </c>
      <c r="E323" s="21" t="str">
        <f>IF($B323="إنتاج طبخة","",IFERROR(INDEX('بيانات الحركات'!E:E,MATCH(322,'بيانات الحركات'!$G:$G,0)),""))</f>
        <v/>
      </c>
      <c r="F323" s="3" t="str">
        <f>IFERROR(INDEX('بيانات الحركات'!F:F,MATCH(322,'بيانات الحركات'!$G:$G,0)),"")</f>
        <v/>
      </c>
    </row>
    <row r="324" spans="1:6" ht="21.95" customHeight="1">
      <c r="A324" s="8" t="str">
        <f>IFERROR(INDEX('بيانات الحركات'!A:A,MATCH(323,'بيانات الحركات'!$G:$G,0)),"")</f>
        <v/>
      </c>
      <c r="B324" s="5" t="str">
        <f>IFERROR(INDEX('بيانات الحركات'!B:B,MATCH(323,'بيانات الحركات'!$G:$G,0)),"")</f>
        <v/>
      </c>
      <c r="C324" s="3" t="str">
        <f>IFERROR(INDEX('بيانات الحركات'!C:C,MATCH(323,'بيانات الحركات'!$G:$G,0)),"")</f>
        <v/>
      </c>
      <c r="D324" s="3" t="str">
        <f>IFERROR(INDEX('بيانات الحركات'!D:D,MATCH(323,'بيانات الحركات'!$G:$G,0)),"")</f>
        <v/>
      </c>
      <c r="E324" s="21" t="str">
        <f>IF($B324="إنتاج طبخة","",IFERROR(INDEX('بيانات الحركات'!E:E,MATCH(323,'بيانات الحركات'!$G:$G,0)),""))</f>
        <v/>
      </c>
      <c r="F324" s="3" t="str">
        <f>IFERROR(INDEX('بيانات الحركات'!F:F,MATCH(323,'بيانات الحركات'!$G:$G,0)),"")</f>
        <v/>
      </c>
    </row>
    <row r="325" spans="1:6" ht="21.95" customHeight="1">
      <c r="A325" s="8" t="str">
        <f>IFERROR(INDEX('بيانات الحركات'!A:A,MATCH(324,'بيانات الحركات'!$G:$G,0)),"")</f>
        <v/>
      </c>
      <c r="B325" s="5" t="str">
        <f>IFERROR(INDEX('بيانات الحركات'!B:B,MATCH(324,'بيانات الحركات'!$G:$G,0)),"")</f>
        <v/>
      </c>
      <c r="C325" s="3" t="str">
        <f>IFERROR(INDEX('بيانات الحركات'!C:C,MATCH(324,'بيانات الحركات'!$G:$G,0)),"")</f>
        <v/>
      </c>
      <c r="D325" s="3" t="str">
        <f>IFERROR(INDEX('بيانات الحركات'!D:D,MATCH(324,'بيانات الحركات'!$G:$G,0)),"")</f>
        <v/>
      </c>
      <c r="E325" s="21" t="str">
        <f>IF($B325="إنتاج طبخة","",IFERROR(INDEX('بيانات الحركات'!E:E,MATCH(324,'بيانات الحركات'!$G:$G,0)),""))</f>
        <v/>
      </c>
      <c r="F325" s="3" t="str">
        <f>IFERROR(INDEX('بيانات الحركات'!F:F,MATCH(324,'بيانات الحركات'!$G:$G,0)),"")</f>
        <v/>
      </c>
    </row>
    <row r="326" spans="1:6" ht="21.95" customHeight="1">
      <c r="A326" s="8" t="str">
        <f>IFERROR(INDEX('بيانات الحركات'!A:A,MATCH(325,'بيانات الحركات'!$G:$G,0)),"")</f>
        <v/>
      </c>
      <c r="B326" s="5" t="str">
        <f>IFERROR(INDEX('بيانات الحركات'!B:B,MATCH(325,'بيانات الحركات'!$G:$G,0)),"")</f>
        <v/>
      </c>
      <c r="C326" s="3" t="str">
        <f>IFERROR(INDEX('بيانات الحركات'!C:C,MATCH(325,'بيانات الحركات'!$G:$G,0)),"")</f>
        <v/>
      </c>
      <c r="D326" s="3" t="str">
        <f>IFERROR(INDEX('بيانات الحركات'!D:D,MATCH(325,'بيانات الحركات'!$G:$G,0)),"")</f>
        <v/>
      </c>
      <c r="E326" s="21" t="str">
        <f>IF($B326="إنتاج طبخة","",IFERROR(INDEX('بيانات الحركات'!E:E,MATCH(325,'بيانات الحركات'!$G:$G,0)),""))</f>
        <v/>
      </c>
      <c r="F326" s="3" t="str">
        <f>IFERROR(INDEX('بيانات الحركات'!F:F,MATCH(325,'بيانات الحركات'!$G:$G,0)),"")</f>
        <v/>
      </c>
    </row>
    <row r="327" spans="1:6" ht="21.95" customHeight="1">
      <c r="A327" s="8" t="str">
        <f>IFERROR(INDEX('بيانات الحركات'!A:A,MATCH(326,'بيانات الحركات'!$G:$G,0)),"")</f>
        <v/>
      </c>
      <c r="B327" s="5" t="str">
        <f>IFERROR(INDEX('بيانات الحركات'!B:B,MATCH(326,'بيانات الحركات'!$G:$G,0)),"")</f>
        <v/>
      </c>
      <c r="C327" s="3" t="str">
        <f>IFERROR(INDEX('بيانات الحركات'!C:C,MATCH(326,'بيانات الحركات'!$G:$G,0)),"")</f>
        <v/>
      </c>
      <c r="D327" s="3" t="str">
        <f>IFERROR(INDEX('بيانات الحركات'!D:D,MATCH(326,'بيانات الحركات'!$G:$G,0)),"")</f>
        <v/>
      </c>
      <c r="E327" s="21" t="str">
        <f>IF($B327="إنتاج طبخة","",IFERROR(INDEX('بيانات الحركات'!E:E,MATCH(326,'بيانات الحركات'!$G:$G,0)),""))</f>
        <v/>
      </c>
      <c r="F327" s="3" t="str">
        <f>IFERROR(INDEX('بيانات الحركات'!F:F,MATCH(326,'بيانات الحركات'!$G:$G,0)),"")</f>
        <v/>
      </c>
    </row>
    <row r="328" spans="1:6" ht="21.95" customHeight="1">
      <c r="A328" s="8" t="str">
        <f>IFERROR(INDEX('بيانات الحركات'!A:A,MATCH(327,'بيانات الحركات'!$G:$G,0)),"")</f>
        <v/>
      </c>
      <c r="B328" s="5" t="str">
        <f>IFERROR(INDEX('بيانات الحركات'!B:B,MATCH(327,'بيانات الحركات'!$G:$G,0)),"")</f>
        <v/>
      </c>
      <c r="C328" s="3" t="str">
        <f>IFERROR(INDEX('بيانات الحركات'!C:C,MATCH(327,'بيانات الحركات'!$G:$G,0)),"")</f>
        <v/>
      </c>
      <c r="D328" s="3" t="str">
        <f>IFERROR(INDEX('بيانات الحركات'!D:D,MATCH(327,'بيانات الحركات'!$G:$G,0)),"")</f>
        <v/>
      </c>
      <c r="E328" s="21" t="str">
        <f>IF($B328="إنتاج طبخة","",IFERROR(INDEX('بيانات الحركات'!E:E,MATCH(327,'بيانات الحركات'!$G:$G,0)),""))</f>
        <v/>
      </c>
      <c r="F328" s="3" t="str">
        <f>IFERROR(INDEX('بيانات الحركات'!F:F,MATCH(327,'بيانات الحركات'!$G:$G,0)),"")</f>
        <v/>
      </c>
    </row>
    <row r="329" spans="1:6" ht="21.95" customHeight="1">
      <c r="A329" s="8" t="str">
        <f>IFERROR(INDEX('بيانات الحركات'!A:A,MATCH(328,'بيانات الحركات'!$G:$G,0)),"")</f>
        <v/>
      </c>
      <c r="B329" s="5" t="str">
        <f>IFERROR(INDEX('بيانات الحركات'!B:B,MATCH(328,'بيانات الحركات'!$G:$G,0)),"")</f>
        <v/>
      </c>
      <c r="C329" s="3" t="str">
        <f>IFERROR(INDEX('بيانات الحركات'!C:C,MATCH(328,'بيانات الحركات'!$G:$G,0)),"")</f>
        <v/>
      </c>
      <c r="D329" s="3" t="str">
        <f>IFERROR(INDEX('بيانات الحركات'!D:D,MATCH(328,'بيانات الحركات'!$G:$G,0)),"")</f>
        <v/>
      </c>
      <c r="E329" s="21" t="str">
        <f>IF($B329="إنتاج طبخة","",IFERROR(INDEX('بيانات الحركات'!E:E,MATCH(328,'بيانات الحركات'!$G:$G,0)),""))</f>
        <v/>
      </c>
      <c r="F329" s="3" t="str">
        <f>IFERROR(INDEX('بيانات الحركات'!F:F,MATCH(328,'بيانات الحركات'!$G:$G,0)),"")</f>
        <v/>
      </c>
    </row>
    <row r="330" spans="1:6" ht="21.95" customHeight="1">
      <c r="A330" s="8" t="str">
        <f>IFERROR(INDEX('بيانات الحركات'!A:A,MATCH(329,'بيانات الحركات'!$G:$G,0)),"")</f>
        <v/>
      </c>
      <c r="B330" s="5" t="str">
        <f>IFERROR(INDEX('بيانات الحركات'!B:B,MATCH(329,'بيانات الحركات'!$G:$G,0)),"")</f>
        <v/>
      </c>
      <c r="C330" s="3" t="str">
        <f>IFERROR(INDEX('بيانات الحركات'!C:C,MATCH(329,'بيانات الحركات'!$G:$G,0)),"")</f>
        <v/>
      </c>
      <c r="D330" s="3" t="str">
        <f>IFERROR(INDEX('بيانات الحركات'!D:D,MATCH(329,'بيانات الحركات'!$G:$G,0)),"")</f>
        <v/>
      </c>
      <c r="E330" s="21" t="str">
        <f>IF($B330="إنتاج طبخة","",IFERROR(INDEX('بيانات الحركات'!E:E,MATCH(329,'بيانات الحركات'!$G:$G,0)),""))</f>
        <v/>
      </c>
      <c r="F330" s="3" t="str">
        <f>IFERROR(INDEX('بيانات الحركات'!F:F,MATCH(329,'بيانات الحركات'!$G:$G,0)),"")</f>
        <v/>
      </c>
    </row>
    <row r="331" spans="1:6" ht="21.95" customHeight="1">
      <c r="A331" s="8" t="str">
        <f>IFERROR(INDEX('بيانات الحركات'!A:A,MATCH(330,'بيانات الحركات'!$G:$G,0)),"")</f>
        <v/>
      </c>
      <c r="B331" s="5" t="str">
        <f>IFERROR(INDEX('بيانات الحركات'!B:B,MATCH(330,'بيانات الحركات'!$G:$G,0)),"")</f>
        <v/>
      </c>
      <c r="C331" s="3" t="str">
        <f>IFERROR(INDEX('بيانات الحركات'!C:C,MATCH(330,'بيانات الحركات'!$G:$G,0)),"")</f>
        <v/>
      </c>
      <c r="D331" s="3" t="str">
        <f>IFERROR(INDEX('بيانات الحركات'!D:D,MATCH(330,'بيانات الحركات'!$G:$G,0)),"")</f>
        <v/>
      </c>
      <c r="E331" s="21" t="str">
        <f>IF($B331="إنتاج طبخة","",IFERROR(INDEX('بيانات الحركات'!E:E,MATCH(330,'بيانات الحركات'!$G:$G,0)),""))</f>
        <v/>
      </c>
      <c r="F331" s="3" t="str">
        <f>IFERROR(INDEX('بيانات الحركات'!F:F,MATCH(330,'بيانات الحركات'!$G:$G,0)),"")</f>
        <v/>
      </c>
    </row>
    <row r="332" spans="1:6" ht="21.95" customHeight="1">
      <c r="A332" s="8" t="str">
        <f>IFERROR(INDEX('بيانات الحركات'!A:A,MATCH(331,'بيانات الحركات'!$G:$G,0)),"")</f>
        <v/>
      </c>
      <c r="B332" s="5" t="str">
        <f>IFERROR(INDEX('بيانات الحركات'!B:B,MATCH(331,'بيانات الحركات'!$G:$G,0)),"")</f>
        <v/>
      </c>
      <c r="C332" s="3" t="str">
        <f>IFERROR(INDEX('بيانات الحركات'!C:C,MATCH(331,'بيانات الحركات'!$G:$G,0)),"")</f>
        <v/>
      </c>
      <c r="D332" s="3" t="str">
        <f>IFERROR(INDEX('بيانات الحركات'!D:D,MATCH(331,'بيانات الحركات'!$G:$G,0)),"")</f>
        <v/>
      </c>
      <c r="E332" s="21" t="str">
        <f>IF($B332="إنتاج طبخة","",IFERROR(INDEX('بيانات الحركات'!E:E,MATCH(331,'بيانات الحركات'!$G:$G,0)),""))</f>
        <v/>
      </c>
      <c r="F332" s="3" t="str">
        <f>IFERROR(INDEX('بيانات الحركات'!F:F,MATCH(331,'بيانات الحركات'!$G:$G,0)),"")</f>
        <v/>
      </c>
    </row>
    <row r="333" spans="1:6" ht="21.95" customHeight="1">
      <c r="A333" s="8" t="str">
        <f>IFERROR(INDEX('بيانات الحركات'!A:A,MATCH(332,'بيانات الحركات'!$G:$G,0)),"")</f>
        <v/>
      </c>
      <c r="B333" s="5" t="str">
        <f>IFERROR(INDEX('بيانات الحركات'!B:B,MATCH(332,'بيانات الحركات'!$G:$G,0)),"")</f>
        <v/>
      </c>
      <c r="C333" s="3" t="str">
        <f>IFERROR(INDEX('بيانات الحركات'!C:C,MATCH(332,'بيانات الحركات'!$G:$G,0)),"")</f>
        <v/>
      </c>
      <c r="D333" s="3" t="str">
        <f>IFERROR(INDEX('بيانات الحركات'!D:D,MATCH(332,'بيانات الحركات'!$G:$G,0)),"")</f>
        <v/>
      </c>
      <c r="E333" s="21" t="str">
        <f>IF($B333="إنتاج طبخة","",IFERROR(INDEX('بيانات الحركات'!E:E,MATCH(332,'بيانات الحركات'!$G:$G,0)),""))</f>
        <v/>
      </c>
      <c r="F333" s="3" t="str">
        <f>IFERROR(INDEX('بيانات الحركات'!F:F,MATCH(332,'بيانات الحركات'!$G:$G,0)),"")</f>
        <v/>
      </c>
    </row>
    <row r="334" spans="1:6" ht="21.95" customHeight="1">
      <c r="A334" s="8" t="str">
        <f>IFERROR(INDEX('بيانات الحركات'!A:A,MATCH(333,'بيانات الحركات'!$G:$G,0)),"")</f>
        <v/>
      </c>
      <c r="B334" s="5" t="str">
        <f>IFERROR(INDEX('بيانات الحركات'!B:B,MATCH(333,'بيانات الحركات'!$G:$G,0)),"")</f>
        <v/>
      </c>
      <c r="C334" s="3" t="str">
        <f>IFERROR(INDEX('بيانات الحركات'!C:C,MATCH(333,'بيانات الحركات'!$G:$G,0)),"")</f>
        <v/>
      </c>
      <c r="D334" s="3" t="str">
        <f>IFERROR(INDEX('بيانات الحركات'!D:D,MATCH(333,'بيانات الحركات'!$G:$G,0)),"")</f>
        <v/>
      </c>
      <c r="E334" s="21" t="str">
        <f>IF($B334="إنتاج طبخة","",IFERROR(INDEX('بيانات الحركات'!E:E,MATCH(333,'بيانات الحركات'!$G:$G,0)),""))</f>
        <v/>
      </c>
      <c r="F334" s="3" t="str">
        <f>IFERROR(INDEX('بيانات الحركات'!F:F,MATCH(333,'بيانات الحركات'!$G:$G,0)),"")</f>
        <v/>
      </c>
    </row>
    <row r="335" spans="1:6" ht="21.95" customHeight="1">
      <c r="A335" s="8" t="str">
        <f>IFERROR(INDEX('بيانات الحركات'!A:A,MATCH(334,'بيانات الحركات'!$G:$G,0)),"")</f>
        <v/>
      </c>
      <c r="B335" s="5" t="str">
        <f>IFERROR(INDEX('بيانات الحركات'!B:B,MATCH(334,'بيانات الحركات'!$G:$G,0)),"")</f>
        <v/>
      </c>
      <c r="C335" s="3" t="str">
        <f>IFERROR(INDEX('بيانات الحركات'!C:C,MATCH(334,'بيانات الحركات'!$G:$G,0)),"")</f>
        <v/>
      </c>
      <c r="D335" s="3" t="str">
        <f>IFERROR(INDEX('بيانات الحركات'!D:D,MATCH(334,'بيانات الحركات'!$G:$G,0)),"")</f>
        <v/>
      </c>
      <c r="E335" s="21" t="str">
        <f>IF($B335="إنتاج طبخة","",IFERROR(INDEX('بيانات الحركات'!E:E,MATCH(334,'بيانات الحركات'!$G:$G,0)),""))</f>
        <v/>
      </c>
      <c r="F335" s="3" t="str">
        <f>IFERROR(INDEX('بيانات الحركات'!F:F,MATCH(334,'بيانات الحركات'!$G:$G,0)),"")</f>
        <v/>
      </c>
    </row>
    <row r="336" spans="1:6" ht="21.95" customHeight="1">
      <c r="A336" s="8" t="str">
        <f>IFERROR(INDEX('بيانات الحركات'!A:A,MATCH(335,'بيانات الحركات'!$G:$G,0)),"")</f>
        <v/>
      </c>
      <c r="B336" s="5" t="str">
        <f>IFERROR(INDEX('بيانات الحركات'!B:B,MATCH(335,'بيانات الحركات'!$G:$G,0)),"")</f>
        <v/>
      </c>
      <c r="C336" s="3" t="str">
        <f>IFERROR(INDEX('بيانات الحركات'!C:C,MATCH(335,'بيانات الحركات'!$G:$G,0)),"")</f>
        <v/>
      </c>
      <c r="D336" s="3" t="str">
        <f>IFERROR(INDEX('بيانات الحركات'!D:D,MATCH(335,'بيانات الحركات'!$G:$G,0)),"")</f>
        <v/>
      </c>
      <c r="E336" s="21" t="str">
        <f>IF($B336="إنتاج طبخة","",IFERROR(INDEX('بيانات الحركات'!E:E,MATCH(335,'بيانات الحركات'!$G:$G,0)),""))</f>
        <v/>
      </c>
      <c r="F336" s="3" t="str">
        <f>IFERROR(INDEX('بيانات الحركات'!F:F,MATCH(335,'بيانات الحركات'!$G:$G,0)),"")</f>
        <v/>
      </c>
    </row>
    <row r="337" spans="1:6" ht="21.95" customHeight="1">
      <c r="A337" s="8" t="str">
        <f>IFERROR(INDEX('بيانات الحركات'!A:A,MATCH(336,'بيانات الحركات'!$G:$G,0)),"")</f>
        <v/>
      </c>
      <c r="B337" s="5" t="str">
        <f>IFERROR(INDEX('بيانات الحركات'!B:B,MATCH(336,'بيانات الحركات'!$G:$G,0)),"")</f>
        <v/>
      </c>
      <c r="C337" s="3" t="str">
        <f>IFERROR(INDEX('بيانات الحركات'!C:C,MATCH(336,'بيانات الحركات'!$G:$G,0)),"")</f>
        <v/>
      </c>
      <c r="D337" s="3" t="str">
        <f>IFERROR(INDEX('بيانات الحركات'!D:D,MATCH(336,'بيانات الحركات'!$G:$G,0)),"")</f>
        <v/>
      </c>
      <c r="E337" s="21" t="str">
        <f>IF($B337="إنتاج طبخة","",IFERROR(INDEX('بيانات الحركات'!E:E,MATCH(336,'بيانات الحركات'!$G:$G,0)),""))</f>
        <v/>
      </c>
      <c r="F337" s="3" t="str">
        <f>IFERROR(INDEX('بيانات الحركات'!F:F,MATCH(336,'بيانات الحركات'!$G:$G,0)),"")</f>
        <v/>
      </c>
    </row>
    <row r="338" spans="1:6" ht="21.95" customHeight="1">
      <c r="A338" s="8" t="str">
        <f>IFERROR(INDEX('بيانات الحركات'!A:A,MATCH(337,'بيانات الحركات'!$G:$G,0)),"")</f>
        <v/>
      </c>
      <c r="B338" s="5" t="str">
        <f>IFERROR(INDEX('بيانات الحركات'!B:B,MATCH(337,'بيانات الحركات'!$G:$G,0)),"")</f>
        <v/>
      </c>
      <c r="C338" s="3" t="str">
        <f>IFERROR(INDEX('بيانات الحركات'!C:C,MATCH(337,'بيانات الحركات'!$G:$G,0)),"")</f>
        <v/>
      </c>
      <c r="D338" s="3" t="str">
        <f>IFERROR(INDEX('بيانات الحركات'!D:D,MATCH(337,'بيانات الحركات'!$G:$G,0)),"")</f>
        <v/>
      </c>
      <c r="E338" s="21" t="str">
        <f>IF($B338="إنتاج طبخة","",IFERROR(INDEX('بيانات الحركات'!E:E,MATCH(337,'بيانات الحركات'!$G:$G,0)),""))</f>
        <v/>
      </c>
      <c r="F338" s="3" t="str">
        <f>IFERROR(INDEX('بيانات الحركات'!F:F,MATCH(337,'بيانات الحركات'!$G:$G,0)),"")</f>
        <v/>
      </c>
    </row>
    <row r="339" spans="1:6" ht="21.95" customHeight="1">
      <c r="A339" s="8" t="str">
        <f>IFERROR(INDEX('بيانات الحركات'!A:A,MATCH(338,'بيانات الحركات'!$G:$G,0)),"")</f>
        <v/>
      </c>
      <c r="B339" s="5" t="str">
        <f>IFERROR(INDEX('بيانات الحركات'!B:B,MATCH(338,'بيانات الحركات'!$G:$G,0)),"")</f>
        <v/>
      </c>
      <c r="C339" s="3" t="str">
        <f>IFERROR(INDEX('بيانات الحركات'!C:C,MATCH(338,'بيانات الحركات'!$G:$G,0)),"")</f>
        <v/>
      </c>
      <c r="D339" s="3" t="str">
        <f>IFERROR(INDEX('بيانات الحركات'!D:D,MATCH(338,'بيانات الحركات'!$G:$G,0)),"")</f>
        <v/>
      </c>
      <c r="E339" s="21" t="str">
        <f>IF($B339="إنتاج طبخة","",IFERROR(INDEX('بيانات الحركات'!E:E,MATCH(338,'بيانات الحركات'!$G:$G,0)),""))</f>
        <v/>
      </c>
      <c r="F339" s="3" t="str">
        <f>IFERROR(INDEX('بيانات الحركات'!F:F,MATCH(338,'بيانات الحركات'!$G:$G,0)),"")</f>
        <v/>
      </c>
    </row>
    <row r="340" spans="1:6" ht="21.95" customHeight="1">
      <c r="A340" s="8" t="str">
        <f>IFERROR(INDEX('بيانات الحركات'!A:A,MATCH(339,'بيانات الحركات'!$G:$G,0)),"")</f>
        <v/>
      </c>
      <c r="B340" s="5" t="str">
        <f>IFERROR(INDEX('بيانات الحركات'!B:B,MATCH(339,'بيانات الحركات'!$G:$G,0)),"")</f>
        <v/>
      </c>
      <c r="C340" s="3" t="str">
        <f>IFERROR(INDEX('بيانات الحركات'!C:C,MATCH(339,'بيانات الحركات'!$G:$G,0)),"")</f>
        <v/>
      </c>
      <c r="D340" s="3" t="str">
        <f>IFERROR(INDEX('بيانات الحركات'!D:D,MATCH(339,'بيانات الحركات'!$G:$G,0)),"")</f>
        <v/>
      </c>
      <c r="E340" s="21" t="str">
        <f>IF($B340="إنتاج طبخة","",IFERROR(INDEX('بيانات الحركات'!E:E,MATCH(339,'بيانات الحركات'!$G:$G,0)),""))</f>
        <v/>
      </c>
      <c r="F340" s="3" t="str">
        <f>IFERROR(INDEX('بيانات الحركات'!F:F,MATCH(339,'بيانات الحركات'!$G:$G,0)),"")</f>
        <v/>
      </c>
    </row>
    <row r="341" spans="1:6" ht="21.95" customHeight="1">
      <c r="A341" s="8" t="str">
        <f>IFERROR(INDEX('بيانات الحركات'!A:A,MATCH(340,'بيانات الحركات'!$G:$G,0)),"")</f>
        <v/>
      </c>
      <c r="B341" s="5" t="str">
        <f>IFERROR(INDEX('بيانات الحركات'!B:B,MATCH(340,'بيانات الحركات'!$G:$G,0)),"")</f>
        <v/>
      </c>
      <c r="C341" s="3" t="str">
        <f>IFERROR(INDEX('بيانات الحركات'!C:C,MATCH(340,'بيانات الحركات'!$G:$G,0)),"")</f>
        <v/>
      </c>
      <c r="D341" s="3" t="str">
        <f>IFERROR(INDEX('بيانات الحركات'!D:D,MATCH(340,'بيانات الحركات'!$G:$G,0)),"")</f>
        <v/>
      </c>
      <c r="E341" s="21" t="str">
        <f>IF($B341="إنتاج طبخة","",IFERROR(INDEX('بيانات الحركات'!E:E,MATCH(340,'بيانات الحركات'!$G:$G,0)),""))</f>
        <v/>
      </c>
      <c r="F341" s="3" t="str">
        <f>IFERROR(INDEX('بيانات الحركات'!F:F,MATCH(340,'بيانات الحركات'!$G:$G,0)),"")</f>
        <v/>
      </c>
    </row>
    <row r="342" spans="1:6" ht="21.95" customHeight="1">
      <c r="A342" s="8" t="str">
        <f>IFERROR(INDEX('بيانات الحركات'!A:A,MATCH(341,'بيانات الحركات'!$G:$G,0)),"")</f>
        <v/>
      </c>
      <c r="B342" s="5" t="str">
        <f>IFERROR(INDEX('بيانات الحركات'!B:B,MATCH(341,'بيانات الحركات'!$G:$G,0)),"")</f>
        <v/>
      </c>
      <c r="C342" s="3" t="str">
        <f>IFERROR(INDEX('بيانات الحركات'!C:C,MATCH(341,'بيانات الحركات'!$G:$G,0)),"")</f>
        <v/>
      </c>
      <c r="D342" s="3" t="str">
        <f>IFERROR(INDEX('بيانات الحركات'!D:D,MATCH(341,'بيانات الحركات'!$G:$G,0)),"")</f>
        <v/>
      </c>
      <c r="E342" s="21" t="str">
        <f>IF($B342="إنتاج طبخة","",IFERROR(INDEX('بيانات الحركات'!E:E,MATCH(341,'بيانات الحركات'!$G:$G,0)),""))</f>
        <v/>
      </c>
      <c r="F342" s="3" t="str">
        <f>IFERROR(INDEX('بيانات الحركات'!F:F,MATCH(341,'بيانات الحركات'!$G:$G,0)),"")</f>
        <v/>
      </c>
    </row>
    <row r="343" spans="1:6" ht="21.95" customHeight="1">
      <c r="A343" s="8" t="str">
        <f>IFERROR(INDEX('بيانات الحركات'!A:A,MATCH(342,'بيانات الحركات'!$G:$G,0)),"")</f>
        <v/>
      </c>
      <c r="B343" s="5" t="str">
        <f>IFERROR(INDEX('بيانات الحركات'!B:B,MATCH(342,'بيانات الحركات'!$G:$G,0)),"")</f>
        <v/>
      </c>
      <c r="C343" s="3" t="str">
        <f>IFERROR(INDEX('بيانات الحركات'!C:C,MATCH(342,'بيانات الحركات'!$G:$G,0)),"")</f>
        <v/>
      </c>
      <c r="D343" s="3" t="str">
        <f>IFERROR(INDEX('بيانات الحركات'!D:D,MATCH(342,'بيانات الحركات'!$G:$G,0)),"")</f>
        <v/>
      </c>
      <c r="E343" s="21" t="str">
        <f>IF($B343="إنتاج طبخة","",IFERROR(INDEX('بيانات الحركات'!E:E,MATCH(342,'بيانات الحركات'!$G:$G,0)),""))</f>
        <v/>
      </c>
      <c r="F343" s="3" t="str">
        <f>IFERROR(INDEX('بيانات الحركات'!F:F,MATCH(342,'بيانات الحركات'!$G:$G,0)),"")</f>
        <v/>
      </c>
    </row>
    <row r="344" spans="1:6" ht="21.95" customHeight="1">
      <c r="A344" s="8" t="str">
        <f>IFERROR(INDEX('بيانات الحركات'!A:A,MATCH(343,'بيانات الحركات'!$G:$G,0)),"")</f>
        <v/>
      </c>
      <c r="B344" s="5" t="str">
        <f>IFERROR(INDEX('بيانات الحركات'!B:B,MATCH(343,'بيانات الحركات'!$G:$G,0)),"")</f>
        <v/>
      </c>
      <c r="C344" s="3" t="str">
        <f>IFERROR(INDEX('بيانات الحركات'!C:C,MATCH(343,'بيانات الحركات'!$G:$G,0)),"")</f>
        <v/>
      </c>
      <c r="D344" s="3" t="str">
        <f>IFERROR(INDEX('بيانات الحركات'!D:D,MATCH(343,'بيانات الحركات'!$G:$G,0)),"")</f>
        <v/>
      </c>
      <c r="E344" s="21" t="str">
        <f>IF($B344="إنتاج طبخة","",IFERROR(INDEX('بيانات الحركات'!E:E,MATCH(343,'بيانات الحركات'!$G:$G,0)),""))</f>
        <v/>
      </c>
      <c r="F344" s="3" t="str">
        <f>IFERROR(INDEX('بيانات الحركات'!F:F,MATCH(343,'بيانات الحركات'!$G:$G,0)),"")</f>
        <v/>
      </c>
    </row>
    <row r="345" spans="1:6" ht="21.95" customHeight="1">
      <c r="A345" s="8" t="str">
        <f>IFERROR(INDEX('بيانات الحركات'!A:A,MATCH(344,'بيانات الحركات'!$G:$G,0)),"")</f>
        <v/>
      </c>
      <c r="B345" s="5" t="str">
        <f>IFERROR(INDEX('بيانات الحركات'!B:B,MATCH(344,'بيانات الحركات'!$G:$G,0)),"")</f>
        <v/>
      </c>
      <c r="C345" s="3" t="str">
        <f>IFERROR(INDEX('بيانات الحركات'!C:C,MATCH(344,'بيانات الحركات'!$G:$G,0)),"")</f>
        <v/>
      </c>
      <c r="D345" s="3" t="str">
        <f>IFERROR(INDEX('بيانات الحركات'!D:D,MATCH(344,'بيانات الحركات'!$G:$G,0)),"")</f>
        <v/>
      </c>
      <c r="E345" s="21" t="str">
        <f>IF($B345="إنتاج طبخة","",IFERROR(INDEX('بيانات الحركات'!E:E,MATCH(344,'بيانات الحركات'!$G:$G,0)),""))</f>
        <v/>
      </c>
      <c r="F345" s="3" t="str">
        <f>IFERROR(INDEX('بيانات الحركات'!F:F,MATCH(344,'بيانات الحركات'!$G:$G,0)),"")</f>
        <v/>
      </c>
    </row>
    <row r="346" spans="1:6" ht="21.95" customHeight="1">
      <c r="A346" s="8" t="str">
        <f>IFERROR(INDEX('بيانات الحركات'!A:A,MATCH(345,'بيانات الحركات'!$G:$G,0)),"")</f>
        <v/>
      </c>
      <c r="B346" s="5" t="str">
        <f>IFERROR(INDEX('بيانات الحركات'!B:B,MATCH(345,'بيانات الحركات'!$G:$G,0)),"")</f>
        <v/>
      </c>
      <c r="C346" s="3" t="str">
        <f>IFERROR(INDEX('بيانات الحركات'!C:C,MATCH(345,'بيانات الحركات'!$G:$G,0)),"")</f>
        <v/>
      </c>
      <c r="D346" s="3" t="str">
        <f>IFERROR(INDEX('بيانات الحركات'!D:D,MATCH(345,'بيانات الحركات'!$G:$G,0)),"")</f>
        <v/>
      </c>
      <c r="E346" s="21" t="str">
        <f>IF($B346="إنتاج طبخة","",IFERROR(INDEX('بيانات الحركات'!E:E,MATCH(345,'بيانات الحركات'!$G:$G,0)),""))</f>
        <v/>
      </c>
      <c r="F346" s="3" t="str">
        <f>IFERROR(INDEX('بيانات الحركات'!F:F,MATCH(345,'بيانات الحركات'!$G:$G,0)),"")</f>
        <v/>
      </c>
    </row>
    <row r="347" spans="1:6" ht="21.95" customHeight="1">
      <c r="A347" s="8" t="str">
        <f>IFERROR(INDEX('بيانات الحركات'!A:A,MATCH(346,'بيانات الحركات'!$G:$G,0)),"")</f>
        <v/>
      </c>
      <c r="B347" s="5" t="str">
        <f>IFERROR(INDEX('بيانات الحركات'!B:B,MATCH(346,'بيانات الحركات'!$G:$G,0)),"")</f>
        <v/>
      </c>
      <c r="C347" s="3" t="str">
        <f>IFERROR(INDEX('بيانات الحركات'!C:C,MATCH(346,'بيانات الحركات'!$G:$G,0)),"")</f>
        <v/>
      </c>
      <c r="D347" s="3" t="str">
        <f>IFERROR(INDEX('بيانات الحركات'!D:D,MATCH(346,'بيانات الحركات'!$G:$G,0)),"")</f>
        <v/>
      </c>
      <c r="E347" s="21" t="str">
        <f>IF($B347="إنتاج طبخة","",IFERROR(INDEX('بيانات الحركات'!E:E,MATCH(346,'بيانات الحركات'!$G:$G,0)),""))</f>
        <v/>
      </c>
      <c r="F347" s="3" t="str">
        <f>IFERROR(INDEX('بيانات الحركات'!F:F,MATCH(346,'بيانات الحركات'!$G:$G,0)),"")</f>
        <v/>
      </c>
    </row>
    <row r="348" spans="1:6" ht="21.95" customHeight="1">
      <c r="A348" s="8" t="str">
        <f>IFERROR(INDEX('بيانات الحركات'!A:A,MATCH(347,'بيانات الحركات'!$G:$G,0)),"")</f>
        <v/>
      </c>
      <c r="B348" s="5" t="str">
        <f>IFERROR(INDEX('بيانات الحركات'!B:B,MATCH(347,'بيانات الحركات'!$G:$G,0)),"")</f>
        <v/>
      </c>
      <c r="C348" s="3" t="str">
        <f>IFERROR(INDEX('بيانات الحركات'!C:C,MATCH(347,'بيانات الحركات'!$G:$G,0)),"")</f>
        <v/>
      </c>
      <c r="D348" s="3" t="str">
        <f>IFERROR(INDEX('بيانات الحركات'!D:D,MATCH(347,'بيانات الحركات'!$G:$G,0)),"")</f>
        <v/>
      </c>
      <c r="E348" s="21" t="str">
        <f>IF($B348="إنتاج طبخة","",IFERROR(INDEX('بيانات الحركات'!E:E,MATCH(347,'بيانات الحركات'!$G:$G,0)),""))</f>
        <v/>
      </c>
      <c r="F348" s="3" t="str">
        <f>IFERROR(INDEX('بيانات الحركات'!F:F,MATCH(347,'بيانات الحركات'!$G:$G,0)),"")</f>
        <v/>
      </c>
    </row>
    <row r="349" spans="1:6" ht="21.95" customHeight="1">
      <c r="A349" s="8" t="str">
        <f>IFERROR(INDEX('بيانات الحركات'!A:A,MATCH(348,'بيانات الحركات'!$G:$G,0)),"")</f>
        <v/>
      </c>
      <c r="B349" s="5" t="str">
        <f>IFERROR(INDEX('بيانات الحركات'!B:B,MATCH(348,'بيانات الحركات'!$G:$G,0)),"")</f>
        <v/>
      </c>
      <c r="C349" s="3" t="str">
        <f>IFERROR(INDEX('بيانات الحركات'!C:C,MATCH(348,'بيانات الحركات'!$G:$G,0)),"")</f>
        <v/>
      </c>
      <c r="D349" s="3" t="str">
        <f>IFERROR(INDEX('بيانات الحركات'!D:D,MATCH(348,'بيانات الحركات'!$G:$G,0)),"")</f>
        <v/>
      </c>
      <c r="E349" s="21" t="str">
        <f>IF($B349="إنتاج طبخة","",IFERROR(INDEX('بيانات الحركات'!E:E,MATCH(348,'بيانات الحركات'!$G:$G,0)),""))</f>
        <v/>
      </c>
      <c r="F349" s="3" t="str">
        <f>IFERROR(INDEX('بيانات الحركات'!F:F,MATCH(348,'بيانات الحركات'!$G:$G,0)),"")</f>
        <v/>
      </c>
    </row>
    <row r="350" spans="1:6" ht="21.95" customHeight="1">
      <c r="A350" s="8" t="str">
        <f>IFERROR(INDEX('بيانات الحركات'!A:A,MATCH(349,'بيانات الحركات'!$G:$G,0)),"")</f>
        <v/>
      </c>
      <c r="B350" s="5" t="str">
        <f>IFERROR(INDEX('بيانات الحركات'!B:B,MATCH(349,'بيانات الحركات'!$G:$G,0)),"")</f>
        <v/>
      </c>
      <c r="C350" s="3" t="str">
        <f>IFERROR(INDEX('بيانات الحركات'!C:C,MATCH(349,'بيانات الحركات'!$G:$G,0)),"")</f>
        <v/>
      </c>
      <c r="D350" s="3" t="str">
        <f>IFERROR(INDEX('بيانات الحركات'!D:D,MATCH(349,'بيانات الحركات'!$G:$G,0)),"")</f>
        <v/>
      </c>
      <c r="E350" s="21" t="str">
        <f>IF($B350="إنتاج طبخة","",IFERROR(INDEX('بيانات الحركات'!E:E,MATCH(349,'بيانات الحركات'!$G:$G,0)),""))</f>
        <v/>
      </c>
      <c r="F350" s="3" t="str">
        <f>IFERROR(INDEX('بيانات الحركات'!F:F,MATCH(349,'بيانات الحركات'!$G:$G,0)),"")</f>
        <v/>
      </c>
    </row>
    <row r="351" spans="1:6" ht="21.95" customHeight="1">
      <c r="A351" s="8" t="str">
        <f>IFERROR(INDEX('بيانات الحركات'!A:A,MATCH(350,'بيانات الحركات'!$G:$G,0)),"")</f>
        <v/>
      </c>
      <c r="B351" s="5" t="str">
        <f>IFERROR(INDEX('بيانات الحركات'!B:B,MATCH(350,'بيانات الحركات'!$G:$G,0)),"")</f>
        <v/>
      </c>
      <c r="C351" s="3" t="str">
        <f>IFERROR(INDEX('بيانات الحركات'!C:C,MATCH(350,'بيانات الحركات'!$G:$G,0)),"")</f>
        <v/>
      </c>
      <c r="D351" s="3" t="str">
        <f>IFERROR(INDEX('بيانات الحركات'!D:D,MATCH(350,'بيانات الحركات'!$G:$G,0)),"")</f>
        <v/>
      </c>
      <c r="E351" s="21" t="str">
        <f>IF($B351="إنتاج طبخة","",IFERROR(INDEX('بيانات الحركات'!E:E,MATCH(350,'بيانات الحركات'!$G:$G,0)),""))</f>
        <v/>
      </c>
      <c r="F351" s="3" t="str">
        <f>IFERROR(INDEX('بيانات الحركات'!F:F,MATCH(350,'بيانات الحركات'!$G:$G,0)),"")</f>
        <v/>
      </c>
    </row>
    <row r="352" spans="1:6" ht="21.95" customHeight="1">
      <c r="A352" s="8" t="str">
        <f>IFERROR(INDEX('بيانات الحركات'!A:A,MATCH(351,'بيانات الحركات'!$G:$G,0)),"")</f>
        <v/>
      </c>
      <c r="B352" s="5" t="str">
        <f>IFERROR(INDEX('بيانات الحركات'!B:B,MATCH(351,'بيانات الحركات'!$G:$G,0)),"")</f>
        <v/>
      </c>
      <c r="C352" s="3" t="str">
        <f>IFERROR(INDEX('بيانات الحركات'!C:C,MATCH(351,'بيانات الحركات'!$G:$G,0)),"")</f>
        <v/>
      </c>
      <c r="D352" s="3" t="str">
        <f>IFERROR(INDEX('بيانات الحركات'!D:D,MATCH(351,'بيانات الحركات'!$G:$G,0)),"")</f>
        <v/>
      </c>
      <c r="E352" s="21" t="str">
        <f>IF($B352="إنتاج طبخة","",IFERROR(INDEX('بيانات الحركات'!E:E,MATCH(351,'بيانات الحركات'!$G:$G,0)),""))</f>
        <v/>
      </c>
      <c r="F352" s="3" t="str">
        <f>IFERROR(INDEX('بيانات الحركات'!F:F,MATCH(351,'بيانات الحركات'!$G:$G,0)),"")</f>
        <v/>
      </c>
    </row>
    <row r="353" spans="1:6" ht="21.95" customHeight="1">
      <c r="A353" s="8" t="str">
        <f>IFERROR(INDEX('بيانات الحركات'!A:A,MATCH(352,'بيانات الحركات'!$G:$G,0)),"")</f>
        <v/>
      </c>
      <c r="B353" s="5" t="str">
        <f>IFERROR(INDEX('بيانات الحركات'!B:B,MATCH(352,'بيانات الحركات'!$G:$G,0)),"")</f>
        <v/>
      </c>
      <c r="C353" s="3" t="str">
        <f>IFERROR(INDEX('بيانات الحركات'!C:C,MATCH(352,'بيانات الحركات'!$G:$G,0)),"")</f>
        <v/>
      </c>
      <c r="D353" s="3" t="str">
        <f>IFERROR(INDEX('بيانات الحركات'!D:D,MATCH(352,'بيانات الحركات'!$G:$G,0)),"")</f>
        <v/>
      </c>
      <c r="E353" s="21" t="str">
        <f>IF($B353="إنتاج طبخة","",IFERROR(INDEX('بيانات الحركات'!E:E,MATCH(352,'بيانات الحركات'!$G:$G,0)),""))</f>
        <v/>
      </c>
      <c r="F353" s="3" t="str">
        <f>IFERROR(INDEX('بيانات الحركات'!F:F,MATCH(352,'بيانات الحركات'!$G:$G,0)),"")</f>
        <v/>
      </c>
    </row>
    <row r="354" spans="1:6" ht="21.95" customHeight="1">
      <c r="A354" s="8" t="str">
        <f>IFERROR(INDEX('بيانات الحركات'!A:A,MATCH(353,'بيانات الحركات'!$G:$G,0)),"")</f>
        <v/>
      </c>
      <c r="B354" s="5" t="str">
        <f>IFERROR(INDEX('بيانات الحركات'!B:B,MATCH(353,'بيانات الحركات'!$G:$G,0)),"")</f>
        <v/>
      </c>
      <c r="C354" s="3" t="str">
        <f>IFERROR(INDEX('بيانات الحركات'!C:C,MATCH(353,'بيانات الحركات'!$G:$G,0)),"")</f>
        <v/>
      </c>
      <c r="D354" s="3" t="str">
        <f>IFERROR(INDEX('بيانات الحركات'!D:D,MATCH(353,'بيانات الحركات'!$G:$G,0)),"")</f>
        <v/>
      </c>
      <c r="E354" s="21" t="str">
        <f>IF($B354="إنتاج طبخة","",IFERROR(INDEX('بيانات الحركات'!E:E,MATCH(353,'بيانات الحركات'!$G:$G,0)),""))</f>
        <v/>
      </c>
      <c r="F354" s="3" t="str">
        <f>IFERROR(INDEX('بيانات الحركات'!F:F,MATCH(353,'بيانات الحركات'!$G:$G,0)),"")</f>
        <v/>
      </c>
    </row>
    <row r="355" spans="1:6" ht="21.95" customHeight="1">
      <c r="A355" s="8" t="str">
        <f>IFERROR(INDEX('بيانات الحركات'!A:A,MATCH(354,'بيانات الحركات'!$G:$G,0)),"")</f>
        <v/>
      </c>
      <c r="B355" s="5" t="str">
        <f>IFERROR(INDEX('بيانات الحركات'!B:B,MATCH(354,'بيانات الحركات'!$G:$G,0)),"")</f>
        <v/>
      </c>
      <c r="C355" s="3" t="str">
        <f>IFERROR(INDEX('بيانات الحركات'!C:C,MATCH(354,'بيانات الحركات'!$G:$G,0)),"")</f>
        <v/>
      </c>
      <c r="D355" s="3" t="str">
        <f>IFERROR(INDEX('بيانات الحركات'!D:D,MATCH(354,'بيانات الحركات'!$G:$G,0)),"")</f>
        <v/>
      </c>
      <c r="E355" s="21" t="str">
        <f>IF($B355="إنتاج طبخة","",IFERROR(INDEX('بيانات الحركات'!E:E,MATCH(354,'بيانات الحركات'!$G:$G,0)),""))</f>
        <v/>
      </c>
      <c r="F355" s="3" t="str">
        <f>IFERROR(INDEX('بيانات الحركات'!F:F,MATCH(354,'بيانات الحركات'!$G:$G,0)),"")</f>
        <v/>
      </c>
    </row>
    <row r="356" spans="1:6" ht="21.95" customHeight="1">
      <c r="A356" s="8" t="str">
        <f>IFERROR(INDEX('بيانات الحركات'!A:A,MATCH(355,'بيانات الحركات'!$G:$G,0)),"")</f>
        <v/>
      </c>
      <c r="B356" s="5" t="str">
        <f>IFERROR(INDEX('بيانات الحركات'!B:B,MATCH(355,'بيانات الحركات'!$G:$G,0)),"")</f>
        <v/>
      </c>
      <c r="C356" s="3" t="str">
        <f>IFERROR(INDEX('بيانات الحركات'!C:C,MATCH(355,'بيانات الحركات'!$G:$G,0)),"")</f>
        <v/>
      </c>
      <c r="D356" s="3" t="str">
        <f>IFERROR(INDEX('بيانات الحركات'!D:D,MATCH(355,'بيانات الحركات'!$G:$G,0)),"")</f>
        <v/>
      </c>
      <c r="E356" s="21" t="str">
        <f>IF($B356="إنتاج طبخة","",IFERROR(INDEX('بيانات الحركات'!E:E,MATCH(355,'بيانات الحركات'!$G:$G,0)),""))</f>
        <v/>
      </c>
      <c r="F356" s="3" t="str">
        <f>IFERROR(INDEX('بيانات الحركات'!F:F,MATCH(355,'بيانات الحركات'!$G:$G,0)),"")</f>
        <v/>
      </c>
    </row>
    <row r="357" spans="1:6" ht="21.95" customHeight="1">
      <c r="A357" s="8" t="str">
        <f>IFERROR(INDEX('بيانات الحركات'!A:A,MATCH(356,'بيانات الحركات'!$G:$G,0)),"")</f>
        <v/>
      </c>
      <c r="B357" s="5" t="str">
        <f>IFERROR(INDEX('بيانات الحركات'!B:B,MATCH(356,'بيانات الحركات'!$G:$G,0)),"")</f>
        <v/>
      </c>
      <c r="C357" s="3" t="str">
        <f>IFERROR(INDEX('بيانات الحركات'!C:C,MATCH(356,'بيانات الحركات'!$G:$G,0)),"")</f>
        <v/>
      </c>
      <c r="D357" s="3" t="str">
        <f>IFERROR(INDEX('بيانات الحركات'!D:D,MATCH(356,'بيانات الحركات'!$G:$G,0)),"")</f>
        <v/>
      </c>
      <c r="E357" s="21" t="str">
        <f>IF($B357="إنتاج طبخة","",IFERROR(INDEX('بيانات الحركات'!E:E,MATCH(356,'بيانات الحركات'!$G:$G,0)),""))</f>
        <v/>
      </c>
      <c r="F357" s="3" t="str">
        <f>IFERROR(INDEX('بيانات الحركات'!F:F,MATCH(356,'بيانات الحركات'!$G:$G,0)),"")</f>
        <v/>
      </c>
    </row>
    <row r="358" spans="1:6" ht="21.95" customHeight="1">
      <c r="A358" s="8" t="str">
        <f>IFERROR(INDEX('بيانات الحركات'!A:A,MATCH(357,'بيانات الحركات'!$G:$G,0)),"")</f>
        <v/>
      </c>
      <c r="B358" s="5" t="str">
        <f>IFERROR(INDEX('بيانات الحركات'!B:B,MATCH(357,'بيانات الحركات'!$G:$G,0)),"")</f>
        <v/>
      </c>
      <c r="C358" s="3" t="str">
        <f>IFERROR(INDEX('بيانات الحركات'!C:C,MATCH(357,'بيانات الحركات'!$G:$G,0)),"")</f>
        <v/>
      </c>
      <c r="D358" s="3" t="str">
        <f>IFERROR(INDEX('بيانات الحركات'!D:D,MATCH(357,'بيانات الحركات'!$G:$G,0)),"")</f>
        <v/>
      </c>
      <c r="E358" s="21" t="str">
        <f>IF($B358="إنتاج طبخة","",IFERROR(INDEX('بيانات الحركات'!E:E,MATCH(357,'بيانات الحركات'!$G:$G,0)),""))</f>
        <v/>
      </c>
      <c r="F358" s="3" t="str">
        <f>IFERROR(INDEX('بيانات الحركات'!F:F,MATCH(357,'بيانات الحركات'!$G:$G,0)),"")</f>
        <v/>
      </c>
    </row>
    <row r="359" spans="1:6" ht="21.95" customHeight="1">
      <c r="A359" s="8" t="str">
        <f>IFERROR(INDEX('بيانات الحركات'!A:A,MATCH(358,'بيانات الحركات'!$G:$G,0)),"")</f>
        <v/>
      </c>
      <c r="B359" s="5" t="str">
        <f>IFERROR(INDEX('بيانات الحركات'!B:B,MATCH(358,'بيانات الحركات'!$G:$G,0)),"")</f>
        <v/>
      </c>
      <c r="C359" s="3" t="str">
        <f>IFERROR(INDEX('بيانات الحركات'!C:C,MATCH(358,'بيانات الحركات'!$G:$G,0)),"")</f>
        <v/>
      </c>
      <c r="D359" s="3" t="str">
        <f>IFERROR(INDEX('بيانات الحركات'!D:D,MATCH(358,'بيانات الحركات'!$G:$G,0)),"")</f>
        <v/>
      </c>
      <c r="E359" s="21" t="str">
        <f>IF($B359="إنتاج طبخة","",IFERROR(INDEX('بيانات الحركات'!E:E,MATCH(358,'بيانات الحركات'!$G:$G,0)),""))</f>
        <v/>
      </c>
      <c r="F359" s="3" t="str">
        <f>IFERROR(INDEX('بيانات الحركات'!F:F,MATCH(358,'بيانات الحركات'!$G:$G,0)),"")</f>
        <v/>
      </c>
    </row>
    <row r="360" spans="1:6" ht="21.95" customHeight="1">
      <c r="A360" s="8" t="str">
        <f>IFERROR(INDEX('بيانات الحركات'!A:A,MATCH(359,'بيانات الحركات'!$G:$G,0)),"")</f>
        <v/>
      </c>
      <c r="B360" s="5" t="str">
        <f>IFERROR(INDEX('بيانات الحركات'!B:B,MATCH(359,'بيانات الحركات'!$G:$G,0)),"")</f>
        <v/>
      </c>
      <c r="C360" s="3" t="str">
        <f>IFERROR(INDEX('بيانات الحركات'!C:C,MATCH(359,'بيانات الحركات'!$G:$G,0)),"")</f>
        <v/>
      </c>
      <c r="D360" s="3" t="str">
        <f>IFERROR(INDEX('بيانات الحركات'!D:D,MATCH(359,'بيانات الحركات'!$G:$G,0)),"")</f>
        <v/>
      </c>
      <c r="E360" s="21" t="str">
        <f>IF($B360="إنتاج طبخة","",IFERROR(INDEX('بيانات الحركات'!E:E,MATCH(359,'بيانات الحركات'!$G:$G,0)),""))</f>
        <v/>
      </c>
      <c r="F360" s="3" t="str">
        <f>IFERROR(INDEX('بيانات الحركات'!F:F,MATCH(359,'بيانات الحركات'!$G:$G,0)),"")</f>
        <v/>
      </c>
    </row>
    <row r="361" spans="1:6" ht="21.95" customHeight="1">
      <c r="A361" s="8" t="str">
        <f>IFERROR(INDEX('بيانات الحركات'!A:A,MATCH(360,'بيانات الحركات'!$G:$G,0)),"")</f>
        <v/>
      </c>
      <c r="B361" s="5" t="str">
        <f>IFERROR(INDEX('بيانات الحركات'!B:B,MATCH(360,'بيانات الحركات'!$G:$G,0)),"")</f>
        <v/>
      </c>
      <c r="C361" s="3" t="str">
        <f>IFERROR(INDEX('بيانات الحركات'!C:C,MATCH(360,'بيانات الحركات'!$G:$G,0)),"")</f>
        <v/>
      </c>
      <c r="D361" s="3" t="str">
        <f>IFERROR(INDEX('بيانات الحركات'!D:D,MATCH(360,'بيانات الحركات'!$G:$G,0)),"")</f>
        <v/>
      </c>
      <c r="E361" s="21" t="str">
        <f>IF($B361="إنتاج طبخة","",IFERROR(INDEX('بيانات الحركات'!E:E,MATCH(360,'بيانات الحركات'!$G:$G,0)),""))</f>
        <v/>
      </c>
      <c r="F361" s="3" t="str">
        <f>IFERROR(INDEX('بيانات الحركات'!F:F,MATCH(360,'بيانات الحركات'!$G:$G,0)),"")</f>
        <v/>
      </c>
    </row>
    <row r="362" spans="1:6" ht="21.95" customHeight="1">
      <c r="A362" s="8" t="str">
        <f>IFERROR(INDEX('بيانات الحركات'!A:A,MATCH(361,'بيانات الحركات'!$G:$G,0)),"")</f>
        <v/>
      </c>
      <c r="B362" s="5" t="str">
        <f>IFERROR(INDEX('بيانات الحركات'!B:B,MATCH(361,'بيانات الحركات'!$G:$G,0)),"")</f>
        <v/>
      </c>
      <c r="C362" s="3" t="str">
        <f>IFERROR(INDEX('بيانات الحركات'!C:C,MATCH(361,'بيانات الحركات'!$G:$G,0)),"")</f>
        <v/>
      </c>
      <c r="D362" s="3" t="str">
        <f>IFERROR(INDEX('بيانات الحركات'!D:D,MATCH(361,'بيانات الحركات'!$G:$G,0)),"")</f>
        <v/>
      </c>
      <c r="E362" s="21" t="str">
        <f>IF($B362="إنتاج طبخة","",IFERROR(INDEX('بيانات الحركات'!E:E,MATCH(361,'بيانات الحركات'!$G:$G,0)),""))</f>
        <v/>
      </c>
      <c r="F362" s="3" t="str">
        <f>IFERROR(INDEX('بيانات الحركات'!F:F,MATCH(361,'بيانات الحركات'!$G:$G,0)),"")</f>
        <v/>
      </c>
    </row>
    <row r="363" spans="1:6" ht="21.95" customHeight="1">
      <c r="A363" s="8" t="str">
        <f>IFERROR(INDEX('بيانات الحركات'!A:A,MATCH(362,'بيانات الحركات'!$G:$G,0)),"")</f>
        <v/>
      </c>
      <c r="B363" s="5" t="str">
        <f>IFERROR(INDEX('بيانات الحركات'!B:B,MATCH(362,'بيانات الحركات'!$G:$G,0)),"")</f>
        <v/>
      </c>
      <c r="C363" s="3" t="str">
        <f>IFERROR(INDEX('بيانات الحركات'!C:C,MATCH(362,'بيانات الحركات'!$G:$G,0)),"")</f>
        <v/>
      </c>
      <c r="D363" s="3" t="str">
        <f>IFERROR(INDEX('بيانات الحركات'!D:D,MATCH(362,'بيانات الحركات'!$G:$G,0)),"")</f>
        <v/>
      </c>
      <c r="E363" s="21" t="str">
        <f>IF($B363="إنتاج طبخة","",IFERROR(INDEX('بيانات الحركات'!E:E,MATCH(362,'بيانات الحركات'!$G:$G,0)),""))</f>
        <v/>
      </c>
      <c r="F363" s="3" t="str">
        <f>IFERROR(INDEX('بيانات الحركات'!F:F,MATCH(362,'بيانات الحركات'!$G:$G,0)),"")</f>
        <v/>
      </c>
    </row>
    <row r="364" spans="1:6" ht="21.95" customHeight="1">
      <c r="A364" s="8" t="str">
        <f>IFERROR(INDEX('بيانات الحركات'!A:A,MATCH(363,'بيانات الحركات'!$G:$G,0)),"")</f>
        <v/>
      </c>
      <c r="B364" s="5" t="str">
        <f>IFERROR(INDEX('بيانات الحركات'!B:B,MATCH(363,'بيانات الحركات'!$G:$G,0)),"")</f>
        <v/>
      </c>
      <c r="C364" s="3" t="str">
        <f>IFERROR(INDEX('بيانات الحركات'!C:C,MATCH(363,'بيانات الحركات'!$G:$G,0)),"")</f>
        <v/>
      </c>
      <c r="D364" s="3" t="str">
        <f>IFERROR(INDEX('بيانات الحركات'!D:D,MATCH(363,'بيانات الحركات'!$G:$G,0)),"")</f>
        <v/>
      </c>
      <c r="E364" s="21" t="str">
        <f>IF($B364="إنتاج طبخة","",IFERROR(INDEX('بيانات الحركات'!E:E,MATCH(363,'بيانات الحركات'!$G:$G,0)),""))</f>
        <v/>
      </c>
      <c r="F364" s="3" t="str">
        <f>IFERROR(INDEX('بيانات الحركات'!F:F,MATCH(363,'بيانات الحركات'!$G:$G,0)),"")</f>
        <v/>
      </c>
    </row>
    <row r="365" spans="1:6" ht="21.95" customHeight="1">
      <c r="A365" s="8" t="str">
        <f>IFERROR(INDEX('بيانات الحركات'!A:A,MATCH(364,'بيانات الحركات'!$G:$G,0)),"")</f>
        <v/>
      </c>
      <c r="B365" s="5" t="str">
        <f>IFERROR(INDEX('بيانات الحركات'!B:B,MATCH(364,'بيانات الحركات'!$G:$G,0)),"")</f>
        <v/>
      </c>
      <c r="C365" s="3" t="str">
        <f>IFERROR(INDEX('بيانات الحركات'!C:C,MATCH(364,'بيانات الحركات'!$G:$G,0)),"")</f>
        <v/>
      </c>
      <c r="D365" s="3" t="str">
        <f>IFERROR(INDEX('بيانات الحركات'!D:D,MATCH(364,'بيانات الحركات'!$G:$G,0)),"")</f>
        <v/>
      </c>
      <c r="E365" s="21" t="str">
        <f>IF($B365="إنتاج طبخة","",IFERROR(INDEX('بيانات الحركات'!E:E,MATCH(364,'بيانات الحركات'!$G:$G,0)),""))</f>
        <v/>
      </c>
      <c r="F365" s="3" t="str">
        <f>IFERROR(INDEX('بيانات الحركات'!F:F,MATCH(364,'بيانات الحركات'!$G:$G,0)),"")</f>
        <v/>
      </c>
    </row>
    <row r="366" spans="1:6" ht="21.95" customHeight="1">
      <c r="A366" s="8" t="str">
        <f>IFERROR(INDEX('بيانات الحركات'!A:A,MATCH(365,'بيانات الحركات'!$G:$G,0)),"")</f>
        <v/>
      </c>
      <c r="B366" s="5" t="str">
        <f>IFERROR(INDEX('بيانات الحركات'!B:B,MATCH(365,'بيانات الحركات'!$G:$G,0)),"")</f>
        <v/>
      </c>
      <c r="C366" s="3" t="str">
        <f>IFERROR(INDEX('بيانات الحركات'!C:C,MATCH(365,'بيانات الحركات'!$G:$G,0)),"")</f>
        <v/>
      </c>
      <c r="D366" s="3" t="str">
        <f>IFERROR(INDEX('بيانات الحركات'!D:D,MATCH(365,'بيانات الحركات'!$G:$G,0)),"")</f>
        <v/>
      </c>
      <c r="E366" s="21" t="str">
        <f>IF($B366="إنتاج طبخة","",IFERROR(INDEX('بيانات الحركات'!E:E,MATCH(365,'بيانات الحركات'!$G:$G,0)),""))</f>
        <v/>
      </c>
      <c r="F366" s="3" t="str">
        <f>IFERROR(INDEX('بيانات الحركات'!F:F,MATCH(365,'بيانات الحركات'!$G:$G,0)),"")</f>
        <v/>
      </c>
    </row>
    <row r="367" spans="1:6" ht="21.95" customHeight="1">
      <c r="A367" s="8" t="str">
        <f>IFERROR(INDEX('بيانات الحركات'!A:A,MATCH(366,'بيانات الحركات'!$G:$G,0)),"")</f>
        <v/>
      </c>
      <c r="B367" s="5" t="str">
        <f>IFERROR(INDEX('بيانات الحركات'!B:B,MATCH(366,'بيانات الحركات'!$G:$G,0)),"")</f>
        <v/>
      </c>
      <c r="C367" s="3" t="str">
        <f>IFERROR(INDEX('بيانات الحركات'!C:C,MATCH(366,'بيانات الحركات'!$G:$G,0)),"")</f>
        <v/>
      </c>
      <c r="D367" s="3" t="str">
        <f>IFERROR(INDEX('بيانات الحركات'!D:D,MATCH(366,'بيانات الحركات'!$G:$G,0)),"")</f>
        <v/>
      </c>
      <c r="E367" s="21" t="str">
        <f>IF($B367="إنتاج طبخة","",IFERROR(INDEX('بيانات الحركات'!E:E,MATCH(366,'بيانات الحركات'!$G:$G,0)),""))</f>
        <v/>
      </c>
      <c r="F367" s="3" t="str">
        <f>IFERROR(INDEX('بيانات الحركات'!F:F,MATCH(366,'بيانات الحركات'!$G:$G,0)),"")</f>
        <v/>
      </c>
    </row>
    <row r="368" spans="1:6" ht="21.95" customHeight="1">
      <c r="A368" s="8" t="str">
        <f>IFERROR(INDEX('بيانات الحركات'!A:A,MATCH(367,'بيانات الحركات'!$G:$G,0)),"")</f>
        <v/>
      </c>
      <c r="B368" s="5" t="str">
        <f>IFERROR(INDEX('بيانات الحركات'!B:B,MATCH(367,'بيانات الحركات'!$G:$G,0)),"")</f>
        <v/>
      </c>
      <c r="C368" s="3" t="str">
        <f>IFERROR(INDEX('بيانات الحركات'!C:C,MATCH(367,'بيانات الحركات'!$G:$G,0)),"")</f>
        <v/>
      </c>
      <c r="D368" s="3" t="str">
        <f>IFERROR(INDEX('بيانات الحركات'!D:D,MATCH(367,'بيانات الحركات'!$G:$G,0)),"")</f>
        <v/>
      </c>
      <c r="E368" s="21" t="str">
        <f>IF($B368="إنتاج طبخة","",IFERROR(INDEX('بيانات الحركات'!E:E,MATCH(367,'بيانات الحركات'!$G:$G,0)),""))</f>
        <v/>
      </c>
      <c r="F368" s="3" t="str">
        <f>IFERROR(INDEX('بيانات الحركات'!F:F,MATCH(367,'بيانات الحركات'!$G:$G,0)),"")</f>
        <v/>
      </c>
    </row>
    <row r="369" spans="1:6" ht="21.95" customHeight="1">
      <c r="A369" s="8" t="str">
        <f>IFERROR(INDEX('بيانات الحركات'!A:A,MATCH(368,'بيانات الحركات'!$G:$G,0)),"")</f>
        <v/>
      </c>
      <c r="B369" s="5" t="str">
        <f>IFERROR(INDEX('بيانات الحركات'!B:B,MATCH(368,'بيانات الحركات'!$G:$G,0)),"")</f>
        <v/>
      </c>
      <c r="C369" s="3" t="str">
        <f>IFERROR(INDEX('بيانات الحركات'!C:C,MATCH(368,'بيانات الحركات'!$G:$G,0)),"")</f>
        <v/>
      </c>
      <c r="D369" s="3" t="str">
        <f>IFERROR(INDEX('بيانات الحركات'!D:D,MATCH(368,'بيانات الحركات'!$G:$G,0)),"")</f>
        <v/>
      </c>
      <c r="E369" s="21" t="str">
        <f>IF($B369="إنتاج طبخة","",IFERROR(INDEX('بيانات الحركات'!E:E,MATCH(368,'بيانات الحركات'!$G:$G,0)),""))</f>
        <v/>
      </c>
      <c r="F369" s="3" t="str">
        <f>IFERROR(INDEX('بيانات الحركات'!F:F,MATCH(368,'بيانات الحركات'!$G:$G,0)),"")</f>
        <v/>
      </c>
    </row>
    <row r="370" spans="1:6" ht="21.95" customHeight="1">
      <c r="A370" s="8" t="str">
        <f>IFERROR(INDEX('بيانات الحركات'!A:A,MATCH(369,'بيانات الحركات'!$G:$G,0)),"")</f>
        <v/>
      </c>
      <c r="B370" s="5" t="str">
        <f>IFERROR(INDEX('بيانات الحركات'!B:B,MATCH(369,'بيانات الحركات'!$G:$G,0)),"")</f>
        <v/>
      </c>
      <c r="C370" s="3" t="str">
        <f>IFERROR(INDEX('بيانات الحركات'!C:C,MATCH(369,'بيانات الحركات'!$G:$G,0)),"")</f>
        <v/>
      </c>
      <c r="D370" s="3" t="str">
        <f>IFERROR(INDEX('بيانات الحركات'!D:D,MATCH(369,'بيانات الحركات'!$G:$G,0)),"")</f>
        <v/>
      </c>
      <c r="E370" s="21" t="str">
        <f>IF($B370="إنتاج طبخة","",IFERROR(INDEX('بيانات الحركات'!E:E,MATCH(369,'بيانات الحركات'!$G:$G,0)),""))</f>
        <v/>
      </c>
      <c r="F370" s="3" t="str">
        <f>IFERROR(INDEX('بيانات الحركات'!F:F,MATCH(369,'بيانات الحركات'!$G:$G,0)),"")</f>
        <v/>
      </c>
    </row>
    <row r="371" spans="1:6" ht="21.95" customHeight="1">
      <c r="A371" s="8" t="str">
        <f>IFERROR(INDEX('بيانات الحركات'!A:A,MATCH(370,'بيانات الحركات'!$G:$G,0)),"")</f>
        <v/>
      </c>
      <c r="B371" s="5" t="str">
        <f>IFERROR(INDEX('بيانات الحركات'!B:B,MATCH(370,'بيانات الحركات'!$G:$G,0)),"")</f>
        <v/>
      </c>
      <c r="C371" s="3" t="str">
        <f>IFERROR(INDEX('بيانات الحركات'!C:C,MATCH(370,'بيانات الحركات'!$G:$G,0)),"")</f>
        <v/>
      </c>
      <c r="D371" s="3" t="str">
        <f>IFERROR(INDEX('بيانات الحركات'!D:D,MATCH(370,'بيانات الحركات'!$G:$G,0)),"")</f>
        <v/>
      </c>
      <c r="E371" s="21" t="str">
        <f>IF($B371="إنتاج طبخة","",IFERROR(INDEX('بيانات الحركات'!E:E,MATCH(370,'بيانات الحركات'!$G:$G,0)),""))</f>
        <v/>
      </c>
      <c r="F371" s="3" t="str">
        <f>IFERROR(INDEX('بيانات الحركات'!F:F,MATCH(370,'بيانات الحركات'!$G:$G,0)),"")</f>
        <v/>
      </c>
    </row>
    <row r="372" spans="1:6" ht="21.95" customHeight="1">
      <c r="A372" s="8" t="str">
        <f>IFERROR(INDEX('بيانات الحركات'!A:A,MATCH(371,'بيانات الحركات'!$G:$G,0)),"")</f>
        <v/>
      </c>
      <c r="B372" s="5" t="str">
        <f>IFERROR(INDEX('بيانات الحركات'!B:B,MATCH(371,'بيانات الحركات'!$G:$G,0)),"")</f>
        <v/>
      </c>
      <c r="C372" s="3" t="str">
        <f>IFERROR(INDEX('بيانات الحركات'!C:C,MATCH(371,'بيانات الحركات'!$G:$G,0)),"")</f>
        <v/>
      </c>
      <c r="D372" s="3" t="str">
        <f>IFERROR(INDEX('بيانات الحركات'!D:D,MATCH(371,'بيانات الحركات'!$G:$G,0)),"")</f>
        <v/>
      </c>
      <c r="E372" s="21" t="str">
        <f>IF($B372="إنتاج طبخة","",IFERROR(INDEX('بيانات الحركات'!E:E,MATCH(371,'بيانات الحركات'!$G:$G,0)),""))</f>
        <v/>
      </c>
      <c r="F372" s="3" t="str">
        <f>IFERROR(INDEX('بيانات الحركات'!F:F,MATCH(371,'بيانات الحركات'!$G:$G,0)),"")</f>
        <v/>
      </c>
    </row>
    <row r="373" spans="1:6" ht="21.95" customHeight="1">
      <c r="A373" s="8" t="str">
        <f>IFERROR(INDEX('بيانات الحركات'!A:A,MATCH(372,'بيانات الحركات'!$G:$G,0)),"")</f>
        <v/>
      </c>
      <c r="B373" s="5" t="str">
        <f>IFERROR(INDEX('بيانات الحركات'!B:B,MATCH(372,'بيانات الحركات'!$G:$G,0)),"")</f>
        <v/>
      </c>
      <c r="C373" s="3" t="str">
        <f>IFERROR(INDEX('بيانات الحركات'!C:C,MATCH(372,'بيانات الحركات'!$G:$G,0)),"")</f>
        <v/>
      </c>
      <c r="D373" s="3" t="str">
        <f>IFERROR(INDEX('بيانات الحركات'!D:D,MATCH(372,'بيانات الحركات'!$G:$G,0)),"")</f>
        <v/>
      </c>
      <c r="E373" s="21" t="str">
        <f>IF($B373="إنتاج طبخة","",IFERROR(INDEX('بيانات الحركات'!E:E,MATCH(372,'بيانات الحركات'!$G:$G,0)),""))</f>
        <v/>
      </c>
      <c r="F373" s="3" t="str">
        <f>IFERROR(INDEX('بيانات الحركات'!F:F,MATCH(372,'بيانات الحركات'!$G:$G,0)),"")</f>
        <v/>
      </c>
    </row>
    <row r="374" spans="1:6" ht="21.95" customHeight="1">
      <c r="A374" s="8" t="str">
        <f>IFERROR(INDEX('بيانات الحركات'!A:A,MATCH(373,'بيانات الحركات'!$G:$G,0)),"")</f>
        <v/>
      </c>
      <c r="B374" s="5" t="str">
        <f>IFERROR(INDEX('بيانات الحركات'!B:B,MATCH(373,'بيانات الحركات'!$G:$G,0)),"")</f>
        <v/>
      </c>
      <c r="C374" s="3" t="str">
        <f>IFERROR(INDEX('بيانات الحركات'!C:C,MATCH(373,'بيانات الحركات'!$G:$G,0)),"")</f>
        <v/>
      </c>
      <c r="D374" s="3" t="str">
        <f>IFERROR(INDEX('بيانات الحركات'!D:D,MATCH(373,'بيانات الحركات'!$G:$G,0)),"")</f>
        <v/>
      </c>
      <c r="E374" s="21" t="str">
        <f>IF($B374="إنتاج طبخة","",IFERROR(INDEX('بيانات الحركات'!E:E,MATCH(373,'بيانات الحركات'!$G:$G,0)),""))</f>
        <v/>
      </c>
      <c r="F374" s="3" t="str">
        <f>IFERROR(INDEX('بيانات الحركات'!F:F,MATCH(373,'بيانات الحركات'!$G:$G,0)),"")</f>
        <v/>
      </c>
    </row>
    <row r="375" spans="1:6" ht="21.95" customHeight="1">
      <c r="A375" s="8" t="str">
        <f>IFERROR(INDEX('بيانات الحركات'!A:A,MATCH(374,'بيانات الحركات'!$G:$G,0)),"")</f>
        <v/>
      </c>
      <c r="B375" s="5" t="str">
        <f>IFERROR(INDEX('بيانات الحركات'!B:B,MATCH(374,'بيانات الحركات'!$G:$G,0)),"")</f>
        <v/>
      </c>
      <c r="C375" s="3" t="str">
        <f>IFERROR(INDEX('بيانات الحركات'!C:C,MATCH(374,'بيانات الحركات'!$G:$G,0)),"")</f>
        <v/>
      </c>
      <c r="D375" s="3" t="str">
        <f>IFERROR(INDEX('بيانات الحركات'!D:D,MATCH(374,'بيانات الحركات'!$G:$G,0)),"")</f>
        <v/>
      </c>
      <c r="E375" s="21" t="str">
        <f>IF($B375="إنتاج طبخة","",IFERROR(INDEX('بيانات الحركات'!E:E,MATCH(374,'بيانات الحركات'!$G:$G,0)),""))</f>
        <v/>
      </c>
      <c r="F375" s="3" t="str">
        <f>IFERROR(INDEX('بيانات الحركات'!F:F,MATCH(374,'بيانات الحركات'!$G:$G,0)),"")</f>
        <v/>
      </c>
    </row>
    <row r="376" spans="1:6" ht="21.95" customHeight="1">
      <c r="A376" s="8" t="str">
        <f>IFERROR(INDEX('بيانات الحركات'!A:A,MATCH(375,'بيانات الحركات'!$G:$G,0)),"")</f>
        <v/>
      </c>
      <c r="B376" s="5" t="str">
        <f>IFERROR(INDEX('بيانات الحركات'!B:B,MATCH(375,'بيانات الحركات'!$G:$G,0)),"")</f>
        <v/>
      </c>
      <c r="C376" s="3" t="str">
        <f>IFERROR(INDEX('بيانات الحركات'!C:C,MATCH(375,'بيانات الحركات'!$G:$G,0)),"")</f>
        <v/>
      </c>
      <c r="D376" s="3" t="str">
        <f>IFERROR(INDEX('بيانات الحركات'!D:D,MATCH(375,'بيانات الحركات'!$G:$G,0)),"")</f>
        <v/>
      </c>
      <c r="E376" s="21" t="str">
        <f>IF($B376="إنتاج طبخة","",IFERROR(INDEX('بيانات الحركات'!E:E,MATCH(375,'بيانات الحركات'!$G:$G,0)),""))</f>
        <v/>
      </c>
      <c r="F376" s="3" t="str">
        <f>IFERROR(INDEX('بيانات الحركات'!F:F,MATCH(375,'بيانات الحركات'!$G:$G,0)),"")</f>
        <v/>
      </c>
    </row>
    <row r="377" spans="1:6" ht="21.95" customHeight="1">
      <c r="A377" s="8" t="str">
        <f>IFERROR(INDEX('بيانات الحركات'!A:A,MATCH(376,'بيانات الحركات'!$G:$G,0)),"")</f>
        <v/>
      </c>
      <c r="B377" s="5" t="str">
        <f>IFERROR(INDEX('بيانات الحركات'!B:B,MATCH(376,'بيانات الحركات'!$G:$G,0)),"")</f>
        <v/>
      </c>
      <c r="C377" s="3" t="str">
        <f>IFERROR(INDEX('بيانات الحركات'!C:C,MATCH(376,'بيانات الحركات'!$G:$G,0)),"")</f>
        <v/>
      </c>
      <c r="D377" s="3" t="str">
        <f>IFERROR(INDEX('بيانات الحركات'!D:D,MATCH(376,'بيانات الحركات'!$G:$G,0)),"")</f>
        <v/>
      </c>
      <c r="E377" s="21" t="str">
        <f>IF($B377="إنتاج طبخة","",IFERROR(INDEX('بيانات الحركات'!E:E,MATCH(376,'بيانات الحركات'!$G:$G,0)),""))</f>
        <v/>
      </c>
      <c r="F377" s="3" t="str">
        <f>IFERROR(INDEX('بيانات الحركات'!F:F,MATCH(376,'بيانات الحركات'!$G:$G,0)),"")</f>
        <v/>
      </c>
    </row>
    <row r="378" spans="1:6" ht="21.95" customHeight="1">
      <c r="A378" s="8" t="str">
        <f>IFERROR(INDEX('بيانات الحركات'!A:A,MATCH(377,'بيانات الحركات'!$G:$G,0)),"")</f>
        <v/>
      </c>
      <c r="B378" s="5" t="str">
        <f>IFERROR(INDEX('بيانات الحركات'!B:B,MATCH(377,'بيانات الحركات'!$G:$G,0)),"")</f>
        <v/>
      </c>
      <c r="C378" s="3" t="str">
        <f>IFERROR(INDEX('بيانات الحركات'!C:C,MATCH(377,'بيانات الحركات'!$G:$G,0)),"")</f>
        <v/>
      </c>
      <c r="D378" s="3" t="str">
        <f>IFERROR(INDEX('بيانات الحركات'!D:D,MATCH(377,'بيانات الحركات'!$G:$G,0)),"")</f>
        <v/>
      </c>
      <c r="E378" s="21" t="str">
        <f>IF($B378="إنتاج طبخة","",IFERROR(INDEX('بيانات الحركات'!E:E,MATCH(377,'بيانات الحركات'!$G:$G,0)),""))</f>
        <v/>
      </c>
      <c r="F378" s="3" t="str">
        <f>IFERROR(INDEX('بيانات الحركات'!F:F,MATCH(377,'بيانات الحركات'!$G:$G,0)),"")</f>
        <v/>
      </c>
    </row>
    <row r="379" spans="1:6" ht="21.95" customHeight="1">
      <c r="A379" s="8" t="str">
        <f>IFERROR(INDEX('بيانات الحركات'!A:A,MATCH(378,'بيانات الحركات'!$G:$G,0)),"")</f>
        <v/>
      </c>
      <c r="B379" s="5" t="str">
        <f>IFERROR(INDEX('بيانات الحركات'!B:B,MATCH(378,'بيانات الحركات'!$G:$G,0)),"")</f>
        <v/>
      </c>
      <c r="C379" s="3" t="str">
        <f>IFERROR(INDEX('بيانات الحركات'!C:C,MATCH(378,'بيانات الحركات'!$G:$G,0)),"")</f>
        <v/>
      </c>
      <c r="D379" s="3" t="str">
        <f>IFERROR(INDEX('بيانات الحركات'!D:D,MATCH(378,'بيانات الحركات'!$G:$G,0)),"")</f>
        <v/>
      </c>
      <c r="E379" s="21" t="str">
        <f>IF($B379="إنتاج طبخة","",IFERROR(INDEX('بيانات الحركات'!E:E,MATCH(378,'بيانات الحركات'!$G:$G,0)),""))</f>
        <v/>
      </c>
      <c r="F379" s="3" t="str">
        <f>IFERROR(INDEX('بيانات الحركات'!F:F,MATCH(378,'بيانات الحركات'!$G:$G,0)),"")</f>
        <v/>
      </c>
    </row>
    <row r="380" spans="1:6" ht="21.95" customHeight="1">
      <c r="A380" s="8" t="str">
        <f>IFERROR(INDEX('بيانات الحركات'!A:A,MATCH(379,'بيانات الحركات'!$G:$G,0)),"")</f>
        <v/>
      </c>
      <c r="B380" s="5" t="str">
        <f>IFERROR(INDEX('بيانات الحركات'!B:B,MATCH(379,'بيانات الحركات'!$G:$G,0)),"")</f>
        <v/>
      </c>
      <c r="C380" s="3" t="str">
        <f>IFERROR(INDEX('بيانات الحركات'!C:C,MATCH(379,'بيانات الحركات'!$G:$G,0)),"")</f>
        <v/>
      </c>
      <c r="D380" s="3" t="str">
        <f>IFERROR(INDEX('بيانات الحركات'!D:D,MATCH(379,'بيانات الحركات'!$G:$G,0)),"")</f>
        <v/>
      </c>
      <c r="E380" s="21" t="str">
        <f>IF($B380="إنتاج طبخة","",IFERROR(INDEX('بيانات الحركات'!E:E,MATCH(379,'بيانات الحركات'!$G:$G,0)),""))</f>
        <v/>
      </c>
      <c r="F380" s="3" t="str">
        <f>IFERROR(INDEX('بيانات الحركات'!F:F,MATCH(379,'بيانات الحركات'!$G:$G,0)),"")</f>
        <v/>
      </c>
    </row>
    <row r="381" spans="1:6" ht="21.95" customHeight="1">
      <c r="A381" s="8" t="str">
        <f>IFERROR(INDEX('بيانات الحركات'!A:A,MATCH(380,'بيانات الحركات'!$G:$G,0)),"")</f>
        <v/>
      </c>
      <c r="B381" s="5" t="str">
        <f>IFERROR(INDEX('بيانات الحركات'!B:B,MATCH(380,'بيانات الحركات'!$G:$G,0)),"")</f>
        <v/>
      </c>
      <c r="C381" s="3" t="str">
        <f>IFERROR(INDEX('بيانات الحركات'!C:C,MATCH(380,'بيانات الحركات'!$G:$G,0)),"")</f>
        <v/>
      </c>
      <c r="D381" s="3" t="str">
        <f>IFERROR(INDEX('بيانات الحركات'!D:D,MATCH(380,'بيانات الحركات'!$G:$G,0)),"")</f>
        <v/>
      </c>
      <c r="E381" s="21" t="str">
        <f>IF($B381="إنتاج طبخة","",IFERROR(INDEX('بيانات الحركات'!E:E,MATCH(380,'بيانات الحركات'!$G:$G,0)),""))</f>
        <v/>
      </c>
      <c r="F381" s="3" t="str">
        <f>IFERROR(INDEX('بيانات الحركات'!F:F,MATCH(380,'بيانات الحركات'!$G:$G,0)),"")</f>
        <v/>
      </c>
    </row>
    <row r="382" spans="1:6" ht="21.95" customHeight="1">
      <c r="A382" s="8" t="str">
        <f>IFERROR(INDEX('بيانات الحركات'!A:A,MATCH(381,'بيانات الحركات'!$G:$G,0)),"")</f>
        <v/>
      </c>
      <c r="B382" s="5" t="str">
        <f>IFERROR(INDEX('بيانات الحركات'!B:B,MATCH(381,'بيانات الحركات'!$G:$G,0)),"")</f>
        <v/>
      </c>
      <c r="C382" s="3" t="str">
        <f>IFERROR(INDEX('بيانات الحركات'!C:C,MATCH(381,'بيانات الحركات'!$G:$G,0)),"")</f>
        <v/>
      </c>
      <c r="D382" s="3" t="str">
        <f>IFERROR(INDEX('بيانات الحركات'!D:D,MATCH(381,'بيانات الحركات'!$G:$G,0)),"")</f>
        <v/>
      </c>
      <c r="E382" s="21" t="str">
        <f>IF($B382="إنتاج طبخة","",IFERROR(INDEX('بيانات الحركات'!E:E,MATCH(381,'بيانات الحركات'!$G:$G,0)),""))</f>
        <v/>
      </c>
      <c r="F382" s="3" t="str">
        <f>IFERROR(INDEX('بيانات الحركات'!F:F,MATCH(381,'بيانات الحركات'!$G:$G,0)),"")</f>
        <v/>
      </c>
    </row>
    <row r="383" spans="1:6" ht="21.95" customHeight="1">
      <c r="A383" s="8" t="str">
        <f>IFERROR(INDEX('بيانات الحركات'!A:A,MATCH(382,'بيانات الحركات'!$G:$G,0)),"")</f>
        <v/>
      </c>
      <c r="B383" s="5" t="str">
        <f>IFERROR(INDEX('بيانات الحركات'!B:B,MATCH(382,'بيانات الحركات'!$G:$G,0)),"")</f>
        <v/>
      </c>
      <c r="C383" s="3" t="str">
        <f>IFERROR(INDEX('بيانات الحركات'!C:C,MATCH(382,'بيانات الحركات'!$G:$G,0)),"")</f>
        <v/>
      </c>
      <c r="D383" s="3" t="str">
        <f>IFERROR(INDEX('بيانات الحركات'!D:D,MATCH(382,'بيانات الحركات'!$G:$G,0)),"")</f>
        <v/>
      </c>
      <c r="E383" s="21" t="str">
        <f>IF($B383="إنتاج طبخة","",IFERROR(INDEX('بيانات الحركات'!E:E,MATCH(382,'بيانات الحركات'!$G:$G,0)),""))</f>
        <v/>
      </c>
      <c r="F383" s="3" t="str">
        <f>IFERROR(INDEX('بيانات الحركات'!F:F,MATCH(382,'بيانات الحركات'!$G:$G,0)),"")</f>
        <v/>
      </c>
    </row>
    <row r="384" spans="1:6" ht="21.95" customHeight="1">
      <c r="A384" s="8" t="str">
        <f>IFERROR(INDEX('بيانات الحركات'!A:A,MATCH(383,'بيانات الحركات'!$G:$G,0)),"")</f>
        <v/>
      </c>
      <c r="B384" s="5" t="str">
        <f>IFERROR(INDEX('بيانات الحركات'!B:B,MATCH(383,'بيانات الحركات'!$G:$G,0)),"")</f>
        <v/>
      </c>
      <c r="C384" s="3" t="str">
        <f>IFERROR(INDEX('بيانات الحركات'!C:C,MATCH(383,'بيانات الحركات'!$G:$G,0)),"")</f>
        <v/>
      </c>
      <c r="D384" s="3" t="str">
        <f>IFERROR(INDEX('بيانات الحركات'!D:D,MATCH(383,'بيانات الحركات'!$G:$G,0)),"")</f>
        <v/>
      </c>
      <c r="E384" s="21" t="str">
        <f>IF($B384="إنتاج طبخة","",IFERROR(INDEX('بيانات الحركات'!E:E,MATCH(383,'بيانات الحركات'!$G:$G,0)),""))</f>
        <v/>
      </c>
      <c r="F384" s="3" t="str">
        <f>IFERROR(INDEX('بيانات الحركات'!F:F,MATCH(383,'بيانات الحركات'!$G:$G,0)),"")</f>
        <v/>
      </c>
    </row>
    <row r="385" spans="1:6" ht="21.95" customHeight="1">
      <c r="A385" s="8" t="str">
        <f>IFERROR(INDEX('بيانات الحركات'!A:A,MATCH(384,'بيانات الحركات'!$G:$G,0)),"")</f>
        <v/>
      </c>
      <c r="B385" s="5" t="str">
        <f>IFERROR(INDEX('بيانات الحركات'!B:B,MATCH(384,'بيانات الحركات'!$G:$G,0)),"")</f>
        <v/>
      </c>
      <c r="C385" s="3" t="str">
        <f>IFERROR(INDEX('بيانات الحركات'!C:C,MATCH(384,'بيانات الحركات'!$G:$G,0)),"")</f>
        <v/>
      </c>
      <c r="D385" s="3" t="str">
        <f>IFERROR(INDEX('بيانات الحركات'!D:D,MATCH(384,'بيانات الحركات'!$G:$G,0)),"")</f>
        <v/>
      </c>
      <c r="E385" s="21" t="str">
        <f>IF($B385="إنتاج طبخة","",IFERROR(INDEX('بيانات الحركات'!E:E,MATCH(384,'بيانات الحركات'!$G:$G,0)),""))</f>
        <v/>
      </c>
      <c r="F385" s="3" t="str">
        <f>IFERROR(INDEX('بيانات الحركات'!F:F,MATCH(384,'بيانات الحركات'!$G:$G,0)),"")</f>
        <v/>
      </c>
    </row>
    <row r="386" spans="1:6" ht="21.95" customHeight="1">
      <c r="A386" s="8" t="str">
        <f>IFERROR(INDEX('بيانات الحركات'!A:A,MATCH(385,'بيانات الحركات'!$G:$G,0)),"")</f>
        <v/>
      </c>
      <c r="B386" s="5" t="str">
        <f>IFERROR(INDEX('بيانات الحركات'!B:B,MATCH(385,'بيانات الحركات'!$G:$G,0)),"")</f>
        <v/>
      </c>
      <c r="C386" s="3" t="str">
        <f>IFERROR(INDEX('بيانات الحركات'!C:C,MATCH(385,'بيانات الحركات'!$G:$G,0)),"")</f>
        <v/>
      </c>
      <c r="D386" s="3" t="str">
        <f>IFERROR(INDEX('بيانات الحركات'!D:D,MATCH(385,'بيانات الحركات'!$G:$G,0)),"")</f>
        <v/>
      </c>
      <c r="E386" s="21" t="str">
        <f>IF($B386="إنتاج طبخة","",IFERROR(INDEX('بيانات الحركات'!E:E,MATCH(385,'بيانات الحركات'!$G:$G,0)),""))</f>
        <v/>
      </c>
      <c r="F386" s="3" t="str">
        <f>IFERROR(INDEX('بيانات الحركات'!F:F,MATCH(385,'بيانات الحركات'!$G:$G,0)),"")</f>
        <v/>
      </c>
    </row>
    <row r="387" spans="1:6" ht="21.95" customHeight="1">
      <c r="A387" s="8" t="str">
        <f>IFERROR(INDEX('بيانات الحركات'!A:A,MATCH(386,'بيانات الحركات'!$G:$G,0)),"")</f>
        <v/>
      </c>
      <c r="B387" s="5" t="str">
        <f>IFERROR(INDEX('بيانات الحركات'!B:B,MATCH(386,'بيانات الحركات'!$G:$G,0)),"")</f>
        <v/>
      </c>
      <c r="C387" s="3" t="str">
        <f>IFERROR(INDEX('بيانات الحركات'!C:C,MATCH(386,'بيانات الحركات'!$G:$G,0)),"")</f>
        <v/>
      </c>
      <c r="D387" s="3" t="str">
        <f>IFERROR(INDEX('بيانات الحركات'!D:D,MATCH(386,'بيانات الحركات'!$G:$G,0)),"")</f>
        <v/>
      </c>
      <c r="E387" s="21" t="str">
        <f>IF($B387="إنتاج طبخة","",IFERROR(INDEX('بيانات الحركات'!E:E,MATCH(386,'بيانات الحركات'!$G:$G,0)),""))</f>
        <v/>
      </c>
      <c r="F387" s="3" t="str">
        <f>IFERROR(INDEX('بيانات الحركات'!F:F,MATCH(386,'بيانات الحركات'!$G:$G,0)),"")</f>
        <v/>
      </c>
    </row>
    <row r="388" spans="1:6" ht="21.95" customHeight="1">
      <c r="A388" s="8" t="str">
        <f>IFERROR(INDEX('بيانات الحركات'!A:A,MATCH(387,'بيانات الحركات'!$G:$G,0)),"")</f>
        <v/>
      </c>
      <c r="B388" s="5" t="str">
        <f>IFERROR(INDEX('بيانات الحركات'!B:B,MATCH(387,'بيانات الحركات'!$G:$G,0)),"")</f>
        <v/>
      </c>
      <c r="C388" s="3" t="str">
        <f>IFERROR(INDEX('بيانات الحركات'!C:C,MATCH(387,'بيانات الحركات'!$G:$G,0)),"")</f>
        <v/>
      </c>
      <c r="D388" s="3" t="str">
        <f>IFERROR(INDEX('بيانات الحركات'!D:D,MATCH(387,'بيانات الحركات'!$G:$G,0)),"")</f>
        <v/>
      </c>
      <c r="E388" s="21" t="str">
        <f>IF($B388="إنتاج طبخة","",IFERROR(INDEX('بيانات الحركات'!E:E,MATCH(387,'بيانات الحركات'!$G:$G,0)),""))</f>
        <v/>
      </c>
      <c r="F388" s="3" t="str">
        <f>IFERROR(INDEX('بيانات الحركات'!F:F,MATCH(387,'بيانات الحركات'!$G:$G,0)),"")</f>
        <v/>
      </c>
    </row>
    <row r="389" spans="1:6" ht="21.95" customHeight="1">
      <c r="A389" s="8" t="str">
        <f>IFERROR(INDEX('بيانات الحركات'!A:A,MATCH(388,'بيانات الحركات'!$G:$G,0)),"")</f>
        <v/>
      </c>
      <c r="B389" s="5" t="str">
        <f>IFERROR(INDEX('بيانات الحركات'!B:B,MATCH(388,'بيانات الحركات'!$G:$G,0)),"")</f>
        <v/>
      </c>
      <c r="C389" s="3" t="str">
        <f>IFERROR(INDEX('بيانات الحركات'!C:C,MATCH(388,'بيانات الحركات'!$G:$G,0)),"")</f>
        <v/>
      </c>
      <c r="D389" s="3" t="str">
        <f>IFERROR(INDEX('بيانات الحركات'!D:D,MATCH(388,'بيانات الحركات'!$G:$G,0)),"")</f>
        <v/>
      </c>
      <c r="E389" s="21" t="str">
        <f>IF($B389="إنتاج طبخة","",IFERROR(INDEX('بيانات الحركات'!E:E,MATCH(388,'بيانات الحركات'!$G:$G,0)),""))</f>
        <v/>
      </c>
      <c r="F389" s="3" t="str">
        <f>IFERROR(INDEX('بيانات الحركات'!F:F,MATCH(388,'بيانات الحركات'!$G:$G,0)),"")</f>
        <v/>
      </c>
    </row>
    <row r="390" spans="1:6" ht="21.95" customHeight="1">
      <c r="A390" s="8" t="str">
        <f>IFERROR(INDEX('بيانات الحركات'!A:A,MATCH(389,'بيانات الحركات'!$G:$G,0)),"")</f>
        <v/>
      </c>
      <c r="B390" s="5" t="str">
        <f>IFERROR(INDEX('بيانات الحركات'!B:B,MATCH(389,'بيانات الحركات'!$G:$G,0)),"")</f>
        <v/>
      </c>
      <c r="C390" s="3" t="str">
        <f>IFERROR(INDEX('بيانات الحركات'!C:C,MATCH(389,'بيانات الحركات'!$G:$G,0)),"")</f>
        <v/>
      </c>
      <c r="D390" s="3" t="str">
        <f>IFERROR(INDEX('بيانات الحركات'!D:D,MATCH(389,'بيانات الحركات'!$G:$G,0)),"")</f>
        <v/>
      </c>
      <c r="E390" s="21" t="str">
        <f>IF($B390="إنتاج طبخة","",IFERROR(INDEX('بيانات الحركات'!E:E,MATCH(389,'بيانات الحركات'!$G:$G,0)),""))</f>
        <v/>
      </c>
      <c r="F390" s="3" t="str">
        <f>IFERROR(INDEX('بيانات الحركات'!F:F,MATCH(389,'بيانات الحركات'!$G:$G,0)),"")</f>
        <v/>
      </c>
    </row>
    <row r="391" spans="1:6" ht="21.95" customHeight="1">
      <c r="A391" s="8" t="str">
        <f>IFERROR(INDEX('بيانات الحركات'!A:A,MATCH(390,'بيانات الحركات'!$G:$G,0)),"")</f>
        <v/>
      </c>
      <c r="B391" s="5" t="str">
        <f>IFERROR(INDEX('بيانات الحركات'!B:B,MATCH(390,'بيانات الحركات'!$G:$G,0)),"")</f>
        <v/>
      </c>
      <c r="C391" s="3" t="str">
        <f>IFERROR(INDEX('بيانات الحركات'!C:C,MATCH(390,'بيانات الحركات'!$G:$G,0)),"")</f>
        <v/>
      </c>
      <c r="D391" s="3" t="str">
        <f>IFERROR(INDEX('بيانات الحركات'!D:D,MATCH(390,'بيانات الحركات'!$G:$G,0)),"")</f>
        <v/>
      </c>
      <c r="E391" s="21" t="str">
        <f>IF($B391="إنتاج طبخة","",IFERROR(INDEX('بيانات الحركات'!E:E,MATCH(390,'بيانات الحركات'!$G:$G,0)),""))</f>
        <v/>
      </c>
      <c r="F391" s="3" t="str">
        <f>IFERROR(INDEX('بيانات الحركات'!F:F,MATCH(390,'بيانات الحركات'!$G:$G,0)),"")</f>
        <v/>
      </c>
    </row>
    <row r="392" spans="1:6" ht="21.95" customHeight="1">
      <c r="A392" s="8" t="str">
        <f>IFERROR(INDEX('بيانات الحركات'!A:A,MATCH(391,'بيانات الحركات'!$G:$G,0)),"")</f>
        <v/>
      </c>
      <c r="B392" s="5" t="str">
        <f>IFERROR(INDEX('بيانات الحركات'!B:B,MATCH(391,'بيانات الحركات'!$G:$G,0)),"")</f>
        <v/>
      </c>
      <c r="C392" s="3" t="str">
        <f>IFERROR(INDEX('بيانات الحركات'!C:C,MATCH(391,'بيانات الحركات'!$G:$G,0)),"")</f>
        <v/>
      </c>
      <c r="D392" s="3" t="str">
        <f>IFERROR(INDEX('بيانات الحركات'!D:D,MATCH(391,'بيانات الحركات'!$G:$G,0)),"")</f>
        <v/>
      </c>
      <c r="E392" s="21" t="str">
        <f>IF($B392="إنتاج طبخة","",IFERROR(INDEX('بيانات الحركات'!E:E,MATCH(391,'بيانات الحركات'!$G:$G,0)),""))</f>
        <v/>
      </c>
      <c r="F392" s="3" t="str">
        <f>IFERROR(INDEX('بيانات الحركات'!F:F,MATCH(391,'بيانات الحركات'!$G:$G,0)),"")</f>
        <v/>
      </c>
    </row>
    <row r="393" spans="1:6" ht="21.95" customHeight="1">
      <c r="A393" s="8" t="str">
        <f>IFERROR(INDEX('بيانات الحركات'!A:A,MATCH(392,'بيانات الحركات'!$G:$G,0)),"")</f>
        <v/>
      </c>
      <c r="B393" s="5" t="str">
        <f>IFERROR(INDEX('بيانات الحركات'!B:B,MATCH(392,'بيانات الحركات'!$G:$G,0)),"")</f>
        <v/>
      </c>
      <c r="C393" s="3" t="str">
        <f>IFERROR(INDEX('بيانات الحركات'!C:C,MATCH(392,'بيانات الحركات'!$G:$G,0)),"")</f>
        <v/>
      </c>
      <c r="D393" s="3" t="str">
        <f>IFERROR(INDEX('بيانات الحركات'!D:D,MATCH(392,'بيانات الحركات'!$G:$G,0)),"")</f>
        <v/>
      </c>
      <c r="E393" s="21" t="str">
        <f>IF($B393="إنتاج طبخة","",IFERROR(INDEX('بيانات الحركات'!E:E,MATCH(392,'بيانات الحركات'!$G:$G,0)),""))</f>
        <v/>
      </c>
      <c r="F393" s="3" t="str">
        <f>IFERROR(INDEX('بيانات الحركات'!F:F,MATCH(392,'بيانات الحركات'!$G:$G,0)),"")</f>
        <v/>
      </c>
    </row>
    <row r="394" spans="1:6" ht="21.95" customHeight="1">
      <c r="A394" s="8" t="str">
        <f>IFERROR(INDEX('بيانات الحركات'!A:A,MATCH(393,'بيانات الحركات'!$G:$G,0)),"")</f>
        <v/>
      </c>
      <c r="B394" s="5" t="str">
        <f>IFERROR(INDEX('بيانات الحركات'!B:B,MATCH(393,'بيانات الحركات'!$G:$G,0)),"")</f>
        <v/>
      </c>
      <c r="C394" s="3" t="str">
        <f>IFERROR(INDEX('بيانات الحركات'!C:C,MATCH(393,'بيانات الحركات'!$G:$G,0)),"")</f>
        <v/>
      </c>
      <c r="D394" s="3" t="str">
        <f>IFERROR(INDEX('بيانات الحركات'!D:D,MATCH(393,'بيانات الحركات'!$G:$G,0)),"")</f>
        <v/>
      </c>
      <c r="E394" s="21" t="str">
        <f>IF($B394="إنتاج طبخة","",IFERROR(INDEX('بيانات الحركات'!E:E,MATCH(393,'بيانات الحركات'!$G:$G,0)),""))</f>
        <v/>
      </c>
      <c r="F394" s="3" t="str">
        <f>IFERROR(INDEX('بيانات الحركات'!F:F,MATCH(393,'بيانات الحركات'!$G:$G,0)),"")</f>
        <v/>
      </c>
    </row>
    <row r="395" spans="1:6" ht="21.95" customHeight="1">
      <c r="A395" s="8" t="str">
        <f>IFERROR(INDEX('بيانات الحركات'!A:A,MATCH(394,'بيانات الحركات'!$G:$G,0)),"")</f>
        <v/>
      </c>
      <c r="B395" s="5" t="str">
        <f>IFERROR(INDEX('بيانات الحركات'!B:B,MATCH(394,'بيانات الحركات'!$G:$G,0)),"")</f>
        <v/>
      </c>
      <c r="C395" s="3" t="str">
        <f>IFERROR(INDEX('بيانات الحركات'!C:C,MATCH(394,'بيانات الحركات'!$G:$G,0)),"")</f>
        <v/>
      </c>
      <c r="D395" s="3" t="str">
        <f>IFERROR(INDEX('بيانات الحركات'!D:D,MATCH(394,'بيانات الحركات'!$G:$G,0)),"")</f>
        <v/>
      </c>
      <c r="E395" s="21" t="str">
        <f>IF($B395="إنتاج طبخة","",IFERROR(INDEX('بيانات الحركات'!E:E,MATCH(394,'بيانات الحركات'!$G:$G,0)),""))</f>
        <v/>
      </c>
      <c r="F395" s="3" t="str">
        <f>IFERROR(INDEX('بيانات الحركات'!F:F,MATCH(394,'بيانات الحركات'!$G:$G,0)),"")</f>
        <v/>
      </c>
    </row>
    <row r="396" spans="1:6" ht="21.95" customHeight="1">
      <c r="A396" s="8" t="str">
        <f>IFERROR(INDEX('بيانات الحركات'!A:A,MATCH(395,'بيانات الحركات'!$G:$G,0)),"")</f>
        <v/>
      </c>
      <c r="B396" s="5" t="str">
        <f>IFERROR(INDEX('بيانات الحركات'!B:B,MATCH(395,'بيانات الحركات'!$G:$G,0)),"")</f>
        <v/>
      </c>
      <c r="C396" s="3" t="str">
        <f>IFERROR(INDEX('بيانات الحركات'!C:C,MATCH(395,'بيانات الحركات'!$G:$G,0)),"")</f>
        <v/>
      </c>
      <c r="D396" s="3" t="str">
        <f>IFERROR(INDEX('بيانات الحركات'!D:D,MATCH(395,'بيانات الحركات'!$G:$G,0)),"")</f>
        <v/>
      </c>
      <c r="E396" s="21" t="str">
        <f>IF($B396="إنتاج طبخة","",IFERROR(INDEX('بيانات الحركات'!E:E,MATCH(395,'بيانات الحركات'!$G:$G,0)),""))</f>
        <v/>
      </c>
      <c r="F396" s="3" t="str">
        <f>IFERROR(INDEX('بيانات الحركات'!F:F,MATCH(395,'بيانات الحركات'!$G:$G,0)),"")</f>
        <v/>
      </c>
    </row>
    <row r="397" spans="1:6" ht="21.95" customHeight="1">
      <c r="A397" s="8" t="str">
        <f>IFERROR(INDEX('بيانات الحركات'!A:A,MATCH(396,'بيانات الحركات'!$G:$G,0)),"")</f>
        <v/>
      </c>
      <c r="B397" s="5" t="str">
        <f>IFERROR(INDEX('بيانات الحركات'!B:B,MATCH(396,'بيانات الحركات'!$G:$G,0)),"")</f>
        <v/>
      </c>
      <c r="C397" s="3" t="str">
        <f>IFERROR(INDEX('بيانات الحركات'!C:C,MATCH(396,'بيانات الحركات'!$G:$G,0)),"")</f>
        <v/>
      </c>
      <c r="D397" s="3" t="str">
        <f>IFERROR(INDEX('بيانات الحركات'!D:D,MATCH(396,'بيانات الحركات'!$G:$G,0)),"")</f>
        <v/>
      </c>
      <c r="E397" s="21" t="str">
        <f>IF($B397="إنتاج طبخة","",IFERROR(INDEX('بيانات الحركات'!E:E,MATCH(396,'بيانات الحركات'!$G:$G,0)),""))</f>
        <v/>
      </c>
      <c r="F397" s="3" t="str">
        <f>IFERROR(INDEX('بيانات الحركات'!F:F,MATCH(396,'بيانات الحركات'!$G:$G,0)),"")</f>
        <v/>
      </c>
    </row>
    <row r="398" spans="1:6" ht="21.95" customHeight="1">
      <c r="A398" s="8" t="str">
        <f>IFERROR(INDEX('بيانات الحركات'!A:A,MATCH(397,'بيانات الحركات'!$G:$G,0)),"")</f>
        <v/>
      </c>
      <c r="B398" s="5" t="str">
        <f>IFERROR(INDEX('بيانات الحركات'!B:B,MATCH(397,'بيانات الحركات'!$G:$G,0)),"")</f>
        <v/>
      </c>
      <c r="C398" s="3" t="str">
        <f>IFERROR(INDEX('بيانات الحركات'!C:C,MATCH(397,'بيانات الحركات'!$G:$G,0)),"")</f>
        <v/>
      </c>
      <c r="D398" s="3" t="str">
        <f>IFERROR(INDEX('بيانات الحركات'!D:D,MATCH(397,'بيانات الحركات'!$G:$G,0)),"")</f>
        <v/>
      </c>
      <c r="E398" s="21" t="str">
        <f>IF($B398="إنتاج طبخة","",IFERROR(INDEX('بيانات الحركات'!E:E,MATCH(397,'بيانات الحركات'!$G:$G,0)),""))</f>
        <v/>
      </c>
      <c r="F398" s="3" t="str">
        <f>IFERROR(INDEX('بيانات الحركات'!F:F,MATCH(397,'بيانات الحركات'!$G:$G,0)),"")</f>
        <v/>
      </c>
    </row>
    <row r="399" spans="1:6" ht="21.95" customHeight="1">
      <c r="A399" s="8" t="str">
        <f>IFERROR(INDEX('بيانات الحركات'!A:A,MATCH(398,'بيانات الحركات'!$G:$G,0)),"")</f>
        <v/>
      </c>
      <c r="B399" s="5" t="str">
        <f>IFERROR(INDEX('بيانات الحركات'!B:B,MATCH(398,'بيانات الحركات'!$G:$G,0)),"")</f>
        <v/>
      </c>
      <c r="C399" s="3" t="str">
        <f>IFERROR(INDEX('بيانات الحركات'!C:C,MATCH(398,'بيانات الحركات'!$G:$G,0)),"")</f>
        <v/>
      </c>
      <c r="D399" s="3" t="str">
        <f>IFERROR(INDEX('بيانات الحركات'!D:D,MATCH(398,'بيانات الحركات'!$G:$G,0)),"")</f>
        <v/>
      </c>
      <c r="E399" s="21" t="str">
        <f>IF($B399="إنتاج طبخة","",IFERROR(INDEX('بيانات الحركات'!E:E,MATCH(398,'بيانات الحركات'!$G:$G,0)),""))</f>
        <v/>
      </c>
      <c r="F399" s="3" t="str">
        <f>IFERROR(INDEX('بيانات الحركات'!F:F,MATCH(398,'بيانات الحركات'!$G:$G,0)),"")</f>
        <v/>
      </c>
    </row>
    <row r="400" spans="1:6" ht="21.95" customHeight="1">
      <c r="A400" s="8" t="str">
        <f>IFERROR(INDEX('بيانات الحركات'!A:A,MATCH(399,'بيانات الحركات'!$G:$G,0)),"")</f>
        <v/>
      </c>
      <c r="B400" s="5" t="str">
        <f>IFERROR(INDEX('بيانات الحركات'!B:B,MATCH(399,'بيانات الحركات'!$G:$G,0)),"")</f>
        <v/>
      </c>
      <c r="C400" s="3" t="str">
        <f>IFERROR(INDEX('بيانات الحركات'!C:C,MATCH(399,'بيانات الحركات'!$G:$G,0)),"")</f>
        <v/>
      </c>
      <c r="D400" s="3" t="str">
        <f>IFERROR(INDEX('بيانات الحركات'!D:D,MATCH(399,'بيانات الحركات'!$G:$G,0)),"")</f>
        <v/>
      </c>
      <c r="E400" s="21" t="str">
        <f>IF($B400="إنتاج طبخة","",IFERROR(INDEX('بيانات الحركات'!E:E,MATCH(399,'بيانات الحركات'!$G:$G,0)),""))</f>
        <v/>
      </c>
      <c r="F400" s="3" t="str">
        <f>IFERROR(INDEX('بيانات الحركات'!F:F,MATCH(399,'بيانات الحركات'!$G:$G,0)),"")</f>
        <v/>
      </c>
    </row>
    <row r="401" spans="1:6" ht="21.95" customHeight="1">
      <c r="A401" s="8" t="str">
        <f>IFERROR(INDEX('بيانات الحركات'!A:A,MATCH(400,'بيانات الحركات'!$G:$G,0)),"")</f>
        <v/>
      </c>
      <c r="B401" s="5" t="str">
        <f>IFERROR(INDEX('بيانات الحركات'!B:B,MATCH(400,'بيانات الحركات'!$G:$G,0)),"")</f>
        <v/>
      </c>
      <c r="C401" s="3" t="str">
        <f>IFERROR(INDEX('بيانات الحركات'!C:C,MATCH(400,'بيانات الحركات'!$G:$G,0)),"")</f>
        <v/>
      </c>
      <c r="D401" s="3" t="str">
        <f>IFERROR(INDEX('بيانات الحركات'!D:D,MATCH(400,'بيانات الحركات'!$G:$G,0)),"")</f>
        <v/>
      </c>
      <c r="E401" s="21" t="str">
        <f>IF($B401="إنتاج طبخة","",IFERROR(INDEX('بيانات الحركات'!E:E,MATCH(400,'بيانات الحركات'!$G:$G,0)),""))</f>
        <v/>
      </c>
      <c r="F401" s="3" t="str">
        <f>IFERROR(INDEX('بيانات الحركات'!F:F,MATCH(400,'بيانات الحركات'!$G:$G,0)),"")</f>
        <v/>
      </c>
    </row>
    <row r="402" spans="1:6" ht="21.95" customHeight="1">
      <c r="A402" s="8" t="str">
        <f>IFERROR(INDEX('بيانات الحركات'!A:A,MATCH(401,'بيانات الحركات'!$G:$G,0)),"")</f>
        <v/>
      </c>
      <c r="B402" s="5" t="str">
        <f>IFERROR(INDEX('بيانات الحركات'!B:B,MATCH(401,'بيانات الحركات'!$G:$G,0)),"")</f>
        <v/>
      </c>
      <c r="C402" s="3" t="str">
        <f>IFERROR(INDEX('بيانات الحركات'!C:C,MATCH(401,'بيانات الحركات'!$G:$G,0)),"")</f>
        <v/>
      </c>
      <c r="D402" s="3" t="str">
        <f>IFERROR(INDEX('بيانات الحركات'!D:D,MATCH(401,'بيانات الحركات'!$G:$G,0)),"")</f>
        <v/>
      </c>
      <c r="E402" s="21" t="str">
        <f>IF($B402="إنتاج طبخة","",IFERROR(INDEX('بيانات الحركات'!E:E,MATCH(401,'بيانات الحركات'!$G:$G,0)),""))</f>
        <v/>
      </c>
      <c r="F402" s="3" t="str">
        <f>IFERROR(INDEX('بيانات الحركات'!F:F,MATCH(401,'بيانات الحركات'!$G:$G,0)),"")</f>
        <v/>
      </c>
    </row>
    <row r="403" spans="1:6" ht="21.95" customHeight="1">
      <c r="A403" s="8" t="str">
        <f>IFERROR(INDEX('بيانات الحركات'!A:A,MATCH(402,'بيانات الحركات'!$G:$G,0)),"")</f>
        <v/>
      </c>
      <c r="B403" s="5" t="str">
        <f>IFERROR(INDEX('بيانات الحركات'!B:B,MATCH(402,'بيانات الحركات'!$G:$G,0)),"")</f>
        <v/>
      </c>
      <c r="C403" s="3" t="str">
        <f>IFERROR(INDEX('بيانات الحركات'!C:C,MATCH(402,'بيانات الحركات'!$G:$G,0)),"")</f>
        <v/>
      </c>
      <c r="D403" s="3" t="str">
        <f>IFERROR(INDEX('بيانات الحركات'!D:D,MATCH(402,'بيانات الحركات'!$G:$G,0)),"")</f>
        <v/>
      </c>
      <c r="E403" s="21" t="str">
        <f>IF($B403="إنتاج طبخة","",IFERROR(INDEX('بيانات الحركات'!E:E,MATCH(402,'بيانات الحركات'!$G:$G,0)),""))</f>
        <v/>
      </c>
      <c r="F403" s="3" t="str">
        <f>IFERROR(INDEX('بيانات الحركات'!F:F,MATCH(402,'بيانات الحركات'!$G:$G,0)),"")</f>
        <v/>
      </c>
    </row>
    <row r="404" spans="1:6" ht="21.95" customHeight="1">
      <c r="A404" s="8" t="str">
        <f>IFERROR(INDEX('بيانات الحركات'!A:A,MATCH(403,'بيانات الحركات'!$G:$G,0)),"")</f>
        <v/>
      </c>
      <c r="B404" s="5" t="str">
        <f>IFERROR(INDEX('بيانات الحركات'!B:B,MATCH(403,'بيانات الحركات'!$G:$G,0)),"")</f>
        <v/>
      </c>
      <c r="C404" s="3" t="str">
        <f>IFERROR(INDEX('بيانات الحركات'!C:C,MATCH(403,'بيانات الحركات'!$G:$G,0)),"")</f>
        <v/>
      </c>
      <c r="D404" s="3" t="str">
        <f>IFERROR(INDEX('بيانات الحركات'!D:D,MATCH(403,'بيانات الحركات'!$G:$G,0)),"")</f>
        <v/>
      </c>
      <c r="E404" s="21" t="str">
        <f>IF($B404="إنتاج طبخة","",IFERROR(INDEX('بيانات الحركات'!E:E,MATCH(403,'بيانات الحركات'!$G:$G,0)),""))</f>
        <v/>
      </c>
      <c r="F404" s="3" t="str">
        <f>IFERROR(INDEX('بيانات الحركات'!F:F,MATCH(403,'بيانات الحركات'!$G:$G,0)),"")</f>
        <v/>
      </c>
    </row>
    <row r="405" spans="1:6" ht="21.95" customHeight="1">
      <c r="A405" s="8" t="str">
        <f>IFERROR(INDEX('بيانات الحركات'!A:A,MATCH(404,'بيانات الحركات'!$G:$G,0)),"")</f>
        <v/>
      </c>
      <c r="B405" s="5" t="str">
        <f>IFERROR(INDEX('بيانات الحركات'!B:B,MATCH(404,'بيانات الحركات'!$G:$G,0)),"")</f>
        <v/>
      </c>
      <c r="C405" s="3" t="str">
        <f>IFERROR(INDEX('بيانات الحركات'!C:C,MATCH(404,'بيانات الحركات'!$G:$G,0)),"")</f>
        <v/>
      </c>
      <c r="D405" s="3" t="str">
        <f>IFERROR(INDEX('بيانات الحركات'!D:D,MATCH(404,'بيانات الحركات'!$G:$G,0)),"")</f>
        <v/>
      </c>
      <c r="E405" s="21" t="str">
        <f>IF($B405="إنتاج طبخة","",IFERROR(INDEX('بيانات الحركات'!E:E,MATCH(404,'بيانات الحركات'!$G:$G,0)),""))</f>
        <v/>
      </c>
      <c r="F405" s="3" t="str">
        <f>IFERROR(INDEX('بيانات الحركات'!F:F,MATCH(404,'بيانات الحركات'!$G:$G,0)),"")</f>
        <v/>
      </c>
    </row>
    <row r="406" spans="1:6" ht="21.95" customHeight="1">
      <c r="A406" s="8" t="str">
        <f>IFERROR(INDEX('بيانات الحركات'!A:A,MATCH(405,'بيانات الحركات'!$G:$G,0)),"")</f>
        <v/>
      </c>
      <c r="B406" s="5" t="str">
        <f>IFERROR(INDEX('بيانات الحركات'!B:B,MATCH(405,'بيانات الحركات'!$G:$G,0)),"")</f>
        <v/>
      </c>
      <c r="C406" s="3" t="str">
        <f>IFERROR(INDEX('بيانات الحركات'!C:C,MATCH(405,'بيانات الحركات'!$G:$G,0)),"")</f>
        <v/>
      </c>
      <c r="D406" s="3" t="str">
        <f>IFERROR(INDEX('بيانات الحركات'!D:D,MATCH(405,'بيانات الحركات'!$G:$G,0)),"")</f>
        <v/>
      </c>
      <c r="E406" s="21" t="str">
        <f>IF($B406="إنتاج طبخة","",IFERROR(INDEX('بيانات الحركات'!E:E,MATCH(405,'بيانات الحركات'!$G:$G,0)),""))</f>
        <v/>
      </c>
      <c r="F406" s="3" t="str">
        <f>IFERROR(INDEX('بيانات الحركات'!F:F,MATCH(405,'بيانات الحركات'!$G:$G,0)),"")</f>
        <v/>
      </c>
    </row>
    <row r="407" spans="1:6" ht="21.95" customHeight="1">
      <c r="A407" s="8" t="str">
        <f>IFERROR(INDEX('بيانات الحركات'!A:A,MATCH(406,'بيانات الحركات'!$G:$G,0)),"")</f>
        <v/>
      </c>
      <c r="B407" s="5" t="str">
        <f>IFERROR(INDEX('بيانات الحركات'!B:B,MATCH(406,'بيانات الحركات'!$G:$G,0)),"")</f>
        <v/>
      </c>
      <c r="C407" s="3" t="str">
        <f>IFERROR(INDEX('بيانات الحركات'!C:C,MATCH(406,'بيانات الحركات'!$G:$G,0)),"")</f>
        <v/>
      </c>
      <c r="D407" s="3" t="str">
        <f>IFERROR(INDEX('بيانات الحركات'!D:D,MATCH(406,'بيانات الحركات'!$G:$G,0)),"")</f>
        <v/>
      </c>
      <c r="E407" s="21" t="str">
        <f>IF($B407="إنتاج طبخة","",IFERROR(INDEX('بيانات الحركات'!E:E,MATCH(406,'بيانات الحركات'!$G:$G,0)),""))</f>
        <v/>
      </c>
      <c r="F407" s="3" t="str">
        <f>IFERROR(INDEX('بيانات الحركات'!F:F,MATCH(406,'بيانات الحركات'!$G:$G,0)),"")</f>
        <v/>
      </c>
    </row>
    <row r="408" spans="1:6" ht="21.95" customHeight="1">
      <c r="A408" s="8" t="str">
        <f>IFERROR(INDEX('بيانات الحركات'!A:A,MATCH(407,'بيانات الحركات'!$G:$G,0)),"")</f>
        <v/>
      </c>
      <c r="B408" s="5" t="str">
        <f>IFERROR(INDEX('بيانات الحركات'!B:B,MATCH(407,'بيانات الحركات'!$G:$G,0)),"")</f>
        <v/>
      </c>
      <c r="C408" s="3" t="str">
        <f>IFERROR(INDEX('بيانات الحركات'!C:C,MATCH(407,'بيانات الحركات'!$G:$G,0)),"")</f>
        <v/>
      </c>
      <c r="D408" s="3" t="str">
        <f>IFERROR(INDEX('بيانات الحركات'!D:D,MATCH(407,'بيانات الحركات'!$G:$G,0)),"")</f>
        <v/>
      </c>
      <c r="E408" s="21" t="str">
        <f>IF($B408="إنتاج طبخة","",IFERROR(INDEX('بيانات الحركات'!E:E,MATCH(407,'بيانات الحركات'!$G:$G,0)),""))</f>
        <v/>
      </c>
      <c r="F408" s="3" t="str">
        <f>IFERROR(INDEX('بيانات الحركات'!F:F,MATCH(407,'بيانات الحركات'!$G:$G,0)),"")</f>
        <v/>
      </c>
    </row>
    <row r="409" spans="1:6" ht="21.95" customHeight="1">
      <c r="A409" s="8" t="str">
        <f>IFERROR(INDEX('بيانات الحركات'!A:A,MATCH(408,'بيانات الحركات'!$G:$G,0)),"")</f>
        <v/>
      </c>
      <c r="B409" s="5" t="str">
        <f>IFERROR(INDEX('بيانات الحركات'!B:B,MATCH(408,'بيانات الحركات'!$G:$G,0)),"")</f>
        <v/>
      </c>
      <c r="C409" s="3" t="str">
        <f>IFERROR(INDEX('بيانات الحركات'!C:C,MATCH(408,'بيانات الحركات'!$G:$G,0)),"")</f>
        <v/>
      </c>
      <c r="D409" s="3" t="str">
        <f>IFERROR(INDEX('بيانات الحركات'!D:D,MATCH(408,'بيانات الحركات'!$G:$G,0)),"")</f>
        <v/>
      </c>
      <c r="E409" s="21" t="str">
        <f>IF($B409="إنتاج طبخة","",IFERROR(INDEX('بيانات الحركات'!E:E,MATCH(408,'بيانات الحركات'!$G:$G,0)),""))</f>
        <v/>
      </c>
      <c r="F409" s="3" t="str">
        <f>IFERROR(INDEX('بيانات الحركات'!F:F,MATCH(408,'بيانات الحركات'!$G:$G,0)),"")</f>
        <v/>
      </c>
    </row>
    <row r="410" spans="1:6" ht="21.95" customHeight="1">
      <c r="A410" s="8" t="str">
        <f>IFERROR(INDEX('بيانات الحركات'!A:A,MATCH(409,'بيانات الحركات'!$G:$G,0)),"")</f>
        <v/>
      </c>
      <c r="B410" s="5" t="str">
        <f>IFERROR(INDEX('بيانات الحركات'!B:B,MATCH(409,'بيانات الحركات'!$G:$G,0)),"")</f>
        <v/>
      </c>
      <c r="C410" s="3" t="str">
        <f>IFERROR(INDEX('بيانات الحركات'!C:C,MATCH(409,'بيانات الحركات'!$G:$G,0)),"")</f>
        <v/>
      </c>
      <c r="D410" s="3" t="str">
        <f>IFERROR(INDEX('بيانات الحركات'!D:D,MATCH(409,'بيانات الحركات'!$G:$G,0)),"")</f>
        <v/>
      </c>
      <c r="E410" s="21" t="str">
        <f>IF($B410="إنتاج طبخة","",IFERROR(INDEX('بيانات الحركات'!E:E,MATCH(409,'بيانات الحركات'!$G:$G,0)),""))</f>
        <v/>
      </c>
      <c r="F410" s="3" t="str">
        <f>IFERROR(INDEX('بيانات الحركات'!F:F,MATCH(409,'بيانات الحركات'!$G:$G,0)),"")</f>
        <v/>
      </c>
    </row>
    <row r="411" spans="1:6" ht="21.95" customHeight="1">
      <c r="A411" s="8" t="str">
        <f>IFERROR(INDEX('بيانات الحركات'!A:A,MATCH(410,'بيانات الحركات'!$G:$G,0)),"")</f>
        <v/>
      </c>
      <c r="B411" s="5" t="str">
        <f>IFERROR(INDEX('بيانات الحركات'!B:B,MATCH(410,'بيانات الحركات'!$G:$G,0)),"")</f>
        <v/>
      </c>
      <c r="C411" s="3" t="str">
        <f>IFERROR(INDEX('بيانات الحركات'!C:C,MATCH(410,'بيانات الحركات'!$G:$G,0)),"")</f>
        <v/>
      </c>
      <c r="D411" s="3" t="str">
        <f>IFERROR(INDEX('بيانات الحركات'!D:D,MATCH(410,'بيانات الحركات'!$G:$G,0)),"")</f>
        <v/>
      </c>
      <c r="E411" s="21" t="str">
        <f>IF($B411="إنتاج طبخة","",IFERROR(INDEX('بيانات الحركات'!E:E,MATCH(410,'بيانات الحركات'!$G:$G,0)),""))</f>
        <v/>
      </c>
      <c r="F411" s="3" t="str">
        <f>IFERROR(INDEX('بيانات الحركات'!F:F,MATCH(410,'بيانات الحركات'!$G:$G,0)),"")</f>
        <v/>
      </c>
    </row>
    <row r="412" spans="1:6" ht="21.95" customHeight="1">
      <c r="A412" s="8" t="str">
        <f>IFERROR(INDEX('بيانات الحركات'!A:A,MATCH(411,'بيانات الحركات'!$G:$G,0)),"")</f>
        <v/>
      </c>
      <c r="B412" s="5" t="str">
        <f>IFERROR(INDEX('بيانات الحركات'!B:B,MATCH(411,'بيانات الحركات'!$G:$G,0)),"")</f>
        <v/>
      </c>
      <c r="C412" s="3" t="str">
        <f>IFERROR(INDEX('بيانات الحركات'!C:C,MATCH(411,'بيانات الحركات'!$G:$G,0)),"")</f>
        <v/>
      </c>
      <c r="D412" s="3" t="str">
        <f>IFERROR(INDEX('بيانات الحركات'!D:D,MATCH(411,'بيانات الحركات'!$G:$G,0)),"")</f>
        <v/>
      </c>
      <c r="E412" s="21" t="str">
        <f>IF($B412="إنتاج طبخة","",IFERROR(INDEX('بيانات الحركات'!E:E,MATCH(411,'بيانات الحركات'!$G:$G,0)),""))</f>
        <v/>
      </c>
      <c r="F412" s="3" t="str">
        <f>IFERROR(INDEX('بيانات الحركات'!F:F,MATCH(411,'بيانات الحركات'!$G:$G,0)),"")</f>
        <v/>
      </c>
    </row>
    <row r="413" spans="1:6" ht="21.95" customHeight="1">
      <c r="A413" s="8" t="str">
        <f>IFERROR(INDEX('بيانات الحركات'!A:A,MATCH(412,'بيانات الحركات'!$G:$G,0)),"")</f>
        <v/>
      </c>
      <c r="B413" s="5" t="str">
        <f>IFERROR(INDEX('بيانات الحركات'!B:B,MATCH(412,'بيانات الحركات'!$G:$G,0)),"")</f>
        <v/>
      </c>
      <c r="C413" s="3" t="str">
        <f>IFERROR(INDEX('بيانات الحركات'!C:C,MATCH(412,'بيانات الحركات'!$G:$G,0)),"")</f>
        <v/>
      </c>
      <c r="D413" s="3" t="str">
        <f>IFERROR(INDEX('بيانات الحركات'!D:D,MATCH(412,'بيانات الحركات'!$G:$G,0)),"")</f>
        <v/>
      </c>
      <c r="E413" s="21" t="str">
        <f>IF($B413="إنتاج طبخة","",IFERROR(INDEX('بيانات الحركات'!E:E,MATCH(412,'بيانات الحركات'!$G:$G,0)),""))</f>
        <v/>
      </c>
      <c r="F413" s="3" t="str">
        <f>IFERROR(INDEX('بيانات الحركات'!F:F,MATCH(412,'بيانات الحركات'!$G:$G,0)),"")</f>
        <v/>
      </c>
    </row>
    <row r="414" spans="1:6" ht="21.95" customHeight="1">
      <c r="A414" s="8" t="str">
        <f>IFERROR(INDEX('بيانات الحركات'!A:A,MATCH(413,'بيانات الحركات'!$G:$G,0)),"")</f>
        <v/>
      </c>
      <c r="B414" s="5" t="str">
        <f>IFERROR(INDEX('بيانات الحركات'!B:B,MATCH(413,'بيانات الحركات'!$G:$G,0)),"")</f>
        <v/>
      </c>
      <c r="C414" s="3" t="str">
        <f>IFERROR(INDEX('بيانات الحركات'!C:C,MATCH(413,'بيانات الحركات'!$G:$G,0)),"")</f>
        <v/>
      </c>
      <c r="D414" s="3" t="str">
        <f>IFERROR(INDEX('بيانات الحركات'!D:D,MATCH(413,'بيانات الحركات'!$G:$G,0)),"")</f>
        <v/>
      </c>
      <c r="E414" s="21" t="str">
        <f>IF($B414="إنتاج طبخة","",IFERROR(INDEX('بيانات الحركات'!E:E,MATCH(413,'بيانات الحركات'!$G:$G,0)),""))</f>
        <v/>
      </c>
      <c r="F414" s="3" t="str">
        <f>IFERROR(INDEX('بيانات الحركات'!F:F,MATCH(413,'بيانات الحركات'!$G:$G,0)),"")</f>
        <v/>
      </c>
    </row>
    <row r="415" spans="1:6" ht="21.95" customHeight="1">
      <c r="A415" s="8" t="str">
        <f>IFERROR(INDEX('بيانات الحركات'!A:A,MATCH(414,'بيانات الحركات'!$G:$G,0)),"")</f>
        <v/>
      </c>
      <c r="B415" s="5" t="str">
        <f>IFERROR(INDEX('بيانات الحركات'!B:B,MATCH(414,'بيانات الحركات'!$G:$G,0)),"")</f>
        <v/>
      </c>
      <c r="C415" s="3" t="str">
        <f>IFERROR(INDEX('بيانات الحركات'!C:C,MATCH(414,'بيانات الحركات'!$G:$G,0)),"")</f>
        <v/>
      </c>
      <c r="D415" s="3" t="str">
        <f>IFERROR(INDEX('بيانات الحركات'!D:D,MATCH(414,'بيانات الحركات'!$G:$G,0)),"")</f>
        <v/>
      </c>
      <c r="E415" s="21" t="str">
        <f>IF($B415="إنتاج طبخة","",IFERROR(INDEX('بيانات الحركات'!E:E,MATCH(414,'بيانات الحركات'!$G:$G,0)),""))</f>
        <v/>
      </c>
      <c r="F415" s="3" t="str">
        <f>IFERROR(INDEX('بيانات الحركات'!F:F,MATCH(414,'بيانات الحركات'!$G:$G,0)),"")</f>
        <v/>
      </c>
    </row>
    <row r="416" spans="1:6" ht="21.95" customHeight="1">
      <c r="A416" s="8" t="str">
        <f>IFERROR(INDEX('بيانات الحركات'!A:A,MATCH(415,'بيانات الحركات'!$G:$G,0)),"")</f>
        <v/>
      </c>
      <c r="B416" s="5" t="str">
        <f>IFERROR(INDEX('بيانات الحركات'!B:B,MATCH(415,'بيانات الحركات'!$G:$G,0)),"")</f>
        <v/>
      </c>
      <c r="C416" s="3" t="str">
        <f>IFERROR(INDEX('بيانات الحركات'!C:C,MATCH(415,'بيانات الحركات'!$G:$G,0)),"")</f>
        <v/>
      </c>
      <c r="D416" s="3" t="str">
        <f>IFERROR(INDEX('بيانات الحركات'!D:D,MATCH(415,'بيانات الحركات'!$G:$G,0)),"")</f>
        <v/>
      </c>
      <c r="E416" s="21" t="str">
        <f>IF($B416="إنتاج طبخة","",IFERROR(INDEX('بيانات الحركات'!E:E,MATCH(415,'بيانات الحركات'!$G:$G,0)),""))</f>
        <v/>
      </c>
      <c r="F416" s="3" t="str">
        <f>IFERROR(INDEX('بيانات الحركات'!F:F,MATCH(415,'بيانات الحركات'!$G:$G,0)),"")</f>
        <v/>
      </c>
    </row>
    <row r="417" spans="1:6" ht="21.95" customHeight="1">
      <c r="A417" s="8" t="str">
        <f>IFERROR(INDEX('بيانات الحركات'!A:A,MATCH(416,'بيانات الحركات'!$G:$G,0)),"")</f>
        <v/>
      </c>
      <c r="B417" s="5" t="str">
        <f>IFERROR(INDEX('بيانات الحركات'!B:B,MATCH(416,'بيانات الحركات'!$G:$G,0)),"")</f>
        <v/>
      </c>
      <c r="C417" s="3" t="str">
        <f>IFERROR(INDEX('بيانات الحركات'!C:C,MATCH(416,'بيانات الحركات'!$G:$G,0)),"")</f>
        <v/>
      </c>
      <c r="D417" s="3" t="str">
        <f>IFERROR(INDEX('بيانات الحركات'!D:D,MATCH(416,'بيانات الحركات'!$G:$G,0)),"")</f>
        <v/>
      </c>
      <c r="E417" s="21" t="str">
        <f>IF($B417="إنتاج طبخة","",IFERROR(INDEX('بيانات الحركات'!E:E,MATCH(416,'بيانات الحركات'!$G:$G,0)),""))</f>
        <v/>
      </c>
      <c r="F417" s="3" t="str">
        <f>IFERROR(INDEX('بيانات الحركات'!F:F,MATCH(416,'بيانات الحركات'!$G:$G,0)),"")</f>
        <v/>
      </c>
    </row>
    <row r="418" spans="1:6" ht="21.95" customHeight="1">
      <c r="A418" s="8" t="str">
        <f>IFERROR(INDEX('بيانات الحركات'!A:A,MATCH(417,'بيانات الحركات'!$G:$G,0)),"")</f>
        <v/>
      </c>
      <c r="B418" s="5" t="str">
        <f>IFERROR(INDEX('بيانات الحركات'!B:B,MATCH(417,'بيانات الحركات'!$G:$G,0)),"")</f>
        <v/>
      </c>
      <c r="C418" s="3" t="str">
        <f>IFERROR(INDEX('بيانات الحركات'!C:C,MATCH(417,'بيانات الحركات'!$G:$G,0)),"")</f>
        <v/>
      </c>
      <c r="D418" s="3" t="str">
        <f>IFERROR(INDEX('بيانات الحركات'!D:D,MATCH(417,'بيانات الحركات'!$G:$G,0)),"")</f>
        <v/>
      </c>
      <c r="E418" s="21" t="str">
        <f>IF($B418="إنتاج طبخة","",IFERROR(INDEX('بيانات الحركات'!E:E,MATCH(417,'بيانات الحركات'!$G:$G,0)),""))</f>
        <v/>
      </c>
      <c r="F418" s="3" t="str">
        <f>IFERROR(INDEX('بيانات الحركات'!F:F,MATCH(417,'بيانات الحركات'!$G:$G,0)),"")</f>
        <v/>
      </c>
    </row>
    <row r="419" spans="1:6" ht="21.95" customHeight="1">
      <c r="A419" s="8" t="str">
        <f>IFERROR(INDEX('بيانات الحركات'!A:A,MATCH(418,'بيانات الحركات'!$G:$G,0)),"")</f>
        <v/>
      </c>
      <c r="B419" s="5" t="str">
        <f>IFERROR(INDEX('بيانات الحركات'!B:B,MATCH(418,'بيانات الحركات'!$G:$G,0)),"")</f>
        <v/>
      </c>
      <c r="C419" s="3" t="str">
        <f>IFERROR(INDEX('بيانات الحركات'!C:C,MATCH(418,'بيانات الحركات'!$G:$G,0)),"")</f>
        <v/>
      </c>
      <c r="D419" s="3" t="str">
        <f>IFERROR(INDEX('بيانات الحركات'!D:D,MATCH(418,'بيانات الحركات'!$G:$G,0)),"")</f>
        <v/>
      </c>
      <c r="E419" s="21" t="str">
        <f>IF($B419="إنتاج طبخة","",IFERROR(INDEX('بيانات الحركات'!E:E,MATCH(418,'بيانات الحركات'!$G:$G,0)),""))</f>
        <v/>
      </c>
      <c r="F419" s="3" t="str">
        <f>IFERROR(INDEX('بيانات الحركات'!F:F,MATCH(418,'بيانات الحركات'!$G:$G,0)),"")</f>
        <v/>
      </c>
    </row>
    <row r="420" spans="1:6" ht="21.95" customHeight="1">
      <c r="A420" s="8" t="str">
        <f>IFERROR(INDEX('بيانات الحركات'!A:A,MATCH(419,'بيانات الحركات'!$G:$G,0)),"")</f>
        <v/>
      </c>
      <c r="B420" s="5" t="str">
        <f>IFERROR(INDEX('بيانات الحركات'!B:B,MATCH(419,'بيانات الحركات'!$G:$G,0)),"")</f>
        <v/>
      </c>
      <c r="C420" s="3" t="str">
        <f>IFERROR(INDEX('بيانات الحركات'!C:C,MATCH(419,'بيانات الحركات'!$G:$G,0)),"")</f>
        <v/>
      </c>
      <c r="D420" s="3" t="str">
        <f>IFERROR(INDEX('بيانات الحركات'!D:D,MATCH(419,'بيانات الحركات'!$G:$G,0)),"")</f>
        <v/>
      </c>
      <c r="E420" s="21" t="str">
        <f>IF($B420="إنتاج طبخة","",IFERROR(INDEX('بيانات الحركات'!E:E,MATCH(419,'بيانات الحركات'!$G:$G,0)),""))</f>
        <v/>
      </c>
      <c r="F420" s="3" t="str">
        <f>IFERROR(INDEX('بيانات الحركات'!F:F,MATCH(419,'بيانات الحركات'!$G:$G,0)),"")</f>
        <v/>
      </c>
    </row>
    <row r="421" spans="1:6" ht="21.95" customHeight="1">
      <c r="A421" s="8" t="str">
        <f>IFERROR(INDEX('بيانات الحركات'!A:A,MATCH(420,'بيانات الحركات'!$G:$G,0)),"")</f>
        <v/>
      </c>
      <c r="B421" s="5" t="str">
        <f>IFERROR(INDEX('بيانات الحركات'!B:B,MATCH(420,'بيانات الحركات'!$G:$G,0)),"")</f>
        <v/>
      </c>
      <c r="C421" s="3" t="str">
        <f>IFERROR(INDEX('بيانات الحركات'!C:C,MATCH(420,'بيانات الحركات'!$G:$G,0)),"")</f>
        <v/>
      </c>
      <c r="D421" s="3" t="str">
        <f>IFERROR(INDEX('بيانات الحركات'!D:D,MATCH(420,'بيانات الحركات'!$G:$G,0)),"")</f>
        <v/>
      </c>
      <c r="E421" s="21" t="str">
        <f>IF($B421="إنتاج طبخة","",IFERROR(INDEX('بيانات الحركات'!E:E,MATCH(420,'بيانات الحركات'!$G:$G,0)),""))</f>
        <v/>
      </c>
      <c r="F421" s="3" t="str">
        <f>IFERROR(INDEX('بيانات الحركات'!F:F,MATCH(420,'بيانات الحركات'!$G:$G,0)),"")</f>
        <v/>
      </c>
    </row>
    <row r="422" spans="1:6" ht="21.95" customHeight="1">
      <c r="A422" s="8" t="str">
        <f>IFERROR(INDEX('بيانات الحركات'!A:A,MATCH(421,'بيانات الحركات'!$G:$G,0)),"")</f>
        <v/>
      </c>
      <c r="B422" s="5" t="str">
        <f>IFERROR(INDEX('بيانات الحركات'!B:B,MATCH(421,'بيانات الحركات'!$G:$G,0)),"")</f>
        <v/>
      </c>
      <c r="C422" s="3" t="str">
        <f>IFERROR(INDEX('بيانات الحركات'!C:C,MATCH(421,'بيانات الحركات'!$G:$G,0)),"")</f>
        <v/>
      </c>
      <c r="D422" s="3" t="str">
        <f>IFERROR(INDEX('بيانات الحركات'!D:D,MATCH(421,'بيانات الحركات'!$G:$G,0)),"")</f>
        <v/>
      </c>
      <c r="E422" s="21" t="str">
        <f>IF($B422="إنتاج طبخة","",IFERROR(INDEX('بيانات الحركات'!E:E,MATCH(421,'بيانات الحركات'!$G:$G,0)),""))</f>
        <v/>
      </c>
      <c r="F422" s="3" t="str">
        <f>IFERROR(INDEX('بيانات الحركات'!F:F,MATCH(421,'بيانات الحركات'!$G:$G,0)),"")</f>
        <v/>
      </c>
    </row>
    <row r="423" spans="1:6" ht="21.95" customHeight="1">
      <c r="A423" s="8" t="str">
        <f>IFERROR(INDEX('بيانات الحركات'!A:A,MATCH(422,'بيانات الحركات'!$G:$G,0)),"")</f>
        <v/>
      </c>
      <c r="B423" s="5" t="str">
        <f>IFERROR(INDEX('بيانات الحركات'!B:B,MATCH(422,'بيانات الحركات'!$G:$G,0)),"")</f>
        <v/>
      </c>
      <c r="C423" s="3" t="str">
        <f>IFERROR(INDEX('بيانات الحركات'!C:C,MATCH(422,'بيانات الحركات'!$G:$G,0)),"")</f>
        <v/>
      </c>
      <c r="D423" s="3" t="str">
        <f>IFERROR(INDEX('بيانات الحركات'!D:D,MATCH(422,'بيانات الحركات'!$G:$G,0)),"")</f>
        <v/>
      </c>
      <c r="E423" s="21" t="str">
        <f>IF($B423="إنتاج طبخة","",IFERROR(INDEX('بيانات الحركات'!E:E,MATCH(422,'بيانات الحركات'!$G:$G,0)),""))</f>
        <v/>
      </c>
      <c r="F423" s="3" t="str">
        <f>IFERROR(INDEX('بيانات الحركات'!F:F,MATCH(422,'بيانات الحركات'!$G:$G,0)),"")</f>
        <v/>
      </c>
    </row>
    <row r="424" spans="1:6" ht="21.95" customHeight="1">
      <c r="A424" s="8" t="str">
        <f>IFERROR(INDEX('بيانات الحركات'!A:A,MATCH(423,'بيانات الحركات'!$G:$G,0)),"")</f>
        <v/>
      </c>
      <c r="B424" s="5" t="str">
        <f>IFERROR(INDEX('بيانات الحركات'!B:B,MATCH(423,'بيانات الحركات'!$G:$G,0)),"")</f>
        <v/>
      </c>
      <c r="C424" s="3" t="str">
        <f>IFERROR(INDEX('بيانات الحركات'!C:C,MATCH(423,'بيانات الحركات'!$G:$G,0)),"")</f>
        <v/>
      </c>
      <c r="D424" s="3" t="str">
        <f>IFERROR(INDEX('بيانات الحركات'!D:D,MATCH(423,'بيانات الحركات'!$G:$G,0)),"")</f>
        <v/>
      </c>
      <c r="E424" s="21" t="str">
        <f>IF($B424="إنتاج طبخة","",IFERROR(INDEX('بيانات الحركات'!E:E,MATCH(423,'بيانات الحركات'!$G:$G,0)),""))</f>
        <v/>
      </c>
      <c r="F424" s="3" t="str">
        <f>IFERROR(INDEX('بيانات الحركات'!F:F,MATCH(423,'بيانات الحركات'!$G:$G,0)),"")</f>
        <v/>
      </c>
    </row>
    <row r="425" spans="1:6" ht="21.95" customHeight="1">
      <c r="A425" s="8" t="str">
        <f>IFERROR(INDEX('بيانات الحركات'!A:A,MATCH(424,'بيانات الحركات'!$G:$G,0)),"")</f>
        <v/>
      </c>
      <c r="B425" s="5" t="str">
        <f>IFERROR(INDEX('بيانات الحركات'!B:B,MATCH(424,'بيانات الحركات'!$G:$G,0)),"")</f>
        <v/>
      </c>
      <c r="C425" s="3" t="str">
        <f>IFERROR(INDEX('بيانات الحركات'!C:C,MATCH(424,'بيانات الحركات'!$G:$G,0)),"")</f>
        <v/>
      </c>
      <c r="D425" s="3" t="str">
        <f>IFERROR(INDEX('بيانات الحركات'!D:D,MATCH(424,'بيانات الحركات'!$G:$G,0)),"")</f>
        <v/>
      </c>
      <c r="E425" s="21" t="str">
        <f>IF($B425="إنتاج طبخة","",IFERROR(INDEX('بيانات الحركات'!E:E,MATCH(424,'بيانات الحركات'!$G:$G,0)),""))</f>
        <v/>
      </c>
      <c r="F425" s="3" t="str">
        <f>IFERROR(INDEX('بيانات الحركات'!F:F,MATCH(424,'بيانات الحركات'!$G:$G,0)),"")</f>
        <v/>
      </c>
    </row>
    <row r="426" spans="1:6" ht="21.95" customHeight="1">
      <c r="A426" s="8" t="str">
        <f>IFERROR(INDEX('بيانات الحركات'!A:A,MATCH(425,'بيانات الحركات'!$G:$G,0)),"")</f>
        <v/>
      </c>
      <c r="B426" s="5" t="str">
        <f>IFERROR(INDEX('بيانات الحركات'!B:B,MATCH(425,'بيانات الحركات'!$G:$G,0)),"")</f>
        <v/>
      </c>
      <c r="C426" s="3" t="str">
        <f>IFERROR(INDEX('بيانات الحركات'!C:C,MATCH(425,'بيانات الحركات'!$G:$G,0)),"")</f>
        <v/>
      </c>
      <c r="D426" s="3" t="str">
        <f>IFERROR(INDEX('بيانات الحركات'!D:D,MATCH(425,'بيانات الحركات'!$G:$G,0)),"")</f>
        <v/>
      </c>
      <c r="E426" s="21" t="str">
        <f>IF($B426="إنتاج طبخة","",IFERROR(INDEX('بيانات الحركات'!E:E,MATCH(425,'بيانات الحركات'!$G:$G,0)),""))</f>
        <v/>
      </c>
      <c r="F426" s="3" t="str">
        <f>IFERROR(INDEX('بيانات الحركات'!F:F,MATCH(425,'بيانات الحركات'!$G:$G,0)),"")</f>
        <v/>
      </c>
    </row>
    <row r="427" spans="1:6" ht="21.95" customHeight="1">
      <c r="A427" s="8" t="str">
        <f>IFERROR(INDEX('بيانات الحركات'!A:A,MATCH(426,'بيانات الحركات'!$G:$G,0)),"")</f>
        <v/>
      </c>
      <c r="B427" s="5" t="str">
        <f>IFERROR(INDEX('بيانات الحركات'!B:B,MATCH(426,'بيانات الحركات'!$G:$G,0)),"")</f>
        <v/>
      </c>
      <c r="C427" s="3" t="str">
        <f>IFERROR(INDEX('بيانات الحركات'!C:C,MATCH(426,'بيانات الحركات'!$G:$G,0)),"")</f>
        <v/>
      </c>
      <c r="D427" s="3" t="str">
        <f>IFERROR(INDEX('بيانات الحركات'!D:D,MATCH(426,'بيانات الحركات'!$G:$G,0)),"")</f>
        <v/>
      </c>
      <c r="E427" s="21" t="str">
        <f>IF($B427="إنتاج طبخة","",IFERROR(INDEX('بيانات الحركات'!E:E,MATCH(426,'بيانات الحركات'!$G:$G,0)),""))</f>
        <v/>
      </c>
      <c r="F427" s="3" t="str">
        <f>IFERROR(INDEX('بيانات الحركات'!F:F,MATCH(426,'بيانات الحركات'!$G:$G,0)),"")</f>
        <v/>
      </c>
    </row>
    <row r="428" spans="1:6" ht="21.95" customHeight="1">
      <c r="A428" s="8" t="str">
        <f>IFERROR(INDEX('بيانات الحركات'!A:A,MATCH(427,'بيانات الحركات'!$G:$G,0)),"")</f>
        <v/>
      </c>
      <c r="B428" s="5" t="str">
        <f>IFERROR(INDEX('بيانات الحركات'!B:B,MATCH(427,'بيانات الحركات'!$G:$G,0)),"")</f>
        <v/>
      </c>
      <c r="C428" s="3" t="str">
        <f>IFERROR(INDEX('بيانات الحركات'!C:C,MATCH(427,'بيانات الحركات'!$G:$G,0)),"")</f>
        <v/>
      </c>
      <c r="D428" s="3" t="str">
        <f>IFERROR(INDEX('بيانات الحركات'!D:D,MATCH(427,'بيانات الحركات'!$G:$G,0)),"")</f>
        <v/>
      </c>
      <c r="E428" s="21" t="str">
        <f>IF($B428="إنتاج طبخة","",IFERROR(INDEX('بيانات الحركات'!E:E,MATCH(427,'بيانات الحركات'!$G:$G,0)),""))</f>
        <v/>
      </c>
      <c r="F428" s="3" t="str">
        <f>IFERROR(INDEX('بيانات الحركات'!F:F,MATCH(427,'بيانات الحركات'!$G:$G,0)),"")</f>
        <v/>
      </c>
    </row>
    <row r="429" spans="1:6" ht="21.95" customHeight="1">
      <c r="A429" s="8" t="str">
        <f>IFERROR(INDEX('بيانات الحركات'!A:A,MATCH(428,'بيانات الحركات'!$G:$G,0)),"")</f>
        <v/>
      </c>
      <c r="B429" s="5" t="str">
        <f>IFERROR(INDEX('بيانات الحركات'!B:B,MATCH(428,'بيانات الحركات'!$G:$G,0)),"")</f>
        <v/>
      </c>
      <c r="C429" s="3" t="str">
        <f>IFERROR(INDEX('بيانات الحركات'!C:C,MATCH(428,'بيانات الحركات'!$G:$G,0)),"")</f>
        <v/>
      </c>
      <c r="D429" s="3" t="str">
        <f>IFERROR(INDEX('بيانات الحركات'!D:D,MATCH(428,'بيانات الحركات'!$G:$G,0)),"")</f>
        <v/>
      </c>
      <c r="E429" s="21" t="str">
        <f>IF($B429="إنتاج طبخة","",IFERROR(INDEX('بيانات الحركات'!E:E,MATCH(428,'بيانات الحركات'!$G:$G,0)),""))</f>
        <v/>
      </c>
      <c r="F429" s="3" t="str">
        <f>IFERROR(INDEX('بيانات الحركات'!F:F,MATCH(428,'بيانات الحركات'!$G:$G,0)),"")</f>
        <v/>
      </c>
    </row>
    <row r="430" spans="1:6" ht="21.95" customHeight="1">
      <c r="A430" s="8" t="str">
        <f>IFERROR(INDEX('بيانات الحركات'!A:A,MATCH(429,'بيانات الحركات'!$G:$G,0)),"")</f>
        <v/>
      </c>
      <c r="B430" s="5" t="str">
        <f>IFERROR(INDEX('بيانات الحركات'!B:B,MATCH(429,'بيانات الحركات'!$G:$G,0)),"")</f>
        <v/>
      </c>
      <c r="C430" s="3" t="str">
        <f>IFERROR(INDEX('بيانات الحركات'!C:C,MATCH(429,'بيانات الحركات'!$G:$G,0)),"")</f>
        <v/>
      </c>
      <c r="D430" s="3" t="str">
        <f>IFERROR(INDEX('بيانات الحركات'!D:D,MATCH(429,'بيانات الحركات'!$G:$G,0)),"")</f>
        <v/>
      </c>
      <c r="E430" s="21" t="str">
        <f>IF($B430="إنتاج طبخة","",IFERROR(INDEX('بيانات الحركات'!E:E,MATCH(429,'بيانات الحركات'!$G:$G,0)),""))</f>
        <v/>
      </c>
      <c r="F430" s="3" t="str">
        <f>IFERROR(INDEX('بيانات الحركات'!F:F,MATCH(429,'بيانات الحركات'!$G:$G,0)),"")</f>
        <v/>
      </c>
    </row>
    <row r="431" spans="1:6" ht="21.95" customHeight="1">
      <c r="A431" s="8" t="str">
        <f>IFERROR(INDEX('بيانات الحركات'!A:A,MATCH(430,'بيانات الحركات'!$G:$G,0)),"")</f>
        <v/>
      </c>
      <c r="B431" s="5" t="str">
        <f>IFERROR(INDEX('بيانات الحركات'!B:B,MATCH(430,'بيانات الحركات'!$G:$G,0)),"")</f>
        <v/>
      </c>
      <c r="C431" s="3" t="str">
        <f>IFERROR(INDEX('بيانات الحركات'!C:C,MATCH(430,'بيانات الحركات'!$G:$G,0)),"")</f>
        <v/>
      </c>
      <c r="D431" s="3" t="str">
        <f>IFERROR(INDEX('بيانات الحركات'!D:D,MATCH(430,'بيانات الحركات'!$G:$G,0)),"")</f>
        <v/>
      </c>
      <c r="E431" s="21" t="str">
        <f>IF($B431="إنتاج طبخة","",IFERROR(INDEX('بيانات الحركات'!E:E,MATCH(430,'بيانات الحركات'!$G:$G,0)),""))</f>
        <v/>
      </c>
      <c r="F431" s="3" t="str">
        <f>IFERROR(INDEX('بيانات الحركات'!F:F,MATCH(430,'بيانات الحركات'!$G:$G,0)),"")</f>
        <v/>
      </c>
    </row>
    <row r="432" spans="1:6" ht="21.95" customHeight="1">
      <c r="A432" s="8" t="str">
        <f>IFERROR(INDEX('بيانات الحركات'!A:A,MATCH(431,'بيانات الحركات'!$G:$G,0)),"")</f>
        <v/>
      </c>
      <c r="B432" s="5" t="str">
        <f>IFERROR(INDEX('بيانات الحركات'!B:B,MATCH(431,'بيانات الحركات'!$G:$G,0)),"")</f>
        <v/>
      </c>
      <c r="C432" s="3" t="str">
        <f>IFERROR(INDEX('بيانات الحركات'!C:C,MATCH(431,'بيانات الحركات'!$G:$G,0)),"")</f>
        <v/>
      </c>
      <c r="D432" s="3" t="str">
        <f>IFERROR(INDEX('بيانات الحركات'!D:D,MATCH(431,'بيانات الحركات'!$G:$G,0)),"")</f>
        <v/>
      </c>
      <c r="E432" s="21" t="str">
        <f>IF($B432="إنتاج طبخة","",IFERROR(INDEX('بيانات الحركات'!E:E,MATCH(431,'بيانات الحركات'!$G:$G,0)),""))</f>
        <v/>
      </c>
      <c r="F432" s="3" t="str">
        <f>IFERROR(INDEX('بيانات الحركات'!F:F,MATCH(431,'بيانات الحركات'!$G:$G,0)),"")</f>
        <v/>
      </c>
    </row>
    <row r="433" spans="1:6" ht="21.95" customHeight="1">
      <c r="A433" s="8" t="str">
        <f>IFERROR(INDEX('بيانات الحركات'!A:A,MATCH(432,'بيانات الحركات'!$G:$G,0)),"")</f>
        <v/>
      </c>
      <c r="B433" s="5" t="str">
        <f>IFERROR(INDEX('بيانات الحركات'!B:B,MATCH(432,'بيانات الحركات'!$G:$G,0)),"")</f>
        <v/>
      </c>
      <c r="C433" s="3" t="str">
        <f>IFERROR(INDEX('بيانات الحركات'!C:C,MATCH(432,'بيانات الحركات'!$G:$G,0)),"")</f>
        <v/>
      </c>
      <c r="D433" s="3" t="str">
        <f>IFERROR(INDEX('بيانات الحركات'!D:D,MATCH(432,'بيانات الحركات'!$G:$G,0)),"")</f>
        <v/>
      </c>
      <c r="E433" s="21" t="str">
        <f>IF($B433="إنتاج طبخة","",IFERROR(INDEX('بيانات الحركات'!E:E,MATCH(432,'بيانات الحركات'!$G:$G,0)),""))</f>
        <v/>
      </c>
      <c r="F433" s="3" t="str">
        <f>IFERROR(INDEX('بيانات الحركات'!F:F,MATCH(432,'بيانات الحركات'!$G:$G,0)),"")</f>
        <v/>
      </c>
    </row>
    <row r="434" spans="1:6" ht="21.95" customHeight="1">
      <c r="A434" s="8" t="str">
        <f>IFERROR(INDEX('بيانات الحركات'!A:A,MATCH(433,'بيانات الحركات'!$G:$G,0)),"")</f>
        <v/>
      </c>
      <c r="B434" s="5" t="str">
        <f>IFERROR(INDEX('بيانات الحركات'!B:B,MATCH(433,'بيانات الحركات'!$G:$G,0)),"")</f>
        <v/>
      </c>
      <c r="C434" s="3" t="str">
        <f>IFERROR(INDEX('بيانات الحركات'!C:C,MATCH(433,'بيانات الحركات'!$G:$G,0)),"")</f>
        <v/>
      </c>
      <c r="D434" s="3" t="str">
        <f>IFERROR(INDEX('بيانات الحركات'!D:D,MATCH(433,'بيانات الحركات'!$G:$G,0)),"")</f>
        <v/>
      </c>
      <c r="E434" s="21" t="str">
        <f>IF($B434="إنتاج طبخة","",IFERROR(INDEX('بيانات الحركات'!E:E,MATCH(433,'بيانات الحركات'!$G:$G,0)),""))</f>
        <v/>
      </c>
      <c r="F434" s="3" t="str">
        <f>IFERROR(INDEX('بيانات الحركات'!F:F,MATCH(433,'بيانات الحركات'!$G:$G,0)),"")</f>
        <v/>
      </c>
    </row>
    <row r="435" spans="1:6" ht="21.95" customHeight="1">
      <c r="A435" s="8" t="str">
        <f>IFERROR(INDEX('بيانات الحركات'!A:A,MATCH(434,'بيانات الحركات'!$G:$G,0)),"")</f>
        <v/>
      </c>
      <c r="B435" s="5" t="str">
        <f>IFERROR(INDEX('بيانات الحركات'!B:B,MATCH(434,'بيانات الحركات'!$G:$G,0)),"")</f>
        <v/>
      </c>
      <c r="C435" s="3" t="str">
        <f>IFERROR(INDEX('بيانات الحركات'!C:C,MATCH(434,'بيانات الحركات'!$G:$G,0)),"")</f>
        <v/>
      </c>
      <c r="D435" s="3" t="str">
        <f>IFERROR(INDEX('بيانات الحركات'!D:D,MATCH(434,'بيانات الحركات'!$G:$G,0)),"")</f>
        <v/>
      </c>
      <c r="E435" s="21" t="str">
        <f>IF($B435="إنتاج طبخة","",IFERROR(INDEX('بيانات الحركات'!E:E,MATCH(434,'بيانات الحركات'!$G:$G,0)),""))</f>
        <v/>
      </c>
      <c r="F435" s="3" t="str">
        <f>IFERROR(INDEX('بيانات الحركات'!F:F,MATCH(434,'بيانات الحركات'!$G:$G,0)),"")</f>
        <v/>
      </c>
    </row>
    <row r="436" spans="1:6" ht="21.95" customHeight="1">
      <c r="A436" s="8" t="str">
        <f>IFERROR(INDEX('بيانات الحركات'!A:A,MATCH(435,'بيانات الحركات'!$G:$G,0)),"")</f>
        <v/>
      </c>
      <c r="B436" s="5" t="str">
        <f>IFERROR(INDEX('بيانات الحركات'!B:B,MATCH(435,'بيانات الحركات'!$G:$G,0)),"")</f>
        <v/>
      </c>
      <c r="C436" s="3" t="str">
        <f>IFERROR(INDEX('بيانات الحركات'!C:C,MATCH(435,'بيانات الحركات'!$G:$G,0)),"")</f>
        <v/>
      </c>
      <c r="D436" s="3" t="str">
        <f>IFERROR(INDEX('بيانات الحركات'!D:D,MATCH(435,'بيانات الحركات'!$G:$G,0)),"")</f>
        <v/>
      </c>
      <c r="E436" s="21" t="str">
        <f>IF($B436="إنتاج طبخة","",IFERROR(INDEX('بيانات الحركات'!E:E,MATCH(435,'بيانات الحركات'!$G:$G,0)),""))</f>
        <v/>
      </c>
      <c r="F436" s="3" t="str">
        <f>IFERROR(INDEX('بيانات الحركات'!F:F,MATCH(435,'بيانات الحركات'!$G:$G,0)),"")</f>
        <v/>
      </c>
    </row>
    <row r="437" spans="1:6" ht="21.95" customHeight="1">
      <c r="A437" s="8" t="str">
        <f>IFERROR(INDEX('بيانات الحركات'!A:A,MATCH(436,'بيانات الحركات'!$G:$G,0)),"")</f>
        <v/>
      </c>
      <c r="B437" s="5" t="str">
        <f>IFERROR(INDEX('بيانات الحركات'!B:B,MATCH(436,'بيانات الحركات'!$G:$G,0)),"")</f>
        <v/>
      </c>
      <c r="C437" s="3" t="str">
        <f>IFERROR(INDEX('بيانات الحركات'!C:C,MATCH(436,'بيانات الحركات'!$G:$G,0)),"")</f>
        <v/>
      </c>
      <c r="D437" s="3" t="str">
        <f>IFERROR(INDEX('بيانات الحركات'!D:D,MATCH(436,'بيانات الحركات'!$G:$G,0)),"")</f>
        <v/>
      </c>
      <c r="E437" s="21" t="str">
        <f>IF($B437="إنتاج طبخة","",IFERROR(INDEX('بيانات الحركات'!E:E,MATCH(436,'بيانات الحركات'!$G:$G,0)),""))</f>
        <v/>
      </c>
      <c r="F437" s="3" t="str">
        <f>IFERROR(INDEX('بيانات الحركات'!F:F,MATCH(436,'بيانات الحركات'!$G:$G,0)),"")</f>
        <v/>
      </c>
    </row>
    <row r="438" spans="1:6" ht="21.95" customHeight="1">
      <c r="A438" s="8" t="str">
        <f>IFERROR(INDEX('بيانات الحركات'!A:A,MATCH(437,'بيانات الحركات'!$G:$G,0)),"")</f>
        <v/>
      </c>
      <c r="B438" s="5" t="str">
        <f>IFERROR(INDEX('بيانات الحركات'!B:B,MATCH(437,'بيانات الحركات'!$G:$G,0)),"")</f>
        <v/>
      </c>
      <c r="C438" s="3" t="str">
        <f>IFERROR(INDEX('بيانات الحركات'!C:C,MATCH(437,'بيانات الحركات'!$G:$G,0)),"")</f>
        <v/>
      </c>
      <c r="D438" s="3" t="str">
        <f>IFERROR(INDEX('بيانات الحركات'!D:D,MATCH(437,'بيانات الحركات'!$G:$G,0)),"")</f>
        <v/>
      </c>
      <c r="E438" s="21" t="str">
        <f>IF($B438="إنتاج طبخة","",IFERROR(INDEX('بيانات الحركات'!E:E,MATCH(437,'بيانات الحركات'!$G:$G,0)),""))</f>
        <v/>
      </c>
      <c r="F438" s="3" t="str">
        <f>IFERROR(INDEX('بيانات الحركات'!F:F,MATCH(437,'بيانات الحركات'!$G:$G,0)),"")</f>
        <v/>
      </c>
    </row>
    <row r="439" spans="1:6" ht="21.95" customHeight="1">
      <c r="A439" s="8" t="str">
        <f>IFERROR(INDEX('بيانات الحركات'!A:A,MATCH(438,'بيانات الحركات'!$G:$G,0)),"")</f>
        <v/>
      </c>
      <c r="B439" s="5" t="str">
        <f>IFERROR(INDEX('بيانات الحركات'!B:B,MATCH(438,'بيانات الحركات'!$G:$G,0)),"")</f>
        <v/>
      </c>
      <c r="C439" s="3" t="str">
        <f>IFERROR(INDEX('بيانات الحركات'!C:C,MATCH(438,'بيانات الحركات'!$G:$G,0)),"")</f>
        <v/>
      </c>
      <c r="D439" s="3" t="str">
        <f>IFERROR(INDEX('بيانات الحركات'!D:D,MATCH(438,'بيانات الحركات'!$G:$G,0)),"")</f>
        <v/>
      </c>
      <c r="E439" s="21" t="str">
        <f>IF($B439="إنتاج طبخة","",IFERROR(INDEX('بيانات الحركات'!E:E,MATCH(438,'بيانات الحركات'!$G:$G,0)),""))</f>
        <v/>
      </c>
      <c r="F439" s="3" t="str">
        <f>IFERROR(INDEX('بيانات الحركات'!F:F,MATCH(438,'بيانات الحركات'!$G:$G,0)),"")</f>
        <v/>
      </c>
    </row>
    <row r="440" spans="1:6" ht="21.95" customHeight="1">
      <c r="A440" s="8" t="str">
        <f>IFERROR(INDEX('بيانات الحركات'!A:A,MATCH(439,'بيانات الحركات'!$G:$G,0)),"")</f>
        <v/>
      </c>
      <c r="B440" s="5" t="str">
        <f>IFERROR(INDEX('بيانات الحركات'!B:B,MATCH(439,'بيانات الحركات'!$G:$G,0)),"")</f>
        <v/>
      </c>
      <c r="C440" s="3" t="str">
        <f>IFERROR(INDEX('بيانات الحركات'!C:C,MATCH(439,'بيانات الحركات'!$G:$G,0)),"")</f>
        <v/>
      </c>
      <c r="D440" s="3" t="str">
        <f>IFERROR(INDEX('بيانات الحركات'!D:D,MATCH(439,'بيانات الحركات'!$G:$G,0)),"")</f>
        <v/>
      </c>
      <c r="E440" s="21" t="str">
        <f>IF($B440="إنتاج طبخة","",IFERROR(INDEX('بيانات الحركات'!E:E,MATCH(439,'بيانات الحركات'!$G:$G,0)),""))</f>
        <v/>
      </c>
      <c r="F440" s="3" t="str">
        <f>IFERROR(INDEX('بيانات الحركات'!F:F,MATCH(439,'بيانات الحركات'!$G:$G,0)),"")</f>
        <v/>
      </c>
    </row>
    <row r="441" spans="1:6" ht="21.95" customHeight="1">
      <c r="A441" s="8" t="str">
        <f>IFERROR(INDEX('بيانات الحركات'!A:A,MATCH(440,'بيانات الحركات'!$G:$G,0)),"")</f>
        <v/>
      </c>
      <c r="B441" s="5" t="str">
        <f>IFERROR(INDEX('بيانات الحركات'!B:B,MATCH(440,'بيانات الحركات'!$G:$G,0)),"")</f>
        <v/>
      </c>
      <c r="C441" s="3" t="str">
        <f>IFERROR(INDEX('بيانات الحركات'!C:C,MATCH(440,'بيانات الحركات'!$G:$G,0)),"")</f>
        <v/>
      </c>
      <c r="D441" s="3" t="str">
        <f>IFERROR(INDEX('بيانات الحركات'!D:D,MATCH(440,'بيانات الحركات'!$G:$G,0)),"")</f>
        <v/>
      </c>
      <c r="E441" s="21" t="str">
        <f>IF($B441="إنتاج طبخة","",IFERROR(INDEX('بيانات الحركات'!E:E,MATCH(440,'بيانات الحركات'!$G:$G,0)),""))</f>
        <v/>
      </c>
      <c r="F441" s="3" t="str">
        <f>IFERROR(INDEX('بيانات الحركات'!F:F,MATCH(440,'بيانات الحركات'!$G:$G,0)),"")</f>
        <v/>
      </c>
    </row>
    <row r="442" spans="1:6" ht="21.95" customHeight="1">
      <c r="A442" s="8" t="str">
        <f>IFERROR(INDEX('بيانات الحركات'!A:A,MATCH(441,'بيانات الحركات'!$G:$G,0)),"")</f>
        <v/>
      </c>
      <c r="B442" s="5" t="str">
        <f>IFERROR(INDEX('بيانات الحركات'!B:B,MATCH(441,'بيانات الحركات'!$G:$G,0)),"")</f>
        <v/>
      </c>
      <c r="C442" s="3" t="str">
        <f>IFERROR(INDEX('بيانات الحركات'!C:C,MATCH(441,'بيانات الحركات'!$G:$G,0)),"")</f>
        <v/>
      </c>
      <c r="D442" s="3" t="str">
        <f>IFERROR(INDEX('بيانات الحركات'!D:D,MATCH(441,'بيانات الحركات'!$G:$G,0)),"")</f>
        <v/>
      </c>
      <c r="E442" s="21" t="str">
        <f>IF($B442="إنتاج طبخة","",IFERROR(INDEX('بيانات الحركات'!E:E,MATCH(441,'بيانات الحركات'!$G:$G,0)),""))</f>
        <v/>
      </c>
      <c r="F442" s="3" t="str">
        <f>IFERROR(INDEX('بيانات الحركات'!F:F,MATCH(441,'بيانات الحركات'!$G:$G,0)),"")</f>
        <v/>
      </c>
    </row>
    <row r="443" spans="1:6" ht="21.95" customHeight="1">
      <c r="A443" s="8" t="str">
        <f>IFERROR(INDEX('بيانات الحركات'!A:A,MATCH(442,'بيانات الحركات'!$G:$G,0)),"")</f>
        <v/>
      </c>
      <c r="B443" s="5" t="str">
        <f>IFERROR(INDEX('بيانات الحركات'!B:B,MATCH(442,'بيانات الحركات'!$G:$G,0)),"")</f>
        <v/>
      </c>
      <c r="C443" s="3" t="str">
        <f>IFERROR(INDEX('بيانات الحركات'!C:C,MATCH(442,'بيانات الحركات'!$G:$G,0)),"")</f>
        <v/>
      </c>
      <c r="D443" s="3" t="str">
        <f>IFERROR(INDEX('بيانات الحركات'!D:D,MATCH(442,'بيانات الحركات'!$G:$G,0)),"")</f>
        <v/>
      </c>
      <c r="E443" s="21" t="str">
        <f>IF($B443="إنتاج طبخة","",IFERROR(INDEX('بيانات الحركات'!E:E,MATCH(442,'بيانات الحركات'!$G:$G,0)),""))</f>
        <v/>
      </c>
      <c r="F443" s="3" t="str">
        <f>IFERROR(INDEX('بيانات الحركات'!F:F,MATCH(442,'بيانات الحركات'!$G:$G,0)),"")</f>
        <v/>
      </c>
    </row>
    <row r="444" spans="1:6" ht="21.95" customHeight="1">
      <c r="A444" s="8" t="str">
        <f>IFERROR(INDEX('بيانات الحركات'!A:A,MATCH(443,'بيانات الحركات'!$G:$G,0)),"")</f>
        <v/>
      </c>
      <c r="B444" s="5" t="str">
        <f>IFERROR(INDEX('بيانات الحركات'!B:B,MATCH(443,'بيانات الحركات'!$G:$G,0)),"")</f>
        <v/>
      </c>
      <c r="C444" s="3" t="str">
        <f>IFERROR(INDEX('بيانات الحركات'!C:C,MATCH(443,'بيانات الحركات'!$G:$G,0)),"")</f>
        <v/>
      </c>
      <c r="D444" s="3" t="str">
        <f>IFERROR(INDEX('بيانات الحركات'!D:D,MATCH(443,'بيانات الحركات'!$G:$G,0)),"")</f>
        <v/>
      </c>
      <c r="E444" s="21" t="str">
        <f>IF($B444="إنتاج طبخة","",IFERROR(INDEX('بيانات الحركات'!E:E,MATCH(443,'بيانات الحركات'!$G:$G,0)),""))</f>
        <v/>
      </c>
      <c r="F444" s="3" t="str">
        <f>IFERROR(INDEX('بيانات الحركات'!F:F,MATCH(443,'بيانات الحركات'!$G:$G,0)),"")</f>
        <v/>
      </c>
    </row>
    <row r="445" spans="1:6" ht="21.95" customHeight="1">
      <c r="A445" s="8" t="str">
        <f>IFERROR(INDEX('بيانات الحركات'!A:A,MATCH(444,'بيانات الحركات'!$G:$G,0)),"")</f>
        <v/>
      </c>
      <c r="B445" s="5" t="str">
        <f>IFERROR(INDEX('بيانات الحركات'!B:B,MATCH(444,'بيانات الحركات'!$G:$G,0)),"")</f>
        <v/>
      </c>
      <c r="C445" s="3" t="str">
        <f>IFERROR(INDEX('بيانات الحركات'!C:C,MATCH(444,'بيانات الحركات'!$G:$G,0)),"")</f>
        <v/>
      </c>
      <c r="D445" s="3" t="str">
        <f>IFERROR(INDEX('بيانات الحركات'!D:D,MATCH(444,'بيانات الحركات'!$G:$G,0)),"")</f>
        <v/>
      </c>
      <c r="E445" s="21" t="str">
        <f>IF($B445="إنتاج طبخة","",IFERROR(INDEX('بيانات الحركات'!E:E,MATCH(444,'بيانات الحركات'!$G:$G,0)),""))</f>
        <v/>
      </c>
      <c r="F445" s="3" t="str">
        <f>IFERROR(INDEX('بيانات الحركات'!F:F,MATCH(444,'بيانات الحركات'!$G:$G,0)),"")</f>
        <v/>
      </c>
    </row>
    <row r="446" spans="1:6" ht="21.95" customHeight="1">
      <c r="A446" s="8" t="str">
        <f>IFERROR(INDEX('بيانات الحركات'!A:A,MATCH(445,'بيانات الحركات'!$G:$G,0)),"")</f>
        <v/>
      </c>
      <c r="B446" s="5" t="str">
        <f>IFERROR(INDEX('بيانات الحركات'!B:B,MATCH(445,'بيانات الحركات'!$G:$G,0)),"")</f>
        <v/>
      </c>
      <c r="C446" s="3" t="str">
        <f>IFERROR(INDEX('بيانات الحركات'!C:C,MATCH(445,'بيانات الحركات'!$G:$G,0)),"")</f>
        <v/>
      </c>
      <c r="D446" s="3" t="str">
        <f>IFERROR(INDEX('بيانات الحركات'!D:D,MATCH(445,'بيانات الحركات'!$G:$G,0)),"")</f>
        <v/>
      </c>
      <c r="E446" s="21" t="str">
        <f>IF($B446="إنتاج طبخة","",IFERROR(INDEX('بيانات الحركات'!E:E,MATCH(445,'بيانات الحركات'!$G:$G,0)),""))</f>
        <v/>
      </c>
      <c r="F446" s="3" t="str">
        <f>IFERROR(INDEX('بيانات الحركات'!F:F,MATCH(445,'بيانات الحركات'!$G:$G,0)),"")</f>
        <v/>
      </c>
    </row>
    <row r="447" spans="1:6" ht="21.95" customHeight="1">
      <c r="A447" s="8" t="str">
        <f>IFERROR(INDEX('بيانات الحركات'!A:A,MATCH(446,'بيانات الحركات'!$G:$G,0)),"")</f>
        <v/>
      </c>
      <c r="B447" s="5" t="str">
        <f>IFERROR(INDEX('بيانات الحركات'!B:B,MATCH(446,'بيانات الحركات'!$G:$G,0)),"")</f>
        <v/>
      </c>
      <c r="C447" s="3" t="str">
        <f>IFERROR(INDEX('بيانات الحركات'!C:C,MATCH(446,'بيانات الحركات'!$G:$G,0)),"")</f>
        <v/>
      </c>
      <c r="D447" s="3" t="str">
        <f>IFERROR(INDEX('بيانات الحركات'!D:D,MATCH(446,'بيانات الحركات'!$G:$G,0)),"")</f>
        <v/>
      </c>
      <c r="E447" s="21" t="str">
        <f>IF($B447="إنتاج طبخة","",IFERROR(INDEX('بيانات الحركات'!E:E,MATCH(446,'بيانات الحركات'!$G:$G,0)),""))</f>
        <v/>
      </c>
      <c r="F447" s="3" t="str">
        <f>IFERROR(INDEX('بيانات الحركات'!F:F,MATCH(446,'بيانات الحركات'!$G:$G,0)),"")</f>
        <v/>
      </c>
    </row>
    <row r="448" spans="1:6" ht="21.95" customHeight="1">
      <c r="A448" s="8" t="str">
        <f>IFERROR(INDEX('بيانات الحركات'!A:A,MATCH(447,'بيانات الحركات'!$G:$G,0)),"")</f>
        <v/>
      </c>
      <c r="B448" s="5" t="str">
        <f>IFERROR(INDEX('بيانات الحركات'!B:B,MATCH(447,'بيانات الحركات'!$G:$G,0)),"")</f>
        <v/>
      </c>
      <c r="C448" s="3" t="str">
        <f>IFERROR(INDEX('بيانات الحركات'!C:C,MATCH(447,'بيانات الحركات'!$G:$G,0)),"")</f>
        <v/>
      </c>
      <c r="D448" s="3" t="str">
        <f>IFERROR(INDEX('بيانات الحركات'!D:D,MATCH(447,'بيانات الحركات'!$G:$G,0)),"")</f>
        <v/>
      </c>
      <c r="E448" s="21" t="str">
        <f>IF($B448="إنتاج طبخة","",IFERROR(INDEX('بيانات الحركات'!E:E,MATCH(447,'بيانات الحركات'!$G:$G,0)),""))</f>
        <v/>
      </c>
      <c r="F448" s="3" t="str">
        <f>IFERROR(INDEX('بيانات الحركات'!F:F,MATCH(447,'بيانات الحركات'!$G:$G,0)),"")</f>
        <v/>
      </c>
    </row>
    <row r="449" spans="1:6" ht="21.95" customHeight="1">
      <c r="A449" s="8" t="str">
        <f>IFERROR(INDEX('بيانات الحركات'!A:A,MATCH(448,'بيانات الحركات'!$G:$G,0)),"")</f>
        <v/>
      </c>
      <c r="B449" s="5" t="str">
        <f>IFERROR(INDEX('بيانات الحركات'!B:B,MATCH(448,'بيانات الحركات'!$G:$G,0)),"")</f>
        <v/>
      </c>
      <c r="C449" s="3" t="str">
        <f>IFERROR(INDEX('بيانات الحركات'!C:C,MATCH(448,'بيانات الحركات'!$G:$G,0)),"")</f>
        <v/>
      </c>
      <c r="D449" s="3" t="str">
        <f>IFERROR(INDEX('بيانات الحركات'!D:D,MATCH(448,'بيانات الحركات'!$G:$G,0)),"")</f>
        <v/>
      </c>
      <c r="E449" s="21" t="str">
        <f>IF($B449="إنتاج طبخة","",IFERROR(INDEX('بيانات الحركات'!E:E,MATCH(448,'بيانات الحركات'!$G:$G,0)),""))</f>
        <v/>
      </c>
      <c r="F449" s="3" t="str">
        <f>IFERROR(INDEX('بيانات الحركات'!F:F,MATCH(448,'بيانات الحركات'!$G:$G,0)),"")</f>
        <v/>
      </c>
    </row>
    <row r="450" spans="1:6" ht="21.95" customHeight="1">
      <c r="A450" s="8" t="str">
        <f>IFERROR(INDEX('بيانات الحركات'!A:A,MATCH(449,'بيانات الحركات'!$G:$G,0)),"")</f>
        <v/>
      </c>
      <c r="B450" s="5" t="str">
        <f>IFERROR(INDEX('بيانات الحركات'!B:B,MATCH(449,'بيانات الحركات'!$G:$G,0)),"")</f>
        <v/>
      </c>
      <c r="C450" s="3" t="str">
        <f>IFERROR(INDEX('بيانات الحركات'!C:C,MATCH(449,'بيانات الحركات'!$G:$G,0)),"")</f>
        <v/>
      </c>
      <c r="D450" s="3" t="str">
        <f>IFERROR(INDEX('بيانات الحركات'!D:D,MATCH(449,'بيانات الحركات'!$G:$G,0)),"")</f>
        <v/>
      </c>
      <c r="E450" s="21" t="str">
        <f>IF($B450="إنتاج طبخة","",IFERROR(INDEX('بيانات الحركات'!E:E,MATCH(449,'بيانات الحركات'!$G:$G,0)),""))</f>
        <v/>
      </c>
      <c r="F450" s="3" t="str">
        <f>IFERROR(INDEX('بيانات الحركات'!F:F,MATCH(449,'بيانات الحركات'!$G:$G,0)),"")</f>
        <v/>
      </c>
    </row>
    <row r="451" spans="1:6" ht="21.95" customHeight="1">
      <c r="A451" s="8" t="str">
        <f>IFERROR(INDEX('بيانات الحركات'!A:A,MATCH(450,'بيانات الحركات'!$G:$G,0)),"")</f>
        <v/>
      </c>
      <c r="B451" s="5" t="str">
        <f>IFERROR(INDEX('بيانات الحركات'!B:B,MATCH(450,'بيانات الحركات'!$G:$G,0)),"")</f>
        <v/>
      </c>
      <c r="C451" s="3" t="str">
        <f>IFERROR(INDEX('بيانات الحركات'!C:C,MATCH(450,'بيانات الحركات'!$G:$G,0)),"")</f>
        <v/>
      </c>
      <c r="D451" s="3" t="str">
        <f>IFERROR(INDEX('بيانات الحركات'!D:D,MATCH(450,'بيانات الحركات'!$G:$G,0)),"")</f>
        <v/>
      </c>
      <c r="E451" s="21" t="str">
        <f>IF($B451="إنتاج طبخة","",IFERROR(INDEX('بيانات الحركات'!E:E,MATCH(450,'بيانات الحركات'!$G:$G,0)),""))</f>
        <v/>
      </c>
      <c r="F451" s="3" t="str">
        <f>IFERROR(INDEX('بيانات الحركات'!F:F,MATCH(450,'بيانات الحركات'!$G:$G,0)),"")</f>
        <v/>
      </c>
    </row>
    <row r="452" spans="1:6" ht="21.95" customHeight="1">
      <c r="A452" s="8" t="str">
        <f>IFERROR(INDEX('بيانات الحركات'!A:A,MATCH(451,'بيانات الحركات'!$G:$G,0)),"")</f>
        <v/>
      </c>
      <c r="B452" s="5" t="str">
        <f>IFERROR(INDEX('بيانات الحركات'!B:B,MATCH(451,'بيانات الحركات'!$G:$G,0)),"")</f>
        <v/>
      </c>
      <c r="C452" s="3" t="str">
        <f>IFERROR(INDEX('بيانات الحركات'!C:C,MATCH(451,'بيانات الحركات'!$G:$G,0)),"")</f>
        <v/>
      </c>
      <c r="D452" s="3" t="str">
        <f>IFERROR(INDEX('بيانات الحركات'!D:D,MATCH(451,'بيانات الحركات'!$G:$G,0)),"")</f>
        <v/>
      </c>
      <c r="E452" s="21" t="str">
        <f>IF($B452="إنتاج طبخة","",IFERROR(INDEX('بيانات الحركات'!E:E,MATCH(451,'بيانات الحركات'!$G:$G,0)),""))</f>
        <v/>
      </c>
      <c r="F452" s="3" t="str">
        <f>IFERROR(INDEX('بيانات الحركات'!F:F,MATCH(451,'بيانات الحركات'!$G:$G,0)),"")</f>
        <v/>
      </c>
    </row>
    <row r="453" spans="1:6" ht="21.95" customHeight="1">
      <c r="A453" s="8" t="str">
        <f>IFERROR(INDEX('بيانات الحركات'!A:A,MATCH(452,'بيانات الحركات'!$G:$G,0)),"")</f>
        <v/>
      </c>
      <c r="B453" s="5" t="str">
        <f>IFERROR(INDEX('بيانات الحركات'!B:B,MATCH(452,'بيانات الحركات'!$G:$G,0)),"")</f>
        <v/>
      </c>
      <c r="C453" s="3" t="str">
        <f>IFERROR(INDEX('بيانات الحركات'!C:C,MATCH(452,'بيانات الحركات'!$G:$G,0)),"")</f>
        <v/>
      </c>
      <c r="D453" s="3" t="str">
        <f>IFERROR(INDEX('بيانات الحركات'!D:D,MATCH(452,'بيانات الحركات'!$G:$G,0)),"")</f>
        <v/>
      </c>
      <c r="E453" s="21" t="str">
        <f>IF($B453="إنتاج طبخة","",IFERROR(INDEX('بيانات الحركات'!E:E,MATCH(452,'بيانات الحركات'!$G:$G,0)),""))</f>
        <v/>
      </c>
      <c r="F453" s="3" t="str">
        <f>IFERROR(INDEX('بيانات الحركات'!F:F,MATCH(452,'بيانات الحركات'!$G:$G,0)),"")</f>
        <v/>
      </c>
    </row>
    <row r="454" spans="1:6" ht="21.95" customHeight="1">
      <c r="A454" s="8" t="str">
        <f>IFERROR(INDEX('بيانات الحركات'!A:A,MATCH(453,'بيانات الحركات'!$G:$G,0)),"")</f>
        <v/>
      </c>
      <c r="B454" s="5" t="str">
        <f>IFERROR(INDEX('بيانات الحركات'!B:B,MATCH(453,'بيانات الحركات'!$G:$G,0)),"")</f>
        <v/>
      </c>
      <c r="C454" s="3" t="str">
        <f>IFERROR(INDEX('بيانات الحركات'!C:C,MATCH(453,'بيانات الحركات'!$G:$G,0)),"")</f>
        <v/>
      </c>
      <c r="D454" s="3" t="str">
        <f>IFERROR(INDEX('بيانات الحركات'!D:D,MATCH(453,'بيانات الحركات'!$G:$G,0)),"")</f>
        <v/>
      </c>
      <c r="E454" s="21" t="str">
        <f>IF($B454="إنتاج طبخة","",IFERROR(INDEX('بيانات الحركات'!E:E,MATCH(453,'بيانات الحركات'!$G:$G,0)),""))</f>
        <v/>
      </c>
      <c r="F454" s="3" t="str">
        <f>IFERROR(INDEX('بيانات الحركات'!F:F,MATCH(453,'بيانات الحركات'!$G:$G,0)),"")</f>
        <v/>
      </c>
    </row>
    <row r="455" spans="1:6" ht="21.95" customHeight="1">
      <c r="A455" s="8" t="str">
        <f>IFERROR(INDEX('بيانات الحركات'!A:A,MATCH(454,'بيانات الحركات'!$G:$G,0)),"")</f>
        <v/>
      </c>
      <c r="B455" s="5" t="str">
        <f>IFERROR(INDEX('بيانات الحركات'!B:B,MATCH(454,'بيانات الحركات'!$G:$G,0)),"")</f>
        <v/>
      </c>
      <c r="C455" s="3" t="str">
        <f>IFERROR(INDEX('بيانات الحركات'!C:C,MATCH(454,'بيانات الحركات'!$G:$G,0)),"")</f>
        <v/>
      </c>
      <c r="D455" s="3" t="str">
        <f>IFERROR(INDEX('بيانات الحركات'!D:D,MATCH(454,'بيانات الحركات'!$G:$G,0)),"")</f>
        <v/>
      </c>
      <c r="E455" s="21" t="str">
        <f>IF($B455="إنتاج طبخة","",IFERROR(INDEX('بيانات الحركات'!E:E,MATCH(454,'بيانات الحركات'!$G:$G,0)),""))</f>
        <v/>
      </c>
      <c r="F455" s="3" t="str">
        <f>IFERROR(INDEX('بيانات الحركات'!F:F,MATCH(454,'بيانات الحركات'!$G:$G,0)),"")</f>
        <v/>
      </c>
    </row>
    <row r="456" spans="1:6" ht="21.95" customHeight="1">
      <c r="A456" s="8" t="str">
        <f>IFERROR(INDEX('بيانات الحركات'!A:A,MATCH(455,'بيانات الحركات'!$G:$G,0)),"")</f>
        <v/>
      </c>
      <c r="B456" s="5" t="str">
        <f>IFERROR(INDEX('بيانات الحركات'!B:B,MATCH(455,'بيانات الحركات'!$G:$G,0)),"")</f>
        <v/>
      </c>
      <c r="C456" s="3" t="str">
        <f>IFERROR(INDEX('بيانات الحركات'!C:C,MATCH(455,'بيانات الحركات'!$G:$G,0)),"")</f>
        <v/>
      </c>
      <c r="D456" s="3" t="str">
        <f>IFERROR(INDEX('بيانات الحركات'!D:D,MATCH(455,'بيانات الحركات'!$G:$G,0)),"")</f>
        <v/>
      </c>
      <c r="E456" s="21" t="str">
        <f>IF($B456="إنتاج طبخة","",IFERROR(INDEX('بيانات الحركات'!E:E,MATCH(455,'بيانات الحركات'!$G:$G,0)),""))</f>
        <v/>
      </c>
      <c r="F456" s="3" t="str">
        <f>IFERROR(INDEX('بيانات الحركات'!F:F,MATCH(455,'بيانات الحركات'!$G:$G,0)),"")</f>
        <v/>
      </c>
    </row>
    <row r="457" spans="1:6" ht="21.95" customHeight="1">
      <c r="A457" s="8" t="str">
        <f>IFERROR(INDEX('بيانات الحركات'!A:A,MATCH(456,'بيانات الحركات'!$G:$G,0)),"")</f>
        <v/>
      </c>
      <c r="B457" s="5" t="str">
        <f>IFERROR(INDEX('بيانات الحركات'!B:B,MATCH(456,'بيانات الحركات'!$G:$G,0)),"")</f>
        <v/>
      </c>
      <c r="C457" s="3" t="str">
        <f>IFERROR(INDEX('بيانات الحركات'!C:C,MATCH(456,'بيانات الحركات'!$G:$G,0)),"")</f>
        <v/>
      </c>
      <c r="D457" s="3" t="str">
        <f>IFERROR(INDEX('بيانات الحركات'!D:D,MATCH(456,'بيانات الحركات'!$G:$G,0)),"")</f>
        <v/>
      </c>
      <c r="E457" s="21" t="str">
        <f>IF($B457="إنتاج طبخة","",IFERROR(INDEX('بيانات الحركات'!E:E,MATCH(456,'بيانات الحركات'!$G:$G,0)),""))</f>
        <v/>
      </c>
      <c r="F457" s="3" t="str">
        <f>IFERROR(INDEX('بيانات الحركات'!F:F,MATCH(456,'بيانات الحركات'!$G:$G,0)),"")</f>
        <v/>
      </c>
    </row>
    <row r="458" spans="1:6" ht="21.95" customHeight="1">
      <c r="A458" s="8" t="str">
        <f>IFERROR(INDEX('بيانات الحركات'!A:A,MATCH(457,'بيانات الحركات'!$G:$G,0)),"")</f>
        <v/>
      </c>
      <c r="B458" s="5" t="str">
        <f>IFERROR(INDEX('بيانات الحركات'!B:B,MATCH(457,'بيانات الحركات'!$G:$G,0)),"")</f>
        <v/>
      </c>
      <c r="C458" s="3" t="str">
        <f>IFERROR(INDEX('بيانات الحركات'!C:C,MATCH(457,'بيانات الحركات'!$G:$G,0)),"")</f>
        <v/>
      </c>
      <c r="D458" s="3" t="str">
        <f>IFERROR(INDEX('بيانات الحركات'!D:D,MATCH(457,'بيانات الحركات'!$G:$G,0)),"")</f>
        <v/>
      </c>
      <c r="E458" s="21" t="str">
        <f>IF($B458="إنتاج طبخة","",IFERROR(INDEX('بيانات الحركات'!E:E,MATCH(457,'بيانات الحركات'!$G:$G,0)),""))</f>
        <v/>
      </c>
      <c r="F458" s="3" t="str">
        <f>IFERROR(INDEX('بيانات الحركات'!F:F,MATCH(457,'بيانات الحركات'!$G:$G,0)),"")</f>
        <v/>
      </c>
    </row>
    <row r="459" spans="1:6" ht="21.95" customHeight="1">
      <c r="A459" s="8" t="str">
        <f>IFERROR(INDEX('بيانات الحركات'!A:A,MATCH(458,'بيانات الحركات'!$G:$G,0)),"")</f>
        <v/>
      </c>
      <c r="B459" s="5" t="str">
        <f>IFERROR(INDEX('بيانات الحركات'!B:B,MATCH(458,'بيانات الحركات'!$G:$G,0)),"")</f>
        <v/>
      </c>
      <c r="C459" s="3" t="str">
        <f>IFERROR(INDEX('بيانات الحركات'!C:C,MATCH(458,'بيانات الحركات'!$G:$G,0)),"")</f>
        <v/>
      </c>
      <c r="D459" s="3" t="str">
        <f>IFERROR(INDEX('بيانات الحركات'!D:D,MATCH(458,'بيانات الحركات'!$G:$G,0)),"")</f>
        <v/>
      </c>
      <c r="E459" s="21" t="str">
        <f>IF($B459="إنتاج طبخة","",IFERROR(INDEX('بيانات الحركات'!E:E,MATCH(458,'بيانات الحركات'!$G:$G,0)),""))</f>
        <v/>
      </c>
      <c r="F459" s="3" t="str">
        <f>IFERROR(INDEX('بيانات الحركات'!F:F,MATCH(458,'بيانات الحركات'!$G:$G,0)),"")</f>
        <v/>
      </c>
    </row>
    <row r="460" spans="1:6" ht="21.95" customHeight="1">
      <c r="A460" s="8" t="str">
        <f>IFERROR(INDEX('بيانات الحركات'!A:A,MATCH(459,'بيانات الحركات'!$G:$G,0)),"")</f>
        <v/>
      </c>
      <c r="B460" s="5" t="str">
        <f>IFERROR(INDEX('بيانات الحركات'!B:B,MATCH(459,'بيانات الحركات'!$G:$G,0)),"")</f>
        <v/>
      </c>
      <c r="C460" s="3" t="str">
        <f>IFERROR(INDEX('بيانات الحركات'!C:C,MATCH(459,'بيانات الحركات'!$G:$G,0)),"")</f>
        <v/>
      </c>
      <c r="D460" s="3" t="str">
        <f>IFERROR(INDEX('بيانات الحركات'!D:D,MATCH(459,'بيانات الحركات'!$G:$G,0)),"")</f>
        <v/>
      </c>
      <c r="E460" s="21" t="str">
        <f>IF($B460="إنتاج طبخة","",IFERROR(INDEX('بيانات الحركات'!E:E,MATCH(459,'بيانات الحركات'!$G:$G,0)),""))</f>
        <v/>
      </c>
      <c r="F460" s="3" t="str">
        <f>IFERROR(INDEX('بيانات الحركات'!F:F,MATCH(459,'بيانات الحركات'!$G:$G,0)),"")</f>
        <v/>
      </c>
    </row>
    <row r="461" spans="1:6" ht="21.95" customHeight="1">
      <c r="A461" s="8" t="str">
        <f>IFERROR(INDEX('بيانات الحركات'!A:A,MATCH(460,'بيانات الحركات'!$G:$G,0)),"")</f>
        <v/>
      </c>
      <c r="B461" s="5" t="str">
        <f>IFERROR(INDEX('بيانات الحركات'!B:B,MATCH(460,'بيانات الحركات'!$G:$G,0)),"")</f>
        <v/>
      </c>
      <c r="C461" s="3" t="str">
        <f>IFERROR(INDEX('بيانات الحركات'!C:C,MATCH(460,'بيانات الحركات'!$G:$G,0)),"")</f>
        <v/>
      </c>
      <c r="D461" s="3" t="str">
        <f>IFERROR(INDEX('بيانات الحركات'!D:D,MATCH(460,'بيانات الحركات'!$G:$G,0)),"")</f>
        <v/>
      </c>
      <c r="E461" s="21" t="str">
        <f>IF($B461="إنتاج طبخة","",IFERROR(INDEX('بيانات الحركات'!E:E,MATCH(460,'بيانات الحركات'!$G:$G,0)),""))</f>
        <v/>
      </c>
      <c r="F461" s="3" t="str">
        <f>IFERROR(INDEX('بيانات الحركات'!F:F,MATCH(460,'بيانات الحركات'!$G:$G,0)),"")</f>
        <v/>
      </c>
    </row>
    <row r="462" spans="1:6" ht="21.95" customHeight="1">
      <c r="A462" s="8" t="str">
        <f>IFERROR(INDEX('بيانات الحركات'!A:A,MATCH(461,'بيانات الحركات'!$G:$G,0)),"")</f>
        <v/>
      </c>
      <c r="B462" s="5" t="str">
        <f>IFERROR(INDEX('بيانات الحركات'!B:B,MATCH(461,'بيانات الحركات'!$G:$G,0)),"")</f>
        <v/>
      </c>
      <c r="C462" s="3" t="str">
        <f>IFERROR(INDEX('بيانات الحركات'!C:C,MATCH(461,'بيانات الحركات'!$G:$G,0)),"")</f>
        <v/>
      </c>
      <c r="D462" s="3" t="str">
        <f>IFERROR(INDEX('بيانات الحركات'!D:D,MATCH(461,'بيانات الحركات'!$G:$G,0)),"")</f>
        <v/>
      </c>
      <c r="E462" s="21" t="str">
        <f>IF($B462="إنتاج طبخة","",IFERROR(INDEX('بيانات الحركات'!E:E,MATCH(461,'بيانات الحركات'!$G:$G,0)),""))</f>
        <v/>
      </c>
      <c r="F462" s="3" t="str">
        <f>IFERROR(INDEX('بيانات الحركات'!F:F,MATCH(461,'بيانات الحركات'!$G:$G,0)),"")</f>
        <v/>
      </c>
    </row>
    <row r="463" spans="1:6" ht="21.95" customHeight="1">
      <c r="A463" s="8" t="str">
        <f>IFERROR(INDEX('بيانات الحركات'!A:A,MATCH(462,'بيانات الحركات'!$G:$G,0)),"")</f>
        <v/>
      </c>
      <c r="B463" s="5" t="str">
        <f>IFERROR(INDEX('بيانات الحركات'!B:B,MATCH(462,'بيانات الحركات'!$G:$G,0)),"")</f>
        <v/>
      </c>
      <c r="C463" s="3" t="str">
        <f>IFERROR(INDEX('بيانات الحركات'!C:C,MATCH(462,'بيانات الحركات'!$G:$G,0)),"")</f>
        <v/>
      </c>
      <c r="D463" s="3" t="str">
        <f>IFERROR(INDEX('بيانات الحركات'!D:D,MATCH(462,'بيانات الحركات'!$G:$G,0)),"")</f>
        <v/>
      </c>
      <c r="E463" s="21" t="str">
        <f>IF($B463="إنتاج طبخة","",IFERROR(INDEX('بيانات الحركات'!E:E,MATCH(462,'بيانات الحركات'!$G:$G,0)),""))</f>
        <v/>
      </c>
      <c r="F463" s="3" t="str">
        <f>IFERROR(INDEX('بيانات الحركات'!F:F,MATCH(462,'بيانات الحركات'!$G:$G,0)),"")</f>
        <v/>
      </c>
    </row>
    <row r="464" spans="1:6" ht="21.95" customHeight="1">
      <c r="A464" s="8" t="str">
        <f>IFERROR(INDEX('بيانات الحركات'!A:A,MATCH(463,'بيانات الحركات'!$G:$G,0)),"")</f>
        <v/>
      </c>
      <c r="B464" s="5" t="str">
        <f>IFERROR(INDEX('بيانات الحركات'!B:B,MATCH(463,'بيانات الحركات'!$G:$G,0)),"")</f>
        <v/>
      </c>
      <c r="C464" s="3" t="str">
        <f>IFERROR(INDEX('بيانات الحركات'!C:C,MATCH(463,'بيانات الحركات'!$G:$G,0)),"")</f>
        <v/>
      </c>
      <c r="D464" s="3" t="str">
        <f>IFERROR(INDEX('بيانات الحركات'!D:D,MATCH(463,'بيانات الحركات'!$G:$G,0)),"")</f>
        <v/>
      </c>
      <c r="E464" s="21" t="str">
        <f>IF($B464="إنتاج طبخة","",IFERROR(INDEX('بيانات الحركات'!E:E,MATCH(463,'بيانات الحركات'!$G:$G,0)),""))</f>
        <v/>
      </c>
      <c r="F464" s="3" t="str">
        <f>IFERROR(INDEX('بيانات الحركات'!F:F,MATCH(463,'بيانات الحركات'!$G:$G,0)),"")</f>
        <v/>
      </c>
    </row>
    <row r="465" spans="1:6" ht="21.95" customHeight="1">
      <c r="A465" s="8" t="str">
        <f>IFERROR(INDEX('بيانات الحركات'!A:A,MATCH(464,'بيانات الحركات'!$G:$G,0)),"")</f>
        <v/>
      </c>
      <c r="B465" s="5" t="str">
        <f>IFERROR(INDEX('بيانات الحركات'!B:B,MATCH(464,'بيانات الحركات'!$G:$G,0)),"")</f>
        <v/>
      </c>
      <c r="C465" s="3" t="str">
        <f>IFERROR(INDEX('بيانات الحركات'!C:C,MATCH(464,'بيانات الحركات'!$G:$G,0)),"")</f>
        <v/>
      </c>
      <c r="D465" s="3" t="str">
        <f>IFERROR(INDEX('بيانات الحركات'!D:D,MATCH(464,'بيانات الحركات'!$G:$G,0)),"")</f>
        <v/>
      </c>
      <c r="E465" s="21" t="str">
        <f>IF($B465="إنتاج طبخة","",IFERROR(INDEX('بيانات الحركات'!E:E,MATCH(464,'بيانات الحركات'!$G:$G,0)),""))</f>
        <v/>
      </c>
      <c r="F465" s="3" t="str">
        <f>IFERROR(INDEX('بيانات الحركات'!F:F,MATCH(464,'بيانات الحركات'!$G:$G,0)),"")</f>
        <v/>
      </c>
    </row>
    <row r="466" spans="1:6" ht="21.95" customHeight="1">
      <c r="A466" s="8" t="str">
        <f>IFERROR(INDEX('بيانات الحركات'!A:A,MATCH(465,'بيانات الحركات'!$G:$G,0)),"")</f>
        <v/>
      </c>
      <c r="B466" s="5" t="str">
        <f>IFERROR(INDEX('بيانات الحركات'!B:B,MATCH(465,'بيانات الحركات'!$G:$G,0)),"")</f>
        <v/>
      </c>
      <c r="C466" s="3" t="str">
        <f>IFERROR(INDEX('بيانات الحركات'!C:C,MATCH(465,'بيانات الحركات'!$G:$G,0)),"")</f>
        <v/>
      </c>
      <c r="D466" s="3" t="str">
        <f>IFERROR(INDEX('بيانات الحركات'!D:D,MATCH(465,'بيانات الحركات'!$G:$G,0)),"")</f>
        <v/>
      </c>
      <c r="E466" s="21" t="str">
        <f>IF($B466="إنتاج طبخة","",IFERROR(INDEX('بيانات الحركات'!E:E,MATCH(465,'بيانات الحركات'!$G:$G,0)),""))</f>
        <v/>
      </c>
      <c r="F466" s="3" t="str">
        <f>IFERROR(INDEX('بيانات الحركات'!F:F,MATCH(465,'بيانات الحركات'!$G:$G,0)),"")</f>
        <v/>
      </c>
    </row>
    <row r="467" spans="1:6" ht="21.95" customHeight="1">
      <c r="A467" s="8" t="str">
        <f>IFERROR(INDEX('بيانات الحركات'!A:A,MATCH(466,'بيانات الحركات'!$G:$G,0)),"")</f>
        <v/>
      </c>
      <c r="B467" s="5" t="str">
        <f>IFERROR(INDEX('بيانات الحركات'!B:B,MATCH(466,'بيانات الحركات'!$G:$G,0)),"")</f>
        <v/>
      </c>
      <c r="C467" s="3" t="str">
        <f>IFERROR(INDEX('بيانات الحركات'!C:C,MATCH(466,'بيانات الحركات'!$G:$G,0)),"")</f>
        <v/>
      </c>
      <c r="D467" s="3" t="str">
        <f>IFERROR(INDEX('بيانات الحركات'!D:D,MATCH(466,'بيانات الحركات'!$G:$G,0)),"")</f>
        <v/>
      </c>
      <c r="E467" s="21" t="str">
        <f>IF($B467="إنتاج طبخة","",IFERROR(INDEX('بيانات الحركات'!E:E,MATCH(466,'بيانات الحركات'!$G:$G,0)),""))</f>
        <v/>
      </c>
      <c r="F467" s="3" t="str">
        <f>IFERROR(INDEX('بيانات الحركات'!F:F,MATCH(466,'بيانات الحركات'!$G:$G,0)),"")</f>
        <v/>
      </c>
    </row>
    <row r="468" spans="1:6" ht="21.95" customHeight="1">
      <c r="A468" s="8" t="str">
        <f>IFERROR(INDEX('بيانات الحركات'!A:A,MATCH(467,'بيانات الحركات'!$G:$G,0)),"")</f>
        <v/>
      </c>
      <c r="B468" s="5" t="str">
        <f>IFERROR(INDEX('بيانات الحركات'!B:B,MATCH(467,'بيانات الحركات'!$G:$G,0)),"")</f>
        <v/>
      </c>
      <c r="C468" s="3" t="str">
        <f>IFERROR(INDEX('بيانات الحركات'!C:C,MATCH(467,'بيانات الحركات'!$G:$G,0)),"")</f>
        <v/>
      </c>
      <c r="D468" s="3" t="str">
        <f>IFERROR(INDEX('بيانات الحركات'!D:D,MATCH(467,'بيانات الحركات'!$G:$G,0)),"")</f>
        <v/>
      </c>
      <c r="E468" s="21" t="str">
        <f>IF($B468="إنتاج طبخة","",IFERROR(INDEX('بيانات الحركات'!E:E,MATCH(467,'بيانات الحركات'!$G:$G,0)),""))</f>
        <v/>
      </c>
      <c r="F468" s="3" t="str">
        <f>IFERROR(INDEX('بيانات الحركات'!F:F,MATCH(467,'بيانات الحركات'!$G:$G,0)),"")</f>
        <v/>
      </c>
    </row>
    <row r="469" spans="1:6" ht="21.95" customHeight="1">
      <c r="A469" s="8" t="str">
        <f>IFERROR(INDEX('بيانات الحركات'!A:A,MATCH(468,'بيانات الحركات'!$G:$G,0)),"")</f>
        <v/>
      </c>
      <c r="B469" s="5" t="str">
        <f>IFERROR(INDEX('بيانات الحركات'!B:B,MATCH(468,'بيانات الحركات'!$G:$G,0)),"")</f>
        <v/>
      </c>
      <c r="C469" s="3" t="str">
        <f>IFERROR(INDEX('بيانات الحركات'!C:C,MATCH(468,'بيانات الحركات'!$G:$G,0)),"")</f>
        <v/>
      </c>
      <c r="D469" s="3" t="str">
        <f>IFERROR(INDEX('بيانات الحركات'!D:D,MATCH(468,'بيانات الحركات'!$G:$G,0)),"")</f>
        <v/>
      </c>
      <c r="E469" s="21" t="str">
        <f>IF($B469="إنتاج طبخة","",IFERROR(INDEX('بيانات الحركات'!E:E,MATCH(468,'بيانات الحركات'!$G:$G,0)),""))</f>
        <v/>
      </c>
      <c r="F469" s="3" t="str">
        <f>IFERROR(INDEX('بيانات الحركات'!F:F,MATCH(468,'بيانات الحركات'!$G:$G,0)),"")</f>
        <v/>
      </c>
    </row>
    <row r="470" spans="1:6" ht="21.95" customHeight="1">
      <c r="A470" s="8" t="str">
        <f>IFERROR(INDEX('بيانات الحركات'!A:A,MATCH(469,'بيانات الحركات'!$G:$G,0)),"")</f>
        <v/>
      </c>
      <c r="B470" s="5" t="str">
        <f>IFERROR(INDEX('بيانات الحركات'!B:B,MATCH(469,'بيانات الحركات'!$G:$G,0)),"")</f>
        <v/>
      </c>
      <c r="C470" s="3" t="str">
        <f>IFERROR(INDEX('بيانات الحركات'!C:C,MATCH(469,'بيانات الحركات'!$G:$G,0)),"")</f>
        <v/>
      </c>
      <c r="D470" s="3" t="str">
        <f>IFERROR(INDEX('بيانات الحركات'!D:D,MATCH(469,'بيانات الحركات'!$G:$G,0)),"")</f>
        <v/>
      </c>
      <c r="E470" s="21" t="str">
        <f>IF($B470="إنتاج طبخة","",IFERROR(INDEX('بيانات الحركات'!E:E,MATCH(469,'بيانات الحركات'!$G:$G,0)),""))</f>
        <v/>
      </c>
      <c r="F470" s="3" t="str">
        <f>IFERROR(INDEX('بيانات الحركات'!F:F,MATCH(469,'بيانات الحركات'!$G:$G,0)),"")</f>
        <v/>
      </c>
    </row>
    <row r="471" spans="1:6" ht="21.95" customHeight="1">
      <c r="A471" s="8" t="str">
        <f>IFERROR(INDEX('بيانات الحركات'!A:A,MATCH(470,'بيانات الحركات'!$G:$G,0)),"")</f>
        <v/>
      </c>
      <c r="B471" s="5" t="str">
        <f>IFERROR(INDEX('بيانات الحركات'!B:B,MATCH(470,'بيانات الحركات'!$G:$G,0)),"")</f>
        <v/>
      </c>
      <c r="C471" s="3" t="str">
        <f>IFERROR(INDEX('بيانات الحركات'!C:C,MATCH(470,'بيانات الحركات'!$G:$G,0)),"")</f>
        <v/>
      </c>
      <c r="D471" s="3" t="str">
        <f>IFERROR(INDEX('بيانات الحركات'!D:D,MATCH(470,'بيانات الحركات'!$G:$G,0)),"")</f>
        <v/>
      </c>
      <c r="E471" s="21" t="str">
        <f>IF($B471="إنتاج طبخة","",IFERROR(INDEX('بيانات الحركات'!E:E,MATCH(470,'بيانات الحركات'!$G:$G,0)),""))</f>
        <v/>
      </c>
      <c r="F471" s="3" t="str">
        <f>IFERROR(INDEX('بيانات الحركات'!F:F,MATCH(470,'بيانات الحركات'!$G:$G,0)),"")</f>
        <v/>
      </c>
    </row>
    <row r="472" spans="1:6" ht="21.95" customHeight="1">
      <c r="A472" s="8" t="str">
        <f>IFERROR(INDEX('بيانات الحركات'!A:A,MATCH(471,'بيانات الحركات'!$G:$G,0)),"")</f>
        <v/>
      </c>
      <c r="B472" s="5" t="str">
        <f>IFERROR(INDEX('بيانات الحركات'!B:B,MATCH(471,'بيانات الحركات'!$G:$G,0)),"")</f>
        <v/>
      </c>
      <c r="C472" s="3" t="str">
        <f>IFERROR(INDEX('بيانات الحركات'!C:C,MATCH(471,'بيانات الحركات'!$G:$G,0)),"")</f>
        <v/>
      </c>
      <c r="D472" s="3" t="str">
        <f>IFERROR(INDEX('بيانات الحركات'!D:D,MATCH(471,'بيانات الحركات'!$G:$G,0)),"")</f>
        <v/>
      </c>
      <c r="E472" s="21" t="str">
        <f>IF($B472="إنتاج طبخة","",IFERROR(INDEX('بيانات الحركات'!E:E,MATCH(471,'بيانات الحركات'!$G:$G,0)),""))</f>
        <v/>
      </c>
      <c r="F472" s="3" t="str">
        <f>IFERROR(INDEX('بيانات الحركات'!F:F,MATCH(471,'بيانات الحركات'!$G:$G,0)),"")</f>
        <v/>
      </c>
    </row>
    <row r="473" spans="1:6" ht="21.95" customHeight="1">
      <c r="A473" s="8" t="str">
        <f>IFERROR(INDEX('بيانات الحركات'!A:A,MATCH(472,'بيانات الحركات'!$G:$G,0)),"")</f>
        <v/>
      </c>
      <c r="B473" s="5" t="str">
        <f>IFERROR(INDEX('بيانات الحركات'!B:B,MATCH(472,'بيانات الحركات'!$G:$G,0)),"")</f>
        <v/>
      </c>
      <c r="C473" s="3" t="str">
        <f>IFERROR(INDEX('بيانات الحركات'!C:C,MATCH(472,'بيانات الحركات'!$G:$G,0)),"")</f>
        <v/>
      </c>
      <c r="D473" s="3" t="str">
        <f>IFERROR(INDEX('بيانات الحركات'!D:D,MATCH(472,'بيانات الحركات'!$G:$G,0)),"")</f>
        <v/>
      </c>
      <c r="E473" s="21" t="str">
        <f>IF($B473="إنتاج طبخة","",IFERROR(INDEX('بيانات الحركات'!E:E,MATCH(472,'بيانات الحركات'!$G:$G,0)),""))</f>
        <v/>
      </c>
      <c r="F473" s="3" t="str">
        <f>IFERROR(INDEX('بيانات الحركات'!F:F,MATCH(472,'بيانات الحركات'!$G:$G,0)),"")</f>
        <v/>
      </c>
    </row>
    <row r="474" spans="1:6" ht="21.95" customHeight="1">
      <c r="A474" s="8" t="str">
        <f>IFERROR(INDEX('بيانات الحركات'!A:A,MATCH(473,'بيانات الحركات'!$G:$G,0)),"")</f>
        <v/>
      </c>
      <c r="B474" s="5" t="str">
        <f>IFERROR(INDEX('بيانات الحركات'!B:B,MATCH(473,'بيانات الحركات'!$G:$G,0)),"")</f>
        <v/>
      </c>
      <c r="C474" s="3" t="str">
        <f>IFERROR(INDEX('بيانات الحركات'!C:C,MATCH(473,'بيانات الحركات'!$G:$G,0)),"")</f>
        <v/>
      </c>
      <c r="D474" s="3" t="str">
        <f>IFERROR(INDEX('بيانات الحركات'!D:D,MATCH(473,'بيانات الحركات'!$G:$G,0)),"")</f>
        <v/>
      </c>
      <c r="E474" s="21" t="str">
        <f>IF($B474="إنتاج طبخة","",IFERROR(INDEX('بيانات الحركات'!E:E,MATCH(473,'بيانات الحركات'!$G:$G,0)),""))</f>
        <v/>
      </c>
      <c r="F474" s="3" t="str">
        <f>IFERROR(INDEX('بيانات الحركات'!F:F,MATCH(473,'بيانات الحركات'!$G:$G,0)),"")</f>
        <v/>
      </c>
    </row>
    <row r="475" spans="1:6" ht="21.95" customHeight="1">
      <c r="A475" s="8" t="str">
        <f>IFERROR(INDEX('بيانات الحركات'!A:A,MATCH(474,'بيانات الحركات'!$G:$G,0)),"")</f>
        <v/>
      </c>
      <c r="B475" s="5" t="str">
        <f>IFERROR(INDEX('بيانات الحركات'!B:B,MATCH(474,'بيانات الحركات'!$G:$G,0)),"")</f>
        <v/>
      </c>
      <c r="C475" s="3" t="str">
        <f>IFERROR(INDEX('بيانات الحركات'!C:C,MATCH(474,'بيانات الحركات'!$G:$G,0)),"")</f>
        <v/>
      </c>
      <c r="D475" s="3" t="str">
        <f>IFERROR(INDEX('بيانات الحركات'!D:D,MATCH(474,'بيانات الحركات'!$G:$G,0)),"")</f>
        <v/>
      </c>
      <c r="E475" s="21" t="str">
        <f>IF($B475="إنتاج طبخة","",IFERROR(INDEX('بيانات الحركات'!E:E,MATCH(474,'بيانات الحركات'!$G:$G,0)),""))</f>
        <v/>
      </c>
      <c r="F475" s="3" t="str">
        <f>IFERROR(INDEX('بيانات الحركات'!F:F,MATCH(474,'بيانات الحركات'!$G:$G,0)),"")</f>
        <v/>
      </c>
    </row>
    <row r="476" spans="1:6" ht="21.95" customHeight="1">
      <c r="A476" s="8" t="str">
        <f>IFERROR(INDEX('بيانات الحركات'!A:A,MATCH(475,'بيانات الحركات'!$G:$G,0)),"")</f>
        <v/>
      </c>
      <c r="B476" s="5" t="str">
        <f>IFERROR(INDEX('بيانات الحركات'!B:B,MATCH(475,'بيانات الحركات'!$G:$G,0)),"")</f>
        <v/>
      </c>
      <c r="C476" s="3" t="str">
        <f>IFERROR(INDEX('بيانات الحركات'!C:C,MATCH(475,'بيانات الحركات'!$G:$G,0)),"")</f>
        <v/>
      </c>
      <c r="D476" s="3" t="str">
        <f>IFERROR(INDEX('بيانات الحركات'!D:D,MATCH(475,'بيانات الحركات'!$G:$G,0)),"")</f>
        <v/>
      </c>
      <c r="E476" s="21" t="str">
        <f>IF($B476="إنتاج طبخة","",IFERROR(INDEX('بيانات الحركات'!E:E,MATCH(475,'بيانات الحركات'!$G:$G,0)),""))</f>
        <v/>
      </c>
      <c r="F476" s="3" t="str">
        <f>IFERROR(INDEX('بيانات الحركات'!F:F,MATCH(475,'بيانات الحركات'!$G:$G,0)),"")</f>
        <v/>
      </c>
    </row>
    <row r="477" spans="1:6" ht="21.95" customHeight="1">
      <c r="A477" s="8" t="str">
        <f>IFERROR(INDEX('بيانات الحركات'!A:A,MATCH(476,'بيانات الحركات'!$G:$G,0)),"")</f>
        <v/>
      </c>
      <c r="B477" s="5" t="str">
        <f>IFERROR(INDEX('بيانات الحركات'!B:B,MATCH(476,'بيانات الحركات'!$G:$G,0)),"")</f>
        <v/>
      </c>
      <c r="C477" s="3" t="str">
        <f>IFERROR(INDEX('بيانات الحركات'!C:C,MATCH(476,'بيانات الحركات'!$G:$G,0)),"")</f>
        <v/>
      </c>
      <c r="D477" s="3" t="str">
        <f>IFERROR(INDEX('بيانات الحركات'!D:D,MATCH(476,'بيانات الحركات'!$G:$G,0)),"")</f>
        <v/>
      </c>
      <c r="E477" s="21" t="str">
        <f>IF($B477="إنتاج طبخة","",IFERROR(INDEX('بيانات الحركات'!E:E,MATCH(476,'بيانات الحركات'!$G:$G,0)),""))</f>
        <v/>
      </c>
      <c r="F477" s="3" t="str">
        <f>IFERROR(INDEX('بيانات الحركات'!F:F,MATCH(476,'بيانات الحركات'!$G:$G,0)),"")</f>
        <v/>
      </c>
    </row>
    <row r="478" spans="1:6" ht="21.95" customHeight="1">
      <c r="A478" s="8" t="str">
        <f>IFERROR(INDEX('بيانات الحركات'!A:A,MATCH(477,'بيانات الحركات'!$G:$G,0)),"")</f>
        <v/>
      </c>
      <c r="B478" s="5" t="str">
        <f>IFERROR(INDEX('بيانات الحركات'!B:B,MATCH(477,'بيانات الحركات'!$G:$G,0)),"")</f>
        <v/>
      </c>
      <c r="C478" s="3" t="str">
        <f>IFERROR(INDEX('بيانات الحركات'!C:C,MATCH(477,'بيانات الحركات'!$G:$G,0)),"")</f>
        <v/>
      </c>
      <c r="D478" s="3" t="str">
        <f>IFERROR(INDEX('بيانات الحركات'!D:D,MATCH(477,'بيانات الحركات'!$G:$G,0)),"")</f>
        <v/>
      </c>
      <c r="E478" s="21" t="str">
        <f>IF($B478="إنتاج طبخة","",IFERROR(INDEX('بيانات الحركات'!E:E,MATCH(477,'بيانات الحركات'!$G:$G,0)),""))</f>
        <v/>
      </c>
      <c r="F478" s="3" t="str">
        <f>IFERROR(INDEX('بيانات الحركات'!F:F,MATCH(477,'بيانات الحركات'!$G:$G,0)),"")</f>
        <v/>
      </c>
    </row>
    <row r="479" spans="1:6" ht="21.95" customHeight="1">
      <c r="A479" s="8" t="str">
        <f>IFERROR(INDEX('بيانات الحركات'!A:A,MATCH(478,'بيانات الحركات'!$G:$G,0)),"")</f>
        <v/>
      </c>
      <c r="B479" s="5" t="str">
        <f>IFERROR(INDEX('بيانات الحركات'!B:B,MATCH(478,'بيانات الحركات'!$G:$G,0)),"")</f>
        <v/>
      </c>
      <c r="C479" s="3" t="str">
        <f>IFERROR(INDEX('بيانات الحركات'!C:C,MATCH(478,'بيانات الحركات'!$G:$G,0)),"")</f>
        <v/>
      </c>
      <c r="D479" s="3" t="str">
        <f>IFERROR(INDEX('بيانات الحركات'!D:D,MATCH(478,'بيانات الحركات'!$G:$G,0)),"")</f>
        <v/>
      </c>
      <c r="E479" s="21" t="str">
        <f>IF($B479="إنتاج طبخة","",IFERROR(INDEX('بيانات الحركات'!E:E,MATCH(478,'بيانات الحركات'!$G:$G,0)),""))</f>
        <v/>
      </c>
      <c r="F479" s="3" t="str">
        <f>IFERROR(INDEX('بيانات الحركات'!F:F,MATCH(478,'بيانات الحركات'!$G:$G,0)),"")</f>
        <v/>
      </c>
    </row>
    <row r="480" spans="1:6" ht="21.95" customHeight="1">
      <c r="A480" s="8" t="str">
        <f>IFERROR(INDEX('بيانات الحركات'!A:A,MATCH(479,'بيانات الحركات'!$G:$G,0)),"")</f>
        <v/>
      </c>
      <c r="B480" s="5" t="str">
        <f>IFERROR(INDEX('بيانات الحركات'!B:B,MATCH(479,'بيانات الحركات'!$G:$G,0)),"")</f>
        <v/>
      </c>
      <c r="C480" s="3" t="str">
        <f>IFERROR(INDEX('بيانات الحركات'!C:C,MATCH(479,'بيانات الحركات'!$G:$G,0)),"")</f>
        <v/>
      </c>
      <c r="D480" s="3" t="str">
        <f>IFERROR(INDEX('بيانات الحركات'!D:D,MATCH(479,'بيانات الحركات'!$G:$G,0)),"")</f>
        <v/>
      </c>
      <c r="E480" s="21" t="str">
        <f>IF($B480="إنتاج طبخة","",IFERROR(INDEX('بيانات الحركات'!E:E,MATCH(479,'بيانات الحركات'!$G:$G,0)),""))</f>
        <v/>
      </c>
      <c r="F480" s="3" t="str">
        <f>IFERROR(INDEX('بيانات الحركات'!F:F,MATCH(479,'بيانات الحركات'!$G:$G,0)),"")</f>
        <v/>
      </c>
    </row>
    <row r="481" spans="1:6" ht="21.95" customHeight="1">
      <c r="A481" s="8" t="str">
        <f>IFERROR(INDEX('بيانات الحركات'!A:A,MATCH(480,'بيانات الحركات'!$G:$G,0)),"")</f>
        <v/>
      </c>
      <c r="B481" s="5" t="str">
        <f>IFERROR(INDEX('بيانات الحركات'!B:B,MATCH(480,'بيانات الحركات'!$G:$G,0)),"")</f>
        <v/>
      </c>
      <c r="C481" s="3" t="str">
        <f>IFERROR(INDEX('بيانات الحركات'!C:C,MATCH(480,'بيانات الحركات'!$G:$G,0)),"")</f>
        <v/>
      </c>
      <c r="D481" s="3" t="str">
        <f>IFERROR(INDEX('بيانات الحركات'!D:D,MATCH(480,'بيانات الحركات'!$G:$G,0)),"")</f>
        <v/>
      </c>
      <c r="E481" s="21" t="str">
        <f>IF($B481="إنتاج طبخة","",IFERROR(INDEX('بيانات الحركات'!E:E,MATCH(480,'بيانات الحركات'!$G:$G,0)),""))</f>
        <v/>
      </c>
      <c r="F481" s="3" t="str">
        <f>IFERROR(INDEX('بيانات الحركات'!F:F,MATCH(480,'بيانات الحركات'!$G:$G,0)),"")</f>
        <v/>
      </c>
    </row>
    <row r="482" spans="1:6" ht="21.95" customHeight="1">
      <c r="A482" s="8" t="str">
        <f>IFERROR(INDEX('بيانات الحركات'!A:A,MATCH(481,'بيانات الحركات'!$G:$G,0)),"")</f>
        <v/>
      </c>
      <c r="B482" s="5" t="str">
        <f>IFERROR(INDEX('بيانات الحركات'!B:B,MATCH(481,'بيانات الحركات'!$G:$G,0)),"")</f>
        <v/>
      </c>
      <c r="C482" s="3" t="str">
        <f>IFERROR(INDEX('بيانات الحركات'!C:C,MATCH(481,'بيانات الحركات'!$G:$G,0)),"")</f>
        <v/>
      </c>
      <c r="D482" s="3" t="str">
        <f>IFERROR(INDEX('بيانات الحركات'!D:D,MATCH(481,'بيانات الحركات'!$G:$G,0)),"")</f>
        <v/>
      </c>
      <c r="E482" s="21" t="str">
        <f>IF($B482="إنتاج طبخة","",IFERROR(INDEX('بيانات الحركات'!E:E,MATCH(481,'بيانات الحركات'!$G:$G,0)),""))</f>
        <v/>
      </c>
      <c r="F482" s="3" t="str">
        <f>IFERROR(INDEX('بيانات الحركات'!F:F,MATCH(481,'بيانات الحركات'!$G:$G,0)),"")</f>
        <v/>
      </c>
    </row>
    <row r="483" spans="1:6" ht="21.95" customHeight="1">
      <c r="A483" s="8" t="str">
        <f>IFERROR(INDEX('بيانات الحركات'!A:A,MATCH(482,'بيانات الحركات'!$G:$G,0)),"")</f>
        <v/>
      </c>
      <c r="B483" s="5" t="str">
        <f>IFERROR(INDEX('بيانات الحركات'!B:B,MATCH(482,'بيانات الحركات'!$G:$G,0)),"")</f>
        <v/>
      </c>
      <c r="C483" s="3" t="str">
        <f>IFERROR(INDEX('بيانات الحركات'!C:C,MATCH(482,'بيانات الحركات'!$G:$G,0)),"")</f>
        <v/>
      </c>
      <c r="D483" s="3" t="str">
        <f>IFERROR(INDEX('بيانات الحركات'!D:D,MATCH(482,'بيانات الحركات'!$G:$G,0)),"")</f>
        <v/>
      </c>
      <c r="E483" s="21" t="str">
        <f>IF($B483="إنتاج طبخة","",IFERROR(INDEX('بيانات الحركات'!E:E,MATCH(482,'بيانات الحركات'!$G:$G,0)),""))</f>
        <v/>
      </c>
      <c r="F483" s="3" t="str">
        <f>IFERROR(INDEX('بيانات الحركات'!F:F,MATCH(482,'بيانات الحركات'!$G:$G,0)),"")</f>
        <v/>
      </c>
    </row>
    <row r="484" spans="1:6" ht="21.95" customHeight="1">
      <c r="A484" s="8" t="str">
        <f>IFERROR(INDEX('بيانات الحركات'!A:A,MATCH(483,'بيانات الحركات'!$G:$G,0)),"")</f>
        <v/>
      </c>
      <c r="B484" s="5" t="str">
        <f>IFERROR(INDEX('بيانات الحركات'!B:B,MATCH(483,'بيانات الحركات'!$G:$G,0)),"")</f>
        <v/>
      </c>
      <c r="C484" s="3" t="str">
        <f>IFERROR(INDEX('بيانات الحركات'!C:C,MATCH(483,'بيانات الحركات'!$G:$G,0)),"")</f>
        <v/>
      </c>
      <c r="D484" s="3" t="str">
        <f>IFERROR(INDEX('بيانات الحركات'!D:D,MATCH(483,'بيانات الحركات'!$G:$G,0)),"")</f>
        <v/>
      </c>
      <c r="E484" s="21" t="str">
        <f>IF($B484="إنتاج طبخة","",IFERROR(INDEX('بيانات الحركات'!E:E,MATCH(483,'بيانات الحركات'!$G:$G,0)),""))</f>
        <v/>
      </c>
      <c r="F484" s="3" t="str">
        <f>IFERROR(INDEX('بيانات الحركات'!F:F,MATCH(483,'بيانات الحركات'!$G:$G,0)),"")</f>
        <v/>
      </c>
    </row>
    <row r="485" spans="1:6" ht="21.95" customHeight="1">
      <c r="A485" s="8" t="str">
        <f>IFERROR(INDEX('بيانات الحركات'!A:A,MATCH(484,'بيانات الحركات'!$G:$G,0)),"")</f>
        <v/>
      </c>
      <c r="B485" s="5" t="str">
        <f>IFERROR(INDEX('بيانات الحركات'!B:B,MATCH(484,'بيانات الحركات'!$G:$G,0)),"")</f>
        <v/>
      </c>
      <c r="C485" s="3" t="str">
        <f>IFERROR(INDEX('بيانات الحركات'!C:C,MATCH(484,'بيانات الحركات'!$G:$G,0)),"")</f>
        <v/>
      </c>
      <c r="D485" s="3" t="str">
        <f>IFERROR(INDEX('بيانات الحركات'!D:D,MATCH(484,'بيانات الحركات'!$G:$G,0)),"")</f>
        <v/>
      </c>
      <c r="E485" s="21" t="str">
        <f>IF($B485="إنتاج طبخة","",IFERROR(INDEX('بيانات الحركات'!E:E,MATCH(484,'بيانات الحركات'!$G:$G,0)),""))</f>
        <v/>
      </c>
      <c r="F485" s="3" t="str">
        <f>IFERROR(INDEX('بيانات الحركات'!F:F,MATCH(484,'بيانات الحركات'!$G:$G,0)),"")</f>
        <v/>
      </c>
    </row>
    <row r="486" spans="1:6" ht="21.95" customHeight="1">
      <c r="A486" s="8" t="str">
        <f>IFERROR(INDEX('بيانات الحركات'!A:A,MATCH(485,'بيانات الحركات'!$G:$G,0)),"")</f>
        <v/>
      </c>
      <c r="B486" s="5" t="str">
        <f>IFERROR(INDEX('بيانات الحركات'!B:B,MATCH(485,'بيانات الحركات'!$G:$G,0)),"")</f>
        <v/>
      </c>
      <c r="C486" s="3" t="str">
        <f>IFERROR(INDEX('بيانات الحركات'!C:C,MATCH(485,'بيانات الحركات'!$G:$G,0)),"")</f>
        <v/>
      </c>
      <c r="D486" s="3" t="str">
        <f>IFERROR(INDEX('بيانات الحركات'!D:D,MATCH(485,'بيانات الحركات'!$G:$G,0)),"")</f>
        <v/>
      </c>
      <c r="E486" s="21" t="str">
        <f>IF($B486="إنتاج طبخة","",IFERROR(INDEX('بيانات الحركات'!E:E,MATCH(485,'بيانات الحركات'!$G:$G,0)),""))</f>
        <v/>
      </c>
      <c r="F486" s="3" t="str">
        <f>IFERROR(INDEX('بيانات الحركات'!F:F,MATCH(485,'بيانات الحركات'!$G:$G,0)),"")</f>
        <v/>
      </c>
    </row>
    <row r="487" spans="1:6" ht="21.95" customHeight="1">
      <c r="A487" s="8" t="str">
        <f>IFERROR(INDEX('بيانات الحركات'!A:A,MATCH(486,'بيانات الحركات'!$G:$G,0)),"")</f>
        <v/>
      </c>
      <c r="B487" s="5" t="str">
        <f>IFERROR(INDEX('بيانات الحركات'!B:B,MATCH(486,'بيانات الحركات'!$G:$G,0)),"")</f>
        <v/>
      </c>
      <c r="C487" s="3" t="str">
        <f>IFERROR(INDEX('بيانات الحركات'!C:C,MATCH(486,'بيانات الحركات'!$G:$G,0)),"")</f>
        <v/>
      </c>
      <c r="D487" s="3" t="str">
        <f>IFERROR(INDEX('بيانات الحركات'!D:D,MATCH(486,'بيانات الحركات'!$G:$G,0)),"")</f>
        <v/>
      </c>
      <c r="E487" s="21" t="str">
        <f>IF($B487="إنتاج طبخة","",IFERROR(INDEX('بيانات الحركات'!E:E,MATCH(486,'بيانات الحركات'!$G:$G,0)),""))</f>
        <v/>
      </c>
      <c r="F487" s="3" t="str">
        <f>IFERROR(INDEX('بيانات الحركات'!F:F,MATCH(486,'بيانات الحركات'!$G:$G,0)),"")</f>
        <v/>
      </c>
    </row>
    <row r="488" spans="1:6" ht="21.95" customHeight="1">
      <c r="A488" s="8" t="str">
        <f>IFERROR(INDEX('بيانات الحركات'!A:A,MATCH(487,'بيانات الحركات'!$G:$G,0)),"")</f>
        <v/>
      </c>
      <c r="B488" s="5" t="str">
        <f>IFERROR(INDEX('بيانات الحركات'!B:B,MATCH(487,'بيانات الحركات'!$G:$G,0)),"")</f>
        <v/>
      </c>
      <c r="C488" s="3" t="str">
        <f>IFERROR(INDEX('بيانات الحركات'!C:C,MATCH(487,'بيانات الحركات'!$G:$G,0)),"")</f>
        <v/>
      </c>
      <c r="D488" s="3" t="str">
        <f>IFERROR(INDEX('بيانات الحركات'!D:D,MATCH(487,'بيانات الحركات'!$G:$G,0)),"")</f>
        <v/>
      </c>
      <c r="E488" s="21" t="str">
        <f>IF($B488="إنتاج طبخة","",IFERROR(INDEX('بيانات الحركات'!E:E,MATCH(487,'بيانات الحركات'!$G:$G,0)),""))</f>
        <v/>
      </c>
      <c r="F488" s="3" t="str">
        <f>IFERROR(INDEX('بيانات الحركات'!F:F,MATCH(487,'بيانات الحركات'!$G:$G,0)),"")</f>
        <v/>
      </c>
    </row>
    <row r="489" spans="1:6" ht="21.95" customHeight="1">
      <c r="A489" s="8" t="str">
        <f>IFERROR(INDEX('بيانات الحركات'!A:A,MATCH(488,'بيانات الحركات'!$G:$G,0)),"")</f>
        <v/>
      </c>
      <c r="B489" s="5" t="str">
        <f>IFERROR(INDEX('بيانات الحركات'!B:B,MATCH(488,'بيانات الحركات'!$G:$G,0)),"")</f>
        <v/>
      </c>
      <c r="C489" s="3" t="str">
        <f>IFERROR(INDEX('بيانات الحركات'!C:C,MATCH(488,'بيانات الحركات'!$G:$G,0)),"")</f>
        <v/>
      </c>
      <c r="D489" s="3" t="str">
        <f>IFERROR(INDEX('بيانات الحركات'!D:D,MATCH(488,'بيانات الحركات'!$G:$G,0)),"")</f>
        <v/>
      </c>
      <c r="E489" s="21" t="str">
        <f>IF($B489="إنتاج طبخة","",IFERROR(INDEX('بيانات الحركات'!E:E,MATCH(488,'بيانات الحركات'!$G:$G,0)),""))</f>
        <v/>
      </c>
      <c r="F489" s="3" t="str">
        <f>IFERROR(INDEX('بيانات الحركات'!F:F,MATCH(488,'بيانات الحركات'!$G:$G,0)),"")</f>
        <v/>
      </c>
    </row>
    <row r="490" spans="1:6" ht="21.95" customHeight="1">
      <c r="A490" s="8" t="str">
        <f>IFERROR(INDEX('بيانات الحركات'!A:A,MATCH(489,'بيانات الحركات'!$G:$G,0)),"")</f>
        <v/>
      </c>
      <c r="B490" s="5" t="str">
        <f>IFERROR(INDEX('بيانات الحركات'!B:B,MATCH(489,'بيانات الحركات'!$G:$G,0)),"")</f>
        <v/>
      </c>
      <c r="C490" s="3" t="str">
        <f>IFERROR(INDEX('بيانات الحركات'!C:C,MATCH(489,'بيانات الحركات'!$G:$G,0)),"")</f>
        <v/>
      </c>
      <c r="D490" s="3" t="str">
        <f>IFERROR(INDEX('بيانات الحركات'!D:D,MATCH(489,'بيانات الحركات'!$G:$G,0)),"")</f>
        <v/>
      </c>
      <c r="E490" s="21" t="str">
        <f>IF($B490="إنتاج طبخة","",IFERROR(INDEX('بيانات الحركات'!E:E,MATCH(489,'بيانات الحركات'!$G:$G,0)),""))</f>
        <v/>
      </c>
      <c r="F490" s="3" t="str">
        <f>IFERROR(INDEX('بيانات الحركات'!F:F,MATCH(489,'بيانات الحركات'!$G:$G,0)),"")</f>
        <v/>
      </c>
    </row>
    <row r="491" spans="1:6" ht="21.95" customHeight="1">
      <c r="A491" s="8" t="str">
        <f>IFERROR(INDEX('بيانات الحركات'!A:A,MATCH(490,'بيانات الحركات'!$G:$G,0)),"")</f>
        <v/>
      </c>
      <c r="B491" s="5" t="str">
        <f>IFERROR(INDEX('بيانات الحركات'!B:B,MATCH(490,'بيانات الحركات'!$G:$G,0)),"")</f>
        <v/>
      </c>
      <c r="C491" s="3" t="str">
        <f>IFERROR(INDEX('بيانات الحركات'!C:C,MATCH(490,'بيانات الحركات'!$G:$G,0)),"")</f>
        <v/>
      </c>
      <c r="D491" s="3" t="str">
        <f>IFERROR(INDEX('بيانات الحركات'!D:D,MATCH(490,'بيانات الحركات'!$G:$G,0)),"")</f>
        <v/>
      </c>
      <c r="E491" s="21" t="str">
        <f>IF($B491="إنتاج طبخة","",IFERROR(INDEX('بيانات الحركات'!E:E,MATCH(490,'بيانات الحركات'!$G:$G,0)),""))</f>
        <v/>
      </c>
      <c r="F491" s="3" t="str">
        <f>IFERROR(INDEX('بيانات الحركات'!F:F,MATCH(490,'بيانات الحركات'!$G:$G,0)),"")</f>
        <v/>
      </c>
    </row>
    <row r="492" spans="1:6" ht="21.95" customHeight="1">
      <c r="A492" s="8" t="str">
        <f>IFERROR(INDEX('بيانات الحركات'!A:A,MATCH(491,'بيانات الحركات'!$G:$G,0)),"")</f>
        <v/>
      </c>
      <c r="B492" s="5" t="str">
        <f>IFERROR(INDEX('بيانات الحركات'!B:B,MATCH(491,'بيانات الحركات'!$G:$G,0)),"")</f>
        <v/>
      </c>
      <c r="C492" s="3" t="str">
        <f>IFERROR(INDEX('بيانات الحركات'!C:C,MATCH(491,'بيانات الحركات'!$G:$G,0)),"")</f>
        <v/>
      </c>
      <c r="D492" s="3" t="str">
        <f>IFERROR(INDEX('بيانات الحركات'!D:D,MATCH(491,'بيانات الحركات'!$G:$G,0)),"")</f>
        <v/>
      </c>
      <c r="E492" s="21" t="str">
        <f>IF($B492="إنتاج طبخة","",IFERROR(INDEX('بيانات الحركات'!E:E,MATCH(491,'بيانات الحركات'!$G:$G,0)),""))</f>
        <v/>
      </c>
      <c r="F492" s="3" t="str">
        <f>IFERROR(INDEX('بيانات الحركات'!F:F,MATCH(491,'بيانات الحركات'!$G:$G,0)),"")</f>
        <v/>
      </c>
    </row>
    <row r="493" spans="1:6" ht="21.95" customHeight="1">
      <c r="A493" s="8" t="str">
        <f>IFERROR(INDEX('بيانات الحركات'!A:A,MATCH(492,'بيانات الحركات'!$G:$G,0)),"")</f>
        <v/>
      </c>
      <c r="B493" s="5" t="str">
        <f>IFERROR(INDEX('بيانات الحركات'!B:B,MATCH(492,'بيانات الحركات'!$G:$G,0)),"")</f>
        <v/>
      </c>
      <c r="C493" s="3" t="str">
        <f>IFERROR(INDEX('بيانات الحركات'!C:C,MATCH(492,'بيانات الحركات'!$G:$G,0)),"")</f>
        <v/>
      </c>
      <c r="D493" s="3" t="str">
        <f>IFERROR(INDEX('بيانات الحركات'!D:D,MATCH(492,'بيانات الحركات'!$G:$G,0)),"")</f>
        <v/>
      </c>
      <c r="E493" s="21" t="str">
        <f>IF($B493="إنتاج طبخة","",IFERROR(INDEX('بيانات الحركات'!E:E,MATCH(492,'بيانات الحركات'!$G:$G,0)),""))</f>
        <v/>
      </c>
      <c r="F493" s="3" t="str">
        <f>IFERROR(INDEX('بيانات الحركات'!F:F,MATCH(492,'بيانات الحركات'!$G:$G,0)),"")</f>
        <v/>
      </c>
    </row>
    <row r="494" spans="1:6" ht="21.95" customHeight="1">
      <c r="A494" s="8" t="str">
        <f>IFERROR(INDEX('بيانات الحركات'!A:A,MATCH(493,'بيانات الحركات'!$G:$G,0)),"")</f>
        <v/>
      </c>
      <c r="B494" s="5" t="str">
        <f>IFERROR(INDEX('بيانات الحركات'!B:B,MATCH(493,'بيانات الحركات'!$G:$G,0)),"")</f>
        <v/>
      </c>
      <c r="C494" s="3" t="str">
        <f>IFERROR(INDEX('بيانات الحركات'!C:C,MATCH(493,'بيانات الحركات'!$G:$G,0)),"")</f>
        <v/>
      </c>
      <c r="D494" s="3" t="str">
        <f>IFERROR(INDEX('بيانات الحركات'!D:D,MATCH(493,'بيانات الحركات'!$G:$G,0)),"")</f>
        <v/>
      </c>
      <c r="E494" s="21" t="str">
        <f>IF($B494="إنتاج طبخة","",IFERROR(INDEX('بيانات الحركات'!E:E,MATCH(493,'بيانات الحركات'!$G:$G,0)),""))</f>
        <v/>
      </c>
      <c r="F494" s="3" t="str">
        <f>IFERROR(INDEX('بيانات الحركات'!F:F,MATCH(493,'بيانات الحركات'!$G:$G,0)),"")</f>
        <v/>
      </c>
    </row>
    <row r="495" spans="1:6" ht="21.95" customHeight="1">
      <c r="A495" s="8" t="str">
        <f>IFERROR(INDEX('بيانات الحركات'!A:A,MATCH(494,'بيانات الحركات'!$G:$G,0)),"")</f>
        <v/>
      </c>
      <c r="B495" s="5" t="str">
        <f>IFERROR(INDEX('بيانات الحركات'!B:B,MATCH(494,'بيانات الحركات'!$G:$G,0)),"")</f>
        <v/>
      </c>
      <c r="C495" s="3" t="str">
        <f>IFERROR(INDEX('بيانات الحركات'!C:C,MATCH(494,'بيانات الحركات'!$G:$G,0)),"")</f>
        <v/>
      </c>
      <c r="D495" s="3" t="str">
        <f>IFERROR(INDEX('بيانات الحركات'!D:D,MATCH(494,'بيانات الحركات'!$G:$G,0)),"")</f>
        <v/>
      </c>
      <c r="E495" s="21" t="str">
        <f>IF($B495="إنتاج طبخة","",IFERROR(INDEX('بيانات الحركات'!E:E,MATCH(494,'بيانات الحركات'!$G:$G,0)),""))</f>
        <v/>
      </c>
      <c r="F495" s="3" t="str">
        <f>IFERROR(INDEX('بيانات الحركات'!F:F,MATCH(494,'بيانات الحركات'!$G:$G,0)),"")</f>
        <v/>
      </c>
    </row>
    <row r="496" spans="1:6" ht="21.95" customHeight="1">
      <c r="A496" s="8" t="str">
        <f>IFERROR(INDEX('بيانات الحركات'!A:A,MATCH(495,'بيانات الحركات'!$G:$G,0)),"")</f>
        <v/>
      </c>
      <c r="B496" s="5" t="str">
        <f>IFERROR(INDEX('بيانات الحركات'!B:B,MATCH(495,'بيانات الحركات'!$G:$G,0)),"")</f>
        <v/>
      </c>
      <c r="C496" s="3" t="str">
        <f>IFERROR(INDEX('بيانات الحركات'!C:C,MATCH(495,'بيانات الحركات'!$G:$G,0)),"")</f>
        <v/>
      </c>
      <c r="D496" s="3" t="str">
        <f>IFERROR(INDEX('بيانات الحركات'!D:D,MATCH(495,'بيانات الحركات'!$G:$G,0)),"")</f>
        <v/>
      </c>
      <c r="E496" s="21" t="str">
        <f>IF($B496="إنتاج طبخة","",IFERROR(INDEX('بيانات الحركات'!E:E,MATCH(495,'بيانات الحركات'!$G:$G,0)),""))</f>
        <v/>
      </c>
      <c r="F496" s="3" t="str">
        <f>IFERROR(INDEX('بيانات الحركات'!F:F,MATCH(495,'بيانات الحركات'!$G:$G,0)),"")</f>
        <v/>
      </c>
    </row>
    <row r="497" spans="1:6" ht="21.95" customHeight="1">
      <c r="A497" s="8" t="str">
        <f>IFERROR(INDEX('بيانات الحركات'!A:A,MATCH(496,'بيانات الحركات'!$G:$G,0)),"")</f>
        <v/>
      </c>
      <c r="B497" s="5" t="str">
        <f>IFERROR(INDEX('بيانات الحركات'!B:B,MATCH(496,'بيانات الحركات'!$G:$G,0)),"")</f>
        <v/>
      </c>
      <c r="C497" s="3" t="str">
        <f>IFERROR(INDEX('بيانات الحركات'!C:C,MATCH(496,'بيانات الحركات'!$G:$G,0)),"")</f>
        <v/>
      </c>
      <c r="D497" s="3" t="str">
        <f>IFERROR(INDEX('بيانات الحركات'!D:D,MATCH(496,'بيانات الحركات'!$G:$G,0)),"")</f>
        <v/>
      </c>
      <c r="E497" s="21" t="str">
        <f>IF($B497="إنتاج طبخة","",IFERROR(INDEX('بيانات الحركات'!E:E,MATCH(496,'بيانات الحركات'!$G:$G,0)),""))</f>
        <v/>
      </c>
      <c r="F497" s="3" t="str">
        <f>IFERROR(INDEX('بيانات الحركات'!F:F,MATCH(496,'بيانات الحركات'!$G:$G,0)),"")</f>
        <v/>
      </c>
    </row>
    <row r="498" spans="1:6" ht="21.95" customHeight="1">
      <c r="A498" s="8" t="str">
        <f>IFERROR(INDEX('بيانات الحركات'!A:A,MATCH(497,'بيانات الحركات'!$G:$G,0)),"")</f>
        <v/>
      </c>
      <c r="B498" s="5" t="str">
        <f>IFERROR(INDEX('بيانات الحركات'!B:B,MATCH(497,'بيانات الحركات'!$G:$G,0)),"")</f>
        <v/>
      </c>
      <c r="C498" s="3" t="str">
        <f>IFERROR(INDEX('بيانات الحركات'!C:C,MATCH(497,'بيانات الحركات'!$G:$G,0)),"")</f>
        <v/>
      </c>
      <c r="D498" s="3" t="str">
        <f>IFERROR(INDEX('بيانات الحركات'!D:D,MATCH(497,'بيانات الحركات'!$G:$G,0)),"")</f>
        <v/>
      </c>
      <c r="E498" s="21" t="str">
        <f>IF($B498="إنتاج طبخة","",IFERROR(INDEX('بيانات الحركات'!E:E,MATCH(497,'بيانات الحركات'!$G:$G,0)),""))</f>
        <v/>
      </c>
      <c r="F498" s="3" t="str">
        <f>IFERROR(INDEX('بيانات الحركات'!F:F,MATCH(497,'بيانات الحركات'!$G:$G,0)),"")</f>
        <v/>
      </c>
    </row>
    <row r="499" spans="1:6" ht="21.95" customHeight="1">
      <c r="A499" s="8" t="str">
        <f>IFERROR(INDEX('بيانات الحركات'!A:A,MATCH(498,'بيانات الحركات'!$G:$G,0)),"")</f>
        <v/>
      </c>
      <c r="B499" s="5" t="str">
        <f>IFERROR(INDEX('بيانات الحركات'!B:B,MATCH(498,'بيانات الحركات'!$G:$G,0)),"")</f>
        <v/>
      </c>
      <c r="C499" s="3" t="str">
        <f>IFERROR(INDEX('بيانات الحركات'!C:C,MATCH(498,'بيانات الحركات'!$G:$G,0)),"")</f>
        <v/>
      </c>
      <c r="D499" s="3" t="str">
        <f>IFERROR(INDEX('بيانات الحركات'!D:D,MATCH(498,'بيانات الحركات'!$G:$G,0)),"")</f>
        <v/>
      </c>
      <c r="E499" s="21" t="str">
        <f>IF($B499="إنتاج طبخة","",IFERROR(INDEX('بيانات الحركات'!E:E,MATCH(498,'بيانات الحركات'!$G:$G,0)),""))</f>
        <v/>
      </c>
      <c r="F499" s="3" t="str">
        <f>IFERROR(INDEX('بيانات الحركات'!F:F,MATCH(498,'بيانات الحركات'!$G:$G,0)),"")</f>
        <v/>
      </c>
    </row>
    <row r="500" spans="1:6" ht="21.95" customHeight="1">
      <c r="A500" s="8" t="str">
        <f>IFERROR(INDEX('بيانات الحركات'!A:A,MATCH(499,'بيانات الحركات'!$G:$G,0)),"")</f>
        <v/>
      </c>
      <c r="B500" s="5" t="str">
        <f>IFERROR(INDEX('بيانات الحركات'!B:B,MATCH(499,'بيانات الحركات'!$G:$G,0)),"")</f>
        <v/>
      </c>
      <c r="C500" s="3" t="str">
        <f>IFERROR(INDEX('بيانات الحركات'!C:C,MATCH(499,'بيانات الحركات'!$G:$G,0)),"")</f>
        <v/>
      </c>
      <c r="D500" s="3" t="str">
        <f>IFERROR(INDEX('بيانات الحركات'!D:D,MATCH(499,'بيانات الحركات'!$G:$G,0)),"")</f>
        <v/>
      </c>
      <c r="E500" s="21" t="str">
        <f>IF($B500="إنتاج طبخة","",IFERROR(INDEX('بيانات الحركات'!E:E,MATCH(499,'بيانات الحركات'!$G:$G,0)),""))</f>
        <v/>
      </c>
      <c r="F500" s="3" t="str">
        <f>IFERROR(INDEX('بيانات الحركات'!F:F,MATCH(499,'بيانات الحركات'!$G:$G,0)),"")</f>
        <v/>
      </c>
    </row>
    <row r="501" spans="1:6" ht="21.95" customHeight="1">
      <c r="A501" s="8" t="str">
        <f>IFERROR(INDEX('بيانات الحركات'!A:A,MATCH(500,'بيانات الحركات'!$G:$G,0)),"")</f>
        <v/>
      </c>
      <c r="B501" s="5" t="str">
        <f>IFERROR(INDEX('بيانات الحركات'!B:B,MATCH(500,'بيانات الحركات'!$G:$G,0)),"")</f>
        <v/>
      </c>
      <c r="C501" s="3" t="str">
        <f>IFERROR(INDEX('بيانات الحركات'!C:C,MATCH(500,'بيانات الحركات'!$G:$G,0)),"")</f>
        <v/>
      </c>
      <c r="D501" s="3" t="str">
        <f>IFERROR(INDEX('بيانات الحركات'!D:D,MATCH(500,'بيانات الحركات'!$G:$G,0)),"")</f>
        <v/>
      </c>
      <c r="E501" s="21" t="str">
        <f>IF($B501="إنتاج طبخة","",IFERROR(INDEX('بيانات الحركات'!E:E,MATCH(500,'بيانات الحركات'!$G:$G,0)),""))</f>
        <v/>
      </c>
      <c r="F501" s="3" t="str">
        <f>IFERROR(INDEX('بيانات الحركات'!F:F,MATCH(500,'بيانات الحركات'!$G:$G,0)),"")</f>
        <v/>
      </c>
    </row>
    <row r="502" spans="1:6" ht="21.95" customHeight="1">
      <c r="A502" s="8" t="str">
        <f>IFERROR(INDEX('بيانات الحركات'!A:A,MATCH(501,'بيانات الحركات'!$G:$G,0)),"")</f>
        <v/>
      </c>
      <c r="B502" s="5" t="str">
        <f>IFERROR(INDEX('بيانات الحركات'!B:B,MATCH(501,'بيانات الحركات'!$G:$G,0)),"")</f>
        <v/>
      </c>
      <c r="C502" s="3" t="str">
        <f>IFERROR(INDEX('بيانات الحركات'!C:C,MATCH(501,'بيانات الحركات'!$G:$G,0)),"")</f>
        <v/>
      </c>
      <c r="D502" s="3" t="str">
        <f>IFERROR(INDEX('بيانات الحركات'!D:D,MATCH(501,'بيانات الحركات'!$G:$G,0)),"")</f>
        <v/>
      </c>
      <c r="E502" s="21" t="str">
        <f>IF($B502="إنتاج طبخة","",IFERROR(INDEX('بيانات الحركات'!E:E,MATCH(501,'بيانات الحركات'!$G:$G,0)),""))</f>
        <v/>
      </c>
      <c r="F502" s="3" t="str">
        <f>IFERROR(INDEX('بيانات الحركات'!F:F,MATCH(501,'بيانات الحركات'!$G:$G,0)),"")</f>
        <v/>
      </c>
    </row>
    <row r="503" spans="1:6" ht="21.95" customHeight="1">
      <c r="A503" s="8" t="str">
        <f>IFERROR(INDEX('بيانات الحركات'!A:A,MATCH(502,'بيانات الحركات'!$G:$G,0)),"")</f>
        <v/>
      </c>
      <c r="B503" s="5" t="str">
        <f>IFERROR(INDEX('بيانات الحركات'!B:B,MATCH(502,'بيانات الحركات'!$G:$G,0)),"")</f>
        <v/>
      </c>
      <c r="C503" s="3" t="str">
        <f>IFERROR(INDEX('بيانات الحركات'!C:C,MATCH(502,'بيانات الحركات'!$G:$G,0)),"")</f>
        <v/>
      </c>
      <c r="D503" s="3" t="str">
        <f>IFERROR(INDEX('بيانات الحركات'!D:D,MATCH(502,'بيانات الحركات'!$G:$G,0)),"")</f>
        <v/>
      </c>
      <c r="E503" s="21" t="str">
        <f>IF($B503="إنتاج طبخة","",IFERROR(INDEX('بيانات الحركات'!E:E,MATCH(502,'بيانات الحركات'!$G:$G,0)),""))</f>
        <v/>
      </c>
      <c r="F503" s="3" t="str">
        <f>IFERROR(INDEX('بيانات الحركات'!F:F,MATCH(502,'بيانات الحركات'!$G:$G,0)),"")</f>
        <v/>
      </c>
    </row>
    <row r="504" spans="1:6" ht="21.95" customHeight="1">
      <c r="A504" s="8" t="str">
        <f>IFERROR(INDEX('بيانات الحركات'!A:A,MATCH(503,'بيانات الحركات'!$G:$G,0)),"")</f>
        <v/>
      </c>
      <c r="B504" s="5" t="str">
        <f>IFERROR(INDEX('بيانات الحركات'!B:B,MATCH(503,'بيانات الحركات'!$G:$G,0)),"")</f>
        <v/>
      </c>
      <c r="C504" s="3" t="str">
        <f>IFERROR(INDEX('بيانات الحركات'!C:C,MATCH(503,'بيانات الحركات'!$G:$G,0)),"")</f>
        <v/>
      </c>
      <c r="D504" s="3" t="str">
        <f>IFERROR(INDEX('بيانات الحركات'!D:D,MATCH(503,'بيانات الحركات'!$G:$G,0)),"")</f>
        <v/>
      </c>
      <c r="E504" s="21" t="str">
        <f>IF($B504="إنتاج طبخة","",IFERROR(INDEX('بيانات الحركات'!E:E,MATCH(503,'بيانات الحركات'!$G:$G,0)),""))</f>
        <v/>
      </c>
      <c r="F504" s="3" t="str">
        <f>IFERROR(INDEX('بيانات الحركات'!F:F,MATCH(503,'بيانات الحركات'!$G:$G,0)),"")</f>
        <v/>
      </c>
    </row>
    <row r="505" spans="1:6" ht="21.95" customHeight="1">
      <c r="A505" s="8" t="str">
        <f>IFERROR(INDEX('بيانات الحركات'!A:A,MATCH(504,'بيانات الحركات'!$G:$G,0)),"")</f>
        <v/>
      </c>
      <c r="B505" s="5" t="str">
        <f>IFERROR(INDEX('بيانات الحركات'!B:B,MATCH(504,'بيانات الحركات'!$G:$G,0)),"")</f>
        <v/>
      </c>
      <c r="C505" s="3" t="str">
        <f>IFERROR(INDEX('بيانات الحركات'!C:C,MATCH(504,'بيانات الحركات'!$G:$G,0)),"")</f>
        <v/>
      </c>
      <c r="D505" s="3" t="str">
        <f>IFERROR(INDEX('بيانات الحركات'!D:D,MATCH(504,'بيانات الحركات'!$G:$G,0)),"")</f>
        <v/>
      </c>
      <c r="E505" s="21" t="str">
        <f>IF($B505="إنتاج طبخة","",IFERROR(INDEX('بيانات الحركات'!E:E,MATCH(504,'بيانات الحركات'!$G:$G,0)),""))</f>
        <v/>
      </c>
      <c r="F505" s="3" t="str">
        <f>IFERROR(INDEX('بيانات الحركات'!F:F,MATCH(504,'بيانات الحركات'!$G:$G,0)),"")</f>
        <v/>
      </c>
    </row>
    <row r="506" spans="1:6" ht="21.95" customHeight="1">
      <c r="A506" s="8" t="str">
        <f>IFERROR(INDEX('بيانات الحركات'!A:A,MATCH(505,'بيانات الحركات'!$G:$G,0)),"")</f>
        <v/>
      </c>
      <c r="B506" s="5" t="str">
        <f>IFERROR(INDEX('بيانات الحركات'!B:B,MATCH(505,'بيانات الحركات'!$G:$G,0)),"")</f>
        <v/>
      </c>
      <c r="C506" s="3" t="str">
        <f>IFERROR(INDEX('بيانات الحركات'!C:C,MATCH(505,'بيانات الحركات'!$G:$G,0)),"")</f>
        <v/>
      </c>
      <c r="D506" s="3" t="str">
        <f>IFERROR(INDEX('بيانات الحركات'!D:D,MATCH(505,'بيانات الحركات'!$G:$G,0)),"")</f>
        <v/>
      </c>
      <c r="E506" s="21" t="str">
        <f>IF($B506="إنتاج طبخة","",IFERROR(INDEX('بيانات الحركات'!E:E,MATCH(505,'بيانات الحركات'!$G:$G,0)),""))</f>
        <v/>
      </c>
      <c r="F506" s="3" t="str">
        <f>IFERROR(INDEX('بيانات الحركات'!F:F,MATCH(505,'بيانات الحركات'!$G:$G,0)),"")</f>
        <v/>
      </c>
    </row>
    <row r="507" spans="1:6" ht="21.95" customHeight="1">
      <c r="A507" s="8" t="str">
        <f>IFERROR(INDEX('بيانات الحركات'!A:A,MATCH(506,'بيانات الحركات'!$G:$G,0)),"")</f>
        <v/>
      </c>
      <c r="B507" s="5" t="str">
        <f>IFERROR(INDEX('بيانات الحركات'!B:B,MATCH(506,'بيانات الحركات'!$G:$G,0)),"")</f>
        <v/>
      </c>
      <c r="C507" s="3" t="str">
        <f>IFERROR(INDEX('بيانات الحركات'!C:C,MATCH(506,'بيانات الحركات'!$G:$G,0)),"")</f>
        <v/>
      </c>
      <c r="D507" s="3" t="str">
        <f>IFERROR(INDEX('بيانات الحركات'!D:D,MATCH(506,'بيانات الحركات'!$G:$G,0)),"")</f>
        <v/>
      </c>
      <c r="E507" s="21" t="str">
        <f>IF($B507="إنتاج طبخة","",IFERROR(INDEX('بيانات الحركات'!E:E,MATCH(506,'بيانات الحركات'!$G:$G,0)),""))</f>
        <v/>
      </c>
      <c r="F507" s="3" t="str">
        <f>IFERROR(INDEX('بيانات الحركات'!F:F,MATCH(506,'بيانات الحركات'!$G:$G,0)),"")</f>
        <v/>
      </c>
    </row>
    <row r="508" spans="1:6" ht="21.95" customHeight="1">
      <c r="A508" s="8" t="str">
        <f>IFERROR(INDEX('بيانات الحركات'!A:A,MATCH(507,'بيانات الحركات'!$G:$G,0)),"")</f>
        <v/>
      </c>
      <c r="B508" s="5" t="str">
        <f>IFERROR(INDEX('بيانات الحركات'!B:B,MATCH(507,'بيانات الحركات'!$G:$G,0)),"")</f>
        <v/>
      </c>
      <c r="C508" s="3" t="str">
        <f>IFERROR(INDEX('بيانات الحركات'!C:C,MATCH(507,'بيانات الحركات'!$G:$G,0)),"")</f>
        <v/>
      </c>
      <c r="D508" s="3" t="str">
        <f>IFERROR(INDEX('بيانات الحركات'!D:D,MATCH(507,'بيانات الحركات'!$G:$G,0)),"")</f>
        <v/>
      </c>
      <c r="E508" s="21" t="str">
        <f>IF($B508="إنتاج طبخة","",IFERROR(INDEX('بيانات الحركات'!E:E,MATCH(507,'بيانات الحركات'!$G:$G,0)),""))</f>
        <v/>
      </c>
      <c r="F508" s="3" t="str">
        <f>IFERROR(INDEX('بيانات الحركات'!F:F,MATCH(507,'بيانات الحركات'!$G:$G,0)),"")</f>
        <v/>
      </c>
    </row>
    <row r="509" spans="1:6" ht="21.95" customHeight="1">
      <c r="A509" s="8" t="str">
        <f>IFERROR(INDEX('بيانات الحركات'!A:A,MATCH(508,'بيانات الحركات'!$G:$G,0)),"")</f>
        <v/>
      </c>
      <c r="B509" s="5" t="str">
        <f>IFERROR(INDEX('بيانات الحركات'!B:B,MATCH(508,'بيانات الحركات'!$G:$G,0)),"")</f>
        <v/>
      </c>
      <c r="C509" s="3" t="str">
        <f>IFERROR(INDEX('بيانات الحركات'!C:C,MATCH(508,'بيانات الحركات'!$G:$G,0)),"")</f>
        <v/>
      </c>
      <c r="D509" s="3" t="str">
        <f>IFERROR(INDEX('بيانات الحركات'!D:D,MATCH(508,'بيانات الحركات'!$G:$G,0)),"")</f>
        <v/>
      </c>
      <c r="E509" s="21" t="str">
        <f>IF($B509="إنتاج طبخة","",IFERROR(INDEX('بيانات الحركات'!E:E,MATCH(508,'بيانات الحركات'!$G:$G,0)),""))</f>
        <v/>
      </c>
      <c r="F509" s="3" t="str">
        <f>IFERROR(INDEX('بيانات الحركات'!F:F,MATCH(508,'بيانات الحركات'!$G:$G,0)),"")</f>
        <v/>
      </c>
    </row>
    <row r="510" spans="1:6" ht="21.95" customHeight="1">
      <c r="A510" s="8" t="str">
        <f>IFERROR(INDEX('بيانات الحركات'!A:A,MATCH(509,'بيانات الحركات'!$G:$G,0)),"")</f>
        <v/>
      </c>
      <c r="B510" s="5" t="str">
        <f>IFERROR(INDEX('بيانات الحركات'!B:B,MATCH(509,'بيانات الحركات'!$G:$G,0)),"")</f>
        <v/>
      </c>
      <c r="C510" s="3" t="str">
        <f>IFERROR(INDEX('بيانات الحركات'!C:C,MATCH(509,'بيانات الحركات'!$G:$G,0)),"")</f>
        <v/>
      </c>
      <c r="D510" s="3" t="str">
        <f>IFERROR(INDEX('بيانات الحركات'!D:D,MATCH(509,'بيانات الحركات'!$G:$G,0)),"")</f>
        <v/>
      </c>
      <c r="E510" s="21" t="str">
        <f>IF($B510="إنتاج طبخة","",IFERROR(INDEX('بيانات الحركات'!E:E,MATCH(509,'بيانات الحركات'!$G:$G,0)),""))</f>
        <v/>
      </c>
      <c r="F510" s="3" t="str">
        <f>IFERROR(INDEX('بيانات الحركات'!F:F,MATCH(509,'بيانات الحركات'!$G:$G,0)),"")</f>
        <v/>
      </c>
    </row>
    <row r="511" spans="1:6" ht="21.95" customHeight="1">
      <c r="A511" s="8" t="str">
        <f>IFERROR(INDEX('بيانات الحركات'!A:A,MATCH(510,'بيانات الحركات'!$G:$G,0)),"")</f>
        <v/>
      </c>
      <c r="B511" s="5" t="str">
        <f>IFERROR(INDEX('بيانات الحركات'!B:B,MATCH(510,'بيانات الحركات'!$G:$G,0)),"")</f>
        <v/>
      </c>
      <c r="C511" s="3" t="str">
        <f>IFERROR(INDEX('بيانات الحركات'!C:C,MATCH(510,'بيانات الحركات'!$G:$G,0)),"")</f>
        <v/>
      </c>
      <c r="D511" s="3" t="str">
        <f>IFERROR(INDEX('بيانات الحركات'!D:D,MATCH(510,'بيانات الحركات'!$G:$G,0)),"")</f>
        <v/>
      </c>
      <c r="E511" s="21" t="str">
        <f>IF($B511="إنتاج طبخة","",IFERROR(INDEX('بيانات الحركات'!E:E,MATCH(510,'بيانات الحركات'!$G:$G,0)),""))</f>
        <v/>
      </c>
      <c r="F511" s="3" t="str">
        <f>IFERROR(INDEX('بيانات الحركات'!F:F,MATCH(510,'بيانات الحركات'!$G:$G,0)),"")</f>
        <v/>
      </c>
    </row>
    <row r="512" spans="1:6" ht="21.95" customHeight="1">
      <c r="A512" s="8" t="str">
        <f>IFERROR(INDEX('بيانات الحركات'!A:A,MATCH(511,'بيانات الحركات'!$G:$G,0)),"")</f>
        <v/>
      </c>
      <c r="B512" s="5" t="str">
        <f>IFERROR(INDEX('بيانات الحركات'!B:B,MATCH(511,'بيانات الحركات'!$G:$G,0)),"")</f>
        <v/>
      </c>
      <c r="C512" s="3" t="str">
        <f>IFERROR(INDEX('بيانات الحركات'!C:C,MATCH(511,'بيانات الحركات'!$G:$G,0)),"")</f>
        <v/>
      </c>
      <c r="D512" s="3" t="str">
        <f>IFERROR(INDEX('بيانات الحركات'!D:D,MATCH(511,'بيانات الحركات'!$G:$G,0)),"")</f>
        <v/>
      </c>
      <c r="E512" s="21" t="str">
        <f>IF($B512="إنتاج طبخة","",IFERROR(INDEX('بيانات الحركات'!E:E,MATCH(511,'بيانات الحركات'!$G:$G,0)),""))</f>
        <v/>
      </c>
      <c r="F512" s="3" t="str">
        <f>IFERROR(INDEX('بيانات الحركات'!F:F,MATCH(511,'بيانات الحركات'!$G:$G,0)),"")</f>
        <v/>
      </c>
    </row>
    <row r="513" spans="1:6" ht="21.95" customHeight="1">
      <c r="A513" s="8" t="str">
        <f>IFERROR(INDEX('بيانات الحركات'!A:A,MATCH(512,'بيانات الحركات'!$G:$G,0)),"")</f>
        <v/>
      </c>
      <c r="B513" s="5" t="str">
        <f>IFERROR(INDEX('بيانات الحركات'!B:B,MATCH(512,'بيانات الحركات'!$G:$G,0)),"")</f>
        <v/>
      </c>
      <c r="C513" s="3" t="str">
        <f>IFERROR(INDEX('بيانات الحركات'!C:C,MATCH(512,'بيانات الحركات'!$G:$G,0)),"")</f>
        <v/>
      </c>
      <c r="D513" s="3" t="str">
        <f>IFERROR(INDEX('بيانات الحركات'!D:D,MATCH(512,'بيانات الحركات'!$G:$G,0)),"")</f>
        <v/>
      </c>
      <c r="E513" s="21" t="str">
        <f>IF($B513="إنتاج طبخة","",IFERROR(INDEX('بيانات الحركات'!E:E,MATCH(512,'بيانات الحركات'!$G:$G,0)),""))</f>
        <v/>
      </c>
      <c r="F513" s="3" t="str">
        <f>IFERROR(INDEX('بيانات الحركات'!F:F,MATCH(512,'بيانات الحركات'!$G:$G,0)),"")</f>
        <v/>
      </c>
    </row>
    <row r="514" spans="1:6" ht="21.95" customHeight="1">
      <c r="A514" s="8" t="str">
        <f>IFERROR(INDEX('بيانات الحركات'!A:A,MATCH(513,'بيانات الحركات'!$G:$G,0)),"")</f>
        <v/>
      </c>
      <c r="B514" s="5" t="str">
        <f>IFERROR(INDEX('بيانات الحركات'!B:B,MATCH(513,'بيانات الحركات'!$G:$G,0)),"")</f>
        <v/>
      </c>
      <c r="C514" s="3" t="str">
        <f>IFERROR(INDEX('بيانات الحركات'!C:C,MATCH(513,'بيانات الحركات'!$G:$G,0)),"")</f>
        <v/>
      </c>
      <c r="D514" s="3" t="str">
        <f>IFERROR(INDEX('بيانات الحركات'!D:D,MATCH(513,'بيانات الحركات'!$G:$G,0)),"")</f>
        <v/>
      </c>
      <c r="E514" s="21" t="str">
        <f>IF($B514="إنتاج طبخة","",IFERROR(INDEX('بيانات الحركات'!E:E,MATCH(513,'بيانات الحركات'!$G:$G,0)),""))</f>
        <v/>
      </c>
      <c r="F514" s="3" t="str">
        <f>IFERROR(INDEX('بيانات الحركات'!F:F,MATCH(513,'بيانات الحركات'!$G:$G,0)),"")</f>
        <v/>
      </c>
    </row>
    <row r="515" spans="1:6" ht="21.95" customHeight="1">
      <c r="A515" s="8" t="str">
        <f>IFERROR(INDEX('بيانات الحركات'!A:A,MATCH(514,'بيانات الحركات'!$G:$G,0)),"")</f>
        <v/>
      </c>
      <c r="B515" s="5" t="str">
        <f>IFERROR(INDEX('بيانات الحركات'!B:B,MATCH(514,'بيانات الحركات'!$G:$G,0)),"")</f>
        <v/>
      </c>
      <c r="C515" s="3" t="str">
        <f>IFERROR(INDEX('بيانات الحركات'!C:C,MATCH(514,'بيانات الحركات'!$G:$G,0)),"")</f>
        <v/>
      </c>
      <c r="D515" s="3" t="str">
        <f>IFERROR(INDEX('بيانات الحركات'!D:D,MATCH(514,'بيانات الحركات'!$G:$G,0)),"")</f>
        <v/>
      </c>
      <c r="E515" s="21" t="str">
        <f>IF($B515="إنتاج طبخة","",IFERROR(INDEX('بيانات الحركات'!E:E,MATCH(514,'بيانات الحركات'!$G:$G,0)),""))</f>
        <v/>
      </c>
      <c r="F515" s="3" t="str">
        <f>IFERROR(INDEX('بيانات الحركات'!F:F,MATCH(514,'بيانات الحركات'!$G:$G,0)),"")</f>
        <v/>
      </c>
    </row>
    <row r="516" spans="1:6" ht="21.95" customHeight="1">
      <c r="A516" s="8" t="str">
        <f>IFERROR(INDEX('بيانات الحركات'!A:A,MATCH(515,'بيانات الحركات'!$G:$G,0)),"")</f>
        <v/>
      </c>
      <c r="B516" s="5" t="str">
        <f>IFERROR(INDEX('بيانات الحركات'!B:B,MATCH(515,'بيانات الحركات'!$G:$G,0)),"")</f>
        <v/>
      </c>
      <c r="C516" s="3" t="str">
        <f>IFERROR(INDEX('بيانات الحركات'!C:C,MATCH(515,'بيانات الحركات'!$G:$G,0)),"")</f>
        <v/>
      </c>
      <c r="D516" s="3" t="str">
        <f>IFERROR(INDEX('بيانات الحركات'!D:D,MATCH(515,'بيانات الحركات'!$G:$G,0)),"")</f>
        <v/>
      </c>
      <c r="E516" s="21" t="str">
        <f>IF($B516="إنتاج طبخة","",IFERROR(INDEX('بيانات الحركات'!E:E,MATCH(515,'بيانات الحركات'!$G:$G,0)),""))</f>
        <v/>
      </c>
      <c r="F516" s="3" t="str">
        <f>IFERROR(INDEX('بيانات الحركات'!F:F,MATCH(515,'بيانات الحركات'!$G:$G,0)),"")</f>
        <v/>
      </c>
    </row>
    <row r="517" spans="1:6" ht="21.95" customHeight="1">
      <c r="A517" s="8" t="str">
        <f>IFERROR(INDEX('بيانات الحركات'!A:A,MATCH(516,'بيانات الحركات'!$G:$G,0)),"")</f>
        <v/>
      </c>
      <c r="B517" s="5" t="str">
        <f>IFERROR(INDEX('بيانات الحركات'!B:B,MATCH(516,'بيانات الحركات'!$G:$G,0)),"")</f>
        <v/>
      </c>
      <c r="C517" s="3" t="str">
        <f>IFERROR(INDEX('بيانات الحركات'!C:C,MATCH(516,'بيانات الحركات'!$G:$G,0)),"")</f>
        <v/>
      </c>
      <c r="D517" s="3" t="str">
        <f>IFERROR(INDEX('بيانات الحركات'!D:D,MATCH(516,'بيانات الحركات'!$G:$G,0)),"")</f>
        <v/>
      </c>
      <c r="E517" s="21" t="str">
        <f>IF($B517="إنتاج طبخة","",IFERROR(INDEX('بيانات الحركات'!E:E,MATCH(516,'بيانات الحركات'!$G:$G,0)),""))</f>
        <v/>
      </c>
      <c r="F517" s="3" t="str">
        <f>IFERROR(INDEX('بيانات الحركات'!F:F,MATCH(516,'بيانات الحركات'!$G:$G,0)),"")</f>
        <v/>
      </c>
    </row>
    <row r="518" spans="1:6" ht="21.95" customHeight="1">
      <c r="A518" s="8" t="str">
        <f>IFERROR(INDEX('بيانات الحركات'!A:A,MATCH(517,'بيانات الحركات'!$G:$G,0)),"")</f>
        <v/>
      </c>
      <c r="B518" s="5" t="str">
        <f>IFERROR(INDEX('بيانات الحركات'!B:B,MATCH(517,'بيانات الحركات'!$G:$G,0)),"")</f>
        <v/>
      </c>
      <c r="C518" s="3" t="str">
        <f>IFERROR(INDEX('بيانات الحركات'!C:C,MATCH(517,'بيانات الحركات'!$G:$G,0)),"")</f>
        <v/>
      </c>
      <c r="D518" s="3" t="str">
        <f>IFERROR(INDEX('بيانات الحركات'!D:D,MATCH(517,'بيانات الحركات'!$G:$G,0)),"")</f>
        <v/>
      </c>
      <c r="E518" s="21" t="str">
        <f>IF($B518="إنتاج طبخة","",IFERROR(INDEX('بيانات الحركات'!E:E,MATCH(517,'بيانات الحركات'!$G:$G,0)),""))</f>
        <v/>
      </c>
      <c r="F518" s="3" t="str">
        <f>IFERROR(INDEX('بيانات الحركات'!F:F,MATCH(517,'بيانات الحركات'!$G:$G,0)),"")</f>
        <v/>
      </c>
    </row>
    <row r="519" spans="1:6" ht="21.95" customHeight="1">
      <c r="A519" s="8" t="str">
        <f>IFERROR(INDEX('بيانات الحركات'!A:A,MATCH(518,'بيانات الحركات'!$G:$G,0)),"")</f>
        <v/>
      </c>
      <c r="B519" s="5" t="str">
        <f>IFERROR(INDEX('بيانات الحركات'!B:B,MATCH(518,'بيانات الحركات'!$G:$G,0)),"")</f>
        <v/>
      </c>
      <c r="C519" s="3" t="str">
        <f>IFERROR(INDEX('بيانات الحركات'!C:C,MATCH(518,'بيانات الحركات'!$G:$G,0)),"")</f>
        <v/>
      </c>
      <c r="D519" s="3" t="str">
        <f>IFERROR(INDEX('بيانات الحركات'!D:D,MATCH(518,'بيانات الحركات'!$G:$G,0)),"")</f>
        <v/>
      </c>
      <c r="E519" s="21" t="str">
        <f>IF($B519="إنتاج طبخة","",IFERROR(INDEX('بيانات الحركات'!E:E,MATCH(518,'بيانات الحركات'!$G:$G,0)),""))</f>
        <v/>
      </c>
      <c r="F519" s="3" t="str">
        <f>IFERROR(INDEX('بيانات الحركات'!F:F,MATCH(518,'بيانات الحركات'!$G:$G,0)),"")</f>
        <v/>
      </c>
    </row>
    <row r="520" spans="1:6" ht="21.95" customHeight="1">
      <c r="A520" s="8" t="str">
        <f>IFERROR(INDEX('بيانات الحركات'!A:A,MATCH(519,'بيانات الحركات'!$G:$G,0)),"")</f>
        <v/>
      </c>
      <c r="B520" s="5" t="str">
        <f>IFERROR(INDEX('بيانات الحركات'!B:B,MATCH(519,'بيانات الحركات'!$G:$G,0)),"")</f>
        <v/>
      </c>
      <c r="C520" s="3" t="str">
        <f>IFERROR(INDEX('بيانات الحركات'!C:C,MATCH(519,'بيانات الحركات'!$G:$G,0)),"")</f>
        <v/>
      </c>
      <c r="D520" s="3" t="str">
        <f>IFERROR(INDEX('بيانات الحركات'!D:D,MATCH(519,'بيانات الحركات'!$G:$G,0)),"")</f>
        <v/>
      </c>
      <c r="E520" s="21" t="str">
        <f>IF($B520="إنتاج طبخة","",IFERROR(INDEX('بيانات الحركات'!E:E,MATCH(519,'بيانات الحركات'!$G:$G,0)),""))</f>
        <v/>
      </c>
      <c r="F520" s="3" t="str">
        <f>IFERROR(INDEX('بيانات الحركات'!F:F,MATCH(519,'بيانات الحركات'!$G:$G,0)),"")</f>
        <v/>
      </c>
    </row>
    <row r="521" spans="1:6" ht="21.95" customHeight="1">
      <c r="A521" s="8" t="str">
        <f>IFERROR(INDEX('بيانات الحركات'!A:A,MATCH(520,'بيانات الحركات'!$G:$G,0)),"")</f>
        <v/>
      </c>
      <c r="B521" s="5" t="str">
        <f>IFERROR(INDEX('بيانات الحركات'!B:B,MATCH(520,'بيانات الحركات'!$G:$G,0)),"")</f>
        <v/>
      </c>
      <c r="C521" s="3" t="str">
        <f>IFERROR(INDEX('بيانات الحركات'!C:C,MATCH(520,'بيانات الحركات'!$G:$G,0)),"")</f>
        <v/>
      </c>
      <c r="D521" s="3" t="str">
        <f>IFERROR(INDEX('بيانات الحركات'!D:D,MATCH(520,'بيانات الحركات'!$G:$G,0)),"")</f>
        <v/>
      </c>
      <c r="E521" s="21" t="str">
        <f>IF($B521="إنتاج طبخة","",IFERROR(INDEX('بيانات الحركات'!E:E,MATCH(520,'بيانات الحركات'!$G:$G,0)),""))</f>
        <v/>
      </c>
      <c r="F521" s="3" t="str">
        <f>IFERROR(INDEX('بيانات الحركات'!F:F,MATCH(520,'بيانات الحركات'!$G:$G,0)),"")</f>
        <v/>
      </c>
    </row>
    <row r="522" spans="1:6" ht="21.95" customHeight="1">
      <c r="A522" s="8" t="str">
        <f>IFERROR(INDEX('بيانات الحركات'!A:A,MATCH(521,'بيانات الحركات'!$G:$G,0)),"")</f>
        <v/>
      </c>
      <c r="B522" s="5" t="str">
        <f>IFERROR(INDEX('بيانات الحركات'!B:B,MATCH(521,'بيانات الحركات'!$G:$G,0)),"")</f>
        <v/>
      </c>
      <c r="C522" s="3" t="str">
        <f>IFERROR(INDEX('بيانات الحركات'!C:C,MATCH(521,'بيانات الحركات'!$G:$G,0)),"")</f>
        <v/>
      </c>
      <c r="D522" s="3" t="str">
        <f>IFERROR(INDEX('بيانات الحركات'!D:D,MATCH(521,'بيانات الحركات'!$G:$G,0)),"")</f>
        <v/>
      </c>
      <c r="E522" s="21" t="str">
        <f>IF($B522="إنتاج طبخة","",IFERROR(INDEX('بيانات الحركات'!E:E,MATCH(521,'بيانات الحركات'!$G:$G,0)),""))</f>
        <v/>
      </c>
      <c r="F522" s="3" t="str">
        <f>IFERROR(INDEX('بيانات الحركات'!F:F,MATCH(521,'بيانات الحركات'!$G:$G,0)),"")</f>
        <v/>
      </c>
    </row>
    <row r="523" spans="1:6" ht="21.95" customHeight="1">
      <c r="A523" s="8" t="str">
        <f>IFERROR(INDEX('بيانات الحركات'!A:A,MATCH(522,'بيانات الحركات'!$G:$G,0)),"")</f>
        <v/>
      </c>
      <c r="B523" s="5" t="str">
        <f>IFERROR(INDEX('بيانات الحركات'!B:B,MATCH(522,'بيانات الحركات'!$G:$G,0)),"")</f>
        <v/>
      </c>
      <c r="C523" s="3" t="str">
        <f>IFERROR(INDEX('بيانات الحركات'!C:C,MATCH(522,'بيانات الحركات'!$G:$G,0)),"")</f>
        <v/>
      </c>
      <c r="D523" s="3" t="str">
        <f>IFERROR(INDEX('بيانات الحركات'!D:D,MATCH(522,'بيانات الحركات'!$G:$G,0)),"")</f>
        <v/>
      </c>
      <c r="E523" s="21" t="str">
        <f>IF($B523="إنتاج طبخة","",IFERROR(INDEX('بيانات الحركات'!E:E,MATCH(522,'بيانات الحركات'!$G:$G,0)),""))</f>
        <v/>
      </c>
      <c r="F523" s="3" t="str">
        <f>IFERROR(INDEX('بيانات الحركات'!F:F,MATCH(522,'بيانات الحركات'!$G:$G,0)),"")</f>
        <v/>
      </c>
    </row>
    <row r="524" spans="1:6" ht="21.95" customHeight="1">
      <c r="A524" s="8" t="str">
        <f>IFERROR(INDEX('بيانات الحركات'!A:A,MATCH(523,'بيانات الحركات'!$G:$G,0)),"")</f>
        <v/>
      </c>
      <c r="B524" s="5" t="str">
        <f>IFERROR(INDEX('بيانات الحركات'!B:B,MATCH(523,'بيانات الحركات'!$G:$G,0)),"")</f>
        <v/>
      </c>
      <c r="C524" s="3" t="str">
        <f>IFERROR(INDEX('بيانات الحركات'!C:C,MATCH(523,'بيانات الحركات'!$G:$G,0)),"")</f>
        <v/>
      </c>
      <c r="D524" s="3" t="str">
        <f>IFERROR(INDEX('بيانات الحركات'!D:D,MATCH(523,'بيانات الحركات'!$G:$G,0)),"")</f>
        <v/>
      </c>
      <c r="E524" s="21" t="str">
        <f>IF($B524="إنتاج طبخة","",IFERROR(INDEX('بيانات الحركات'!E:E,MATCH(523,'بيانات الحركات'!$G:$G,0)),""))</f>
        <v/>
      </c>
      <c r="F524" s="3" t="str">
        <f>IFERROR(INDEX('بيانات الحركات'!F:F,MATCH(523,'بيانات الحركات'!$G:$G,0)),"")</f>
        <v/>
      </c>
    </row>
    <row r="525" spans="1:6" ht="21.95" customHeight="1">
      <c r="A525" s="8" t="str">
        <f>IFERROR(INDEX('بيانات الحركات'!A:A,MATCH(524,'بيانات الحركات'!$G:$G,0)),"")</f>
        <v/>
      </c>
      <c r="B525" s="5" t="str">
        <f>IFERROR(INDEX('بيانات الحركات'!B:B,MATCH(524,'بيانات الحركات'!$G:$G,0)),"")</f>
        <v/>
      </c>
      <c r="C525" s="3" t="str">
        <f>IFERROR(INDEX('بيانات الحركات'!C:C,MATCH(524,'بيانات الحركات'!$G:$G,0)),"")</f>
        <v/>
      </c>
      <c r="D525" s="3" t="str">
        <f>IFERROR(INDEX('بيانات الحركات'!D:D,MATCH(524,'بيانات الحركات'!$G:$G,0)),"")</f>
        <v/>
      </c>
      <c r="E525" s="21" t="str">
        <f>IF($B525="إنتاج طبخة","",IFERROR(INDEX('بيانات الحركات'!E:E,MATCH(524,'بيانات الحركات'!$G:$G,0)),""))</f>
        <v/>
      </c>
      <c r="F525" s="3" t="str">
        <f>IFERROR(INDEX('بيانات الحركات'!F:F,MATCH(524,'بيانات الحركات'!$G:$G,0)),"")</f>
        <v/>
      </c>
    </row>
    <row r="526" spans="1:6" ht="21.95" customHeight="1">
      <c r="A526" s="8" t="str">
        <f>IFERROR(INDEX('بيانات الحركات'!A:A,MATCH(525,'بيانات الحركات'!$G:$G,0)),"")</f>
        <v/>
      </c>
      <c r="B526" s="5" t="str">
        <f>IFERROR(INDEX('بيانات الحركات'!B:B,MATCH(525,'بيانات الحركات'!$G:$G,0)),"")</f>
        <v/>
      </c>
      <c r="C526" s="3" t="str">
        <f>IFERROR(INDEX('بيانات الحركات'!C:C,MATCH(525,'بيانات الحركات'!$G:$G,0)),"")</f>
        <v/>
      </c>
      <c r="D526" s="3" t="str">
        <f>IFERROR(INDEX('بيانات الحركات'!D:D,MATCH(525,'بيانات الحركات'!$G:$G,0)),"")</f>
        <v/>
      </c>
      <c r="E526" s="21" t="str">
        <f>IF($B526="إنتاج طبخة","",IFERROR(INDEX('بيانات الحركات'!E:E,MATCH(525,'بيانات الحركات'!$G:$G,0)),""))</f>
        <v/>
      </c>
      <c r="F526" s="3" t="str">
        <f>IFERROR(INDEX('بيانات الحركات'!F:F,MATCH(525,'بيانات الحركات'!$G:$G,0)),"")</f>
        <v/>
      </c>
    </row>
    <row r="527" spans="1:6" ht="21.95" customHeight="1">
      <c r="A527" s="8" t="str">
        <f>IFERROR(INDEX('بيانات الحركات'!A:A,MATCH(526,'بيانات الحركات'!$G:$G,0)),"")</f>
        <v/>
      </c>
      <c r="B527" s="5" t="str">
        <f>IFERROR(INDEX('بيانات الحركات'!B:B,MATCH(526,'بيانات الحركات'!$G:$G,0)),"")</f>
        <v/>
      </c>
      <c r="C527" s="3" t="str">
        <f>IFERROR(INDEX('بيانات الحركات'!C:C,MATCH(526,'بيانات الحركات'!$G:$G,0)),"")</f>
        <v/>
      </c>
      <c r="D527" s="3" t="str">
        <f>IFERROR(INDEX('بيانات الحركات'!D:D,MATCH(526,'بيانات الحركات'!$G:$G,0)),"")</f>
        <v/>
      </c>
      <c r="E527" s="21" t="str">
        <f>IF($B527="إنتاج طبخة","",IFERROR(INDEX('بيانات الحركات'!E:E,MATCH(526,'بيانات الحركات'!$G:$G,0)),""))</f>
        <v/>
      </c>
      <c r="F527" s="3" t="str">
        <f>IFERROR(INDEX('بيانات الحركات'!F:F,MATCH(526,'بيانات الحركات'!$G:$G,0)),"")</f>
        <v/>
      </c>
    </row>
    <row r="528" spans="1:6" ht="21.95" customHeight="1">
      <c r="A528" s="8" t="str">
        <f>IFERROR(INDEX('بيانات الحركات'!A:A,MATCH(527,'بيانات الحركات'!$G:$G,0)),"")</f>
        <v/>
      </c>
      <c r="B528" s="5" t="str">
        <f>IFERROR(INDEX('بيانات الحركات'!B:B,MATCH(527,'بيانات الحركات'!$G:$G,0)),"")</f>
        <v/>
      </c>
      <c r="C528" s="3" t="str">
        <f>IFERROR(INDEX('بيانات الحركات'!C:C,MATCH(527,'بيانات الحركات'!$G:$G,0)),"")</f>
        <v/>
      </c>
      <c r="D528" s="3" t="str">
        <f>IFERROR(INDEX('بيانات الحركات'!D:D,MATCH(527,'بيانات الحركات'!$G:$G,0)),"")</f>
        <v/>
      </c>
      <c r="E528" s="21" t="str">
        <f>IF($B528="إنتاج طبخة","",IFERROR(INDEX('بيانات الحركات'!E:E,MATCH(527,'بيانات الحركات'!$G:$G,0)),""))</f>
        <v/>
      </c>
      <c r="F528" s="3" t="str">
        <f>IFERROR(INDEX('بيانات الحركات'!F:F,MATCH(527,'بيانات الحركات'!$G:$G,0)),"")</f>
        <v/>
      </c>
    </row>
    <row r="529" spans="1:6" ht="21.95" customHeight="1">
      <c r="A529" s="8" t="str">
        <f>IFERROR(INDEX('بيانات الحركات'!A:A,MATCH(528,'بيانات الحركات'!$G:$G,0)),"")</f>
        <v/>
      </c>
      <c r="B529" s="5" t="str">
        <f>IFERROR(INDEX('بيانات الحركات'!B:B,MATCH(528,'بيانات الحركات'!$G:$G,0)),"")</f>
        <v/>
      </c>
      <c r="C529" s="3" t="str">
        <f>IFERROR(INDEX('بيانات الحركات'!C:C,MATCH(528,'بيانات الحركات'!$G:$G,0)),"")</f>
        <v/>
      </c>
      <c r="D529" s="3" t="str">
        <f>IFERROR(INDEX('بيانات الحركات'!D:D,MATCH(528,'بيانات الحركات'!$G:$G,0)),"")</f>
        <v/>
      </c>
      <c r="E529" s="21" t="str">
        <f>IF($B529="إنتاج طبخة","",IFERROR(INDEX('بيانات الحركات'!E:E,MATCH(528,'بيانات الحركات'!$G:$G,0)),""))</f>
        <v/>
      </c>
      <c r="F529" s="3" t="str">
        <f>IFERROR(INDEX('بيانات الحركات'!F:F,MATCH(528,'بيانات الحركات'!$G:$G,0)),"")</f>
        <v/>
      </c>
    </row>
    <row r="530" spans="1:6" ht="21.95" customHeight="1">
      <c r="A530" s="8" t="str">
        <f>IFERROR(INDEX('بيانات الحركات'!A:A,MATCH(529,'بيانات الحركات'!$G:$G,0)),"")</f>
        <v/>
      </c>
      <c r="B530" s="5" t="str">
        <f>IFERROR(INDEX('بيانات الحركات'!B:B,MATCH(529,'بيانات الحركات'!$G:$G,0)),"")</f>
        <v/>
      </c>
      <c r="C530" s="3" t="str">
        <f>IFERROR(INDEX('بيانات الحركات'!C:C,MATCH(529,'بيانات الحركات'!$G:$G,0)),"")</f>
        <v/>
      </c>
      <c r="D530" s="3" t="str">
        <f>IFERROR(INDEX('بيانات الحركات'!D:D,MATCH(529,'بيانات الحركات'!$G:$G,0)),"")</f>
        <v/>
      </c>
      <c r="E530" s="21" t="str">
        <f>IF($B530="إنتاج طبخة","",IFERROR(INDEX('بيانات الحركات'!E:E,MATCH(529,'بيانات الحركات'!$G:$G,0)),""))</f>
        <v/>
      </c>
      <c r="F530" s="3" t="str">
        <f>IFERROR(INDEX('بيانات الحركات'!F:F,MATCH(529,'بيانات الحركات'!$G:$G,0)),"")</f>
        <v/>
      </c>
    </row>
    <row r="531" spans="1:6" ht="21.95" customHeight="1">
      <c r="A531" s="8" t="str">
        <f>IFERROR(INDEX('بيانات الحركات'!A:A,MATCH(530,'بيانات الحركات'!$G:$G,0)),"")</f>
        <v/>
      </c>
      <c r="B531" s="5" t="str">
        <f>IFERROR(INDEX('بيانات الحركات'!B:B,MATCH(530,'بيانات الحركات'!$G:$G,0)),"")</f>
        <v/>
      </c>
      <c r="C531" s="3" t="str">
        <f>IFERROR(INDEX('بيانات الحركات'!C:C,MATCH(530,'بيانات الحركات'!$G:$G,0)),"")</f>
        <v/>
      </c>
      <c r="D531" s="3" t="str">
        <f>IFERROR(INDEX('بيانات الحركات'!D:D,MATCH(530,'بيانات الحركات'!$G:$G,0)),"")</f>
        <v/>
      </c>
      <c r="E531" s="21" t="str">
        <f>IF($B531="إنتاج طبخة","",IFERROR(INDEX('بيانات الحركات'!E:E,MATCH(530,'بيانات الحركات'!$G:$G,0)),""))</f>
        <v/>
      </c>
      <c r="F531" s="3" t="str">
        <f>IFERROR(INDEX('بيانات الحركات'!F:F,MATCH(530,'بيانات الحركات'!$G:$G,0)),"")</f>
        <v/>
      </c>
    </row>
    <row r="532" spans="1:6" ht="21.95" customHeight="1">
      <c r="A532" s="8" t="str">
        <f>IFERROR(INDEX('بيانات الحركات'!A:A,MATCH(531,'بيانات الحركات'!$G:$G,0)),"")</f>
        <v/>
      </c>
      <c r="B532" s="5" t="str">
        <f>IFERROR(INDEX('بيانات الحركات'!B:B,MATCH(531,'بيانات الحركات'!$G:$G,0)),"")</f>
        <v/>
      </c>
      <c r="C532" s="3" t="str">
        <f>IFERROR(INDEX('بيانات الحركات'!C:C,MATCH(531,'بيانات الحركات'!$G:$G,0)),"")</f>
        <v/>
      </c>
      <c r="D532" s="3" t="str">
        <f>IFERROR(INDEX('بيانات الحركات'!D:D,MATCH(531,'بيانات الحركات'!$G:$G,0)),"")</f>
        <v/>
      </c>
      <c r="E532" s="21" t="str">
        <f>IF($B532="إنتاج طبخة","",IFERROR(INDEX('بيانات الحركات'!E:E,MATCH(531,'بيانات الحركات'!$G:$G,0)),""))</f>
        <v/>
      </c>
      <c r="F532" s="3" t="str">
        <f>IFERROR(INDEX('بيانات الحركات'!F:F,MATCH(531,'بيانات الحركات'!$G:$G,0)),"")</f>
        <v/>
      </c>
    </row>
    <row r="533" spans="1:6" ht="21.95" customHeight="1">
      <c r="A533" s="8" t="str">
        <f>IFERROR(INDEX('بيانات الحركات'!A:A,MATCH(532,'بيانات الحركات'!$G:$G,0)),"")</f>
        <v/>
      </c>
      <c r="B533" s="5" t="str">
        <f>IFERROR(INDEX('بيانات الحركات'!B:B,MATCH(532,'بيانات الحركات'!$G:$G,0)),"")</f>
        <v/>
      </c>
      <c r="C533" s="3" t="str">
        <f>IFERROR(INDEX('بيانات الحركات'!C:C,MATCH(532,'بيانات الحركات'!$G:$G,0)),"")</f>
        <v/>
      </c>
      <c r="D533" s="3" t="str">
        <f>IFERROR(INDEX('بيانات الحركات'!D:D,MATCH(532,'بيانات الحركات'!$G:$G,0)),"")</f>
        <v/>
      </c>
      <c r="E533" s="21" t="str">
        <f>IF($B533="إنتاج طبخة","",IFERROR(INDEX('بيانات الحركات'!E:E,MATCH(532,'بيانات الحركات'!$G:$G,0)),""))</f>
        <v/>
      </c>
      <c r="F533" s="3" t="str">
        <f>IFERROR(INDEX('بيانات الحركات'!F:F,MATCH(532,'بيانات الحركات'!$G:$G,0)),"")</f>
        <v/>
      </c>
    </row>
    <row r="534" spans="1:6" ht="21.95" customHeight="1">
      <c r="A534" s="8" t="str">
        <f>IFERROR(INDEX('بيانات الحركات'!A:A,MATCH(533,'بيانات الحركات'!$G:$G,0)),"")</f>
        <v/>
      </c>
      <c r="B534" s="5" t="str">
        <f>IFERROR(INDEX('بيانات الحركات'!B:B,MATCH(533,'بيانات الحركات'!$G:$G,0)),"")</f>
        <v/>
      </c>
      <c r="C534" s="3" t="str">
        <f>IFERROR(INDEX('بيانات الحركات'!C:C,MATCH(533,'بيانات الحركات'!$G:$G,0)),"")</f>
        <v/>
      </c>
      <c r="D534" s="3" t="str">
        <f>IFERROR(INDEX('بيانات الحركات'!D:D,MATCH(533,'بيانات الحركات'!$G:$G,0)),"")</f>
        <v/>
      </c>
      <c r="E534" s="21" t="str">
        <f>IF($B534="إنتاج طبخة","",IFERROR(INDEX('بيانات الحركات'!E:E,MATCH(533,'بيانات الحركات'!$G:$G,0)),""))</f>
        <v/>
      </c>
      <c r="F534" s="3" t="str">
        <f>IFERROR(INDEX('بيانات الحركات'!F:F,MATCH(533,'بيانات الحركات'!$G:$G,0)),"")</f>
        <v/>
      </c>
    </row>
    <row r="535" spans="1:6" ht="21.95" customHeight="1">
      <c r="A535" s="8" t="str">
        <f>IFERROR(INDEX('بيانات الحركات'!A:A,MATCH(534,'بيانات الحركات'!$G:$G,0)),"")</f>
        <v/>
      </c>
      <c r="B535" s="5" t="str">
        <f>IFERROR(INDEX('بيانات الحركات'!B:B,MATCH(534,'بيانات الحركات'!$G:$G,0)),"")</f>
        <v/>
      </c>
      <c r="C535" s="3" t="str">
        <f>IFERROR(INDEX('بيانات الحركات'!C:C,MATCH(534,'بيانات الحركات'!$G:$G,0)),"")</f>
        <v/>
      </c>
      <c r="D535" s="3" t="str">
        <f>IFERROR(INDEX('بيانات الحركات'!D:D,MATCH(534,'بيانات الحركات'!$G:$G,0)),"")</f>
        <v/>
      </c>
      <c r="E535" s="21" t="str">
        <f>IF($B535="إنتاج طبخة","",IFERROR(INDEX('بيانات الحركات'!E:E,MATCH(534,'بيانات الحركات'!$G:$G,0)),""))</f>
        <v/>
      </c>
      <c r="F535" s="3" t="str">
        <f>IFERROR(INDEX('بيانات الحركات'!F:F,MATCH(534,'بيانات الحركات'!$G:$G,0)),"")</f>
        <v/>
      </c>
    </row>
    <row r="536" spans="1:6" ht="21.95" customHeight="1">
      <c r="A536" s="8" t="str">
        <f>IFERROR(INDEX('بيانات الحركات'!A:A,MATCH(535,'بيانات الحركات'!$G:$G,0)),"")</f>
        <v/>
      </c>
      <c r="B536" s="5" t="str">
        <f>IFERROR(INDEX('بيانات الحركات'!B:B,MATCH(535,'بيانات الحركات'!$G:$G,0)),"")</f>
        <v/>
      </c>
      <c r="C536" s="3" t="str">
        <f>IFERROR(INDEX('بيانات الحركات'!C:C,MATCH(535,'بيانات الحركات'!$G:$G,0)),"")</f>
        <v/>
      </c>
      <c r="D536" s="3" t="str">
        <f>IFERROR(INDEX('بيانات الحركات'!D:D,MATCH(535,'بيانات الحركات'!$G:$G,0)),"")</f>
        <v/>
      </c>
      <c r="E536" s="21" t="str">
        <f>IF($B536="إنتاج طبخة","",IFERROR(INDEX('بيانات الحركات'!E:E,MATCH(535,'بيانات الحركات'!$G:$G,0)),""))</f>
        <v/>
      </c>
      <c r="F536" s="3" t="str">
        <f>IFERROR(INDEX('بيانات الحركات'!F:F,MATCH(535,'بيانات الحركات'!$G:$G,0)),"")</f>
        <v/>
      </c>
    </row>
    <row r="537" spans="1:6" ht="21.95" customHeight="1">
      <c r="A537" s="8" t="str">
        <f>IFERROR(INDEX('بيانات الحركات'!A:A,MATCH(536,'بيانات الحركات'!$G:$G,0)),"")</f>
        <v/>
      </c>
      <c r="B537" s="5" t="str">
        <f>IFERROR(INDEX('بيانات الحركات'!B:B,MATCH(536,'بيانات الحركات'!$G:$G,0)),"")</f>
        <v/>
      </c>
      <c r="C537" s="3" t="str">
        <f>IFERROR(INDEX('بيانات الحركات'!C:C,MATCH(536,'بيانات الحركات'!$G:$G,0)),"")</f>
        <v/>
      </c>
      <c r="D537" s="3" t="str">
        <f>IFERROR(INDEX('بيانات الحركات'!D:D,MATCH(536,'بيانات الحركات'!$G:$G,0)),"")</f>
        <v/>
      </c>
      <c r="E537" s="21" t="str">
        <f>IF($B537="إنتاج طبخة","",IFERROR(INDEX('بيانات الحركات'!E:E,MATCH(536,'بيانات الحركات'!$G:$G,0)),""))</f>
        <v/>
      </c>
      <c r="F537" s="3" t="str">
        <f>IFERROR(INDEX('بيانات الحركات'!F:F,MATCH(536,'بيانات الحركات'!$G:$G,0)),"")</f>
        <v/>
      </c>
    </row>
    <row r="538" spans="1:6" ht="21.95" customHeight="1">
      <c r="A538" s="8" t="str">
        <f>IFERROR(INDEX('بيانات الحركات'!A:A,MATCH(537,'بيانات الحركات'!$G:$G,0)),"")</f>
        <v/>
      </c>
      <c r="B538" s="5" t="str">
        <f>IFERROR(INDEX('بيانات الحركات'!B:B,MATCH(537,'بيانات الحركات'!$G:$G,0)),"")</f>
        <v/>
      </c>
      <c r="C538" s="3" t="str">
        <f>IFERROR(INDEX('بيانات الحركات'!C:C,MATCH(537,'بيانات الحركات'!$G:$G,0)),"")</f>
        <v/>
      </c>
      <c r="D538" s="3" t="str">
        <f>IFERROR(INDEX('بيانات الحركات'!D:D,MATCH(537,'بيانات الحركات'!$G:$G,0)),"")</f>
        <v/>
      </c>
      <c r="E538" s="21" t="str">
        <f>IF($B538="إنتاج طبخة","",IFERROR(INDEX('بيانات الحركات'!E:E,MATCH(537,'بيانات الحركات'!$G:$G,0)),""))</f>
        <v/>
      </c>
      <c r="F538" s="3" t="str">
        <f>IFERROR(INDEX('بيانات الحركات'!F:F,MATCH(537,'بيانات الحركات'!$G:$G,0)),"")</f>
        <v/>
      </c>
    </row>
    <row r="539" spans="1:6" ht="21.95" customHeight="1">
      <c r="A539" s="8" t="str">
        <f>IFERROR(INDEX('بيانات الحركات'!A:A,MATCH(538,'بيانات الحركات'!$G:$G,0)),"")</f>
        <v/>
      </c>
      <c r="B539" s="5" t="str">
        <f>IFERROR(INDEX('بيانات الحركات'!B:B,MATCH(538,'بيانات الحركات'!$G:$G,0)),"")</f>
        <v/>
      </c>
      <c r="C539" s="3" t="str">
        <f>IFERROR(INDEX('بيانات الحركات'!C:C,MATCH(538,'بيانات الحركات'!$G:$G,0)),"")</f>
        <v/>
      </c>
      <c r="D539" s="3" t="str">
        <f>IFERROR(INDEX('بيانات الحركات'!D:D,MATCH(538,'بيانات الحركات'!$G:$G,0)),"")</f>
        <v/>
      </c>
      <c r="E539" s="21" t="str">
        <f>IF($B539="إنتاج طبخة","",IFERROR(INDEX('بيانات الحركات'!E:E,MATCH(538,'بيانات الحركات'!$G:$G,0)),""))</f>
        <v/>
      </c>
      <c r="F539" s="3" t="str">
        <f>IFERROR(INDEX('بيانات الحركات'!F:F,MATCH(538,'بيانات الحركات'!$G:$G,0)),"")</f>
        <v/>
      </c>
    </row>
    <row r="540" spans="1:6" ht="21.95" customHeight="1">
      <c r="A540" s="8" t="str">
        <f>IFERROR(INDEX('بيانات الحركات'!A:A,MATCH(539,'بيانات الحركات'!$G:$G,0)),"")</f>
        <v/>
      </c>
      <c r="B540" s="5" t="str">
        <f>IFERROR(INDEX('بيانات الحركات'!B:B,MATCH(539,'بيانات الحركات'!$G:$G,0)),"")</f>
        <v/>
      </c>
      <c r="C540" s="3" t="str">
        <f>IFERROR(INDEX('بيانات الحركات'!C:C,MATCH(539,'بيانات الحركات'!$G:$G,0)),"")</f>
        <v/>
      </c>
      <c r="D540" s="3" t="str">
        <f>IFERROR(INDEX('بيانات الحركات'!D:D,MATCH(539,'بيانات الحركات'!$G:$G,0)),"")</f>
        <v/>
      </c>
      <c r="E540" s="21" t="str">
        <f>IF($B540="إنتاج طبخة","",IFERROR(INDEX('بيانات الحركات'!E:E,MATCH(539,'بيانات الحركات'!$G:$G,0)),""))</f>
        <v/>
      </c>
      <c r="F540" s="3" t="str">
        <f>IFERROR(INDEX('بيانات الحركات'!F:F,MATCH(539,'بيانات الحركات'!$G:$G,0)),"")</f>
        <v/>
      </c>
    </row>
    <row r="541" spans="1:6" ht="21.95" customHeight="1">
      <c r="A541" s="8" t="str">
        <f>IFERROR(INDEX('بيانات الحركات'!A:A,MATCH(540,'بيانات الحركات'!$G:$G,0)),"")</f>
        <v/>
      </c>
      <c r="B541" s="5" t="str">
        <f>IFERROR(INDEX('بيانات الحركات'!B:B,MATCH(540,'بيانات الحركات'!$G:$G,0)),"")</f>
        <v/>
      </c>
      <c r="C541" s="3" t="str">
        <f>IFERROR(INDEX('بيانات الحركات'!C:C,MATCH(540,'بيانات الحركات'!$G:$G,0)),"")</f>
        <v/>
      </c>
      <c r="D541" s="3" t="str">
        <f>IFERROR(INDEX('بيانات الحركات'!D:D,MATCH(540,'بيانات الحركات'!$G:$G,0)),"")</f>
        <v/>
      </c>
      <c r="E541" s="21" t="str">
        <f>IF($B541="إنتاج طبخة","",IFERROR(INDEX('بيانات الحركات'!E:E,MATCH(540,'بيانات الحركات'!$G:$G,0)),""))</f>
        <v/>
      </c>
      <c r="F541" s="3" t="str">
        <f>IFERROR(INDEX('بيانات الحركات'!F:F,MATCH(540,'بيانات الحركات'!$G:$G,0)),"")</f>
        <v/>
      </c>
    </row>
    <row r="542" spans="1:6" ht="21.95" customHeight="1">
      <c r="A542" s="8" t="str">
        <f>IFERROR(INDEX('بيانات الحركات'!A:A,MATCH(541,'بيانات الحركات'!$G:$G,0)),"")</f>
        <v/>
      </c>
      <c r="B542" s="5" t="str">
        <f>IFERROR(INDEX('بيانات الحركات'!B:B,MATCH(541,'بيانات الحركات'!$G:$G,0)),"")</f>
        <v/>
      </c>
      <c r="C542" s="3" t="str">
        <f>IFERROR(INDEX('بيانات الحركات'!C:C,MATCH(541,'بيانات الحركات'!$G:$G,0)),"")</f>
        <v/>
      </c>
      <c r="D542" s="3" t="str">
        <f>IFERROR(INDEX('بيانات الحركات'!D:D,MATCH(541,'بيانات الحركات'!$G:$G,0)),"")</f>
        <v/>
      </c>
      <c r="E542" s="21" t="str">
        <f>IF($B542="إنتاج طبخة","",IFERROR(INDEX('بيانات الحركات'!E:E,MATCH(541,'بيانات الحركات'!$G:$G,0)),""))</f>
        <v/>
      </c>
      <c r="F542" s="3" t="str">
        <f>IFERROR(INDEX('بيانات الحركات'!F:F,MATCH(541,'بيانات الحركات'!$G:$G,0)),"")</f>
        <v/>
      </c>
    </row>
    <row r="543" spans="1:6" ht="21.95" customHeight="1">
      <c r="A543" s="8" t="str">
        <f>IFERROR(INDEX('بيانات الحركات'!A:A,MATCH(542,'بيانات الحركات'!$G:$G,0)),"")</f>
        <v/>
      </c>
      <c r="B543" s="5" t="str">
        <f>IFERROR(INDEX('بيانات الحركات'!B:B,MATCH(542,'بيانات الحركات'!$G:$G,0)),"")</f>
        <v/>
      </c>
      <c r="C543" s="3" t="str">
        <f>IFERROR(INDEX('بيانات الحركات'!C:C,MATCH(542,'بيانات الحركات'!$G:$G,0)),"")</f>
        <v/>
      </c>
      <c r="D543" s="3" t="str">
        <f>IFERROR(INDEX('بيانات الحركات'!D:D,MATCH(542,'بيانات الحركات'!$G:$G,0)),"")</f>
        <v/>
      </c>
      <c r="E543" s="21" t="str">
        <f>IF($B543="إنتاج طبخة","",IFERROR(INDEX('بيانات الحركات'!E:E,MATCH(542,'بيانات الحركات'!$G:$G,0)),""))</f>
        <v/>
      </c>
      <c r="F543" s="3" t="str">
        <f>IFERROR(INDEX('بيانات الحركات'!F:F,MATCH(542,'بيانات الحركات'!$G:$G,0)),"")</f>
        <v/>
      </c>
    </row>
    <row r="544" spans="1:6" ht="21.95" customHeight="1">
      <c r="A544" s="8" t="str">
        <f>IFERROR(INDEX('بيانات الحركات'!A:A,MATCH(543,'بيانات الحركات'!$G:$G,0)),"")</f>
        <v/>
      </c>
      <c r="B544" s="5" t="str">
        <f>IFERROR(INDEX('بيانات الحركات'!B:B,MATCH(543,'بيانات الحركات'!$G:$G,0)),"")</f>
        <v/>
      </c>
      <c r="C544" s="3" t="str">
        <f>IFERROR(INDEX('بيانات الحركات'!C:C,MATCH(543,'بيانات الحركات'!$G:$G,0)),"")</f>
        <v/>
      </c>
      <c r="D544" s="3" t="str">
        <f>IFERROR(INDEX('بيانات الحركات'!D:D,MATCH(543,'بيانات الحركات'!$G:$G,0)),"")</f>
        <v/>
      </c>
      <c r="E544" s="21" t="str">
        <f>IF($B544="إنتاج طبخة","",IFERROR(INDEX('بيانات الحركات'!E:E,MATCH(543,'بيانات الحركات'!$G:$G,0)),""))</f>
        <v/>
      </c>
      <c r="F544" s="3" t="str">
        <f>IFERROR(INDEX('بيانات الحركات'!F:F,MATCH(543,'بيانات الحركات'!$G:$G,0)),"")</f>
        <v/>
      </c>
    </row>
    <row r="545" spans="1:6" ht="21.95" customHeight="1">
      <c r="A545" s="8" t="str">
        <f>IFERROR(INDEX('بيانات الحركات'!A:A,MATCH(544,'بيانات الحركات'!$G:$G,0)),"")</f>
        <v/>
      </c>
      <c r="B545" s="5" t="str">
        <f>IFERROR(INDEX('بيانات الحركات'!B:B,MATCH(544,'بيانات الحركات'!$G:$G,0)),"")</f>
        <v/>
      </c>
      <c r="C545" s="3" t="str">
        <f>IFERROR(INDEX('بيانات الحركات'!C:C,MATCH(544,'بيانات الحركات'!$G:$G,0)),"")</f>
        <v/>
      </c>
      <c r="D545" s="3" t="str">
        <f>IFERROR(INDEX('بيانات الحركات'!D:D,MATCH(544,'بيانات الحركات'!$G:$G,0)),"")</f>
        <v/>
      </c>
      <c r="E545" s="21" t="str">
        <f>IF($B545="إنتاج طبخة","",IFERROR(INDEX('بيانات الحركات'!E:E,MATCH(544,'بيانات الحركات'!$G:$G,0)),""))</f>
        <v/>
      </c>
      <c r="F545" s="3" t="str">
        <f>IFERROR(INDEX('بيانات الحركات'!F:F,MATCH(544,'بيانات الحركات'!$G:$G,0)),"")</f>
        <v/>
      </c>
    </row>
    <row r="546" spans="1:6" ht="21.95" customHeight="1">
      <c r="A546" s="8" t="str">
        <f>IFERROR(INDEX('بيانات الحركات'!A:A,MATCH(545,'بيانات الحركات'!$G:$G,0)),"")</f>
        <v/>
      </c>
      <c r="B546" s="5" t="str">
        <f>IFERROR(INDEX('بيانات الحركات'!B:B,MATCH(545,'بيانات الحركات'!$G:$G,0)),"")</f>
        <v/>
      </c>
      <c r="C546" s="3" t="str">
        <f>IFERROR(INDEX('بيانات الحركات'!C:C,MATCH(545,'بيانات الحركات'!$G:$G,0)),"")</f>
        <v/>
      </c>
      <c r="D546" s="3" t="str">
        <f>IFERROR(INDEX('بيانات الحركات'!D:D,MATCH(545,'بيانات الحركات'!$G:$G,0)),"")</f>
        <v/>
      </c>
      <c r="E546" s="21" t="str">
        <f>IF($B546="إنتاج طبخة","",IFERROR(INDEX('بيانات الحركات'!E:E,MATCH(545,'بيانات الحركات'!$G:$G,0)),""))</f>
        <v/>
      </c>
      <c r="F546" s="3" t="str">
        <f>IFERROR(INDEX('بيانات الحركات'!F:F,MATCH(545,'بيانات الحركات'!$G:$G,0)),"")</f>
        <v/>
      </c>
    </row>
    <row r="547" spans="1:6" ht="21.95" customHeight="1">
      <c r="A547" s="8" t="str">
        <f>IFERROR(INDEX('بيانات الحركات'!A:A,MATCH(546,'بيانات الحركات'!$G:$G,0)),"")</f>
        <v/>
      </c>
      <c r="B547" s="5" t="str">
        <f>IFERROR(INDEX('بيانات الحركات'!B:B,MATCH(546,'بيانات الحركات'!$G:$G,0)),"")</f>
        <v/>
      </c>
      <c r="C547" s="3" t="str">
        <f>IFERROR(INDEX('بيانات الحركات'!C:C,MATCH(546,'بيانات الحركات'!$G:$G,0)),"")</f>
        <v/>
      </c>
      <c r="D547" s="3" t="str">
        <f>IFERROR(INDEX('بيانات الحركات'!D:D,MATCH(546,'بيانات الحركات'!$G:$G,0)),"")</f>
        <v/>
      </c>
      <c r="E547" s="21" t="str">
        <f>IF($B547="إنتاج طبخة","",IFERROR(INDEX('بيانات الحركات'!E:E,MATCH(546,'بيانات الحركات'!$G:$G,0)),""))</f>
        <v/>
      </c>
      <c r="F547" s="3" t="str">
        <f>IFERROR(INDEX('بيانات الحركات'!F:F,MATCH(546,'بيانات الحركات'!$G:$G,0)),"")</f>
        <v/>
      </c>
    </row>
    <row r="548" spans="1:6" ht="21.95" customHeight="1">
      <c r="A548" s="8" t="str">
        <f>IFERROR(INDEX('بيانات الحركات'!A:A,MATCH(547,'بيانات الحركات'!$G:$G,0)),"")</f>
        <v/>
      </c>
      <c r="B548" s="5" t="str">
        <f>IFERROR(INDEX('بيانات الحركات'!B:B,MATCH(547,'بيانات الحركات'!$G:$G,0)),"")</f>
        <v/>
      </c>
      <c r="C548" s="3" t="str">
        <f>IFERROR(INDEX('بيانات الحركات'!C:C,MATCH(547,'بيانات الحركات'!$G:$G,0)),"")</f>
        <v/>
      </c>
      <c r="D548" s="3" t="str">
        <f>IFERROR(INDEX('بيانات الحركات'!D:D,MATCH(547,'بيانات الحركات'!$G:$G,0)),"")</f>
        <v/>
      </c>
      <c r="E548" s="21" t="str">
        <f>IF($B548="إنتاج طبخة","",IFERROR(INDEX('بيانات الحركات'!E:E,MATCH(547,'بيانات الحركات'!$G:$G,0)),""))</f>
        <v/>
      </c>
      <c r="F548" s="3" t="str">
        <f>IFERROR(INDEX('بيانات الحركات'!F:F,MATCH(547,'بيانات الحركات'!$G:$G,0)),"")</f>
        <v/>
      </c>
    </row>
    <row r="549" spans="1:6" ht="21.95" customHeight="1">
      <c r="A549" s="8" t="str">
        <f>IFERROR(INDEX('بيانات الحركات'!A:A,MATCH(548,'بيانات الحركات'!$G:$G,0)),"")</f>
        <v/>
      </c>
      <c r="B549" s="5" t="str">
        <f>IFERROR(INDEX('بيانات الحركات'!B:B,MATCH(548,'بيانات الحركات'!$G:$G,0)),"")</f>
        <v/>
      </c>
      <c r="C549" s="3" t="str">
        <f>IFERROR(INDEX('بيانات الحركات'!C:C,MATCH(548,'بيانات الحركات'!$G:$G,0)),"")</f>
        <v/>
      </c>
      <c r="D549" s="3" t="str">
        <f>IFERROR(INDEX('بيانات الحركات'!D:D,MATCH(548,'بيانات الحركات'!$G:$G,0)),"")</f>
        <v/>
      </c>
      <c r="E549" s="21" t="str">
        <f>IF($B549="إنتاج طبخة","",IFERROR(INDEX('بيانات الحركات'!E:E,MATCH(548,'بيانات الحركات'!$G:$G,0)),""))</f>
        <v/>
      </c>
      <c r="F549" s="3" t="str">
        <f>IFERROR(INDEX('بيانات الحركات'!F:F,MATCH(548,'بيانات الحركات'!$G:$G,0)),"")</f>
        <v/>
      </c>
    </row>
    <row r="550" spans="1:6" ht="21.95" customHeight="1">
      <c r="A550" s="8" t="str">
        <f>IFERROR(INDEX('بيانات الحركات'!A:A,MATCH(549,'بيانات الحركات'!$G:$G,0)),"")</f>
        <v/>
      </c>
      <c r="B550" s="5" t="str">
        <f>IFERROR(INDEX('بيانات الحركات'!B:B,MATCH(549,'بيانات الحركات'!$G:$G,0)),"")</f>
        <v/>
      </c>
      <c r="C550" s="3" t="str">
        <f>IFERROR(INDEX('بيانات الحركات'!C:C,MATCH(549,'بيانات الحركات'!$G:$G,0)),"")</f>
        <v/>
      </c>
      <c r="D550" s="3" t="str">
        <f>IFERROR(INDEX('بيانات الحركات'!D:D,MATCH(549,'بيانات الحركات'!$G:$G,0)),"")</f>
        <v/>
      </c>
      <c r="E550" s="21" t="str">
        <f>IF($B550="إنتاج طبخة","",IFERROR(INDEX('بيانات الحركات'!E:E,MATCH(549,'بيانات الحركات'!$G:$G,0)),""))</f>
        <v/>
      </c>
      <c r="F550" s="3" t="str">
        <f>IFERROR(INDEX('بيانات الحركات'!F:F,MATCH(549,'بيانات الحركات'!$G:$G,0)),"")</f>
        <v/>
      </c>
    </row>
    <row r="551" spans="1:6" ht="21.95" customHeight="1">
      <c r="A551" s="8" t="str">
        <f>IFERROR(INDEX('بيانات الحركات'!A:A,MATCH(550,'بيانات الحركات'!$G:$G,0)),"")</f>
        <v/>
      </c>
      <c r="B551" s="5" t="str">
        <f>IFERROR(INDEX('بيانات الحركات'!B:B,MATCH(550,'بيانات الحركات'!$G:$G,0)),"")</f>
        <v/>
      </c>
      <c r="C551" s="3" t="str">
        <f>IFERROR(INDEX('بيانات الحركات'!C:C,MATCH(550,'بيانات الحركات'!$G:$G,0)),"")</f>
        <v/>
      </c>
      <c r="D551" s="3" t="str">
        <f>IFERROR(INDEX('بيانات الحركات'!D:D,MATCH(550,'بيانات الحركات'!$G:$G,0)),"")</f>
        <v/>
      </c>
      <c r="E551" s="21" t="str">
        <f>IF($B551="إنتاج طبخة","",IFERROR(INDEX('بيانات الحركات'!E:E,MATCH(550,'بيانات الحركات'!$G:$G,0)),""))</f>
        <v/>
      </c>
      <c r="F551" s="3" t="str">
        <f>IFERROR(INDEX('بيانات الحركات'!F:F,MATCH(550,'بيانات الحركات'!$G:$G,0)),"")</f>
        <v/>
      </c>
    </row>
    <row r="552" spans="1:6" ht="21.95" customHeight="1">
      <c r="A552" s="8" t="str">
        <f>IFERROR(INDEX('بيانات الحركات'!A:A,MATCH(551,'بيانات الحركات'!$G:$G,0)),"")</f>
        <v/>
      </c>
      <c r="B552" s="5" t="str">
        <f>IFERROR(INDEX('بيانات الحركات'!B:B,MATCH(551,'بيانات الحركات'!$G:$G,0)),"")</f>
        <v/>
      </c>
      <c r="C552" s="3" t="str">
        <f>IFERROR(INDEX('بيانات الحركات'!C:C,MATCH(551,'بيانات الحركات'!$G:$G,0)),"")</f>
        <v/>
      </c>
      <c r="D552" s="3" t="str">
        <f>IFERROR(INDEX('بيانات الحركات'!D:D,MATCH(551,'بيانات الحركات'!$G:$G,0)),"")</f>
        <v/>
      </c>
      <c r="E552" s="21" t="str">
        <f>IF($B552="إنتاج طبخة","",IFERROR(INDEX('بيانات الحركات'!E:E,MATCH(551,'بيانات الحركات'!$G:$G,0)),""))</f>
        <v/>
      </c>
      <c r="F552" s="3" t="str">
        <f>IFERROR(INDEX('بيانات الحركات'!F:F,MATCH(551,'بيانات الحركات'!$G:$G,0)),"")</f>
        <v/>
      </c>
    </row>
    <row r="553" spans="1:6" ht="21.95" customHeight="1">
      <c r="A553" s="8" t="str">
        <f>IFERROR(INDEX('بيانات الحركات'!A:A,MATCH(552,'بيانات الحركات'!$G:$G,0)),"")</f>
        <v/>
      </c>
      <c r="B553" s="5" t="str">
        <f>IFERROR(INDEX('بيانات الحركات'!B:B,MATCH(552,'بيانات الحركات'!$G:$G,0)),"")</f>
        <v/>
      </c>
      <c r="C553" s="3" t="str">
        <f>IFERROR(INDEX('بيانات الحركات'!C:C,MATCH(552,'بيانات الحركات'!$G:$G,0)),"")</f>
        <v/>
      </c>
      <c r="D553" s="3" t="str">
        <f>IFERROR(INDEX('بيانات الحركات'!D:D,MATCH(552,'بيانات الحركات'!$G:$G,0)),"")</f>
        <v/>
      </c>
      <c r="E553" s="21" t="str">
        <f>IF($B553="إنتاج طبخة","",IFERROR(INDEX('بيانات الحركات'!E:E,MATCH(552,'بيانات الحركات'!$G:$G,0)),""))</f>
        <v/>
      </c>
      <c r="F553" s="3" t="str">
        <f>IFERROR(INDEX('بيانات الحركات'!F:F,MATCH(552,'بيانات الحركات'!$G:$G,0)),"")</f>
        <v/>
      </c>
    </row>
    <row r="554" spans="1:6" ht="21.95" customHeight="1">
      <c r="A554" s="8" t="str">
        <f>IFERROR(INDEX('بيانات الحركات'!A:A,MATCH(553,'بيانات الحركات'!$G:$G,0)),"")</f>
        <v/>
      </c>
      <c r="B554" s="5" t="str">
        <f>IFERROR(INDEX('بيانات الحركات'!B:B,MATCH(553,'بيانات الحركات'!$G:$G,0)),"")</f>
        <v/>
      </c>
      <c r="C554" s="3" t="str">
        <f>IFERROR(INDEX('بيانات الحركات'!C:C,MATCH(553,'بيانات الحركات'!$G:$G,0)),"")</f>
        <v/>
      </c>
      <c r="D554" s="3" t="str">
        <f>IFERROR(INDEX('بيانات الحركات'!D:D,MATCH(553,'بيانات الحركات'!$G:$G,0)),"")</f>
        <v/>
      </c>
      <c r="E554" s="21" t="str">
        <f>IF($B554="إنتاج طبخة","",IFERROR(INDEX('بيانات الحركات'!E:E,MATCH(553,'بيانات الحركات'!$G:$G,0)),""))</f>
        <v/>
      </c>
      <c r="F554" s="3" t="str">
        <f>IFERROR(INDEX('بيانات الحركات'!F:F,MATCH(553,'بيانات الحركات'!$G:$G,0)),"")</f>
        <v/>
      </c>
    </row>
    <row r="555" spans="1:6" ht="21.95" customHeight="1">
      <c r="A555" s="8" t="str">
        <f>IFERROR(INDEX('بيانات الحركات'!A:A,MATCH(554,'بيانات الحركات'!$G:$G,0)),"")</f>
        <v/>
      </c>
      <c r="B555" s="5" t="str">
        <f>IFERROR(INDEX('بيانات الحركات'!B:B,MATCH(554,'بيانات الحركات'!$G:$G,0)),"")</f>
        <v/>
      </c>
      <c r="C555" s="3" t="str">
        <f>IFERROR(INDEX('بيانات الحركات'!C:C,MATCH(554,'بيانات الحركات'!$G:$G,0)),"")</f>
        <v/>
      </c>
      <c r="D555" s="3" t="str">
        <f>IFERROR(INDEX('بيانات الحركات'!D:D,MATCH(554,'بيانات الحركات'!$G:$G,0)),"")</f>
        <v/>
      </c>
      <c r="E555" s="21" t="str">
        <f>IF($B555="إنتاج طبخة","",IFERROR(INDEX('بيانات الحركات'!E:E,MATCH(554,'بيانات الحركات'!$G:$G,0)),""))</f>
        <v/>
      </c>
      <c r="F555" s="3" t="str">
        <f>IFERROR(INDEX('بيانات الحركات'!F:F,MATCH(554,'بيانات الحركات'!$G:$G,0)),"")</f>
        <v/>
      </c>
    </row>
    <row r="556" spans="1:6" ht="21.95" customHeight="1">
      <c r="A556" s="8" t="str">
        <f>IFERROR(INDEX('بيانات الحركات'!A:A,MATCH(555,'بيانات الحركات'!$G:$G,0)),"")</f>
        <v/>
      </c>
      <c r="B556" s="5" t="str">
        <f>IFERROR(INDEX('بيانات الحركات'!B:B,MATCH(555,'بيانات الحركات'!$G:$G,0)),"")</f>
        <v/>
      </c>
      <c r="C556" s="3" t="str">
        <f>IFERROR(INDEX('بيانات الحركات'!C:C,MATCH(555,'بيانات الحركات'!$G:$G,0)),"")</f>
        <v/>
      </c>
      <c r="D556" s="3" t="str">
        <f>IFERROR(INDEX('بيانات الحركات'!D:D,MATCH(555,'بيانات الحركات'!$G:$G,0)),"")</f>
        <v/>
      </c>
      <c r="E556" s="21" t="str">
        <f>IF($B556="إنتاج طبخة","",IFERROR(INDEX('بيانات الحركات'!E:E,MATCH(555,'بيانات الحركات'!$G:$G,0)),""))</f>
        <v/>
      </c>
      <c r="F556" s="3" t="str">
        <f>IFERROR(INDEX('بيانات الحركات'!F:F,MATCH(555,'بيانات الحركات'!$G:$G,0)),"")</f>
        <v/>
      </c>
    </row>
    <row r="557" spans="1:6" ht="21.95" customHeight="1">
      <c r="A557" s="8" t="str">
        <f>IFERROR(INDEX('بيانات الحركات'!A:A,MATCH(556,'بيانات الحركات'!$G:$G,0)),"")</f>
        <v/>
      </c>
      <c r="B557" s="5" t="str">
        <f>IFERROR(INDEX('بيانات الحركات'!B:B,MATCH(556,'بيانات الحركات'!$G:$G,0)),"")</f>
        <v/>
      </c>
      <c r="C557" s="3" t="str">
        <f>IFERROR(INDEX('بيانات الحركات'!C:C,MATCH(556,'بيانات الحركات'!$G:$G,0)),"")</f>
        <v/>
      </c>
      <c r="D557" s="3" t="str">
        <f>IFERROR(INDEX('بيانات الحركات'!D:D,MATCH(556,'بيانات الحركات'!$G:$G,0)),"")</f>
        <v/>
      </c>
      <c r="E557" s="21" t="str">
        <f>IF($B557="إنتاج طبخة","",IFERROR(INDEX('بيانات الحركات'!E:E,MATCH(556,'بيانات الحركات'!$G:$G,0)),""))</f>
        <v/>
      </c>
      <c r="F557" s="3" t="str">
        <f>IFERROR(INDEX('بيانات الحركات'!F:F,MATCH(556,'بيانات الحركات'!$G:$G,0)),"")</f>
        <v/>
      </c>
    </row>
    <row r="558" spans="1:6" ht="21.95" customHeight="1">
      <c r="A558" s="8" t="str">
        <f>IFERROR(INDEX('بيانات الحركات'!A:A,MATCH(557,'بيانات الحركات'!$G:$G,0)),"")</f>
        <v/>
      </c>
      <c r="B558" s="5" t="str">
        <f>IFERROR(INDEX('بيانات الحركات'!B:B,MATCH(557,'بيانات الحركات'!$G:$G,0)),"")</f>
        <v/>
      </c>
      <c r="C558" s="3" t="str">
        <f>IFERROR(INDEX('بيانات الحركات'!C:C,MATCH(557,'بيانات الحركات'!$G:$G,0)),"")</f>
        <v/>
      </c>
      <c r="D558" s="3" t="str">
        <f>IFERROR(INDEX('بيانات الحركات'!D:D,MATCH(557,'بيانات الحركات'!$G:$G,0)),"")</f>
        <v/>
      </c>
      <c r="E558" s="21" t="str">
        <f>IF($B558="إنتاج طبخة","",IFERROR(INDEX('بيانات الحركات'!E:E,MATCH(557,'بيانات الحركات'!$G:$G,0)),""))</f>
        <v/>
      </c>
      <c r="F558" s="3" t="str">
        <f>IFERROR(INDEX('بيانات الحركات'!F:F,MATCH(557,'بيانات الحركات'!$G:$G,0)),"")</f>
        <v/>
      </c>
    </row>
    <row r="559" spans="1:6" ht="21.95" customHeight="1">
      <c r="A559" s="8" t="str">
        <f>IFERROR(INDEX('بيانات الحركات'!A:A,MATCH(558,'بيانات الحركات'!$G:$G,0)),"")</f>
        <v/>
      </c>
      <c r="B559" s="5" t="str">
        <f>IFERROR(INDEX('بيانات الحركات'!B:B,MATCH(558,'بيانات الحركات'!$G:$G,0)),"")</f>
        <v/>
      </c>
      <c r="C559" s="3" t="str">
        <f>IFERROR(INDEX('بيانات الحركات'!C:C,MATCH(558,'بيانات الحركات'!$G:$G,0)),"")</f>
        <v/>
      </c>
      <c r="D559" s="3" t="str">
        <f>IFERROR(INDEX('بيانات الحركات'!D:D,MATCH(558,'بيانات الحركات'!$G:$G,0)),"")</f>
        <v/>
      </c>
      <c r="E559" s="21" t="str">
        <f>IF($B559="إنتاج طبخة","",IFERROR(INDEX('بيانات الحركات'!E:E,MATCH(558,'بيانات الحركات'!$G:$G,0)),""))</f>
        <v/>
      </c>
      <c r="F559" s="3" t="str">
        <f>IFERROR(INDEX('بيانات الحركات'!F:F,MATCH(558,'بيانات الحركات'!$G:$G,0)),"")</f>
        <v/>
      </c>
    </row>
    <row r="560" spans="1:6" ht="21.95" customHeight="1">
      <c r="A560" s="8" t="str">
        <f>IFERROR(INDEX('بيانات الحركات'!A:A,MATCH(559,'بيانات الحركات'!$G:$G,0)),"")</f>
        <v/>
      </c>
      <c r="B560" s="5" t="str">
        <f>IFERROR(INDEX('بيانات الحركات'!B:B,MATCH(559,'بيانات الحركات'!$G:$G,0)),"")</f>
        <v/>
      </c>
      <c r="C560" s="3" t="str">
        <f>IFERROR(INDEX('بيانات الحركات'!C:C,MATCH(559,'بيانات الحركات'!$G:$G,0)),"")</f>
        <v/>
      </c>
      <c r="D560" s="3" t="str">
        <f>IFERROR(INDEX('بيانات الحركات'!D:D,MATCH(559,'بيانات الحركات'!$G:$G,0)),"")</f>
        <v/>
      </c>
      <c r="E560" s="21" t="str">
        <f>IF($B560="إنتاج طبخة","",IFERROR(INDEX('بيانات الحركات'!E:E,MATCH(559,'بيانات الحركات'!$G:$G,0)),""))</f>
        <v/>
      </c>
      <c r="F560" s="3" t="str">
        <f>IFERROR(INDEX('بيانات الحركات'!F:F,MATCH(559,'بيانات الحركات'!$G:$G,0)),"")</f>
        <v/>
      </c>
    </row>
    <row r="561" spans="1:6" ht="21.95" customHeight="1">
      <c r="A561" s="8" t="str">
        <f>IFERROR(INDEX('بيانات الحركات'!A:A,MATCH(560,'بيانات الحركات'!$G:$G,0)),"")</f>
        <v/>
      </c>
      <c r="B561" s="5" t="str">
        <f>IFERROR(INDEX('بيانات الحركات'!B:B,MATCH(560,'بيانات الحركات'!$G:$G,0)),"")</f>
        <v/>
      </c>
      <c r="C561" s="3" t="str">
        <f>IFERROR(INDEX('بيانات الحركات'!C:C,MATCH(560,'بيانات الحركات'!$G:$G,0)),"")</f>
        <v/>
      </c>
      <c r="D561" s="3" t="str">
        <f>IFERROR(INDEX('بيانات الحركات'!D:D,MATCH(560,'بيانات الحركات'!$G:$G,0)),"")</f>
        <v/>
      </c>
      <c r="E561" s="21" t="str">
        <f>IF($B561="إنتاج طبخة","",IFERROR(INDEX('بيانات الحركات'!E:E,MATCH(560,'بيانات الحركات'!$G:$G,0)),""))</f>
        <v/>
      </c>
      <c r="F561" s="3" t="str">
        <f>IFERROR(INDEX('بيانات الحركات'!F:F,MATCH(560,'بيانات الحركات'!$G:$G,0)),"")</f>
        <v/>
      </c>
    </row>
    <row r="562" spans="1:6" ht="21.95" customHeight="1">
      <c r="A562" s="8" t="str">
        <f>IFERROR(INDEX('بيانات الحركات'!A:A,MATCH(561,'بيانات الحركات'!$G:$G,0)),"")</f>
        <v/>
      </c>
      <c r="B562" s="5" t="str">
        <f>IFERROR(INDEX('بيانات الحركات'!B:B,MATCH(561,'بيانات الحركات'!$G:$G,0)),"")</f>
        <v/>
      </c>
      <c r="C562" s="3" t="str">
        <f>IFERROR(INDEX('بيانات الحركات'!C:C,MATCH(561,'بيانات الحركات'!$G:$G,0)),"")</f>
        <v/>
      </c>
      <c r="D562" s="3" t="str">
        <f>IFERROR(INDEX('بيانات الحركات'!D:D,MATCH(561,'بيانات الحركات'!$G:$G,0)),"")</f>
        <v/>
      </c>
      <c r="E562" s="21" t="str">
        <f>IF($B562="إنتاج طبخة","",IFERROR(INDEX('بيانات الحركات'!E:E,MATCH(561,'بيانات الحركات'!$G:$G,0)),""))</f>
        <v/>
      </c>
      <c r="F562" s="3" t="str">
        <f>IFERROR(INDEX('بيانات الحركات'!F:F,MATCH(561,'بيانات الحركات'!$G:$G,0)),"")</f>
        <v/>
      </c>
    </row>
    <row r="563" spans="1:6" ht="21.95" customHeight="1">
      <c r="A563" s="8" t="str">
        <f>IFERROR(INDEX('بيانات الحركات'!A:A,MATCH(562,'بيانات الحركات'!$G:$G,0)),"")</f>
        <v/>
      </c>
      <c r="B563" s="5" t="str">
        <f>IFERROR(INDEX('بيانات الحركات'!B:B,MATCH(562,'بيانات الحركات'!$G:$G,0)),"")</f>
        <v/>
      </c>
      <c r="C563" s="3" t="str">
        <f>IFERROR(INDEX('بيانات الحركات'!C:C,MATCH(562,'بيانات الحركات'!$G:$G,0)),"")</f>
        <v/>
      </c>
      <c r="D563" s="3" t="str">
        <f>IFERROR(INDEX('بيانات الحركات'!D:D,MATCH(562,'بيانات الحركات'!$G:$G,0)),"")</f>
        <v/>
      </c>
      <c r="E563" s="21" t="str">
        <f>IF($B563="إنتاج طبخة","",IFERROR(INDEX('بيانات الحركات'!E:E,MATCH(562,'بيانات الحركات'!$G:$G,0)),""))</f>
        <v/>
      </c>
      <c r="F563" s="3" t="str">
        <f>IFERROR(INDEX('بيانات الحركات'!F:F,MATCH(562,'بيانات الحركات'!$G:$G,0)),"")</f>
        <v/>
      </c>
    </row>
    <row r="564" spans="1:6" ht="21.95" customHeight="1">
      <c r="A564" s="8" t="str">
        <f>IFERROR(INDEX('بيانات الحركات'!A:A,MATCH(563,'بيانات الحركات'!$G:$G,0)),"")</f>
        <v/>
      </c>
      <c r="B564" s="5" t="str">
        <f>IFERROR(INDEX('بيانات الحركات'!B:B,MATCH(563,'بيانات الحركات'!$G:$G,0)),"")</f>
        <v/>
      </c>
      <c r="C564" s="3" t="str">
        <f>IFERROR(INDEX('بيانات الحركات'!C:C,MATCH(563,'بيانات الحركات'!$G:$G,0)),"")</f>
        <v/>
      </c>
      <c r="D564" s="3" t="str">
        <f>IFERROR(INDEX('بيانات الحركات'!D:D,MATCH(563,'بيانات الحركات'!$G:$G,0)),"")</f>
        <v/>
      </c>
      <c r="E564" s="21" t="str">
        <f>IF($B564="إنتاج طبخة","",IFERROR(INDEX('بيانات الحركات'!E:E,MATCH(563,'بيانات الحركات'!$G:$G,0)),""))</f>
        <v/>
      </c>
      <c r="F564" s="3" t="str">
        <f>IFERROR(INDEX('بيانات الحركات'!F:F,MATCH(563,'بيانات الحركات'!$G:$G,0)),"")</f>
        <v/>
      </c>
    </row>
    <row r="565" spans="1:6" ht="21.95" customHeight="1">
      <c r="A565" s="8" t="str">
        <f>IFERROR(INDEX('بيانات الحركات'!A:A,MATCH(564,'بيانات الحركات'!$G:$G,0)),"")</f>
        <v/>
      </c>
      <c r="B565" s="5" t="str">
        <f>IFERROR(INDEX('بيانات الحركات'!B:B,MATCH(564,'بيانات الحركات'!$G:$G,0)),"")</f>
        <v/>
      </c>
      <c r="C565" s="3" t="str">
        <f>IFERROR(INDEX('بيانات الحركات'!C:C,MATCH(564,'بيانات الحركات'!$G:$G,0)),"")</f>
        <v/>
      </c>
      <c r="D565" s="3" t="str">
        <f>IFERROR(INDEX('بيانات الحركات'!D:D,MATCH(564,'بيانات الحركات'!$G:$G,0)),"")</f>
        <v/>
      </c>
      <c r="E565" s="21" t="str">
        <f>IF($B565="إنتاج طبخة","",IFERROR(INDEX('بيانات الحركات'!E:E,MATCH(564,'بيانات الحركات'!$G:$G,0)),""))</f>
        <v/>
      </c>
      <c r="F565" s="3" t="str">
        <f>IFERROR(INDEX('بيانات الحركات'!F:F,MATCH(564,'بيانات الحركات'!$G:$G,0)),"")</f>
        <v/>
      </c>
    </row>
    <row r="566" spans="1:6" ht="21.95" customHeight="1">
      <c r="A566" s="8" t="str">
        <f>IFERROR(INDEX('بيانات الحركات'!A:A,MATCH(565,'بيانات الحركات'!$G:$G,0)),"")</f>
        <v/>
      </c>
      <c r="B566" s="5" t="str">
        <f>IFERROR(INDEX('بيانات الحركات'!B:B,MATCH(565,'بيانات الحركات'!$G:$G,0)),"")</f>
        <v/>
      </c>
      <c r="C566" s="3" t="str">
        <f>IFERROR(INDEX('بيانات الحركات'!C:C,MATCH(565,'بيانات الحركات'!$G:$G,0)),"")</f>
        <v/>
      </c>
      <c r="D566" s="3" t="str">
        <f>IFERROR(INDEX('بيانات الحركات'!D:D,MATCH(565,'بيانات الحركات'!$G:$G,0)),"")</f>
        <v/>
      </c>
      <c r="E566" s="21" t="str">
        <f>IF($B566="إنتاج طبخة","",IFERROR(INDEX('بيانات الحركات'!E:E,MATCH(565,'بيانات الحركات'!$G:$G,0)),""))</f>
        <v/>
      </c>
      <c r="F566" s="3" t="str">
        <f>IFERROR(INDEX('بيانات الحركات'!F:F,MATCH(565,'بيانات الحركات'!$G:$G,0)),"")</f>
        <v/>
      </c>
    </row>
    <row r="567" spans="1:6" ht="21.95" customHeight="1">
      <c r="A567" s="8" t="str">
        <f>IFERROR(INDEX('بيانات الحركات'!A:A,MATCH(566,'بيانات الحركات'!$G:$G,0)),"")</f>
        <v/>
      </c>
      <c r="B567" s="5" t="str">
        <f>IFERROR(INDEX('بيانات الحركات'!B:B,MATCH(566,'بيانات الحركات'!$G:$G,0)),"")</f>
        <v/>
      </c>
      <c r="C567" s="3" t="str">
        <f>IFERROR(INDEX('بيانات الحركات'!C:C,MATCH(566,'بيانات الحركات'!$G:$G,0)),"")</f>
        <v/>
      </c>
      <c r="D567" s="3" t="str">
        <f>IFERROR(INDEX('بيانات الحركات'!D:D,MATCH(566,'بيانات الحركات'!$G:$G,0)),"")</f>
        <v/>
      </c>
      <c r="E567" s="21" t="str">
        <f>IF($B567="إنتاج طبخة","",IFERROR(INDEX('بيانات الحركات'!E:E,MATCH(566,'بيانات الحركات'!$G:$G,0)),""))</f>
        <v/>
      </c>
      <c r="F567" s="3" t="str">
        <f>IFERROR(INDEX('بيانات الحركات'!F:F,MATCH(566,'بيانات الحركات'!$G:$G,0)),"")</f>
        <v/>
      </c>
    </row>
    <row r="568" spans="1:6" ht="21.95" customHeight="1">
      <c r="A568" s="8" t="str">
        <f>IFERROR(INDEX('بيانات الحركات'!A:A,MATCH(567,'بيانات الحركات'!$G:$G,0)),"")</f>
        <v/>
      </c>
      <c r="B568" s="5" t="str">
        <f>IFERROR(INDEX('بيانات الحركات'!B:B,MATCH(567,'بيانات الحركات'!$G:$G,0)),"")</f>
        <v/>
      </c>
      <c r="C568" s="3" t="str">
        <f>IFERROR(INDEX('بيانات الحركات'!C:C,MATCH(567,'بيانات الحركات'!$G:$G,0)),"")</f>
        <v/>
      </c>
      <c r="D568" s="3" t="str">
        <f>IFERROR(INDEX('بيانات الحركات'!D:D,MATCH(567,'بيانات الحركات'!$G:$G,0)),"")</f>
        <v/>
      </c>
      <c r="E568" s="21" t="str">
        <f>IF($B568="إنتاج طبخة","",IFERROR(INDEX('بيانات الحركات'!E:E,MATCH(567,'بيانات الحركات'!$G:$G,0)),""))</f>
        <v/>
      </c>
      <c r="F568" s="3" t="str">
        <f>IFERROR(INDEX('بيانات الحركات'!F:F,MATCH(567,'بيانات الحركات'!$G:$G,0)),"")</f>
        <v/>
      </c>
    </row>
    <row r="569" spans="1:6" ht="21.95" customHeight="1">
      <c r="A569" s="8" t="str">
        <f>IFERROR(INDEX('بيانات الحركات'!A:A,MATCH(568,'بيانات الحركات'!$G:$G,0)),"")</f>
        <v/>
      </c>
      <c r="B569" s="5" t="str">
        <f>IFERROR(INDEX('بيانات الحركات'!B:B,MATCH(568,'بيانات الحركات'!$G:$G,0)),"")</f>
        <v/>
      </c>
      <c r="C569" s="3" t="str">
        <f>IFERROR(INDEX('بيانات الحركات'!C:C,MATCH(568,'بيانات الحركات'!$G:$G,0)),"")</f>
        <v/>
      </c>
      <c r="D569" s="3" t="str">
        <f>IFERROR(INDEX('بيانات الحركات'!D:D,MATCH(568,'بيانات الحركات'!$G:$G,0)),"")</f>
        <v/>
      </c>
      <c r="E569" s="21" t="str">
        <f>IF($B569="إنتاج طبخة","",IFERROR(INDEX('بيانات الحركات'!E:E,MATCH(568,'بيانات الحركات'!$G:$G,0)),""))</f>
        <v/>
      </c>
      <c r="F569" s="3" t="str">
        <f>IFERROR(INDEX('بيانات الحركات'!F:F,MATCH(568,'بيانات الحركات'!$G:$G,0)),"")</f>
        <v/>
      </c>
    </row>
    <row r="570" spans="1:6" ht="21.95" customHeight="1">
      <c r="A570" s="8" t="str">
        <f>IFERROR(INDEX('بيانات الحركات'!A:A,MATCH(569,'بيانات الحركات'!$G:$G,0)),"")</f>
        <v/>
      </c>
      <c r="B570" s="5" t="str">
        <f>IFERROR(INDEX('بيانات الحركات'!B:B,MATCH(569,'بيانات الحركات'!$G:$G,0)),"")</f>
        <v/>
      </c>
      <c r="C570" s="3" t="str">
        <f>IFERROR(INDEX('بيانات الحركات'!C:C,MATCH(569,'بيانات الحركات'!$G:$G,0)),"")</f>
        <v/>
      </c>
      <c r="D570" s="3" t="str">
        <f>IFERROR(INDEX('بيانات الحركات'!D:D,MATCH(569,'بيانات الحركات'!$G:$G,0)),"")</f>
        <v/>
      </c>
      <c r="E570" s="21" t="str">
        <f>IF($B570="إنتاج طبخة","",IFERROR(INDEX('بيانات الحركات'!E:E,MATCH(569,'بيانات الحركات'!$G:$G,0)),""))</f>
        <v/>
      </c>
      <c r="F570" s="3" t="str">
        <f>IFERROR(INDEX('بيانات الحركات'!F:F,MATCH(569,'بيانات الحركات'!$G:$G,0)),"")</f>
        <v/>
      </c>
    </row>
    <row r="571" spans="1:6" ht="21.95" customHeight="1">
      <c r="A571" s="8" t="str">
        <f>IFERROR(INDEX('بيانات الحركات'!A:A,MATCH(570,'بيانات الحركات'!$G:$G,0)),"")</f>
        <v/>
      </c>
      <c r="B571" s="5" t="str">
        <f>IFERROR(INDEX('بيانات الحركات'!B:B,MATCH(570,'بيانات الحركات'!$G:$G,0)),"")</f>
        <v/>
      </c>
      <c r="C571" s="3" t="str">
        <f>IFERROR(INDEX('بيانات الحركات'!C:C,MATCH(570,'بيانات الحركات'!$G:$G,0)),"")</f>
        <v/>
      </c>
      <c r="D571" s="3" t="str">
        <f>IFERROR(INDEX('بيانات الحركات'!D:D,MATCH(570,'بيانات الحركات'!$G:$G,0)),"")</f>
        <v/>
      </c>
      <c r="E571" s="21" t="str">
        <f>IF($B571="إنتاج طبخة","",IFERROR(INDEX('بيانات الحركات'!E:E,MATCH(570,'بيانات الحركات'!$G:$G,0)),""))</f>
        <v/>
      </c>
      <c r="F571" s="3" t="str">
        <f>IFERROR(INDEX('بيانات الحركات'!F:F,MATCH(570,'بيانات الحركات'!$G:$G,0)),"")</f>
        <v/>
      </c>
    </row>
    <row r="572" spans="1:6" ht="21.95" customHeight="1">
      <c r="A572" s="8" t="str">
        <f>IFERROR(INDEX('بيانات الحركات'!A:A,MATCH(571,'بيانات الحركات'!$G:$G,0)),"")</f>
        <v/>
      </c>
      <c r="B572" s="5" t="str">
        <f>IFERROR(INDEX('بيانات الحركات'!B:B,MATCH(571,'بيانات الحركات'!$G:$G,0)),"")</f>
        <v/>
      </c>
      <c r="C572" s="3" t="str">
        <f>IFERROR(INDEX('بيانات الحركات'!C:C,MATCH(571,'بيانات الحركات'!$G:$G,0)),"")</f>
        <v/>
      </c>
      <c r="D572" s="3" t="str">
        <f>IFERROR(INDEX('بيانات الحركات'!D:D,MATCH(571,'بيانات الحركات'!$G:$G,0)),"")</f>
        <v/>
      </c>
      <c r="E572" s="21" t="str">
        <f>IF($B572="إنتاج طبخة","",IFERROR(INDEX('بيانات الحركات'!E:E,MATCH(571,'بيانات الحركات'!$G:$G,0)),""))</f>
        <v/>
      </c>
      <c r="F572" s="3" t="str">
        <f>IFERROR(INDEX('بيانات الحركات'!F:F,MATCH(571,'بيانات الحركات'!$G:$G,0)),"")</f>
        <v/>
      </c>
    </row>
    <row r="573" spans="1:6" ht="21.95" customHeight="1">
      <c r="A573" s="8" t="str">
        <f>IFERROR(INDEX('بيانات الحركات'!A:A,MATCH(572,'بيانات الحركات'!$G:$G,0)),"")</f>
        <v/>
      </c>
      <c r="B573" s="5" t="str">
        <f>IFERROR(INDEX('بيانات الحركات'!B:B,MATCH(572,'بيانات الحركات'!$G:$G,0)),"")</f>
        <v/>
      </c>
      <c r="C573" s="3" t="str">
        <f>IFERROR(INDEX('بيانات الحركات'!C:C,MATCH(572,'بيانات الحركات'!$G:$G,0)),"")</f>
        <v/>
      </c>
      <c r="D573" s="3" t="str">
        <f>IFERROR(INDEX('بيانات الحركات'!D:D,MATCH(572,'بيانات الحركات'!$G:$G,0)),"")</f>
        <v/>
      </c>
      <c r="E573" s="21" t="str">
        <f>IF($B573="إنتاج طبخة","",IFERROR(INDEX('بيانات الحركات'!E:E,MATCH(572,'بيانات الحركات'!$G:$G,0)),""))</f>
        <v/>
      </c>
      <c r="F573" s="3" t="str">
        <f>IFERROR(INDEX('بيانات الحركات'!F:F,MATCH(572,'بيانات الحركات'!$G:$G,0)),"")</f>
        <v/>
      </c>
    </row>
    <row r="574" spans="1:6" ht="21.95" customHeight="1">
      <c r="A574" s="8" t="str">
        <f>IFERROR(INDEX('بيانات الحركات'!A:A,MATCH(573,'بيانات الحركات'!$G:$G,0)),"")</f>
        <v/>
      </c>
      <c r="B574" s="5" t="str">
        <f>IFERROR(INDEX('بيانات الحركات'!B:B,MATCH(573,'بيانات الحركات'!$G:$G,0)),"")</f>
        <v/>
      </c>
      <c r="C574" s="3" t="str">
        <f>IFERROR(INDEX('بيانات الحركات'!C:C,MATCH(573,'بيانات الحركات'!$G:$G,0)),"")</f>
        <v/>
      </c>
      <c r="D574" s="3" t="str">
        <f>IFERROR(INDEX('بيانات الحركات'!D:D,MATCH(573,'بيانات الحركات'!$G:$G,0)),"")</f>
        <v/>
      </c>
      <c r="E574" s="21" t="str">
        <f>IF($B574="إنتاج طبخة","",IFERROR(INDEX('بيانات الحركات'!E:E,MATCH(573,'بيانات الحركات'!$G:$G,0)),""))</f>
        <v/>
      </c>
      <c r="F574" s="3" t="str">
        <f>IFERROR(INDEX('بيانات الحركات'!F:F,MATCH(573,'بيانات الحركات'!$G:$G,0)),"")</f>
        <v/>
      </c>
    </row>
    <row r="575" spans="1:6" ht="21.95" customHeight="1">
      <c r="A575" s="8" t="str">
        <f>IFERROR(INDEX('بيانات الحركات'!A:A,MATCH(574,'بيانات الحركات'!$G:$G,0)),"")</f>
        <v/>
      </c>
      <c r="B575" s="5" t="str">
        <f>IFERROR(INDEX('بيانات الحركات'!B:B,MATCH(574,'بيانات الحركات'!$G:$G,0)),"")</f>
        <v/>
      </c>
      <c r="C575" s="3" t="str">
        <f>IFERROR(INDEX('بيانات الحركات'!C:C,MATCH(574,'بيانات الحركات'!$G:$G,0)),"")</f>
        <v/>
      </c>
      <c r="D575" s="3" t="str">
        <f>IFERROR(INDEX('بيانات الحركات'!D:D,MATCH(574,'بيانات الحركات'!$G:$G,0)),"")</f>
        <v/>
      </c>
      <c r="E575" s="21" t="str">
        <f>IF($B575="إنتاج طبخة","",IFERROR(INDEX('بيانات الحركات'!E:E,MATCH(574,'بيانات الحركات'!$G:$G,0)),""))</f>
        <v/>
      </c>
      <c r="F575" s="3" t="str">
        <f>IFERROR(INDEX('بيانات الحركات'!F:F,MATCH(574,'بيانات الحركات'!$G:$G,0)),"")</f>
        <v/>
      </c>
    </row>
    <row r="576" spans="1:6" ht="21.95" customHeight="1">
      <c r="A576" s="8" t="str">
        <f>IFERROR(INDEX('بيانات الحركات'!A:A,MATCH(575,'بيانات الحركات'!$G:$G,0)),"")</f>
        <v/>
      </c>
      <c r="B576" s="5" t="str">
        <f>IFERROR(INDEX('بيانات الحركات'!B:B,MATCH(575,'بيانات الحركات'!$G:$G,0)),"")</f>
        <v/>
      </c>
      <c r="C576" s="3" t="str">
        <f>IFERROR(INDEX('بيانات الحركات'!C:C,MATCH(575,'بيانات الحركات'!$G:$G,0)),"")</f>
        <v/>
      </c>
      <c r="D576" s="3" t="str">
        <f>IFERROR(INDEX('بيانات الحركات'!D:D,MATCH(575,'بيانات الحركات'!$G:$G,0)),"")</f>
        <v/>
      </c>
      <c r="E576" s="21" t="str">
        <f>IF($B576="إنتاج طبخة","",IFERROR(INDEX('بيانات الحركات'!E:E,MATCH(575,'بيانات الحركات'!$G:$G,0)),""))</f>
        <v/>
      </c>
      <c r="F576" s="3" t="str">
        <f>IFERROR(INDEX('بيانات الحركات'!F:F,MATCH(575,'بيانات الحركات'!$G:$G,0)),"")</f>
        <v/>
      </c>
    </row>
    <row r="577" spans="1:6" ht="21.95" customHeight="1">
      <c r="A577" s="8" t="str">
        <f>IFERROR(INDEX('بيانات الحركات'!A:A,MATCH(576,'بيانات الحركات'!$G:$G,0)),"")</f>
        <v/>
      </c>
      <c r="B577" s="5" t="str">
        <f>IFERROR(INDEX('بيانات الحركات'!B:B,MATCH(576,'بيانات الحركات'!$G:$G,0)),"")</f>
        <v/>
      </c>
      <c r="C577" s="3" t="str">
        <f>IFERROR(INDEX('بيانات الحركات'!C:C,MATCH(576,'بيانات الحركات'!$G:$G,0)),"")</f>
        <v/>
      </c>
      <c r="D577" s="3" t="str">
        <f>IFERROR(INDEX('بيانات الحركات'!D:D,MATCH(576,'بيانات الحركات'!$G:$G,0)),"")</f>
        <v/>
      </c>
      <c r="E577" s="21" t="str">
        <f>IF($B577="إنتاج طبخة","",IFERROR(INDEX('بيانات الحركات'!E:E,MATCH(576,'بيانات الحركات'!$G:$G,0)),""))</f>
        <v/>
      </c>
      <c r="F577" s="3" t="str">
        <f>IFERROR(INDEX('بيانات الحركات'!F:F,MATCH(576,'بيانات الحركات'!$G:$G,0)),"")</f>
        <v/>
      </c>
    </row>
    <row r="578" spans="1:6" ht="21.95" customHeight="1">
      <c r="A578" s="8" t="str">
        <f>IFERROR(INDEX('بيانات الحركات'!A:A,MATCH(577,'بيانات الحركات'!$G:$G,0)),"")</f>
        <v/>
      </c>
      <c r="B578" s="5" t="str">
        <f>IFERROR(INDEX('بيانات الحركات'!B:B,MATCH(577,'بيانات الحركات'!$G:$G,0)),"")</f>
        <v/>
      </c>
      <c r="C578" s="3" t="str">
        <f>IFERROR(INDEX('بيانات الحركات'!C:C,MATCH(577,'بيانات الحركات'!$G:$G,0)),"")</f>
        <v/>
      </c>
      <c r="D578" s="3" t="str">
        <f>IFERROR(INDEX('بيانات الحركات'!D:D,MATCH(577,'بيانات الحركات'!$G:$G,0)),"")</f>
        <v/>
      </c>
      <c r="E578" s="21" t="str">
        <f>IF($B578="إنتاج طبخة","",IFERROR(INDEX('بيانات الحركات'!E:E,MATCH(577,'بيانات الحركات'!$G:$G,0)),""))</f>
        <v/>
      </c>
      <c r="F578" s="3" t="str">
        <f>IFERROR(INDEX('بيانات الحركات'!F:F,MATCH(577,'بيانات الحركات'!$G:$G,0)),"")</f>
        <v/>
      </c>
    </row>
    <row r="579" spans="1:6" ht="21.95" customHeight="1">
      <c r="A579" s="8" t="str">
        <f>IFERROR(INDEX('بيانات الحركات'!A:A,MATCH(578,'بيانات الحركات'!$G:$G,0)),"")</f>
        <v/>
      </c>
      <c r="B579" s="5" t="str">
        <f>IFERROR(INDEX('بيانات الحركات'!B:B,MATCH(578,'بيانات الحركات'!$G:$G,0)),"")</f>
        <v/>
      </c>
      <c r="C579" s="3" t="str">
        <f>IFERROR(INDEX('بيانات الحركات'!C:C,MATCH(578,'بيانات الحركات'!$G:$G,0)),"")</f>
        <v/>
      </c>
      <c r="D579" s="3" t="str">
        <f>IFERROR(INDEX('بيانات الحركات'!D:D,MATCH(578,'بيانات الحركات'!$G:$G,0)),"")</f>
        <v/>
      </c>
      <c r="E579" s="21" t="str">
        <f>IF($B579="إنتاج طبخة","",IFERROR(INDEX('بيانات الحركات'!E:E,MATCH(578,'بيانات الحركات'!$G:$G,0)),""))</f>
        <v/>
      </c>
      <c r="F579" s="3" t="str">
        <f>IFERROR(INDEX('بيانات الحركات'!F:F,MATCH(578,'بيانات الحركات'!$G:$G,0)),"")</f>
        <v/>
      </c>
    </row>
    <row r="580" spans="1:6" ht="21.95" customHeight="1">
      <c r="A580" s="8" t="str">
        <f>IFERROR(INDEX('بيانات الحركات'!A:A,MATCH(579,'بيانات الحركات'!$G:$G,0)),"")</f>
        <v/>
      </c>
      <c r="B580" s="5" t="str">
        <f>IFERROR(INDEX('بيانات الحركات'!B:B,MATCH(579,'بيانات الحركات'!$G:$G,0)),"")</f>
        <v/>
      </c>
      <c r="C580" s="3" t="str">
        <f>IFERROR(INDEX('بيانات الحركات'!C:C,MATCH(579,'بيانات الحركات'!$G:$G,0)),"")</f>
        <v/>
      </c>
      <c r="D580" s="3" t="str">
        <f>IFERROR(INDEX('بيانات الحركات'!D:D,MATCH(579,'بيانات الحركات'!$G:$G,0)),"")</f>
        <v/>
      </c>
      <c r="E580" s="21" t="str">
        <f>IF($B580="إنتاج طبخة","",IFERROR(INDEX('بيانات الحركات'!E:E,MATCH(579,'بيانات الحركات'!$G:$G,0)),""))</f>
        <v/>
      </c>
      <c r="F580" s="3" t="str">
        <f>IFERROR(INDEX('بيانات الحركات'!F:F,MATCH(579,'بيانات الحركات'!$G:$G,0)),"")</f>
        <v/>
      </c>
    </row>
    <row r="581" spans="1:6" ht="21.95" customHeight="1">
      <c r="A581" s="8" t="str">
        <f>IFERROR(INDEX('بيانات الحركات'!A:A,MATCH(580,'بيانات الحركات'!$G:$G,0)),"")</f>
        <v/>
      </c>
      <c r="B581" s="5" t="str">
        <f>IFERROR(INDEX('بيانات الحركات'!B:B,MATCH(580,'بيانات الحركات'!$G:$G,0)),"")</f>
        <v/>
      </c>
      <c r="C581" s="3" t="str">
        <f>IFERROR(INDEX('بيانات الحركات'!C:C,MATCH(580,'بيانات الحركات'!$G:$G,0)),"")</f>
        <v/>
      </c>
      <c r="D581" s="3" t="str">
        <f>IFERROR(INDEX('بيانات الحركات'!D:D,MATCH(580,'بيانات الحركات'!$G:$G,0)),"")</f>
        <v/>
      </c>
      <c r="E581" s="21" t="str">
        <f>IF($B581="إنتاج طبخة","",IFERROR(INDEX('بيانات الحركات'!E:E,MATCH(580,'بيانات الحركات'!$G:$G,0)),""))</f>
        <v/>
      </c>
      <c r="F581" s="3" t="str">
        <f>IFERROR(INDEX('بيانات الحركات'!F:F,MATCH(580,'بيانات الحركات'!$G:$G,0)),"")</f>
        <v/>
      </c>
    </row>
    <row r="582" spans="1:6" ht="21.95" customHeight="1">
      <c r="A582" s="8" t="str">
        <f>IFERROR(INDEX('بيانات الحركات'!A:A,MATCH(581,'بيانات الحركات'!$G:$G,0)),"")</f>
        <v/>
      </c>
      <c r="B582" s="5" t="str">
        <f>IFERROR(INDEX('بيانات الحركات'!B:B,MATCH(581,'بيانات الحركات'!$G:$G,0)),"")</f>
        <v/>
      </c>
      <c r="C582" s="3" t="str">
        <f>IFERROR(INDEX('بيانات الحركات'!C:C,MATCH(581,'بيانات الحركات'!$G:$G,0)),"")</f>
        <v/>
      </c>
      <c r="D582" s="3" t="str">
        <f>IFERROR(INDEX('بيانات الحركات'!D:D,MATCH(581,'بيانات الحركات'!$G:$G,0)),"")</f>
        <v/>
      </c>
      <c r="E582" s="21" t="str">
        <f>IF($B582="إنتاج طبخة","",IFERROR(INDEX('بيانات الحركات'!E:E,MATCH(581,'بيانات الحركات'!$G:$G,0)),""))</f>
        <v/>
      </c>
      <c r="F582" s="3" t="str">
        <f>IFERROR(INDEX('بيانات الحركات'!F:F,MATCH(581,'بيانات الحركات'!$G:$G,0)),"")</f>
        <v/>
      </c>
    </row>
    <row r="583" spans="1:6" ht="21.95" customHeight="1">
      <c r="A583" s="8" t="str">
        <f>IFERROR(INDEX('بيانات الحركات'!A:A,MATCH(582,'بيانات الحركات'!$G:$G,0)),"")</f>
        <v/>
      </c>
      <c r="B583" s="5" t="str">
        <f>IFERROR(INDEX('بيانات الحركات'!B:B,MATCH(582,'بيانات الحركات'!$G:$G,0)),"")</f>
        <v/>
      </c>
      <c r="C583" s="3" t="str">
        <f>IFERROR(INDEX('بيانات الحركات'!C:C,MATCH(582,'بيانات الحركات'!$G:$G,0)),"")</f>
        <v/>
      </c>
      <c r="D583" s="3" t="str">
        <f>IFERROR(INDEX('بيانات الحركات'!D:D,MATCH(582,'بيانات الحركات'!$G:$G,0)),"")</f>
        <v/>
      </c>
      <c r="E583" s="21" t="str">
        <f>IF($B583="إنتاج طبخة","",IFERROR(INDEX('بيانات الحركات'!E:E,MATCH(582,'بيانات الحركات'!$G:$G,0)),""))</f>
        <v/>
      </c>
      <c r="F583" s="3" t="str">
        <f>IFERROR(INDEX('بيانات الحركات'!F:F,MATCH(582,'بيانات الحركات'!$G:$G,0)),"")</f>
        <v/>
      </c>
    </row>
    <row r="584" spans="1:6" ht="21.95" customHeight="1">
      <c r="A584" s="8" t="str">
        <f>IFERROR(INDEX('بيانات الحركات'!A:A,MATCH(583,'بيانات الحركات'!$G:$G,0)),"")</f>
        <v/>
      </c>
      <c r="B584" s="5" t="str">
        <f>IFERROR(INDEX('بيانات الحركات'!B:B,MATCH(583,'بيانات الحركات'!$G:$G,0)),"")</f>
        <v/>
      </c>
      <c r="C584" s="3" t="str">
        <f>IFERROR(INDEX('بيانات الحركات'!C:C,MATCH(583,'بيانات الحركات'!$G:$G,0)),"")</f>
        <v/>
      </c>
      <c r="D584" s="3" t="str">
        <f>IFERROR(INDEX('بيانات الحركات'!D:D,MATCH(583,'بيانات الحركات'!$G:$G,0)),"")</f>
        <v/>
      </c>
      <c r="E584" s="21" t="str">
        <f>IF($B584="إنتاج طبخة","",IFERROR(INDEX('بيانات الحركات'!E:E,MATCH(583,'بيانات الحركات'!$G:$G,0)),""))</f>
        <v/>
      </c>
      <c r="F584" s="3" t="str">
        <f>IFERROR(INDEX('بيانات الحركات'!F:F,MATCH(583,'بيانات الحركات'!$G:$G,0)),"")</f>
        <v/>
      </c>
    </row>
    <row r="585" spans="1:6" ht="21.95" customHeight="1">
      <c r="A585" s="8" t="str">
        <f>IFERROR(INDEX('بيانات الحركات'!A:A,MATCH(584,'بيانات الحركات'!$G:$G,0)),"")</f>
        <v/>
      </c>
      <c r="B585" s="5" t="str">
        <f>IFERROR(INDEX('بيانات الحركات'!B:B,MATCH(584,'بيانات الحركات'!$G:$G,0)),"")</f>
        <v/>
      </c>
      <c r="C585" s="3" t="str">
        <f>IFERROR(INDEX('بيانات الحركات'!C:C,MATCH(584,'بيانات الحركات'!$G:$G,0)),"")</f>
        <v/>
      </c>
      <c r="D585" s="3" t="str">
        <f>IFERROR(INDEX('بيانات الحركات'!D:D,MATCH(584,'بيانات الحركات'!$G:$G,0)),"")</f>
        <v/>
      </c>
      <c r="E585" s="21" t="str">
        <f>IF($B585="إنتاج طبخة","",IFERROR(INDEX('بيانات الحركات'!E:E,MATCH(584,'بيانات الحركات'!$G:$G,0)),""))</f>
        <v/>
      </c>
      <c r="F585" s="3" t="str">
        <f>IFERROR(INDEX('بيانات الحركات'!F:F,MATCH(584,'بيانات الحركات'!$G:$G,0)),"")</f>
        <v/>
      </c>
    </row>
    <row r="586" spans="1:6" ht="21.95" customHeight="1">
      <c r="A586" s="8" t="str">
        <f>IFERROR(INDEX('بيانات الحركات'!A:A,MATCH(585,'بيانات الحركات'!$G:$G,0)),"")</f>
        <v/>
      </c>
      <c r="B586" s="5" t="str">
        <f>IFERROR(INDEX('بيانات الحركات'!B:B,MATCH(585,'بيانات الحركات'!$G:$G,0)),"")</f>
        <v/>
      </c>
      <c r="C586" s="3" t="str">
        <f>IFERROR(INDEX('بيانات الحركات'!C:C,MATCH(585,'بيانات الحركات'!$G:$G,0)),"")</f>
        <v/>
      </c>
      <c r="D586" s="3" t="str">
        <f>IFERROR(INDEX('بيانات الحركات'!D:D,MATCH(585,'بيانات الحركات'!$G:$G,0)),"")</f>
        <v/>
      </c>
      <c r="E586" s="21" t="str">
        <f>IF($B586="إنتاج طبخة","",IFERROR(INDEX('بيانات الحركات'!E:E,MATCH(585,'بيانات الحركات'!$G:$G,0)),""))</f>
        <v/>
      </c>
      <c r="F586" s="3" t="str">
        <f>IFERROR(INDEX('بيانات الحركات'!F:F,MATCH(585,'بيانات الحركات'!$G:$G,0)),"")</f>
        <v/>
      </c>
    </row>
    <row r="587" spans="1:6" ht="21.95" customHeight="1">
      <c r="A587" s="8" t="str">
        <f>IFERROR(INDEX('بيانات الحركات'!A:A,MATCH(586,'بيانات الحركات'!$G:$G,0)),"")</f>
        <v/>
      </c>
      <c r="B587" s="5" t="str">
        <f>IFERROR(INDEX('بيانات الحركات'!B:B,MATCH(586,'بيانات الحركات'!$G:$G,0)),"")</f>
        <v/>
      </c>
      <c r="C587" s="3" t="str">
        <f>IFERROR(INDEX('بيانات الحركات'!C:C,MATCH(586,'بيانات الحركات'!$G:$G,0)),"")</f>
        <v/>
      </c>
      <c r="D587" s="3" t="str">
        <f>IFERROR(INDEX('بيانات الحركات'!D:D,MATCH(586,'بيانات الحركات'!$G:$G,0)),"")</f>
        <v/>
      </c>
      <c r="E587" s="21" t="str">
        <f>IF($B587="إنتاج طبخة","",IFERROR(INDEX('بيانات الحركات'!E:E,MATCH(586,'بيانات الحركات'!$G:$G,0)),""))</f>
        <v/>
      </c>
      <c r="F587" s="3" t="str">
        <f>IFERROR(INDEX('بيانات الحركات'!F:F,MATCH(586,'بيانات الحركات'!$G:$G,0)),"")</f>
        <v/>
      </c>
    </row>
    <row r="588" spans="1:6" ht="21.95" customHeight="1">
      <c r="A588" s="8" t="str">
        <f>IFERROR(INDEX('بيانات الحركات'!A:A,MATCH(587,'بيانات الحركات'!$G:$G,0)),"")</f>
        <v/>
      </c>
      <c r="B588" s="5" t="str">
        <f>IFERROR(INDEX('بيانات الحركات'!B:B,MATCH(587,'بيانات الحركات'!$G:$G,0)),"")</f>
        <v/>
      </c>
      <c r="C588" s="3" t="str">
        <f>IFERROR(INDEX('بيانات الحركات'!C:C,MATCH(587,'بيانات الحركات'!$G:$G,0)),"")</f>
        <v/>
      </c>
      <c r="D588" s="3" t="str">
        <f>IFERROR(INDEX('بيانات الحركات'!D:D,MATCH(587,'بيانات الحركات'!$G:$G,0)),"")</f>
        <v/>
      </c>
      <c r="E588" s="21" t="str">
        <f>IF($B588="إنتاج طبخة","",IFERROR(INDEX('بيانات الحركات'!E:E,MATCH(587,'بيانات الحركات'!$G:$G,0)),""))</f>
        <v/>
      </c>
      <c r="F588" s="3" t="str">
        <f>IFERROR(INDEX('بيانات الحركات'!F:F,MATCH(587,'بيانات الحركات'!$G:$G,0)),"")</f>
        <v/>
      </c>
    </row>
    <row r="589" spans="1:6" ht="21.95" customHeight="1">
      <c r="A589" s="8" t="str">
        <f>IFERROR(INDEX('بيانات الحركات'!A:A,MATCH(588,'بيانات الحركات'!$G:$G,0)),"")</f>
        <v/>
      </c>
      <c r="B589" s="5" t="str">
        <f>IFERROR(INDEX('بيانات الحركات'!B:B,MATCH(588,'بيانات الحركات'!$G:$G,0)),"")</f>
        <v/>
      </c>
      <c r="C589" s="3" t="str">
        <f>IFERROR(INDEX('بيانات الحركات'!C:C,MATCH(588,'بيانات الحركات'!$G:$G,0)),"")</f>
        <v/>
      </c>
      <c r="D589" s="3" t="str">
        <f>IFERROR(INDEX('بيانات الحركات'!D:D,MATCH(588,'بيانات الحركات'!$G:$G,0)),"")</f>
        <v/>
      </c>
      <c r="E589" s="21" t="str">
        <f>IF($B589="إنتاج طبخة","",IFERROR(INDEX('بيانات الحركات'!E:E,MATCH(588,'بيانات الحركات'!$G:$G,0)),""))</f>
        <v/>
      </c>
      <c r="F589" s="3" t="str">
        <f>IFERROR(INDEX('بيانات الحركات'!F:F,MATCH(588,'بيانات الحركات'!$G:$G,0)),"")</f>
        <v/>
      </c>
    </row>
    <row r="590" spans="1:6" ht="21.95" customHeight="1">
      <c r="A590" s="8" t="str">
        <f>IFERROR(INDEX('بيانات الحركات'!A:A,MATCH(589,'بيانات الحركات'!$G:$G,0)),"")</f>
        <v/>
      </c>
      <c r="B590" s="5" t="str">
        <f>IFERROR(INDEX('بيانات الحركات'!B:B,MATCH(589,'بيانات الحركات'!$G:$G,0)),"")</f>
        <v/>
      </c>
      <c r="C590" s="3" t="str">
        <f>IFERROR(INDEX('بيانات الحركات'!C:C,MATCH(589,'بيانات الحركات'!$G:$G,0)),"")</f>
        <v/>
      </c>
      <c r="D590" s="3" t="str">
        <f>IFERROR(INDEX('بيانات الحركات'!D:D,MATCH(589,'بيانات الحركات'!$G:$G,0)),"")</f>
        <v/>
      </c>
      <c r="E590" s="21" t="str">
        <f>IF($B590="إنتاج طبخة","",IFERROR(INDEX('بيانات الحركات'!E:E,MATCH(589,'بيانات الحركات'!$G:$G,0)),""))</f>
        <v/>
      </c>
      <c r="F590" s="3" t="str">
        <f>IFERROR(INDEX('بيانات الحركات'!F:F,MATCH(589,'بيانات الحركات'!$G:$G,0)),"")</f>
        <v/>
      </c>
    </row>
    <row r="591" spans="1:6" ht="21.95" customHeight="1">
      <c r="A591" s="8" t="str">
        <f>IFERROR(INDEX('بيانات الحركات'!A:A,MATCH(590,'بيانات الحركات'!$G:$G,0)),"")</f>
        <v/>
      </c>
      <c r="B591" s="5" t="str">
        <f>IFERROR(INDEX('بيانات الحركات'!B:B,MATCH(590,'بيانات الحركات'!$G:$G,0)),"")</f>
        <v/>
      </c>
      <c r="C591" s="3" t="str">
        <f>IFERROR(INDEX('بيانات الحركات'!C:C,MATCH(590,'بيانات الحركات'!$G:$G,0)),"")</f>
        <v/>
      </c>
      <c r="D591" s="3" t="str">
        <f>IFERROR(INDEX('بيانات الحركات'!D:D,MATCH(590,'بيانات الحركات'!$G:$G,0)),"")</f>
        <v/>
      </c>
      <c r="E591" s="21" t="str">
        <f>IF($B591="إنتاج طبخة","",IFERROR(INDEX('بيانات الحركات'!E:E,MATCH(590,'بيانات الحركات'!$G:$G,0)),""))</f>
        <v/>
      </c>
      <c r="F591" s="3" t="str">
        <f>IFERROR(INDEX('بيانات الحركات'!F:F,MATCH(590,'بيانات الحركات'!$G:$G,0)),"")</f>
        <v/>
      </c>
    </row>
    <row r="592" spans="1:6" ht="21.95" customHeight="1">
      <c r="A592" s="8" t="str">
        <f>IFERROR(INDEX('بيانات الحركات'!A:A,MATCH(591,'بيانات الحركات'!$G:$G,0)),"")</f>
        <v/>
      </c>
      <c r="B592" s="5" t="str">
        <f>IFERROR(INDEX('بيانات الحركات'!B:B,MATCH(591,'بيانات الحركات'!$G:$G,0)),"")</f>
        <v/>
      </c>
      <c r="C592" s="3" t="str">
        <f>IFERROR(INDEX('بيانات الحركات'!C:C,MATCH(591,'بيانات الحركات'!$G:$G,0)),"")</f>
        <v/>
      </c>
      <c r="D592" s="3" t="str">
        <f>IFERROR(INDEX('بيانات الحركات'!D:D,MATCH(591,'بيانات الحركات'!$G:$G,0)),"")</f>
        <v/>
      </c>
      <c r="E592" s="21" t="str">
        <f>IF($B592="إنتاج طبخة","",IFERROR(INDEX('بيانات الحركات'!E:E,MATCH(591,'بيانات الحركات'!$G:$G,0)),""))</f>
        <v/>
      </c>
      <c r="F592" s="3" t="str">
        <f>IFERROR(INDEX('بيانات الحركات'!F:F,MATCH(591,'بيانات الحركات'!$G:$G,0)),"")</f>
        <v/>
      </c>
    </row>
    <row r="593" spans="1:6" ht="21.95" customHeight="1">
      <c r="A593" s="8" t="str">
        <f>IFERROR(INDEX('بيانات الحركات'!A:A,MATCH(592,'بيانات الحركات'!$G:$G,0)),"")</f>
        <v/>
      </c>
      <c r="B593" s="5" t="str">
        <f>IFERROR(INDEX('بيانات الحركات'!B:B,MATCH(592,'بيانات الحركات'!$G:$G,0)),"")</f>
        <v/>
      </c>
      <c r="C593" s="3" t="str">
        <f>IFERROR(INDEX('بيانات الحركات'!C:C,MATCH(592,'بيانات الحركات'!$G:$G,0)),"")</f>
        <v/>
      </c>
      <c r="D593" s="3" t="str">
        <f>IFERROR(INDEX('بيانات الحركات'!D:D,MATCH(592,'بيانات الحركات'!$G:$G,0)),"")</f>
        <v/>
      </c>
      <c r="E593" s="21" t="str">
        <f>IF($B593="إنتاج طبخة","",IFERROR(INDEX('بيانات الحركات'!E:E,MATCH(592,'بيانات الحركات'!$G:$G,0)),""))</f>
        <v/>
      </c>
      <c r="F593" s="3" t="str">
        <f>IFERROR(INDEX('بيانات الحركات'!F:F,MATCH(592,'بيانات الحركات'!$G:$G,0)),"")</f>
        <v/>
      </c>
    </row>
    <row r="594" spans="1:6" ht="21.95" customHeight="1">
      <c r="A594" s="8" t="str">
        <f>IFERROR(INDEX('بيانات الحركات'!A:A,MATCH(593,'بيانات الحركات'!$G:$G,0)),"")</f>
        <v/>
      </c>
      <c r="B594" s="5" t="str">
        <f>IFERROR(INDEX('بيانات الحركات'!B:B,MATCH(593,'بيانات الحركات'!$G:$G,0)),"")</f>
        <v/>
      </c>
      <c r="C594" s="3" t="str">
        <f>IFERROR(INDEX('بيانات الحركات'!C:C,MATCH(593,'بيانات الحركات'!$G:$G,0)),"")</f>
        <v/>
      </c>
      <c r="D594" s="3" t="str">
        <f>IFERROR(INDEX('بيانات الحركات'!D:D,MATCH(593,'بيانات الحركات'!$G:$G,0)),"")</f>
        <v/>
      </c>
      <c r="E594" s="21" t="str">
        <f>IF($B594="إنتاج طبخة","",IFERROR(INDEX('بيانات الحركات'!E:E,MATCH(593,'بيانات الحركات'!$G:$G,0)),""))</f>
        <v/>
      </c>
      <c r="F594" s="3" t="str">
        <f>IFERROR(INDEX('بيانات الحركات'!F:F,MATCH(593,'بيانات الحركات'!$G:$G,0)),"")</f>
        <v/>
      </c>
    </row>
    <row r="595" spans="1:6" ht="21.95" customHeight="1">
      <c r="A595" s="8" t="str">
        <f>IFERROR(INDEX('بيانات الحركات'!A:A,MATCH(594,'بيانات الحركات'!$G:$G,0)),"")</f>
        <v/>
      </c>
      <c r="B595" s="5" t="str">
        <f>IFERROR(INDEX('بيانات الحركات'!B:B,MATCH(594,'بيانات الحركات'!$G:$G,0)),"")</f>
        <v/>
      </c>
      <c r="C595" s="3" t="str">
        <f>IFERROR(INDEX('بيانات الحركات'!C:C,MATCH(594,'بيانات الحركات'!$G:$G,0)),"")</f>
        <v/>
      </c>
      <c r="D595" s="3" t="str">
        <f>IFERROR(INDEX('بيانات الحركات'!D:D,MATCH(594,'بيانات الحركات'!$G:$G,0)),"")</f>
        <v/>
      </c>
      <c r="E595" s="21" t="str">
        <f>IF($B595="إنتاج طبخة","",IFERROR(INDEX('بيانات الحركات'!E:E,MATCH(594,'بيانات الحركات'!$G:$G,0)),""))</f>
        <v/>
      </c>
      <c r="F595" s="3" t="str">
        <f>IFERROR(INDEX('بيانات الحركات'!F:F,MATCH(594,'بيانات الحركات'!$G:$G,0)),"")</f>
        <v/>
      </c>
    </row>
    <row r="596" spans="1:6" ht="21.95" customHeight="1">
      <c r="A596" s="8" t="str">
        <f>IFERROR(INDEX('بيانات الحركات'!A:A,MATCH(595,'بيانات الحركات'!$G:$G,0)),"")</f>
        <v/>
      </c>
      <c r="B596" s="5" t="str">
        <f>IFERROR(INDEX('بيانات الحركات'!B:B,MATCH(595,'بيانات الحركات'!$G:$G,0)),"")</f>
        <v/>
      </c>
      <c r="C596" s="3" t="str">
        <f>IFERROR(INDEX('بيانات الحركات'!C:C,MATCH(595,'بيانات الحركات'!$G:$G,0)),"")</f>
        <v/>
      </c>
      <c r="D596" s="3" t="str">
        <f>IFERROR(INDEX('بيانات الحركات'!D:D,MATCH(595,'بيانات الحركات'!$G:$G,0)),"")</f>
        <v/>
      </c>
      <c r="E596" s="21" t="str">
        <f>IF($B596="إنتاج طبخة","",IFERROR(INDEX('بيانات الحركات'!E:E,MATCH(595,'بيانات الحركات'!$G:$G,0)),""))</f>
        <v/>
      </c>
      <c r="F596" s="3" t="str">
        <f>IFERROR(INDEX('بيانات الحركات'!F:F,MATCH(595,'بيانات الحركات'!$G:$G,0)),"")</f>
        <v/>
      </c>
    </row>
    <row r="597" spans="1:6" ht="21.95" customHeight="1">
      <c r="A597" s="8" t="str">
        <f>IFERROR(INDEX('بيانات الحركات'!A:A,MATCH(596,'بيانات الحركات'!$G:$G,0)),"")</f>
        <v/>
      </c>
      <c r="B597" s="5" t="str">
        <f>IFERROR(INDEX('بيانات الحركات'!B:B,MATCH(596,'بيانات الحركات'!$G:$G,0)),"")</f>
        <v/>
      </c>
      <c r="C597" s="3" t="str">
        <f>IFERROR(INDEX('بيانات الحركات'!C:C,MATCH(596,'بيانات الحركات'!$G:$G,0)),"")</f>
        <v/>
      </c>
      <c r="D597" s="3" t="str">
        <f>IFERROR(INDEX('بيانات الحركات'!D:D,MATCH(596,'بيانات الحركات'!$G:$G,0)),"")</f>
        <v/>
      </c>
      <c r="E597" s="21" t="str">
        <f>IF($B597="إنتاج طبخة","",IFERROR(INDEX('بيانات الحركات'!E:E,MATCH(596,'بيانات الحركات'!$G:$G,0)),""))</f>
        <v/>
      </c>
      <c r="F597" s="3" t="str">
        <f>IFERROR(INDEX('بيانات الحركات'!F:F,MATCH(596,'بيانات الحركات'!$G:$G,0)),"")</f>
        <v/>
      </c>
    </row>
    <row r="598" spans="1:6" ht="21.95" customHeight="1">
      <c r="A598" s="8" t="str">
        <f>IFERROR(INDEX('بيانات الحركات'!A:A,MATCH(597,'بيانات الحركات'!$G:$G,0)),"")</f>
        <v/>
      </c>
      <c r="B598" s="5" t="str">
        <f>IFERROR(INDEX('بيانات الحركات'!B:B,MATCH(597,'بيانات الحركات'!$G:$G,0)),"")</f>
        <v/>
      </c>
      <c r="C598" s="3" t="str">
        <f>IFERROR(INDEX('بيانات الحركات'!C:C,MATCH(597,'بيانات الحركات'!$G:$G,0)),"")</f>
        <v/>
      </c>
      <c r="D598" s="3" t="str">
        <f>IFERROR(INDEX('بيانات الحركات'!D:D,MATCH(597,'بيانات الحركات'!$G:$G,0)),"")</f>
        <v/>
      </c>
      <c r="E598" s="21" t="str">
        <f>IF($B598="إنتاج طبخة","",IFERROR(INDEX('بيانات الحركات'!E:E,MATCH(597,'بيانات الحركات'!$G:$G,0)),""))</f>
        <v/>
      </c>
      <c r="F598" s="3" t="str">
        <f>IFERROR(INDEX('بيانات الحركات'!F:F,MATCH(597,'بيانات الحركات'!$G:$G,0)),"")</f>
        <v/>
      </c>
    </row>
    <row r="599" spans="1:6" ht="21.95" customHeight="1">
      <c r="A599" s="8" t="str">
        <f>IFERROR(INDEX('بيانات الحركات'!A:A,MATCH(598,'بيانات الحركات'!$G:$G,0)),"")</f>
        <v/>
      </c>
      <c r="B599" s="5" t="str">
        <f>IFERROR(INDEX('بيانات الحركات'!B:B,MATCH(598,'بيانات الحركات'!$G:$G,0)),"")</f>
        <v/>
      </c>
      <c r="C599" s="3" t="str">
        <f>IFERROR(INDEX('بيانات الحركات'!C:C,MATCH(598,'بيانات الحركات'!$G:$G,0)),"")</f>
        <v/>
      </c>
      <c r="D599" s="3" t="str">
        <f>IFERROR(INDEX('بيانات الحركات'!D:D,MATCH(598,'بيانات الحركات'!$G:$G,0)),"")</f>
        <v/>
      </c>
      <c r="E599" s="21" t="str">
        <f>IF($B599="إنتاج طبخة","",IFERROR(INDEX('بيانات الحركات'!E:E,MATCH(598,'بيانات الحركات'!$G:$G,0)),""))</f>
        <v/>
      </c>
      <c r="F599" s="3" t="str">
        <f>IFERROR(INDEX('بيانات الحركات'!F:F,MATCH(598,'بيانات الحركات'!$G:$G,0)),"")</f>
        <v/>
      </c>
    </row>
    <row r="600" spans="1:6" ht="21.95" customHeight="1">
      <c r="A600" s="8" t="str">
        <f>IFERROR(INDEX('بيانات الحركات'!A:A,MATCH(599,'بيانات الحركات'!$G:$G,0)),"")</f>
        <v/>
      </c>
      <c r="B600" s="5" t="str">
        <f>IFERROR(INDEX('بيانات الحركات'!B:B,MATCH(599,'بيانات الحركات'!$G:$G,0)),"")</f>
        <v/>
      </c>
      <c r="C600" s="3" t="str">
        <f>IFERROR(INDEX('بيانات الحركات'!C:C,MATCH(599,'بيانات الحركات'!$G:$G,0)),"")</f>
        <v/>
      </c>
      <c r="D600" s="3" t="str">
        <f>IFERROR(INDEX('بيانات الحركات'!D:D,MATCH(599,'بيانات الحركات'!$G:$G,0)),"")</f>
        <v/>
      </c>
      <c r="E600" s="21" t="str">
        <f>IF($B600="إنتاج طبخة","",IFERROR(INDEX('بيانات الحركات'!E:E,MATCH(599,'بيانات الحركات'!$G:$G,0)),""))</f>
        <v/>
      </c>
      <c r="F600" s="3" t="str">
        <f>IFERROR(INDEX('بيانات الحركات'!F:F,MATCH(599,'بيانات الحركات'!$G:$G,0)),"")</f>
        <v/>
      </c>
    </row>
    <row r="601" spans="1:6" ht="21.95" customHeight="1">
      <c r="A601" s="8" t="str">
        <f>IFERROR(INDEX('بيانات الحركات'!A:A,MATCH(600,'بيانات الحركات'!$G:$G,0)),"")</f>
        <v/>
      </c>
      <c r="B601" s="5" t="str">
        <f>IFERROR(INDEX('بيانات الحركات'!B:B,MATCH(600,'بيانات الحركات'!$G:$G,0)),"")</f>
        <v/>
      </c>
      <c r="C601" s="3" t="str">
        <f>IFERROR(INDEX('بيانات الحركات'!C:C,MATCH(600,'بيانات الحركات'!$G:$G,0)),"")</f>
        <v/>
      </c>
      <c r="D601" s="3" t="str">
        <f>IFERROR(INDEX('بيانات الحركات'!D:D,MATCH(600,'بيانات الحركات'!$G:$G,0)),"")</f>
        <v/>
      </c>
      <c r="E601" s="21" t="str">
        <f>IF($B601="إنتاج طبخة","",IFERROR(INDEX('بيانات الحركات'!E:E,MATCH(600,'بيانات الحركات'!$G:$G,0)),""))</f>
        <v/>
      </c>
      <c r="F601" s="3" t="str">
        <f>IFERROR(INDEX('بيانات الحركات'!F:F,MATCH(600,'بيانات الحركات'!$G:$G,0)),"")</f>
        <v/>
      </c>
    </row>
    <row r="602" spans="1:6" ht="21.95" customHeight="1">
      <c r="A602" s="8" t="str">
        <f>IFERROR(INDEX('بيانات الحركات'!A:A,MATCH(601,'بيانات الحركات'!$G:$G,0)),"")</f>
        <v/>
      </c>
      <c r="B602" s="5" t="str">
        <f>IFERROR(INDEX('بيانات الحركات'!B:B,MATCH(601,'بيانات الحركات'!$G:$G,0)),"")</f>
        <v/>
      </c>
      <c r="C602" s="3" t="str">
        <f>IFERROR(INDEX('بيانات الحركات'!C:C,MATCH(601,'بيانات الحركات'!$G:$G,0)),"")</f>
        <v/>
      </c>
      <c r="D602" s="3" t="str">
        <f>IFERROR(INDEX('بيانات الحركات'!D:D,MATCH(601,'بيانات الحركات'!$G:$G,0)),"")</f>
        <v/>
      </c>
      <c r="E602" s="21" t="str">
        <f>IF($B602="إنتاج طبخة","",IFERROR(INDEX('بيانات الحركات'!E:E,MATCH(601,'بيانات الحركات'!$G:$G,0)),""))</f>
        <v/>
      </c>
      <c r="F602" s="3" t="str">
        <f>IFERROR(INDEX('بيانات الحركات'!F:F,MATCH(601,'بيانات الحركات'!$G:$G,0)),"")</f>
        <v/>
      </c>
    </row>
    <row r="603" spans="1:6" ht="21.95" customHeight="1">
      <c r="A603" s="8" t="str">
        <f>IFERROR(INDEX('بيانات الحركات'!A:A,MATCH(602,'بيانات الحركات'!$G:$G,0)),"")</f>
        <v/>
      </c>
      <c r="B603" s="5" t="str">
        <f>IFERROR(INDEX('بيانات الحركات'!B:B,MATCH(602,'بيانات الحركات'!$G:$G,0)),"")</f>
        <v/>
      </c>
      <c r="C603" s="3" t="str">
        <f>IFERROR(INDEX('بيانات الحركات'!C:C,MATCH(602,'بيانات الحركات'!$G:$G,0)),"")</f>
        <v/>
      </c>
      <c r="D603" s="3" t="str">
        <f>IFERROR(INDEX('بيانات الحركات'!D:D,MATCH(602,'بيانات الحركات'!$G:$G,0)),"")</f>
        <v/>
      </c>
      <c r="E603" s="21" t="str">
        <f>IF($B603="إنتاج طبخة","",IFERROR(INDEX('بيانات الحركات'!E:E,MATCH(602,'بيانات الحركات'!$G:$G,0)),""))</f>
        <v/>
      </c>
      <c r="F603" s="3" t="str">
        <f>IFERROR(INDEX('بيانات الحركات'!F:F,MATCH(602,'بيانات الحركات'!$G:$G,0)),"")</f>
        <v/>
      </c>
    </row>
    <row r="604" spans="1:6" ht="21.95" customHeight="1">
      <c r="A604" s="8" t="str">
        <f>IFERROR(INDEX('بيانات الحركات'!A:A,MATCH(603,'بيانات الحركات'!$G:$G,0)),"")</f>
        <v/>
      </c>
      <c r="B604" s="5" t="str">
        <f>IFERROR(INDEX('بيانات الحركات'!B:B,MATCH(603,'بيانات الحركات'!$G:$G,0)),"")</f>
        <v/>
      </c>
      <c r="C604" s="3" t="str">
        <f>IFERROR(INDEX('بيانات الحركات'!C:C,MATCH(603,'بيانات الحركات'!$G:$G,0)),"")</f>
        <v/>
      </c>
      <c r="D604" s="3" t="str">
        <f>IFERROR(INDEX('بيانات الحركات'!D:D,MATCH(603,'بيانات الحركات'!$G:$G,0)),"")</f>
        <v/>
      </c>
      <c r="E604" s="21" t="str">
        <f>IF($B604="إنتاج طبخة","",IFERROR(INDEX('بيانات الحركات'!E:E,MATCH(603,'بيانات الحركات'!$G:$G,0)),""))</f>
        <v/>
      </c>
      <c r="F604" s="3" t="str">
        <f>IFERROR(INDEX('بيانات الحركات'!F:F,MATCH(603,'بيانات الحركات'!$G:$G,0)),"")</f>
        <v/>
      </c>
    </row>
    <row r="605" spans="1:6" ht="21.95" customHeight="1">
      <c r="A605" s="8" t="str">
        <f>IFERROR(INDEX('بيانات الحركات'!A:A,MATCH(604,'بيانات الحركات'!$G:$G,0)),"")</f>
        <v/>
      </c>
      <c r="B605" s="5" t="str">
        <f>IFERROR(INDEX('بيانات الحركات'!B:B,MATCH(604,'بيانات الحركات'!$G:$G,0)),"")</f>
        <v/>
      </c>
      <c r="C605" s="3" t="str">
        <f>IFERROR(INDEX('بيانات الحركات'!C:C,MATCH(604,'بيانات الحركات'!$G:$G,0)),"")</f>
        <v/>
      </c>
      <c r="D605" s="3" t="str">
        <f>IFERROR(INDEX('بيانات الحركات'!D:D,MATCH(604,'بيانات الحركات'!$G:$G,0)),"")</f>
        <v/>
      </c>
      <c r="E605" s="21" t="str">
        <f>IF($B605="إنتاج طبخة","",IFERROR(INDEX('بيانات الحركات'!E:E,MATCH(604,'بيانات الحركات'!$G:$G,0)),""))</f>
        <v/>
      </c>
      <c r="F605" s="3" t="str">
        <f>IFERROR(INDEX('بيانات الحركات'!F:F,MATCH(604,'بيانات الحركات'!$G:$G,0)),"")</f>
        <v/>
      </c>
    </row>
    <row r="606" spans="1:6" ht="21.95" customHeight="1">
      <c r="A606" s="8" t="str">
        <f>IFERROR(INDEX('بيانات الحركات'!A:A,MATCH(605,'بيانات الحركات'!$G:$G,0)),"")</f>
        <v/>
      </c>
      <c r="B606" s="5" t="str">
        <f>IFERROR(INDEX('بيانات الحركات'!B:B,MATCH(605,'بيانات الحركات'!$G:$G,0)),"")</f>
        <v/>
      </c>
      <c r="C606" s="3" t="str">
        <f>IFERROR(INDEX('بيانات الحركات'!C:C,MATCH(605,'بيانات الحركات'!$G:$G,0)),"")</f>
        <v/>
      </c>
      <c r="D606" s="3" t="str">
        <f>IFERROR(INDEX('بيانات الحركات'!D:D,MATCH(605,'بيانات الحركات'!$G:$G,0)),"")</f>
        <v/>
      </c>
      <c r="E606" s="21" t="str">
        <f>IF($B606="إنتاج طبخة","",IFERROR(INDEX('بيانات الحركات'!E:E,MATCH(605,'بيانات الحركات'!$G:$G,0)),""))</f>
        <v/>
      </c>
      <c r="F606" s="3" t="str">
        <f>IFERROR(INDEX('بيانات الحركات'!F:F,MATCH(605,'بيانات الحركات'!$G:$G,0)),"")</f>
        <v/>
      </c>
    </row>
    <row r="607" spans="1:6" ht="21.95" customHeight="1">
      <c r="A607" s="8" t="str">
        <f>IFERROR(INDEX('بيانات الحركات'!A:A,MATCH(606,'بيانات الحركات'!$G:$G,0)),"")</f>
        <v/>
      </c>
      <c r="B607" s="5" t="str">
        <f>IFERROR(INDEX('بيانات الحركات'!B:B,MATCH(606,'بيانات الحركات'!$G:$G,0)),"")</f>
        <v/>
      </c>
      <c r="C607" s="3" t="str">
        <f>IFERROR(INDEX('بيانات الحركات'!C:C,MATCH(606,'بيانات الحركات'!$G:$G,0)),"")</f>
        <v/>
      </c>
      <c r="D607" s="3" t="str">
        <f>IFERROR(INDEX('بيانات الحركات'!D:D,MATCH(606,'بيانات الحركات'!$G:$G,0)),"")</f>
        <v/>
      </c>
      <c r="E607" s="21" t="str">
        <f>IF($B607="إنتاج طبخة","",IFERROR(INDEX('بيانات الحركات'!E:E,MATCH(606,'بيانات الحركات'!$G:$G,0)),""))</f>
        <v/>
      </c>
      <c r="F607" s="3" t="str">
        <f>IFERROR(INDEX('بيانات الحركات'!F:F,MATCH(606,'بيانات الحركات'!$G:$G,0)),"")</f>
        <v/>
      </c>
    </row>
    <row r="608" spans="1:6" ht="21.95" customHeight="1">
      <c r="A608" s="8" t="str">
        <f>IFERROR(INDEX('بيانات الحركات'!A:A,MATCH(607,'بيانات الحركات'!$G:$G,0)),"")</f>
        <v/>
      </c>
      <c r="B608" s="5" t="str">
        <f>IFERROR(INDEX('بيانات الحركات'!B:B,MATCH(607,'بيانات الحركات'!$G:$G,0)),"")</f>
        <v/>
      </c>
      <c r="C608" s="3" t="str">
        <f>IFERROR(INDEX('بيانات الحركات'!C:C,MATCH(607,'بيانات الحركات'!$G:$G,0)),"")</f>
        <v/>
      </c>
      <c r="D608" s="3" t="str">
        <f>IFERROR(INDEX('بيانات الحركات'!D:D,MATCH(607,'بيانات الحركات'!$G:$G,0)),"")</f>
        <v/>
      </c>
      <c r="E608" s="21" t="str">
        <f>IF($B608="إنتاج طبخة","",IFERROR(INDEX('بيانات الحركات'!E:E,MATCH(607,'بيانات الحركات'!$G:$G,0)),""))</f>
        <v/>
      </c>
      <c r="F608" s="3" t="str">
        <f>IFERROR(INDEX('بيانات الحركات'!F:F,MATCH(607,'بيانات الحركات'!$G:$G,0)),"")</f>
        <v/>
      </c>
    </row>
    <row r="609" spans="1:6" ht="21.95" customHeight="1">
      <c r="A609" s="8" t="str">
        <f>IFERROR(INDEX('بيانات الحركات'!A:A,MATCH(608,'بيانات الحركات'!$G:$G,0)),"")</f>
        <v/>
      </c>
      <c r="B609" s="5" t="str">
        <f>IFERROR(INDEX('بيانات الحركات'!B:B,MATCH(608,'بيانات الحركات'!$G:$G,0)),"")</f>
        <v/>
      </c>
      <c r="C609" s="3" t="str">
        <f>IFERROR(INDEX('بيانات الحركات'!C:C,MATCH(608,'بيانات الحركات'!$G:$G,0)),"")</f>
        <v/>
      </c>
      <c r="D609" s="3" t="str">
        <f>IFERROR(INDEX('بيانات الحركات'!D:D,MATCH(608,'بيانات الحركات'!$G:$G,0)),"")</f>
        <v/>
      </c>
      <c r="E609" s="21" t="str">
        <f>IF($B609="إنتاج طبخة","",IFERROR(INDEX('بيانات الحركات'!E:E,MATCH(608,'بيانات الحركات'!$G:$G,0)),""))</f>
        <v/>
      </c>
      <c r="F609" s="3" t="str">
        <f>IFERROR(INDEX('بيانات الحركات'!F:F,MATCH(608,'بيانات الحركات'!$G:$G,0)),"")</f>
        <v/>
      </c>
    </row>
    <row r="610" spans="1:6" ht="21.95" customHeight="1">
      <c r="A610" s="8" t="str">
        <f>IFERROR(INDEX('بيانات الحركات'!A:A,MATCH(609,'بيانات الحركات'!$G:$G,0)),"")</f>
        <v/>
      </c>
      <c r="B610" s="5" t="str">
        <f>IFERROR(INDEX('بيانات الحركات'!B:B,MATCH(609,'بيانات الحركات'!$G:$G,0)),"")</f>
        <v/>
      </c>
      <c r="C610" s="3" t="str">
        <f>IFERROR(INDEX('بيانات الحركات'!C:C,MATCH(609,'بيانات الحركات'!$G:$G,0)),"")</f>
        <v/>
      </c>
      <c r="D610" s="3" t="str">
        <f>IFERROR(INDEX('بيانات الحركات'!D:D,MATCH(609,'بيانات الحركات'!$G:$G,0)),"")</f>
        <v/>
      </c>
      <c r="E610" s="21" t="str">
        <f>IF($B610="إنتاج طبخة","",IFERROR(INDEX('بيانات الحركات'!E:E,MATCH(609,'بيانات الحركات'!$G:$G,0)),""))</f>
        <v/>
      </c>
      <c r="F610" s="3" t="str">
        <f>IFERROR(INDEX('بيانات الحركات'!F:F,MATCH(609,'بيانات الحركات'!$G:$G,0)),"")</f>
        <v/>
      </c>
    </row>
    <row r="611" spans="1:6" ht="21.95" customHeight="1">
      <c r="A611" s="8" t="str">
        <f>IFERROR(INDEX('بيانات الحركات'!A:A,MATCH(610,'بيانات الحركات'!$G:$G,0)),"")</f>
        <v/>
      </c>
      <c r="B611" s="5" t="str">
        <f>IFERROR(INDEX('بيانات الحركات'!B:B,MATCH(610,'بيانات الحركات'!$G:$G,0)),"")</f>
        <v/>
      </c>
      <c r="C611" s="3" t="str">
        <f>IFERROR(INDEX('بيانات الحركات'!C:C,MATCH(610,'بيانات الحركات'!$G:$G,0)),"")</f>
        <v/>
      </c>
      <c r="D611" s="3" t="str">
        <f>IFERROR(INDEX('بيانات الحركات'!D:D,MATCH(610,'بيانات الحركات'!$G:$G,0)),"")</f>
        <v/>
      </c>
      <c r="E611" s="21" t="str">
        <f>IF($B611="إنتاج طبخة","",IFERROR(INDEX('بيانات الحركات'!E:E,MATCH(610,'بيانات الحركات'!$G:$G,0)),""))</f>
        <v/>
      </c>
      <c r="F611" s="3" t="str">
        <f>IFERROR(INDEX('بيانات الحركات'!F:F,MATCH(610,'بيانات الحركات'!$G:$G,0)),"")</f>
        <v/>
      </c>
    </row>
    <row r="612" spans="1:6" ht="21.95" customHeight="1">
      <c r="A612" s="8" t="str">
        <f>IFERROR(INDEX('بيانات الحركات'!A:A,MATCH(611,'بيانات الحركات'!$G:$G,0)),"")</f>
        <v/>
      </c>
      <c r="B612" s="5" t="str">
        <f>IFERROR(INDEX('بيانات الحركات'!B:B,MATCH(611,'بيانات الحركات'!$G:$G,0)),"")</f>
        <v/>
      </c>
      <c r="C612" s="3" t="str">
        <f>IFERROR(INDEX('بيانات الحركات'!C:C,MATCH(611,'بيانات الحركات'!$G:$G,0)),"")</f>
        <v/>
      </c>
      <c r="D612" s="3" t="str">
        <f>IFERROR(INDEX('بيانات الحركات'!D:D,MATCH(611,'بيانات الحركات'!$G:$G,0)),"")</f>
        <v/>
      </c>
      <c r="E612" s="21" t="str">
        <f>IF($B612="إنتاج طبخة","",IFERROR(INDEX('بيانات الحركات'!E:E,MATCH(611,'بيانات الحركات'!$G:$G,0)),""))</f>
        <v/>
      </c>
      <c r="F612" s="3" t="str">
        <f>IFERROR(INDEX('بيانات الحركات'!F:F,MATCH(611,'بيانات الحركات'!$G:$G,0)),"")</f>
        <v/>
      </c>
    </row>
    <row r="613" spans="1:6" ht="21.95" customHeight="1">
      <c r="A613" s="8" t="str">
        <f>IFERROR(INDEX('بيانات الحركات'!A:A,MATCH(612,'بيانات الحركات'!$G:$G,0)),"")</f>
        <v/>
      </c>
      <c r="B613" s="5" t="str">
        <f>IFERROR(INDEX('بيانات الحركات'!B:B,MATCH(612,'بيانات الحركات'!$G:$G,0)),"")</f>
        <v/>
      </c>
      <c r="C613" s="3" t="str">
        <f>IFERROR(INDEX('بيانات الحركات'!C:C,MATCH(612,'بيانات الحركات'!$G:$G,0)),"")</f>
        <v/>
      </c>
      <c r="D613" s="3" t="str">
        <f>IFERROR(INDEX('بيانات الحركات'!D:D,MATCH(612,'بيانات الحركات'!$G:$G,0)),"")</f>
        <v/>
      </c>
      <c r="E613" s="21" t="str">
        <f>IF($B613="إنتاج طبخة","",IFERROR(INDEX('بيانات الحركات'!E:E,MATCH(612,'بيانات الحركات'!$G:$G,0)),""))</f>
        <v/>
      </c>
      <c r="F613" s="3" t="str">
        <f>IFERROR(INDEX('بيانات الحركات'!F:F,MATCH(612,'بيانات الحركات'!$G:$G,0)),"")</f>
        <v/>
      </c>
    </row>
    <row r="614" spans="1:6" ht="21.95" customHeight="1">
      <c r="A614" s="8" t="str">
        <f>IFERROR(INDEX('بيانات الحركات'!A:A,MATCH(613,'بيانات الحركات'!$G:$G,0)),"")</f>
        <v/>
      </c>
      <c r="B614" s="5" t="str">
        <f>IFERROR(INDEX('بيانات الحركات'!B:B,MATCH(613,'بيانات الحركات'!$G:$G,0)),"")</f>
        <v/>
      </c>
      <c r="C614" s="3" t="str">
        <f>IFERROR(INDEX('بيانات الحركات'!C:C,MATCH(613,'بيانات الحركات'!$G:$G,0)),"")</f>
        <v/>
      </c>
      <c r="D614" s="3" t="str">
        <f>IFERROR(INDEX('بيانات الحركات'!D:D,MATCH(613,'بيانات الحركات'!$G:$G,0)),"")</f>
        <v/>
      </c>
      <c r="E614" s="21" t="str">
        <f>IF($B614="إنتاج طبخة","",IFERROR(INDEX('بيانات الحركات'!E:E,MATCH(613,'بيانات الحركات'!$G:$G,0)),""))</f>
        <v/>
      </c>
      <c r="F614" s="3" t="str">
        <f>IFERROR(INDEX('بيانات الحركات'!F:F,MATCH(613,'بيانات الحركات'!$G:$G,0)),"")</f>
        <v/>
      </c>
    </row>
    <row r="615" spans="1:6" ht="21.95" customHeight="1">
      <c r="A615" s="8" t="str">
        <f>IFERROR(INDEX('بيانات الحركات'!A:A,MATCH(614,'بيانات الحركات'!$G:$G,0)),"")</f>
        <v/>
      </c>
      <c r="B615" s="5" t="str">
        <f>IFERROR(INDEX('بيانات الحركات'!B:B,MATCH(614,'بيانات الحركات'!$G:$G,0)),"")</f>
        <v/>
      </c>
      <c r="C615" s="3" t="str">
        <f>IFERROR(INDEX('بيانات الحركات'!C:C,MATCH(614,'بيانات الحركات'!$G:$G,0)),"")</f>
        <v/>
      </c>
      <c r="D615" s="3" t="str">
        <f>IFERROR(INDEX('بيانات الحركات'!D:D,MATCH(614,'بيانات الحركات'!$G:$G,0)),"")</f>
        <v/>
      </c>
      <c r="E615" s="21" t="str">
        <f>IF($B615="إنتاج طبخة","",IFERROR(INDEX('بيانات الحركات'!E:E,MATCH(614,'بيانات الحركات'!$G:$G,0)),""))</f>
        <v/>
      </c>
      <c r="F615" s="3" t="str">
        <f>IFERROR(INDEX('بيانات الحركات'!F:F,MATCH(614,'بيانات الحركات'!$G:$G,0)),"")</f>
        <v/>
      </c>
    </row>
    <row r="616" spans="1:6" ht="21.95" customHeight="1">
      <c r="A616" s="8" t="str">
        <f>IFERROR(INDEX('بيانات الحركات'!A:A,MATCH(615,'بيانات الحركات'!$G:$G,0)),"")</f>
        <v/>
      </c>
      <c r="B616" s="5" t="str">
        <f>IFERROR(INDEX('بيانات الحركات'!B:B,MATCH(615,'بيانات الحركات'!$G:$G,0)),"")</f>
        <v/>
      </c>
      <c r="C616" s="3" t="str">
        <f>IFERROR(INDEX('بيانات الحركات'!C:C,MATCH(615,'بيانات الحركات'!$G:$G,0)),"")</f>
        <v/>
      </c>
      <c r="D616" s="3" t="str">
        <f>IFERROR(INDEX('بيانات الحركات'!D:D,MATCH(615,'بيانات الحركات'!$G:$G,0)),"")</f>
        <v/>
      </c>
      <c r="E616" s="21" t="str">
        <f>IF($B616="إنتاج طبخة","",IFERROR(INDEX('بيانات الحركات'!E:E,MATCH(615,'بيانات الحركات'!$G:$G,0)),""))</f>
        <v/>
      </c>
      <c r="F616" s="3" t="str">
        <f>IFERROR(INDEX('بيانات الحركات'!F:F,MATCH(615,'بيانات الحركات'!$G:$G,0)),"")</f>
        <v/>
      </c>
    </row>
    <row r="617" spans="1:6" ht="21.95" customHeight="1">
      <c r="A617" s="8" t="str">
        <f>IFERROR(INDEX('بيانات الحركات'!A:A,MATCH(616,'بيانات الحركات'!$G:$G,0)),"")</f>
        <v/>
      </c>
      <c r="B617" s="5" t="str">
        <f>IFERROR(INDEX('بيانات الحركات'!B:B,MATCH(616,'بيانات الحركات'!$G:$G,0)),"")</f>
        <v/>
      </c>
      <c r="C617" s="3" t="str">
        <f>IFERROR(INDEX('بيانات الحركات'!C:C,MATCH(616,'بيانات الحركات'!$G:$G,0)),"")</f>
        <v/>
      </c>
      <c r="D617" s="3" t="str">
        <f>IFERROR(INDEX('بيانات الحركات'!D:D,MATCH(616,'بيانات الحركات'!$G:$G,0)),"")</f>
        <v/>
      </c>
      <c r="E617" s="21" t="str">
        <f>IF($B617="إنتاج طبخة","",IFERROR(INDEX('بيانات الحركات'!E:E,MATCH(616,'بيانات الحركات'!$G:$G,0)),""))</f>
        <v/>
      </c>
      <c r="F617" s="3" t="str">
        <f>IFERROR(INDEX('بيانات الحركات'!F:F,MATCH(616,'بيانات الحركات'!$G:$G,0)),"")</f>
        <v/>
      </c>
    </row>
    <row r="618" spans="1:6" ht="21.95" customHeight="1">
      <c r="A618" s="8" t="str">
        <f>IFERROR(INDEX('بيانات الحركات'!A:A,MATCH(617,'بيانات الحركات'!$G:$G,0)),"")</f>
        <v/>
      </c>
      <c r="B618" s="5" t="str">
        <f>IFERROR(INDEX('بيانات الحركات'!B:B,MATCH(617,'بيانات الحركات'!$G:$G,0)),"")</f>
        <v/>
      </c>
      <c r="C618" s="3" t="str">
        <f>IFERROR(INDEX('بيانات الحركات'!C:C,MATCH(617,'بيانات الحركات'!$G:$G,0)),"")</f>
        <v/>
      </c>
      <c r="D618" s="3" t="str">
        <f>IFERROR(INDEX('بيانات الحركات'!D:D,MATCH(617,'بيانات الحركات'!$G:$G,0)),"")</f>
        <v/>
      </c>
      <c r="E618" s="21" t="str">
        <f>IF($B618="إنتاج طبخة","",IFERROR(INDEX('بيانات الحركات'!E:E,MATCH(617,'بيانات الحركات'!$G:$G,0)),""))</f>
        <v/>
      </c>
      <c r="F618" s="3" t="str">
        <f>IFERROR(INDEX('بيانات الحركات'!F:F,MATCH(617,'بيانات الحركات'!$G:$G,0)),"")</f>
        <v/>
      </c>
    </row>
    <row r="619" spans="1:6" ht="21.95" customHeight="1">
      <c r="A619" s="8" t="str">
        <f>IFERROR(INDEX('بيانات الحركات'!A:A,MATCH(618,'بيانات الحركات'!$G:$G,0)),"")</f>
        <v/>
      </c>
      <c r="B619" s="5" t="str">
        <f>IFERROR(INDEX('بيانات الحركات'!B:B,MATCH(618,'بيانات الحركات'!$G:$G,0)),"")</f>
        <v/>
      </c>
      <c r="C619" s="3" t="str">
        <f>IFERROR(INDEX('بيانات الحركات'!C:C,MATCH(618,'بيانات الحركات'!$G:$G,0)),"")</f>
        <v/>
      </c>
      <c r="D619" s="3" t="str">
        <f>IFERROR(INDEX('بيانات الحركات'!D:D,MATCH(618,'بيانات الحركات'!$G:$G,0)),"")</f>
        <v/>
      </c>
      <c r="E619" s="21" t="str">
        <f>IF($B619="إنتاج طبخة","",IFERROR(INDEX('بيانات الحركات'!E:E,MATCH(618,'بيانات الحركات'!$G:$G,0)),""))</f>
        <v/>
      </c>
      <c r="F619" s="3" t="str">
        <f>IFERROR(INDEX('بيانات الحركات'!F:F,MATCH(618,'بيانات الحركات'!$G:$G,0)),"")</f>
        <v/>
      </c>
    </row>
    <row r="620" spans="1:6" ht="21.95" customHeight="1">
      <c r="A620" s="8" t="str">
        <f>IFERROR(INDEX('بيانات الحركات'!A:A,MATCH(619,'بيانات الحركات'!$G:$G,0)),"")</f>
        <v/>
      </c>
      <c r="B620" s="5" t="str">
        <f>IFERROR(INDEX('بيانات الحركات'!B:B,MATCH(619,'بيانات الحركات'!$G:$G,0)),"")</f>
        <v/>
      </c>
      <c r="C620" s="3" t="str">
        <f>IFERROR(INDEX('بيانات الحركات'!C:C,MATCH(619,'بيانات الحركات'!$G:$G,0)),"")</f>
        <v/>
      </c>
      <c r="D620" s="3" t="str">
        <f>IFERROR(INDEX('بيانات الحركات'!D:D,MATCH(619,'بيانات الحركات'!$G:$G,0)),"")</f>
        <v/>
      </c>
      <c r="E620" s="21" t="str">
        <f>IF($B620="إنتاج طبخة","",IFERROR(INDEX('بيانات الحركات'!E:E,MATCH(619,'بيانات الحركات'!$G:$G,0)),""))</f>
        <v/>
      </c>
      <c r="F620" s="3" t="str">
        <f>IFERROR(INDEX('بيانات الحركات'!F:F,MATCH(619,'بيانات الحركات'!$G:$G,0)),"")</f>
        <v/>
      </c>
    </row>
    <row r="621" spans="1:6" ht="21.95" customHeight="1">
      <c r="A621" s="8" t="str">
        <f>IFERROR(INDEX('بيانات الحركات'!A:A,MATCH(620,'بيانات الحركات'!$G:$G,0)),"")</f>
        <v/>
      </c>
      <c r="B621" s="5" t="str">
        <f>IFERROR(INDEX('بيانات الحركات'!B:B,MATCH(620,'بيانات الحركات'!$G:$G,0)),"")</f>
        <v/>
      </c>
      <c r="C621" s="3" t="str">
        <f>IFERROR(INDEX('بيانات الحركات'!C:C,MATCH(620,'بيانات الحركات'!$G:$G,0)),"")</f>
        <v/>
      </c>
      <c r="D621" s="3" t="str">
        <f>IFERROR(INDEX('بيانات الحركات'!D:D,MATCH(620,'بيانات الحركات'!$G:$G,0)),"")</f>
        <v/>
      </c>
      <c r="E621" s="21" t="str">
        <f>IF($B621="إنتاج طبخة","",IFERROR(INDEX('بيانات الحركات'!E:E,MATCH(620,'بيانات الحركات'!$G:$G,0)),""))</f>
        <v/>
      </c>
      <c r="F621" s="3" t="str">
        <f>IFERROR(INDEX('بيانات الحركات'!F:F,MATCH(620,'بيانات الحركات'!$G:$G,0)),"")</f>
        <v/>
      </c>
    </row>
    <row r="622" spans="1:6" ht="21.95" customHeight="1">
      <c r="A622" s="8" t="str">
        <f>IFERROR(INDEX('بيانات الحركات'!A:A,MATCH(621,'بيانات الحركات'!$G:$G,0)),"")</f>
        <v/>
      </c>
      <c r="B622" s="5" t="str">
        <f>IFERROR(INDEX('بيانات الحركات'!B:B,MATCH(621,'بيانات الحركات'!$G:$G,0)),"")</f>
        <v/>
      </c>
      <c r="C622" s="3" t="str">
        <f>IFERROR(INDEX('بيانات الحركات'!C:C,MATCH(621,'بيانات الحركات'!$G:$G,0)),"")</f>
        <v/>
      </c>
      <c r="D622" s="3" t="str">
        <f>IFERROR(INDEX('بيانات الحركات'!D:D,MATCH(621,'بيانات الحركات'!$G:$G,0)),"")</f>
        <v/>
      </c>
      <c r="E622" s="21" t="str">
        <f>IF($B622="إنتاج طبخة","",IFERROR(INDEX('بيانات الحركات'!E:E,MATCH(621,'بيانات الحركات'!$G:$G,0)),""))</f>
        <v/>
      </c>
      <c r="F622" s="3" t="str">
        <f>IFERROR(INDEX('بيانات الحركات'!F:F,MATCH(621,'بيانات الحركات'!$G:$G,0)),"")</f>
        <v/>
      </c>
    </row>
    <row r="623" spans="1:6" ht="21.95" customHeight="1">
      <c r="A623" s="8" t="str">
        <f>IFERROR(INDEX('بيانات الحركات'!A:A,MATCH(622,'بيانات الحركات'!$G:$G,0)),"")</f>
        <v/>
      </c>
      <c r="B623" s="5" t="str">
        <f>IFERROR(INDEX('بيانات الحركات'!B:B,MATCH(622,'بيانات الحركات'!$G:$G,0)),"")</f>
        <v/>
      </c>
      <c r="C623" s="3" t="str">
        <f>IFERROR(INDEX('بيانات الحركات'!C:C,MATCH(622,'بيانات الحركات'!$G:$G,0)),"")</f>
        <v/>
      </c>
      <c r="D623" s="3" t="str">
        <f>IFERROR(INDEX('بيانات الحركات'!D:D,MATCH(622,'بيانات الحركات'!$G:$G,0)),"")</f>
        <v/>
      </c>
      <c r="E623" s="21" t="str">
        <f>IF($B623="إنتاج طبخة","",IFERROR(INDEX('بيانات الحركات'!E:E,MATCH(622,'بيانات الحركات'!$G:$G,0)),""))</f>
        <v/>
      </c>
      <c r="F623" s="3" t="str">
        <f>IFERROR(INDEX('بيانات الحركات'!F:F,MATCH(622,'بيانات الحركات'!$G:$G,0)),"")</f>
        <v/>
      </c>
    </row>
    <row r="624" spans="1:6" ht="21.95" customHeight="1">
      <c r="A624" s="8" t="str">
        <f>IFERROR(INDEX('بيانات الحركات'!A:A,MATCH(623,'بيانات الحركات'!$G:$G,0)),"")</f>
        <v/>
      </c>
      <c r="B624" s="5" t="str">
        <f>IFERROR(INDEX('بيانات الحركات'!B:B,MATCH(623,'بيانات الحركات'!$G:$G,0)),"")</f>
        <v/>
      </c>
      <c r="C624" s="3" t="str">
        <f>IFERROR(INDEX('بيانات الحركات'!C:C,MATCH(623,'بيانات الحركات'!$G:$G,0)),"")</f>
        <v/>
      </c>
      <c r="D624" s="3" t="str">
        <f>IFERROR(INDEX('بيانات الحركات'!D:D,MATCH(623,'بيانات الحركات'!$G:$G,0)),"")</f>
        <v/>
      </c>
      <c r="E624" s="21" t="str">
        <f>IF($B624="إنتاج طبخة","",IFERROR(INDEX('بيانات الحركات'!E:E,MATCH(623,'بيانات الحركات'!$G:$G,0)),""))</f>
        <v/>
      </c>
      <c r="F624" s="3" t="str">
        <f>IFERROR(INDEX('بيانات الحركات'!F:F,MATCH(623,'بيانات الحركات'!$G:$G,0)),"")</f>
        <v/>
      </c>
    </row>
    <row r="625" spans="1:6" ht="21.95" customHeight="1">
      <c r="A625" s="8" t="str">
        <f>IFERROR(INDEX('بيانات الحركات'!A:A,MATCH(624,'بيانات الحركات'!$G:$G,0)),"")</f>
        <v/>
      </c>
      <c r="B625" s="5" t="str">
        <f>IFERROR(INDEX('بيانات الحركات'!B:B,MATCH(624,'بيانات الحركات'!$G:$G,0)),"")</f>
        <v/>
      </c>
      <c r="C625" s="3" t="str">
        <f>IFERROR(INDEX('بيانات الحركات'!C:C,MATCH(624,'بيانات الحركات'!$G:$G,0)),"")</f>
        <v/>
      </c>
      <c r="D625" s="3" t="str">
        <f>IFERROR(INDEX('بيانات الحركات'!D:D,MATCH(624,'بيانات الحركات'!$G:$G,0)),"")</f>
        <v/>
      </c>
      <c r="E625" s="21" t="str">
        <f>IF($B625="إنتاج طبخة","",IFERROR(INDEX('بيانات الحركات'!E:E,MATCH(624,'بيانات الحركات'!$G:$G,0)),""))</f>
        <v/>
      </c>
      <c r="F625" s="3" t="str">
        <f>IFERROR(INDEX('بيانات الحركات'!F:F,MATCH(624,'بيانات الحركات'!$G:$G,0)),"")</f>
        <v/>
      </c>
    </row>
    <row r="626" spans="1:6" ht="21.95" customHeight="1">
      <c r="A626" s="8" t="str">
        <f>IFERROR(INDEX('بيانات الحركات'!A:A,MATCH(625,'بيانات الحركات'!$G:$G,0)),"")</f>
        <v/>
      </c>
      <c r="B626" s="5" t="str">
        <f>IFERROR(INDEX('بيانات الحركات'!B:B,MATCH(625,'بيانات الحركات'!$G:$G,0)),"")</f>
        <v/>
      </c>
      <c r="C626" s="3" t="str">
        <f>IFERROR(INDEX('بيانات الحركات'!C:C,MATCH(625,'بيانات الحركات'!$G:$G,0)),"")</f>
        <v/>
      </c>
      <c r="D626" s="3" t="str">
        <f>IFERROR(INDEX('بيانات الحركات'!D:D,MATCH(625,'بيانات الحركات'!$G:$G,0)),"")</f>
        <v/>
      </c>
      <c r="E626" s="21" t="str">
        <f>IF($B626="إنتاج طبخة","",IFERROR(INDEX('بيانات الحركات'!E:E,MATCH(625,'بيانات الحركات'!$G:$G,0)),""))</f>
        <v/>
      </c>
      <c r="F626" s="3" t="str">
        <f>IFERROR(INDEX('بيانات الحركات'!F:F,MATCH(625,'بيانات الحركات'!$G:$G,0)),"")</f>
        <v/>
      </c>
    </row>
    <row r="627" spans="1:6" ht="21.95" customHeight="1">
      <c r="A627" s="8" t="str">
        <f>IFERROR(INDEX('بيانات الحركات'!A:A,MATCH(626,'بيانات الحركات'!$G:$G,0)),"")</f>
        <v/>
      </c>
      <c r="B627" s="5" t="str">
        <f>IFERROR(INDEX('بيانات الحركات'!B:B,MATCH(626,'بيانات الحركات'!$G:$G,0)),"")</f>
        <v/>
      </c>
      <c r="C627" s="3" t="str">
        <f>IFERROR(INDEX('بيانات الحركات'!C:C,MATCH(626,'بيانات الحركات'!$G:$G,0)),"")</f>
        <v/>
      </c>
      <c r="D627" s="3" t="str">
        <f>IFERROR(INDEX('بيانات الحركات'!D:D,MATCH(626,'بيانات الحركات'!$G:$G,0)),"")</f>
        <v/>
      </c>
      <c r="E627" s="21" t="str">
        <f>IF($B627="إنتاج طبخة","",IFERROR(INDEX('بيانات الحركات'!E:E,MATCH(626,'بيانات الحركات'!$G:$G,0)),""))</f>
        <v/>
      </c>
      <c r="F627" s="3" t="str">
        <f>IFERROR(INDEX('بيانات الحركات'!F:F,MATCH(626,'بيانات الحركات'!$G:$G,0)),"")</f>
        <v/>
      </c>
    </row>
    <row r="628" spans="1:6" ht="21.95" customHeight="1">
      <c r="A628" s="8" t="str">
        <f>IFERROR(INDEX('بيانات الحركات'!A:A,MATCH(627,'بيانات الحركات'!$G:$G,0)),"")</f>
        <v/>
      </c>
      <c r="B628" s="5" t="str">
        <f>IFERROR(INDEX('بيانات الحركات'!B:B,MATCH(627,'بيانات الحركات'!$G:$G,0)),"")</f>
        <v/>
      </c>
      <c r="C628" s="3" t="str">
        <f>IFERROR(INDEX('بيانات الحركات'!C:C,MATCH(627,'بيانات الحركات'!$G:$G,0)),"")</f>
        <v/>
      </c>
      <c r="D628" s="3" t="str">
        <f>IFERROR(INDEX('بيانات الحركات'!D:D,MATCH(627,'بيانات الحركات'!$G:$G,0)),"")</f>
        <v/>
      </c>
      <c r="E628" s="21" t="str">
        <f>IF($B628="إنتاج طبخة","",IFERROR(INDEX('بيانات الحركات'!E:E,MATCH(627,'بيانات الحركات'!$G:$G,0)),""))</f>
        <v/>
      </c>
      <c r="F628" s="3" t="str">
        <f>IFERROR(INDEX('بيانات الحركات'!F:F,MATCH(627,'بيانات الحركات'!$G:$G,0)),"")</f>
        <v/>
      </c>
    </row>
    <row r="629" spans="1:6" ht="21.95" customHeight="1">
      <c r="A629" s="8" t="str">
        <f>IFERROR(INDEX('بيانات الحركات'!A:A,MATCH(628,'بيانات الحركات'!$G:$G,0)),"")</f>
        <v/>
      </c>
      <c r="B629" s="5" t="str">
        <f>IFERROR(INDEX('بيانات الحركات'!B:B,MATCH(628,'بيانات الحركات'!$G:$G,0)),"")</f>
        <v/>
      </c>
      <c r="C629" s="3" t="str">
        <f>IFERROR(INDEX('بيانات الحركات'!C:C,MATCH(628,'بيانات الحركات'!$G:$G,0)),"")</f>
        <v/>
      </c>
      <c r="D629" s="3" t="str">
        <f>IFERROR(INDEX('بيانات الحركات'!D:D,MATCH(628,'بيانات الحركات'!$G:$G,0)),"")</f>
        <v/>
      </c>
      <c r="E629" s="21" t="str">
        <f>IF($B629="إنتاج طبخة","",IFERROR(INDEX('بيانات الحركات'!E:E,MATCH(628,'بيانات الحركات'!$G:$G,0)),""))</f>
        <v/>
      </c>
      <c r="F629" s="3" t="str">
        <f>IFERROR(INDEX('بيانات الحركات'!F:F,MATCH(628,'بيانات الحركات'!$G:$G,0)),"")</f>
        <v/>
      </c>
    </row>
    <row r="630" spans="1:6" ht="21.95" customHeight="1">
      <c r="A630" s="8" t="str">
        <f>IFERROR(INDEX('بيانات الحركات'!A:A,MATCH(629,'بيانات الحركات'!$G:$G,0)),"")</f>
        <v/>
      </c>
      <c r="B630" s="5" t="str">
        <f>IFERROR(INDEX('بيانات الحركات'!B:B,MATCH(629,'بيانات الحركات'!$G:$G,0)),"")</f>
        <v/>
      </c>
      <c r="C630" s="3" t="str">
        <f>IFERROR(INDEX('بيانات الحركات'!C:C,MATCH(629,'بيانات الحركات'!$G:$G,0)),"")</f>
        <v/>
      </c>
      <c r="D630" s="3" t="str">
        <f>IFERROR(INDEX('بيانات الحركات'!D:D,MATCH(629,'بيانات الحركات'!$G:$G,0)),"")</f>
        <v/>
      </c>
      <c r="E630" s="21" t="str">
        <f>IF($B630="إنتاج طبخة","",IFERROR(INDEX('بيانات الحركات'!E:E,MATCH(629,'بيانات الحركات'!$G:$G,0)),""))</f>
        <v/>
      </c>
      <c r="F630" s="3" t="str">
        <f>IFERROR(INDEX('بيانات الحركات'!F:F,MATCH(629,'بيانات الحركات'!$G:$G,0)),"")</f>
        <v/>
      </c>
    </row>
    <row r="631" spans="1:6" ht="21.95" customHeight="1">
      <c r="A631" s="8" t="str">
        <f>IFERROR(INDEX('بيانات الحركات'!A:A,MATCH(630,'بيانات الحركات'!$G:$G,0)),"")</f>
        <v/>
      </c>
      <c r="B631" s="5" t="str">
        <f>IFERROR(INDEX('بيانات الحركات'!B:B,MATCH(630,'بيانات الحركات'!$G:$G,0)),"")</f>
        <v/>
      </c>
      <c r="C631" s="3" t="str">
        <f>IFERROR(INDEX('بيانات الحركات'!C:C,MATCH(630,'بيانات الحركات'!$G:$G,0)),"")</f>
        <v/>
      </c>
      <c r="D631" s="3" t="str">
        <f>IFERROR(INDEX('بيانات الحركات'!D:D,MATCH(630,'بيانات الحركات'!$G:$G,0)),"")</f>
        <v/>
      </c>
      <c r="E631" s="21" t="str">
        <f>IF($B631="إنتاج طبخة","",IFERROR(INDEX('بيانات الحركات'!E:E,MATCH(630,'بيانات الحركات'!$G:$G,0)),""))</f>
        <v/>
      </c>
      <c r="F631" s="3" t="str">
        <f>IFERROR(INDEX('بيانات الحركات'!F:F,MATCH(630,'بيانات الحركات'!$G:$G,0)),"")</f>
        <v/>
      </c>
    </row>
    <row r="632" spans="1:6" ht="21.95" customHeight="1">
      <c r="A632" s="8" t="str">
        <f>IFERROR(INDEX('بيانات الحركات'!A:A,MATCH(631,'بيانات الحركات'!$G:$G,0)),"")</f>
        <v/>
      </c>
      <c r="B632" s="5" t="str">
        <f>IFERROR(INDEX('بيانات الحركات'!B:B,MATCH(631,'بيانات الحركات'!$G:$G,0)),"")</f>
        <v/>
      </c>
      <c r="C632" s="3" t="str">
        <f>IFERROR(INDEX('بيانات الحركات'!C:C,MATCH(631,'بيانات الحركات'!$G:$G,0)),"")</f>
        <v/>
      </c>
      <c r="D632" s="3" t="str">
        <f>IFERROR(INDEX('بيانات الحركات'!D:D,MATCH(631,'بيانات الحركات'!$G:$G,0)),"")</f>
        <v/>
      </c>
      <c r="E632" s="21" t="str">
        <f>IF($B632="إنتاج طبخة","",IFERROR(INDEX('بيانات الحركات'!E:E,MATCH(631,'بيانات الحركات'!$G:$G,0)),""))</f>
        <v/>
      </c>
      <c r="F632" s="3" t="str">
        <f>IFERROR(INDEX('بيانات الحركات'!F:F,MATCH(631,'بيانات الحركات'!$G:$G,0)),"")</f>
        <v/>
      </c>
    </row>
    <row r="633" spans="1:6" ht="21.95" customHeight="1">
      <c r="A633" s="8" t="str">
        <f>IFERROR(INDEX('بيانات الحركات'!A:A,MATCH(632,'بيانات الحركات'!$G:$G,0)),"")</f>
        <v/>
      </c>
      <c r="B633" s="5" t="str">
        <f>IFERROR(INDEX('بيانات الحركات'!B:B,MATCH(632,'بيانات الحركات'!$G:$G,0)),"")</f>
        <v/>
      </c>
      <c r="C633" s="3" t="str">
        <f>IFERROR(INDEX('بيانات الحركات'!C:C,MATCH(632,'بيانات الحركات'!$G:$G,0)),"")</f>
        <v/>
      </c>
      <c r="D633" s="3" t="str">
        <f>IFERROR(INDEX('بيانات الحركات'!D:D,MATCH(632,'بيانات الحركات'!$G:$G,0)),"")</f>
        <v/>
      </c>
      <c r="E633" s="21" t="str">
        <f>IF($B633="إنتاج طبخة","",IFERROR(INDEX('بيانات الحركات'!E:E,MATCH(632,'بيانات الحركات'!$G:$G,0)),""))</f>
        <v/>
      </c>
      <c r="F633" s="3" t="str">
        <f>IFERROR(INDEX('بيانات الحركات'!F:F,MATCH(632,'بيانات الحركات'!$G:$G,0)),"")</f>
        <v/>
      </c>
    </row>
    <row r="634" spans="1:6" ht="21.95" customHeight="1">
      <c r="A634" s="8" t="str">
        <f>IFERROR(INDEX('بيانات الحركات'!A:A,MATCH(633,'بيانات الحركات'!$G:$G,0)),"")</f>
        <v/>
      </c>
      <c r="B634" s="5" t="str">
        <f>IFERROR(INDEX('بيانات الحركات'!B:B,MATCH(633,'بيانات الحركات'!$G:$G,0)),"")</f>
        <v/>
      </c>
      <c r="C634" s="3" t="str">
        <f>IFERROR(INDEX('بيانات الحركات'!C:C,MATCH(633,'بيانات الحركات'!$G:$G,0)),"")</f>
        <v/>
      </c>
      <c r="D634" s="3" t="str">
        <f>IFERROR(INDEX('بيانات الحركات'!D:D,MATCH(633,'بيانات الحركات'!$G:$G,0)),"")</f>
        <v/>
      </c>
      <c r="E634" s="21" t="str">
        <f>IF($B634="إنتاج طبخة","",IFERROR(INDEX('بيانات الحركات'!E:E,MATCH(633,'بيانات الحركات'!$G:$G,0)),""))</f>
        <v/>
      </c>
      <c r="F634" s="3" t="str">
        <f>IFERROR(INDEX('بيانات الحركات'!F:F,MATCH(633,'بيانات الحركات'!$G:$G,0)),"")</f>
        <v/>
      </c>
    </row>
    <row r="635" spans="1:6" ht="21.95" customHeight="1">
      <c r="A635" s="8" t="str">
        <f>IFERROR(INDEX('بيانات الحركات'!A:A,MATCH(634,'بيانات الحركات'!$G:$G,0)),"")</f>
        <v/>
      </c>
      <c r="B635" s="5" t="str">
        <f>IFERROR(INDEX('بيانات الحركات'!B:B,MATCH(634,'بيانات الحركات'!$G:$G,0)),"")</f>
        <v/>
      </c>
      <c r="C635" s="3" t="str">
        <f>IFERROR(INDEX('بيانات الحركات'!C:C,MATCH(634,'بيانات الحركات'!$G:$G,0)),"")</f>
        <v/>
      </c>
      <c r="D635" s="3" t="str">
        <f>IFERROR(INDEX('بيانات الحركات'!D:D,MATCH(634,'بيانات الحركات'!$G:$G,0)),"")</f>
        <v/>
      </c>
      <c r="E635" s="21" t="str">
        <f>IF($B635="إنتاج طبخة","",IFERROR(INDEX('بيانات الحركات'!E:E,MATCH(634,'بيانات الحركات'!$G:$G,0)),""))</f>
        <v/>
      </c>
      <c r="F635" s="3" t="str">
        <f>IFERROR(INDEX('بيانات الحركات'!F:F,MATCH(634,'بيانات الحركات'!$G:$G,0)),"")</f>
        <v/>
      </c>
    </row>
    <row r="636" spans="1:6" ht="21.95" customHeight="1">
      <c r="A636" s="8" t="str">
        <f>IFERROR(INDEX('بيانات الحركات'!A:A,MATCH(635,'بيانات الحركات'!$G:$G,0)),"")</f>
        <v/>
      </c>
      <c r="B636" s="5" t="str">
        <f>IFERROR(INDEX('بيانات الحركات'!B:B,MATCH(635,'بيانات الحركات'!$G:$G,0)),"")</f>
        <v/>
      </c>
      <c r="C636" s="3" t="str">
        <f>IFERROR(INDEX('بيانات الحركات'!C:C,MATCH(635,'بيانات الحركات'!$G:$G,0)),"")</f>
        <v/>
      </c>
      <c r="D636" s="3" t="str">
        <f>IFERROR(INDEX('بيانات الحركات'!D:D,MATCH(635,'بيانات الحركات'!$G:$G,0)),"")</f>
        <v/>
      </c>
      <c r="E636" s="21" t="str">
        <f>IF($B636="إنتاج طبخة","",IFERROR(INDEX('بيانات الحركات'!E:E,MATCH(635,'بيانات الحركات'!$G:$G,0)),""))</f>
        <v/>
      </c>
      <c r="F636" s="3" t="str">
        <f>IFERROR(INDEX('بيانات الحركات'!F:F,MATCH(635,'بيانات الحركات'!$G:$G,0)),"")</f>
        <v/>
      </c>
    </row>
    <row r="637" spans="1:6" ht="21.95" customHeight="1">
      <c r="A637" s="8" t="str">
        <f>IFERROR(INDEX('بيانات الحركات'!A:A,MATCH(636,'بيانات الحركات'!$G:$G,0)),"")</f>
        <v/>
      </c>
      <c r="B637" s="5" t="str">
        <f>IFERROR(INDEX('بيانات الحركات'!B:B,MATCH(636,'بيانات الحركات'!$G:$G,0)),"")</f>
        <v/>
      </c>
      <c r="C637" s="3" t="str">
        <f>IFERROR(INDEX('بيانات الحركات'!C:C,MATCH(636,'بيانات الحركات'!$G:$G,0)),"")</f>
        <v/>
      </c>
      <c r="D637" s="3" t="str">
        <f>IFERROR(INDEX('بيانات الحركات'!D:D,MATCH(636,'بيانات الحركات'!$G:$G,0)),"")</f>
        <v/>
      </c>
      <c r="E637" s="21" t="str">
        <f>IF($B637="إنتاج طبخة","",IFERROR(INDEX('بيانات الحركات'!E:E,MATCH(636,'بيانات الحركات'!$G:$G,0)),""))</f>
        <v/>
      </c>
      <c r="F637" s="3" t="str">
        <f>IFERROR(INDEX('بيانات الحركات'!F:F,MATCH(636,'بيانات الحركات'!$G:$G,0)),"")</f>
        <v/>
      </c>
    </row>
    <row r="638" spans="1:6" ht="21.95" customHeight="1">
      <c r="A638" s="8" t="str">
        <f>IFERROR(INDEX('بيانات الحركات'!A:A,MATCH(637,'بيانات الحركات'!$G:$G,0)),"")</f>
        <v/>
      </c>
      <c r="B638" s="5" t="str">
        <f>IFERROR(INDEX('بيانات الحركات'!B:B,MATCH(637,'بيانات الحركات'!$G:$G,0)),"")</f>
        <v/>
      </c>
      <c r="C638" s="3" t="str">
        <f>IFERROR(INDEX('بيانات الحركات'!C:C,MATCH(637,'بيانات الحركات'!$G:$G,0)),"")</f>
        <v/>
      </c>
      <c r="D638" s="3" t="str">
        <f>IFERROR(INDEX('بيانات الحركات'!D:D,MATCH(637,'بيانات الحركات'!$G:$G,0)),"")</f>
        <v/>
      </c>
      <c r="E638" s="21" t="str">
        <f>IF($B638="إنتاج طبخة","",IFERROR(INDEX('بيانات الحركات'!E:E,MATCH(637,'بيانات الحركات'!$G:$G,0)),""))</f>
        <v/>
      </c>
      <c r="F638" s="3" t="str">
        <f>IFERROR(INDEX('بيانات الحركات'!F:F,MATCH(637,'بيانات الحركات'!$G:$G,0)),"")</f>
        <v/>
      </c>
    </row>
    <row r="639" spans="1:6" ht="21.95" customHeight="1">
      <c r="A639" s="8" t="str">
        <f>IFERROR(INDEX('بيانات الحركات'!A:A,MATCH(638,'بيانات الحركات'!$G:$G,0)),"")</f>
        <v/>
      </c>
      <c r="B639" s="5" t="str">
        <f>IFERROR(INDEX('بيانات الحركات'!B:B,MATCH(638,'بيانات الحركات'!$G:$G,0)),"")</f>
        <v/>
      </c>
      <c r="C639" s="3" t="str">
        <f>IFERROR(INDEX('بيانات الحركات'!C:C,MATCH(638,'بيانات الحركات'!$G:$G,0)),"")</f>
        <v/>
      </c>
      <c r="D639" s="3" t="str">
        <f>IFERROR(INDEX('بيانات الحركات'!D:D,MATCH(638,'بيانات الحركات'!$G:$G,0)),"")</f>
        <v/>
      </c>
      <c r="E639" s="21" t="str">
        <f>IF($B639="إنتاج طبخة","",IFERROR(INDEX('بيانات الحركات'!E:E,MATCH(638,'بيانات الحركات'!$G:$G,0)),""))</f>
        <v/>
      </c>
      <c r="F639" s="3" t="str">
        <f>IFERROR(INDEX('بيانات الحركات'!F:F,MATCH(638,'بيانات الحركات'!$G:$G,0)),"")</f>
        <v/>
      </c>
    </row>
    <row r="640" spans="1:6" ht="21.95" customHeight="1">
      <c r="A640" s="8" t="str">
        <f>IFERROR(INDEX('بيانات الحركات'!A:A,MATCH(639,'بيانات الحركات'!$G:$G,0)),"")</f>
        <v/>
      </c>
      <c r="B640" s="5" t="str">
        <f>IFERROR(INDEX('بيانات الحركات'!B:B,MATCH(639,'بيانات الحركات'!$G:$G,0)),"")</f>
        <v/>
      </c>
      <c r="C640" s="3" t="str">
        <f>IFERROR(INDEX('بيانات الحركات'!C:C,MATCH(639,'بيانات الحركات'!$G:$G,0)),"")</f>
        <v/>
      </c>
      <c r="D640" s="3" t="str">
        <f>IFERROR(INDEX('بيانات الحركات'!D:D,MATCH(639,'بيانات الحركات'!$G:$G,0)),"")</f>
        <v/>
      </c>
      <c r="E640" s="21" t="str">
        <f>IF($B640="إنتاج طبخة","",IFERROR(INDEX('بيانات الحركات'!E:E,MATCH(639,'بيانات الحركات'!$G:$G,0)),""))</f>
        <v/>
      </c>
      <c r="F640" s="3" t="str">
        <f>IFERROR(INDEX('بيانات الحركات'!F:F,MATCH(639,'بيانات الحركات'!$G:$G,0)),"")</f>
        <v/>
      </c>
    </row>
    <row r="641" spans="1:6" ht="21.95" customHeight="1">
      <c r="A641" s="8" t="str">
        <f>IFERROR(INDEX('بيانات الحركات'!A:A,MATCH(640,'بيانات الحركات'!$G:$G,0)),"")</f>
        <v/>
      </c>
      <c r="B641" s="5" t="str">
        <f>IFERROR(INDEX('بيانات الحركات'!B:B,MATCH(640,'بيانات الحركات'!$G:$G,0)),"")</f>
        <v/>
      </c>
      <c r="C641" s="3" t="str">
        <f>IFERROR(INDEX('بيانات الحركات'!C:C,MATCH(640,'بيانات الحركات'!$G:$G,0)),"")</f>
        <v/>
      </c>
      <c r="D641" s="3" t="str">
        <f>IFERROR(INDEX('بيانات الحركات'!D:D,MATCH(640,'بيانات الحركات'!$G:$G,0)),"")</f>
        <v/>
      </c>
      <c r="E641" s="21" t="str">
        <f>IF($B641="إنتاج طبخة","",IFERROR(INDEX('بيانات الحركات'!E:E,MATCH(640,'بيانات الحركات'!$G:$G,0)),""))</f>
        <v/>
      </c>
      <c r="F641" s="3" t="str">
        <f>IFERROR(INDEX('بيانات الحركات'!F:F,MATCH(640,'بيانات الحركات'!$G:$G,0)),"")</f>
        <v/>
      </c>
    </row>
    <row r="642" spans="1:6" ht="21.95" customHeight="1">
      <c r="A642" s="8" t="str">
        <f>IFERROR(INDEX('بيانات الحركات'!A:A,MATCH(641,'بيانات الحركات'!$G:$G,0)),"")</f>
        <v/>
      </c>
      <c r="B642" s="5" t="str">
        <f>IFERROR(INDEX('بيانات الحركات'!B:B,MATCH(641,'بيانات الحركات'!$G:$G,0)),"")</f>
        <v/>
      </c>
      <c r="C642" s="3" t="str">
        <f>IFERROR(INDEX('بيانات الحركات'!C:C,MATCH(641,'بيانات الحركات'!$G:$G,0)),"")</f>
        <v/>
      </c>
      <c r="D642" s="3" t="str">
        <f>IFERROR(INDEX('بيانات الحركات'!D:D,MATCH(641,'بيانات الحركات'!$G:$G,0)),"")</f>
        <v/>
      </c>
      <c r="E642" s="21" t="str">
        <f>IF($B642="إنتاج طبخة","",IFERROR(INDEX('بيانات الحركات'!E:E,MATCH(641,'بيانات الحركات'!$G:$G,0)),""))</f>
        <v/>
      </c>
      <c r="F642" s="3" t="str">
        <f>IFERROR(INDEX('بيانات الحركات'!F:F,MATCH(641,'بيانات الحركات'!$G:$G,0)),"")</f>
        <v/>
      </c>
    </row>
    <row r="643" spans="1:6" ht="21.95" customHeight="1">
      <c r="A643" s="8" t="str">
        <f>IFERROR(INDEX('بيانات الحركات'!A:A,MATCH(642,'بيانات الحركات'!$G:$G,0)),"")</f>
        <v/>
      </c>
      <c r="B643" s="5" t="str">
        <f>IFERROR(INDEX('بيانات الحركات'!B:B,MATCH(642,'بيانات الحركات'!$G:$G,0)),"")</f>
        <v/>
      </c>
      <c r="C643" s="3" t="str">
        <f>IFERROR(INDEX('بيانات الحركات'!C:C,MATCH(642,'بيانات الحركات'!$G:$G,0)),"")</f>
        <v/>
      </c>
      <c r="D643" s="3" t="str">
        <f>IFERROR(INDEX('بيانات الحركات'!D:D,MATCH(642,'بيانات الحركات'!$G:$G,0)),"")</f>
        <v/>
      </c>
      <c r="E643" s="21" t="str">
        <f>IF($B643="إنتاج طبخة","",IFERROR(INDEX('بيانات الحركات'!E:E,MATCH(642,'بيانات الحركات'!$G:$G,0)),""))</f>
        <v/>
      </c>
      <c r="F643" s="3" t="str">
        <f>IFERROR(INDEX('بيانات الحركات'!F:F,MATCH(642,'بيانات الحركات'!$G:$G,0)),"")</f>
        <v/>
      </c>
    </row>
    <row r="644" spans="1:6" ht="21.95" customHeight="1">
      <c r="A644" s="8" t="str">
        <f>IFERROR(INDEX('بيانات الحركات'!A:A,MATCH(643,'بيانات الحركات'!$G:$G,0)),"")</f>
        <v/>
      </c>
      <c r="B644" s="5" t="str">
        <f>IFERROR(INDEX('بيانات الحركات'!B:B,MATCH(643,'بيانات الحركات'!$G:$G,0)),"")</f>
        <v/>
      </c>
      <c r="C644" s="3" t="str">
        <f>IFERROR(INDEX('بيانات الحركات'!C:C,MATCH(643,'بيانات الحركات'!$G:$G,0)),"")</f>
        <v/>
      </c>
      <c r="D644" s="3" t="str">
        <f>IFERROR(INDEX('بيانات الحركات'!D:D,MATCH(643,'بيانات الحركات'!$G:$G,0)),"")</f>
        <v/>
      </c>
      <c r="E644" s="21" t="str">
        <f>IF($B644="إنتاج طبخة","",IFERROR(INDEX('بيانات الحركات'!E:E,MATCH(643,'بيانات الحركات'!$G:$G,0)),""))</f>
        <v/>
      </c>
      <c r="F644" s="3" t="str">
        <f>IFERROR(INDEX('بيانات الحركات'!F:F,MATCH(643,'بيانات الحركات'!$G:$G,0)),"")</f>
        <v/>
      </c>
    </row>
    <row r="645" spans="1:6" ht="21.95" customHeight="1">
      <c r="A645" s="8" t="str">
        <f>IFERROR(INDEX('بيانات الحركات'!A:A,MATCH(644,'بيانات الحركات'!$G:$G,0)),"")</f>
        <v/>
      </c>
      <c r="B645" s="5" t="str">
        <f>IFERROR(INDEX('بيانات الحركات'!B:B,MATCH(644,'بيانات الحركات'!$G:$G,0)),"")</f>
        <v/>
      </c>
      <c r="C645" s="3" t="str">
        <f>IFERROR(INDEX('بيانات الحركات'!C:C,MATCH(644,'بيانات الحركات'!$G:$G,0)),"")</f>
        <v/>
      </c>
      <c r="D645" s="3" t="str">
        <f>IFERROR(INDEX('بيانات الحركات'!D:D,MATCH(644,'بيانات الحركات'!$G:$G,0)),"")</f>
        <v/>
      </c>
      <c r="E645" s="21" t="str">
        <f>IF($B645="إنتاج طبخة","",IFERROR(INDEX('بيانات الحركات'!E:E,MATCH(644,'بيانات الحركات'!$G:$G,0)),""))</f>
        <v/>
      </c>
      <c r="F645" s="3" t="str">
        <f>IFERROR(INDEX('بيانات الحركات'!F:F,MATCH(644,'بيانات الحركات'!$G:$G,0)),"")</f>
        <v/>
      </c>
    </row>
    <row r="646" spans="1:6" ht="21.95" customHeight="1">
      <c r="A646" s="8" t="str">
        <f>IFERROR(INDEX('بيانات الحركات'!A:A,MATCH(645,'بيانات الحركات'!$G:$G,0)),"")</f>
        <v/>
      </c>
      <c r="B646" s="5" t="str">
        <f>IFERROR(INDEX('بيانات الحركات'!B:B,MATCH(645,'بيانات الحركات'!$G:$G,0)),"")</f>
        <v/>
      </c>
      <c r="C646" s="3" t="str">
        <f>IFERROR(INDEX('بيانات الحركات'!C:C,MATCH(645,'بيانات الحركات'!$G:$G,0)),"")</f>
        <v/>
      </c>
      <c r="D646" s="3" t="str">
        <f>IFERROR(INDEX('بيانات الحركات'!D:D,MATCH(645,'بيانات الحركات'!$G:$G,0)),"")</f>
        <v/>
      </c>
      <c r="E646" s="21" t="str">
        <f>IF($B646="إنتاج طبخة","",IFERROR(INDEX('بيانات الحركات'!E:E,MATCH(645,'بيانات الحركات'!$G:$G,0)),""))</f>
        <v/>
      </c>
      <c r="F646" s="3" t="str">
        <f>IFERROR(INDEX('بيانات الحركات'!F:F,MATCH(645,'بيانات الحركات'!$G:$G,0)),"")</f>
        <v/>
      </c>
    </row>
    <row r="647" spans="1:6" ht="21.95" customHeight="1">
      <c r="A647" s="8" t="str">
        <f>IFERROR(INDEX('بيانات الحركات'!A:A,MATCH(646,'بيانات الحركات'!$G:$G,0)),"")</f>
        <v/>
      </c>
      <c r="B647" s="5" t="str">
        <f>IFERROR(INDEX('بيانات الحركات'!B:B,MATCH(646,'بيانات الحركات'!$G:$G,0)),"")</f>
        <v/>
      </c>
      <c r="C647" s="3" t="str">
        <f>IFERROR(INDEX('بيانات الحركات'!C:C,MATCH(646,'بيانات الحركات'!$G:$G,0)),"")</f>
        <v/>
      </c>
      <c r="D647" s="3" t="str">
        <f>IFERROR(INDEX('بيانات الحركات'!D:D,MATCH(646,'بيانات الحركات'!$G:$G,0)),"")</f>
        <v/>
      </c>
      <c r="E647" s="21" t="str">
        <f>IF($B647="إنتاج طبخة","",IFERROR(INDEX('بيانات الحركات'!E:E,MATCH(646,'بيانات الحركات'!$G:$G,0)),""))</f>
        <v/>
      </c>
      <c r="F647" s="3" t="str">
        <f>IFERROR(INDEX('بيانات الحركات'!F:F,MATCH(646,'بيانات الحركات'!$G:$G,0)),"")</f>
        <v/>
      </c>
    </row>
    <row r="648" spans="1:6" ht="21.95" customHeight="1">
      <c r="A648" s="8" t="str">
        <f>IFERROR(INDEX('بيانات الحركات'!A:A,MATCH(647,'بيانات الحركات'!$G:$G,0)),"")</f>
        <v/>
      </c>
      <c r="B648" s="5" t="str">
        <f>IFERROR(INDEX('بيانات الحركات'!B:B,MATCH(647,'بيانات الحركات'!$G:$G,0)),"")</f>
        <v/>
      </c>
      <c r="C648" s="3" t="str">
        <f>IFERROR(INDEX('بيانات الحركات'!C:C,MATCH(647,'بيانات الحركات'!$G:$G,0)),"")</f>
        <v/>
      </c>
      <c r="D648" s="3" t="str">
        <f>IFERROR(INDEX('بيانات الحركات'!D:D,MATCH(647,'بيانات الحركات'!$G:$G,0)),"")</f>
        <v/>
      </c>
      <c r="E648" s="21" t="str">
        <f>IF($B648="إنتاج طبخة","",IFERROR(INDEX('بيانات الحركات'!E:E,MATCH(647,'بيانات الحركات'!$G:$G,0)),""))</f>
        <v/>
      </c>
      <c r="F648" s="3" t="str">
        <f>IFERROR(INDEX('بيانات الحركات'!F:F,MATCH(647,'بيانات الحركات'!$G:$G,0)),"")</f>
        <v/>
      </c>
    </row>
    <row r="649" spans="1:6" ht="21.95" customHeight="1">
      <c r="A649" s="8" t="str">
        <f>IFERROR(INDEX('بيانات الحركات'!A:A,MATCH(648,'بيانات الحركات'!$G:$G,0)),"")</f>
        <v/>
      </c>
      <c r="B649" s="5" t="str">
        <f>IFERROR(INDEX('بيانات الحركات'!B:B,MATCH(648,'بيانات الحركات'!$G:$G,0)),"")</f>
        <v/>
      </c>
      <c r="C649" s="3" t="str">
        <f>IFERROR(INDEX('بيانات الحركات'!C:C,MATCH(648,'بيانات الحركات'!$G:$G,0)),"")</f>
        <v/>
      </c>
      <c r="D649" s="3" t="str">
        <f>IFERROR(INDEX('بيانات الحركات'!D:D,MATCH(648,'بيانات الحركات'!$G:$G,0)),"")</f>
        <v/>
      </c>
      <c r="E649" s="21" t="str">
        <f>IF($B649="إنتاج طبخة","",IFERROR(INDEX('بيانات الحركات'!E:E,MATCH(648,'بيانات الحركات'!$G:$G,0)),""))</f>
        <v/>
      </c>
      <c r="F649" s="3" t="str">
        <f>IFERROR(INDEX('بيانات الحركات'!F:F,MATCH(648,'بيانات الحركات'!$G:$G,0)),"")</f>
        <v/>
      </c>
    </row>
    <row r="650" spans="1:6" ht="21.95" customHeight="1">
      <c r="A650" s="8" t="str">
        <f>IFERROR(INDEX('بيانات الحركات'!A:A,MATCH(649,'بيانات الحركات'!$G:$G,0)),"")</f>
        <v/>
      </c>
      <c r="B650" s="5" t="str">
        <f>IFERROR(INDEX('بيانات الحركات'!B:B,MATCH(649,'بيانات الحركات'!$G:$G,0)),"")</f>
        <v/>
      </c>
      <c r="C650" s="3" t="str">
        <f>IFERROR(INDEX('بيانات الحركات'!C:C,MATCH(649,'بيانات الحركات'!$G:$G,0)),"")</f>
        <v/>
      </c>
      <c r="D650" s="3" t="str">
        <f>IFERROR(INDEX('بيانات الحركات'!D:D,MATCH(649,'بيانات الحركات'!$G:$G,0)),"")</f>
        <v/>
      </c>
      <c r="E650" s="21" t="str">
        <f>IF($B650="إنتاج طبخة","",IFERROR(INDEX('بيانات الحركات'!E:E,MATCH(649,'بيانات الحركات'!$G:$G,0)),""))</f>
        <v/>
      </c>
      <c r="F650" s="3" t="str">
        <f>IFERROR(INDEX('بيانات الحركات'!F:F,MATCH(649,'بيانات الحركات'!$G:$G,0)),"")</f>
        <v/>
      </c>
    </row>
    <row r="651" spans="1:6" ht="21.95" customHeight="1">
      <c r="A651" s="8" t="str">
        <f>IFERROR(INDEX('بيانات الحركات'!A:A,MATCH(650,'بيانات الحركات'!$G:$G,0)),"")</f>
        <v/>
      </c>
      <c r="B651" s="5" t="str">
        <f>IFERROR(INDEX('بيانات الحركات'!B:B,MATCH(650,'بيانات الحركات'!$G:$G,0)),"")</f>
        <v/>
      </c>
      <c r="C651" s="3" t="str">
        <f>IFERROR(INDEX('بيانات الحركات'!C:C,MATCH(650,'بيانات الحركات'!$G:$G,0)),"")</f>
        <v/>
      </c>
      <c r="D651" s="3" t="str">
        <f>IFERROR(INDEX('بيانات الحركات'!D:D,MATCH(650,'بيانات الحركات'!$G:$G,0)),"")</f>
        <v/>
      </c>
      <c r="E651" s="21" t="str">
        <f>IF($B651="إنتاج طبخة","",IFERROR(INDEX('بيانات الحركات'!E:E,MATCH(650,'بيانات الحركات'!$G:$G,0)),""))</f>
        <v/>
      </c>
      <c r="F651" s="3" t="str">
        <f>IFERROR(INDEX('بيانات الحركات'!F:F,MATCH(650,'بيانات الحركات'!$G:$G,0)),"")</f>
        <v/>
      </c>
    </row>
    <row r="652" spans="1:6" ht="21.95" customHeight="1">
      <c r="A652" s="8" t="str">
        <f>IFERROR(INDEX('بيانات الحركات'!A:A,MATCH(651,'بيانات الحركات'!$G:$G,0)),"")</f>
        <v/>
      </c>
      <c r="B652" s="5" t="str">
        <f>IFERROR(INDEX('بيانات الحركات'!B:B,MATCH(651,'بيانات الحركات'!$G:$G,0)),"")</f>
        <v/>
      </c>
      <c r="C652" s="3" t="str">
        <f>IFERROR(INDEX('بيانات الحركات'!C:C,MATCH(651,'بيانات الحركات'!$G:$G,0)),"")</f>
        <v/>
      </c>
      <c r="D652" s="3" t="str">
        <f>IFERROR(INDEX('بيانات الحركات'!D:D,MATCH(651,'بيانات الحركات'!$G:$G,0)),"")</f>
        <v/>
      </c>
      <c r="E652" s="21" t="str">
        <f>IF($B652="إنتاج طبخة","",IFERROR(INDEX('بيانات الحركات'!E:E,MATCH(651,'بيانات الحركات'!$G:$G,0)),""))</f>
        <v/>
      </c>
      <c r="F652" s="3" t="str">
        <f>IFERROR(INDEX('بيانات الحركات'!F:F,MATCH(651,'بيانات الحركات'!$G:$G,0)),"")</f>
        <v/>
      </c>
    </row>
    <row r="653" spans="1:6" ht="21.95" customHeight="1">
      <c r="A653" s="8" t="str">
        <f>IFERROR(INDEX('بيانات الحركات'!A:A,MATCH(652,'بيانات الحركات'!$G:$G,0)),"")</f>
        <v/>
      </c>
      <c r="B653" s="5" t="str">
        <f>IFERROR(INDEX('بيانات الحركات'!B:B,MATCH(652,'بيانات الحركات'!$G:$G,0)),"")</f>
        <v/>
      </c>
      <c r="C653" s="3" t="str">
        <f>IFERROR(INDEX('بيانات الحركات'!C:C,MATCH(652,'بيانات الحركات'!$G:$G,0)),"")</f>
        <v/>
      </c>
      <c r="D653" s="3" t="str">
        <f>IFERROR(INDEX('بيانات الحركات'!D:D,MATCH(652,'بيانات الحركات'!$G:$G,0)),"")</f>
        <v/>
      </c>
      <c r="E653" s="21" t="str">
        <f>IF($B653="إنتاج طبخة","",IFERROR(INDEX('بيانات الحركات'!E:E,MATCH(652,'بيانات الحركات'!$G:$G,0)),""))</f>
        <v/>
      </c>
      <c r="F653" s="3" t="str">
        <f>IFERROR(INDEX('بيانات الحركات'!F:F,MATCH(652,'بيانات الحركات'!$G:$G,0)),"")</f>
        <v/>
      </c>
    </row>
    <row r="654" spans="1:6" ht="21.95" customHeight="1">
      <c r="A654" s="8" t="str">
        <f>IFERROR(INDEX('بيانات الحركات'!A:A,MATCH(653,'بيانات الحركات'!$G:$G,0)),"")</f>
        <v/>
      </c>
      <c r="B654" s="5" t="str">
        <f>IFERROR(INDEX('بيانات الحركات'!B:B,MATCH(653,'بيانات الحركات'!$G:$G,0)),"")</f>
        <v/>
      </c>
      <c r="C654" s="3" t="str">
        <f>IFERROR(INDEX('بيانات الحركات'!C:C,MATCH(653,'بيانات الحركات'!$G:$G,0)),"")</f>
        <v/>
      </c>
      <c r="D654" s="3" t="str">
        <f>IFERROR(INDEX('بيانات الحركات'!D:D,MATCH(653,'بيانات الحركات'!$G:$G,0)),"")</f>
        <v/>
      </c>
      <c r="E654" s="21" t="str">
        <f>IF($B654="إنتاج طبخة","",IFERROR(INDEX('بيانات الحركات'!E:E,MATCH(653,'بيانات الحركات'!$G:$G,0)),""))</f>
        <v/>
      </c>
      <c r="F654" s="3" t="str">
        <f>IFERROR(INDEX('بيانات الحركات'!F:F,MATCH(653,'بيانات الحركات'!$G:$G,0)),"")</f>
        <v/>
      </c>
    </row>
    <row r="655" spans="1:6" ht="21.95" customHeight="1">
      <c r="A655" s="8" t="str">
        <f>IFERROR(INDEX('بيانات الحركات'!A:A,MATCH(654,'بيانات الحركات'!$G:$G,0)),"")</f>
        <v/>
      </c>
      <c r="B655" s="5" t="str">
        <f>IFERROR(INDEX('بيانات الحركات'!B:B,MATCH(654,'بيانات الحركات'!$G:$G,0)),"")</f>
        <v/>
      </c>
      <c r="C655" s="3" t="str">
        <f>IFERROR(INDEX('بيانات الحركات'!C:C,MATCH(654,'بيانات الحركات'!$G:$G,0)),"")</f>
        <v/>
      </c>
      <c r="D655" s="3" t="str">
        <f>IFERROR(INDEX('بيانات الحركات'!D:D,MATCH(654,'بيانات الحركات'!$G:$G,0)),"")</f>
        <v/>
      </c>
      <c r="E655" s="21" t="str">
        <f>IF($B655="إنتاج طبخة","",IFERROR(INDEX('بيانات الحركات'!E:E,MATCH(654,'بيانات الحركات'!$G:$G,0)),""))</f>
        <v/>
      </c>
      <c r="F655" s="3" t="str">
        <f>IFERROR(INDEX('بيانات الحركات'!F:F,MATCH(654,'بيانات الحركات'!$G:$G,0)),"")</f>
        <v/>
      </c>
    </row>
    <row r="656" spans="1:6" ht="21.95" customHeight="1">
      <c r="A656" s="8" t="str">
        <f>IFERROR(INDEX('بيانات الحركات'!A:A,MATCH(655,'بيانات الحركات'!$G:$G,0)),"")</f>
        <v/>
      </c>
      <c r="B656" s="5" t="str">
        <f>IFERROR(INDEX('بيانات الحركات'!B:B,MATCH(655,'بيانات الحركات'!$G:$G,0)),"")</f>
        <v/>
      </c>
      <c r="C656" s="3" t="str">
        <f>IFERROR(INDEX('بيانات الحركات'!C:C,MATCH(655,'بيانات الحركات'!$G:$G,0)),"")</f>
        <v/>
      </c>
      <c r="D656" s="3" t="str">
        <f>IFERROR(INDEX('بيانات الحركات'!D:D,MATCH(655,'بيانات الحركات'!$G:$G,0)),"")</f>
        <v/>
      </c>
      <c r="E656" s="21" t="str">
        <f>IF($B656="إنتاج طبخة","",IFERROR(INDEX('بيانات الحركات'!E:E,MATCH(655,'بيانات الحركات'!$G:$G,0)),""))</f>
        <v/>
      </c>
      <c r="F656" s="3" t="str">
        <f>IFERROR(INDEX('بيانات الحركات'!F:F,MATCH(655,'بيانات الحركات'!$G:$G,0)),"")</f>
        <v/>
      </c>
    </row>
    <row r="657" spans="1:6" ht="21.95" customHeight="1">
      <c r="A657" s="8" t="str">
        <f>IFERROR(INDEX('بيانات الحركات'!A:A,MATCH(656,'بيانات الحركات'!$G:$G,0)),"")</f>
        <v/>
      </c>
      <c r="B657" s="5" t="str">
        <f>IFERROR(INDEX('بيانات الحركات'!B:B,MATCH(656,'بيانات الحركات'!$G:$G,0)),"")</f>
        <v/>
      </c>
      <c r="C657" s="3" t="str">
        <f>IFERROR(INDEX('بيانات الحركات'!C:C,MATCH(656,'بيانات الحركات'!$G:$G,0)),"")</f>
        <v/>
      </c>
      <c r="D657" s="3" t="str">
        <f>IFERROR(INDEX('بيانات الحركات'!D:D,MATCH(656,'بيانات الحركات'!$G:$G,0)),"")</f>
        <v/>
      </c>
      <c r="E657" s="21" t="str">
        <f>IF($B657="إنتاج طبخة","",IFERROR(INDEX('بيانات الحركات'!E:E,MATCH(656,'بيانات الحركات'!$G:$G,0)),""))</f>
        <v/>
      </c>
      <c r="F657" s="3" t="str">
        <f>IFERROR(INDEX('بيانات الحركات'!F:F,MATCH(656,'بيانات الحركات'!$G:$G,0)),"")</f>
        <v/>
      </c>
    </row>
    <row r="658" spans="1:6" ht="21.95" customHeight="1">
      <c r="A658" s="8" t="str">
        <f>IFERROR(INDEX('بيانات الحركات'!A:A,MATCH(657,'بيانات الحركات'!$G:$G,0)),"")</f>
        <v/>
      </c>
      <c r="B658" s="5" t="str">
        <f>IFERROR(INDEX('بيانات الحركات'!B:B,MATCH(657,'بيانات الحركات'!$G:$G,0)),"")</f>
        <v/>
      </c>
      <c r="C658" s="3" t="str">
        <f>IFERROR(INDEX('بيانات الحركات'!C:C,MATCH(657,'بيانات الحركات'!$G:$G,0)),"")</f>
        <v/>
      </c>
      <c r="D658" s="3" t="str">
        <f>IFERROR(INDEX('بيانات الحركات'!D:D,MATCH(657,'بيانات الحركات'!$G:$G,0)),"")</f>
        <v/>
      </c>
      <c r="E658" s="21" t="str">
        <f>IF($B658="إنتاج طبخة","",IFERROR(INDEX('بيانات الحركات'!E:E,MATCH(657,'بيانات الحركات'!$G:$G,0)),""))</f>
        <v/>
      </c>
      <c r="F658" s="3" t="str">
        <f>IFERROR(INDEX('بيانات الحركات'!F:F,MATCH(657,'بيانات الحركات'!$G:$G,0)),"")</f>
        <v/>
      </c>
    </row>
    <row r="659" spans="1:6" ht="21.95" customHeight="1">
      <c r="A659" s="8" t="str">
        <f>IFERROR(INDEX('بيانات الحركات'!A:A,MATCH(658,'بيانات الحركات'!$G:$G,0)),"")</f>
        <v/>
      </c>
      <c r="B659" s="5" t="str">
        <f>IFERROR(INDEX('بيانات الحركات'!B:B,MATCH(658,'بيانات الحركات'!$G:$G,0)),"")</f>
        <v/>
      </c>
      <c r="C659" s="3" t="str">
        <f>IFERROR(INDEX('بيانات الحركات'!C:C,MATCH(658,'بيانات الحركات'!$G:$G,0)),"")</f>
        <v/>
      </c>
      <c r="D659" s="3" t="str">
        <f>IFERROR(INDEX('بيانات الحركات'!D:D,MATCH(658,'بيانات الحركات'!$G:$G,0)),"")</f>
        <v/>
      </c>
      <c r="E659" s="21" t="str">
        <f>IF($B659="إنتاج طبخة","",IFERROR(INDEX('بيانات الحركات'!E:E,MATCH(658,'بيانات الحركات'!$G:$G,0)),""))</f>
        <v/>
      </c>
      <c r="F659" s="3" t="str">
        <f>IFERROR(INDEX('بيانات الحركات'!F:F,MATCH(658,'بيانات الحركات'!$G:$G,0)),"")</f>
        <v/>
      </c>
    </row>
    <row r="660" spans="1:6" ht="21.95" customHeight="1">
      <c r="A660" s="8" t="str">
        <f>IFERROR(INDEX('بيانات الحركات'!A:A,MATCH(659,'بيانات الحركات'!$G:$G,0)),"")</f>
        <v/>
      </c>
      <c r="B660" s="5" t="str">
        <f>IFERROR(INDEX('بيانات الحركات'!B:B,MATCH(659,'بيانات الحركات'!$G:$G,0)),"")</f>
        <v/>
      </c>
      <c r="C660" s="3" t="str">
        <f>IFERROR(INDEX('بيانات الحركات'!C:C,MATCH(659,'بيانات الحركات'!$G:$G,0)),"")</f>
        <v/>
      </c>
      <c r="D660" s="3" t="str">
        <f>IFERROR(INDEX('بيانات الحركات'!D:D,MATCH(659,'بيانات الحركات'!$G:$G,0)),"")</f>
        <v/>
      </c>
      <c r="E660" s="21" t="str">
        <f>IF($B660="إنتاج طبخة","",IFERROR(INDEX('بيانات الحركات'!E:E,MATCH(659,'بيانات الحركات'!$G:$G,0)),""))</f>
        <v/>
      </c>
      <c r="F660" s="3" t="str">
        <f>IFERROR(INDEX('بيانات الحركات'!F:F,MATCH(659,'بيانات الحركات'!$G:$G,0)),"")</f>
        <v/>
      </c>
    </row>
    <row r="661" spans="1:6" ht="21.95" customHeight="1">
      <c r="A661" s="8" t="str">
        <f>IFERROR(INDEX('بيانات الحركات'!A:A,MATCH(660,'بيانات الحركات'!$G:$G,0)),"")</f>
        <v/>
      </c>
      <c r="B661" s="5" t="str">
        <f>IFERROR(INDEX('بيانات الحركات'!B:B,MATCH(660,'بيانات الحركات'!$G:$G,0)),"")</f>
        <v/>
      </c>
      <c r="C661" s="3" t="str">
        <f>IFERROR(INDEX('بيانات الحركات'!C:C,MATCH(660,'بيانات الحركات'!$G:$G,0)),"")</f>
        <v/>
      </c>
      <c r="D661" s="3" t="str">
        <f>IFERROR(INDEX('بيانات الحركات'!D:D,MATCH(660,'بيانات الحركات'!$G:$G,0)),"")</f>
        <v/>
      </c>
      <c r="E661" s="21" t="str">
        <f>IF($B661="إنتاج طبخة","",IFERROR(INDEX('بيانات الحركات'!E:E,MATCH(660,'بيانات الحركات'!$G:$G,0)),""))</f>
        <v/>
      </c>
      <c r="F661" s="3" t="str">
        <f>IFERROR(INDEX('بيانات الحركات'!F:F,MATCH(660,'بيانات الحركات'!$G:$G,0)),"")</f>
        <v/>
      </c>
    </row>
    <row r="662" spans="1:6" ht="21.95" customHeight="1">
      <c r="A662" s="8" t="str">
        <f>IFERROR(INDEX('بيانات الحركات'!A:A,MATCH(661,'بيانات الحركات'!$G:$G,0)),"")</f>
        <v/>
      </c>
      <c r="B662" s="5" t="str">
        <f>IFERROR(INDEX('بيانات الحركات'!B:B,MATCH(661,'بيانات الحركات'!$G:$G,0)),"")</f>
        <v/>
      </c>
      <c r="C662" s="3" t="str">
        <f>IFERROR(INDEX('بيانات الحركات'!C:C,MATCH(661,'بيانات الحركات'!$G:$G,0)),"")</f>
        <v/>
      </c>
      <c r="D662" s="3" t="str">
        <f>IFERROR(INDEX('بيانات الحركات'!D:D,MATCH(661,'بيانات الحركات'!$G:$G,0)),"")</f>
        <v/>
      </c>
      <c r="E662" s="21" t="str">
        <f>IF($B662="إنتاج طبخة","",IFERROR(INDEX('بيانات الحركات'!E:E,MATCH(661,'بيانات الحركات'!$G:$G,0)),""))</f>
        <v/>
      </c>
      <c r="F662" s="3" t="str">
        <f>IFERROR(INDEX('بيانات الحركات'!F:F,MATCH(661,'بيانات الحركات'!$G:$G,0)),"")</f>
        <v/>
      </c>
    </row>
    <row r="663" spans="1:6" ht="21.95" customHeight="1">
      <c r="A663" s="8" t="str">
        <f>IFERROR(INDEX('بيانات الحركات'!A:A,MATCH(662,'بيانات الحركات'!$G:$G,0)),"")</f>
        <v/>
      </c>
      <c r="B663" s="5" t="str">
        <f>IFERROR(INDEX('بيانات الحركات'!B:B,MATCH(662,'بيانات الحركات'!$G:$G,0)),"")</f>
        <v/>
      </c>
      <c r="C663" s="3" t="str">
        <f>IFERROR(INDEX('بيانات الحركات'!C:C,MATCH(662,'بيانات الحركات'!$G:$G,0)),"")</f>
        <v/>
      </c>
      <c r="D663" s="3" t="str">
        <f>IFERROR(INDEX('بيانات الحركات'!D:D,MATCH(662,'بيانات الحركات'!$G:$G,0)),"")</f>
        <v/>
      </c>
      <c r="E663" s="21" t="str">
        <f>IF($B663="إنتاج طبخة","",IFERROR(INDEX('بيانات الحركات'!E:E,MATCH(662,'بيانات الحركات'!$G:$G,0)),""))</f>
        <v/>
      </c>
      <c r="F663" s="3" t="str">
        <f>IFERROR(INDEX('بيانات الحركات'!F:F,MATCH(662,'بيانات الحركات'!$G:$G,0)),"")</f>
        <v/>
      </c>
    </row>
    <row r="664" spans="1:6" ht="21.95" customHeight="1">
      <c r="A664" s="8" t="str">
        <f>IFERROR(INDEX('بيانات الحركات'!A:A,MATCH(663,'بيانات الحركات'!$G:$G,0)),"")</f>
        <v/>
      </c>
      <c r="B664" s="5" t="str">
        <f>IFERROR(INDEX('بيانات الحركات'!B:B,MATCH(663,'بيانات الحركات'!$G:$G,0)),"")</f>
        <v/>
      </c>
      <c r="C664" s="3" t="str">
        <f>IFERROR(INDEX('بيانات الحركات'!C:C,MATCH(663,'بيانات الحركات'!$G:$G,0)),"")</f>
        <v/>
      </c>
      <c r="D664" s="3" t="str">
        <f>IFERROR(INDEX('بيانات الحركات'!D:D,MATCH(663,'بيانات الحركات'!$G:$G,0)),"")</f>
        <v/>
      </c>
      <c r="E664" s="21" t="str">
        <f>IF($B664="إنتاج طبخة","",IFERROR(INDEX('بيانات الحركات'!E:E,MATCH(663,'بيانات الحركات'!$G:$G,0)),""))</f>
        <v/>
      </c>
      <c r="F664" s="3" t="str">
        <f>IFERROR(INDEX('بيانات الحركات'!F:F,MATCH(663,'بيانات الحركات'!$G:$G,0)),"")</f>
        <v/>
      </c>
    </row>
    <row r="665" spans="1:6" ht="21.95" customHeight="1">
      <c r="A665" s="8" t="str">
        <f>IFERROR(INDEX('بيانات الحركات'!A:A,MATCH(664,'بيانات الحركات'!$G:$G,0)),"")</f>
        <v/>
      </c>
      <c r="B665" s="5" t="str">
        <f>IFERROR(INDEX('بيانات الحركات'!B:B,MATCH(664,'بيانات الحركات'!$G:$G,0)),"")</f>
        <v/>
      </c>
      <c r="C665" s="3" t="str">
        <f>IFERROR(INDEX('بيانات الحركات'!C:C,MATCH(664,'بيانات الحركات'!$G:$G,0)),"")</f>
        <v/>
      </c>
      <c r="D665" s="3" t="str">
        <f>IFERROR(INDEX('بيانات الحركات'!D:D,MATCH(664,'بيانات الحركات'!$G:$G,0)),"")</f>
        <v/>
      </c>
      <c r="E665" s="21" t="str">
        <f>IF($B665="إنتاج طبخة","",IFERROR(INDEX('بيانات الحركات'!E:E,MATCH(664,'بيانات الحركات'!$G:$G,0)),""))</f>
        <v/>
      </c>
      <c r="F665" s="3" t="str">
        <f>IFERROR(INDEX('بيانات الحركات'!F:F,MATCH(664,'بيانات الحركات'!$G:$G,0)),"")</f>
        <v/>
      </c>
    </row>
    <row r="666" spans="1:6" ht="21.95" customHeight="1">
      <c r="A666" s="8" t="str">
        <f>IFERROR(INDEX('بيانات الحركات'!A:A,MATCH(665,'بيانات الحركات'!$G:$G,0)),"")</f>
        <v/>
      </c>
      <c r="B666" s="5" t="str">
        <f>IFERROR(INDEX('بيانات الحركات'!B:B,MATCH(665,'بيانات الحركات'!$G:$G,0)),"")</f>
        <v/>
      </c>
      <c r="C666" s="3" t="str">
        <f>IFERROR(INDEX('بيانات الحركات'!C:C,MATCH(665,'بيانات الحركات'!$G:$G,0)),"")</f>
        <v/>
      </c>
      <c r="D666" s="3" t="str">
        <f>IFERROR(INDEX('بيانات الحركات'!D:D,MATCH(665,'بيانات الحركات'!$G:$G,0)),"")</f>
        <v/>
      </c>
      <c r="E666" s="21" t="str">
        <f>IF($B666="إنتاج طبخة","",IFERROR(INDEX('بيانات الحركات'!E:E,MATCH(665,'بيانات الحركات'!$G:$G,0)),""))</f>
        <v/>
      </c>
      <c r="F666" s="3" t="str">
        <f>IFERROR(INDEX('بيانات الحركات'!F:F,MATCH(665,'بيانات الحركات'!$G:$G,0)),"")</f>
        <v/>
      </c>
    </row>
    <row r="667" spans="1:6" ht="21.95" customHeight="1">
      <c r="A667" s="8" t="str">
        <f>IFERROR(INDEX('بيانات الحركات'!A:A,MATCH(666,'بيانات الحركات'!$G:$G,0)),"")</f>
        <v/>
      </c>
      <c r="B667" s="5" t="str">
        <f>IFERROR(INDEX('بيانات الحركات'!B:B,MATCH(666,'بيانات الحركات'!$G:$G,0)),"")</f>
        <v/>
      </c>
      <c r="C667" s="3" t="str">
        <f>IFERROR(INDEX('بيانات الحركات'!C:C,MATCH(666,'بيانات الحركات'!$G:$G,0)),"")</f>
        <v/>
      </c>
      <c r="D667" s="3" t="str">
        <f>IFERROR(INDEX('بيانات الحركات'!D:D,MATCH(666,'بيانات الحركات'!$G:$G,0)),"")</f>
        <v/>
      </c>
      <c r="E667" s="21" t="str">
        <f>IF($B667="إنتاج طبخة","",IFERROR(INDEX('بيانات الحركات'!E:E,MATCH(666,'بيانات الحركات'!$G:$G,0)),""))</f>
        <v/>
      </c>
      <c r="F667" s="3" t="str">
        <f>IFERROR(INDEX('بيانات الحركات'!F:F,MATCH(666,'بيانات الحركات'!$G:$G,0)),"")</f>
        <v/>
      </c>
    </row>
    <row r="668" spans="1:6" ht="21.95" customHeight="1">
      <c r="A668" s="8" t="str">
        <f>IFERROR(INDEX('بيانات الحركات'!A:A,MATCH(667,'بيانات الحركات'!$G:$G,0)),"")</f>
        <v/>
      </c>
      <c r="B668" s="5" t="str">
        <f>IFERROR(INDEX('بيانات الحركات'!B:B,MATCH(667,'بيانات الحركات'!$G:$G,0)),"")</f>
        <v/>
      </c>
      <c r="C668" s="3" t="str">
        <f>IFERROR(INDEX('بيانات الحركات'!C:C,MATCH(667,'بيانات الحركات'!$G:$G,0)),"")</f>
        <v/>
      </c>
      <c r="D668" s="3" t="str">
        <f>IFERROR(INDEX('بيانات الحركات'!D:D,MATCH(667,'بيانات الحركات'!$G:$G,0)),"")</f>
        <v/>
      </c>
      <c r="E668" s="21" t="str">
        <f>IF($B668="إنتاج طبخة","",IFERROR(INDEX('بيانات الحركات'!E:E,MATCH(667,'بيانات الحركات'!$G:$G,0)),""))</f>
        <v/>
      </c>
      <c r="F668" s="3" t="str">
        <f>IFERROR(INDEX('بيانات الحركات'!F:F,MATCH(667,'بيانات الحركات'!$G:$G,0)),"")</f>
        <v/>
      </c>
    </row>
    <row r="669" spans="1:6" ht="21.95" customHeight="1">
      <c r="A669" s="8" t="str">
        <f>IFERROR(INDEX('بيانات الحركات'!A:A,MATCH(668,'بيانات الحركات'!$G:$G,0)),"")</f>
        <v/>
      </c>
      <c r="B669" s="5" t="str">
        <f>IFERROR(INDEX('بيانات الحركات'!B:B,MATCH(668,'بيانات الحركات'!$G:$G,0)),"")</f>
        <v/>
      </c>
      <c r="C669" s="3" t="str">
        <f>IFERROR(INDEX('بيانات الحركات'!C:C,MATCH(668,'بيانات الحركات'!$G:$G,0)),"")</f>
        <v/>
      </c>
      <c r="D669" s="3" t="str">
        <f>IFERROR(INDEX('بيانات الحركات'!D:D,MATCH(668,'بيانات الحركات'!$G:$G,0)),"")</f>
        <v/>
      </c>
      <c r="E669" s="21" t="str">
        <f>IF($B669="إنتاج طبخة","",IFERROR(INDEX('بيانات الحركات'!E:E,MATCH(668,'بيانات الحركات'!$G:$G,0)),""))</f>
        <v/>
      </c>
      <c r="F669" s="3" t="str">
        <f>IFERROR(INDEX('بيانات الحركات'!F:F,MATCH(668,'بيانات الحركات'!$G:$G,0)),"")</f>
        <v/>
      </c>
    </row>
    <row r="670" spans="1:6" ht="21.95" customHeight="1">
      <c r="A670" s="8" t="str">
        <f>IFERROR(INDEX('بيانات الحركات'!A:A,MATCH(669,'بيانات الحركات'!$G:$G,0)),"")</f>
        <v/>
      </c>
      <c r="B670" s="5" t="str">
        <f>IFERROR(INDEX('بيانات الحركات'!B:B,MATCH(669,'بيانات الحركات'!$G:$G,0)),"")</f>
        <v/>
      </c>
      <c r="C670" s="3" t="str">
        <f>IFERROR(INDEX('بيانات الحركات'!C:C,MATCH(669,'بيانات الحركات'!$G:$G,0)),"")</f>
        <v/>
      </c>
      <c r="D670" s="3" t="str">
        <f>IFERROR(INDEX('بيانات الحركات'!D:D,MATCH(669,'بيانات الحركات'!$G:$G,0)),"")</f>
        <v/>
      </c>
      <c r="E670" s="21" t="str">
        <f>IF($B670="إنتاج طبخة","",IFERROR(INDEX('بيانات الحركات'!E:E,MATCH(669,'بيانات الحركات'!$G:$G,0)),""))</f>
        <v/>
      </c>
      <c r="F670" s="3" t="str">
        <f>IFERROR(INDEX('بيانات الحركات'!F:F,MATCH(669,'بيانات الحركات'!$G:$G,0)),"")</f>
        <v/>
      </c>
    </row>
    <row r="671" spans="1:6" ht="21.95" customHeight="1">
      <c r="A671" s="8" t="str">
        <f>IFERROR(INDEX('بيانات الحركات'!A:A,MATCH(670,'بيانات الحركات'!$G:$G,0)),"")</f>
        <v/>
      </c>
      <c r="B671" s="5" t="str">
        <f>IFERROR(INDEX('بيانات الحركات'!B:B,MATCH(670,'بيانات الحركات'!$G:$G,0)),"")</f>
        <v/>
      </c>
      <c r="C671" s="3" t="str">
        <f>IFERROR(INDEX('بيانات الحركات'!C:C,MATCH(670,'بيانات الحركات'!$G:$G,0)),"")</f>
        <v/>
      </c>
      <c r="D671" s="3" t="str">
        <f>IFERROR(INDEX('بيانات الحركات'!D:D,MATCH(670,'بيانات الحركات'!$G:$G,0)),"")</f>
        <v/>
      </c>
      <c r="E671" s="21" t="str">
        <f>IF($B671="إنتاج طبخة","",IFERROR(INDEX('بيانات الحركات'!E:E,MATCH(670,'بيانات الحركات'!$G:$G,0)),""))</f>
        <v/>
      </c>
      <c r="F671" s="3" t="str">
        <f>IFERROR(INDEX('بيانات الحركات'!F:F,MATCH(670,'بيانات الحركات'!$G:$G,0)),"")</f>
        <v/>
      </c>
    </row>
    <row r="672" spans="1:6" ht="21.95" customHeight="1">
      <c r="A672" s="8" t="str">
        <f>IFERROR(INDEX('بيانات الحركات'!A:A,MATCH(671,'بيانات الحركات'!$G:$G,0)),"")</f>
        <v/>
      </c>
      <c r="B672" s="5" t="str">
        <f>IFERROR(INDEX('بيانات الحركات'!B:B,MATCH(671,'بيانات الحركات'!$G:$G,0)),"")</f>
        <v/>
      </c>
      <c r="C672" s="3" t="str">
        <f>IFERROR(INDEX('بيانات الحركات'!C:C,MATCH(671,'بيانات الحركات'!$G:$G,0)),"")</f>
        <v/>
      </c>
      <c r="D672" s="3" t="str">
        <f>IFERROR(INDEX('بيانات الحركات'!D:D,MATCH(671,'بيانات الحركات'!$G:$G,0)),"")</f>
        <v/>
      </c>
      <c r="E672" s="21" t="str">
        <f>IF($B672="إنتاج طبخة","",IFERROR(INDEX('بيانات الحركات'!E:E,MATCH(671,'بيانات الحركات'!$G:$G,0)),""))</f>
        <v/>
      </c>
      <c r="F672" s="3" t="str">
        <f>IFERROR(INDEX('بيانات الحركات'!F:F,MATCH(671,'بيانات الحركات'!$G:$G,0)),"")</f>
        <v/>
      </c>
    </row>
    <row r="673" spans="1:6" ht="21.95" customHeight="1">
      <c r="A673" s="8" t="str">
        <f>IFERROR(INDEX('بيانات الحركات'!A:A,MATCH(672,'بيانات الحركات'!$G:$G,0)),"")</f>
        <v/>
      </c>
      <c r="B673" s="5" t="str">
        <f>IFERROR(INDEX('بيانات الحركات'!B:B,MATCH(672,'بيانات الحركات'!$G:$G,0)),"")</f>
        <v/>
      </c>
      <c r="C673" s="3" t="str">
        <f>IFERROR(INDEX('بيانات الحركات'!C:C,MATCH(672,'بيانات الحركات'!$G:$G,0)),"")</f>
        <v/>
      </c>
      <c r="D673" s="3" t="str">
        <f>IFERROR(INDEX('بيانات الحركات'!D:D,MATCH(672,'بيانات الحركات'!$G:$G,0)),"")</f>
        <v/>
      </c>
      <c r="E673" s="21" t="str">
        <f>IF($B673="إنتاج طبخة","",IFERROR(INDEX('بيانات الحركات'!E:E,MATCH(672,'بيانات الحركات'!$G:$G,0)),""))</f>
        <v/>
      </c>
      <c r="F673" s="3" t="str">
        <f>IFERROR(INDEX('بيانات الحركات'!F:F,MATCH(672,'بيانات الحركات'!$G:$G,0)),"")</f>
        <v/>
      </c>
    </row>
    <row r="674" spans="1:6" ht="21.95" customHeight="1">
      <c r="A674" s="8" t="str">
        <f>IFERROR(INDEX('بيانات الحركات'!A:A,MATCH(673,'بيانات الحركات'!$G:$G,0)),"")</f>
        <v/>
      </c>
      <c r="B674" s="5" t="str">
        <f>IFERROR(INDEX('بيانات الحركات'!B:B,MATCH(673,'بيانات الحركات'!$G:$G,0)),"")</f>
        <v/>
      </c>
      <c r="C674" s="3" t="str">
        <f>IFERROR(INDEX('بيانات الحركات'!C:C,MATCH(673,'بيانات الحركات'!$G:$G,0)),"")</f>
        <v/>
      </c>
      <c r="D674" s="3" t="str">
        <f>IFERROR(INDEX('بيانات الحركات'!D:D,MATCH(673,'بيانات الحركات'!$G:$G,0)),"")</f>
        <v/>
      </c>
      <c r="E674" s="21" t="str">
        <f>IF($B674="إنتاج طبخة","",IFERROR(INDEX('بيانات الحركات'!E:E,MATCH(673,'بيانات الحركات'!$G:$G,0)),""))</f>
        <v/>
      </c>
      <c r="F674" s="3" t="str">
        <f>IFERROR(INDEX('بيانات الحركات'!F:F,MATCH(673,'بيانات الحركات'!$G:$G,0)),"")</f>
        <v/>
      </c>
    </row>
    <row r="675" spans="1:6" ht="21.95" customHeight="1">
      <c r="A675" s="8" t="str">
        <f>IFERROR(INDEX('بيانات الحركات'!A:A,MATCH(674,'بيانات الحركات'!$G:$G,0)),"")</f>
        <v/>
      </c>
      <c r="B675" s="5" t="str">
        <f>IFERROR(INDEX('بيانات الحركات'!B:B,MATCH(674,'بيانات الحركات'!$G:$G,0)),"")</f>
        <v/>
      </c>
      <c r="C675" s="3" t="str">
        <f>IFERROR(INDEX('بيانات الحركات'!C:C,MATCH(674,'بيانات الحركات'!$G:$G,0)),"")</f>
        <v/>
      </c>
      <c r="D675" s="3" t="str">
        <f>IFERROR(INDEX('بيانات الحركات'!D:D,MATCH(674,'بيانات الحركات'!$G:$G,0)),"")</f>
        <v/>
      </c>
      <c r="E675" s="21" t="str">
        <f>IF($B675="إنتاج طبخة","",IFERROR(INDEX('بيانات الحركات'!E:E,MATCH(674,'بيانات الحركات'!$G:$G,0)),""))</f>
        <v/>
      </c>
      <c r="F675" s="3" t="str">
        <f>IFERROR(INDEX('بيانات الحركات'!F:F,MATCH(674,'بيانات الحركات'!$G:$G,0)),"")</f>
        <v/>
      </c>
    </row>
    <row r="676" spans="1:6" ht="21.95" customHeight="1">
      <c r="A676" s="8" t="str">
        <f>IFERROR(INDEX('بيانات الحركات'!A:A,MATCH(675,'بيانات الحركات'!$G:$G,0)),"")</f>
        <v/>
      </c>
      <c r="B676" s="5" t="str">
        <f>IFERROR(INDEX('بيانات الحركات'!B:B,MATCH(675,'بيانات الحركات'!$G:$G,0)),"")</f>
        <v/>
      </c>
      <c r="C676" s="3" t="str">
        <f>IFERROR(INDEX('بيانات الحركات'!C:C,MATCH(675,'بيانات الحركات'!$G:$G,0)),"")</f>
        <v/>
      </c>
      <c r="D676" s="3" t="str">
        <f>IFERROR(INDEX('بيانات الحركات'!D:D,MATCH(675,'بيانات الحركات'!$G:$G,0)),"")</f>
        <v/>
      </c>
      <c r="E676" s="21" t="str">
        <f>IF($B676="إنتاج طبخة","",IFERROR(INDEX('بيانات الحركات'!E:E,MATCH(675,'بيانات الحركات'!$G:$G,0)),""))</f>
        <v/>
      </c>
      <c r="F676" s="3" t="str">
        <f>IFERROR(INDEX('بيانات الحركات'!F:F,MATCH(675,'بيانات الحركات'!$G:$G,0)),"")</f>
        <v/>
      </c>
    </row>
    <row r="677" spans="1:6" ht="21.95" customHeight="1">
      <c r="A677" s="8" t="str">
        <f>IFERROR(INDEX('بيانات الحركات'!A:A,MATCH(676,'بيانات الحركات'!$G:$G,0)),"")</f>
        <v/>
      </c>
      <c r="B677" s="5" t="str">
        <f>IFERROR(INDEX('بيانات الحركات'!B:B,MATCH(676,'بيانات الحركات'!$G:$G,0)),"")</f>
        <v/>
      </c>
      <c r="C677" s="3" t="str">
        <f>IFERROR(INDEX('بيانات الحركات'!C:C,MATCH(676,'بيانات الحركات'!$G:$G,0)),"")</f>
        <v/>
      </c>
      <c r="D677" s="3" t="str">
        <f>IFERROR(INDEX('بيانات الحركات'!D:D,MATCH(676,'بيانات الحركات'!$G:$G,0)),"")</f>
        <v/>
      </c>
      <c r="E677" s="21" t="str">
        <f>IF($B677="إنتاج طبخة","",IFERROR(INDEX('بيانات الحركات'!E:E,MATCH(676,'بيانات الحركات'!$G:$G,0)),""))</f>
        <v/>
      </c>
      <c r="F677" s="3" t="str">
        <f>IFERROR(INDEX('بيانات الحركات'!F:F,MATCH(676,'بيانات الحركات'!$G:$G,0)),"")</f>
        <v/>
      </c>
    </row>
    <row r="678" spans="1:6" ht="21.95" customHeight="1">
      <c r="A678" s="8" t="str">
        <f>IFERROR(INDEX('بيانات الحركات'!A:A,MATCH(677,'بيانات الحركات'!$G:$G,0)),"")</f>
        <v/>
      </c>
      <c r="B678" s="5" t="str">
        <f>IFERROR(INDEX('بيانات الحركات'!B:B,MATCH(677,'بيانات الحركات'!$G:$G,0)),"")</f>
        <v/>
      </c>
      <c r="C678" s="3" t="str">
        <f>IFERROR(INDEX('بيانات الحركات'!C:C,MATCH(677,'بيانات الحركات'!$G:$G,0)),"")</f>
        <v/>
      </c>
      <c r="D678" s="3" t="str">
        <f>IFERROR(INDEX('بيانات الحركات'!D:D,MATCH(677,'بيانات الحركات'!$G:$G,0)),"")</f>
        <v/>
      </c>
      <c r="E678" s="21" t="str">
        <f>IF($B678="إنتاج طبخة","",IFERROR(INDEX('بيانات الحركات'!E:E,MATCH(677,'بيانات الحركات'!$G:$G,0)),""))</f>
        <v/>
      </c>
      <c r="F678" s="3" t="str">
        <f>IFERROR(INDEX('بيانات الحركات'!F:F,MATCH(677,'بيانات الحركات'!$G:$G,0)),"")</f>
        <v/>
      </c>
    </row>
    <row r="679" spans="1:6" ht="21.95" customHeight="1">
      <c r="A679" s="8" t="str">
        <f>IFERROR(INDEX('بيانات الحركات'!A:A,MATCH(678,'بيانات الحركات'!$G:$G,0)),"")</f>
        <v/>
      </c>
      <c r="B679" s="5" t="str">
        <f>IFERROR(INDEX('بيانات الحركات'!B:B,MATCH(678,'بيانات الحركات'!$G:$G,0)),"")</f>
        <v/>
      </c>
      <c r="C679" s="3" t="str">
        <f>IFERROR(INDEX('بيانات الحركات'!C:C,MATCH(678,'بيانات الحركات'!$G:$G,0)),"")</f>
        <v/>
      </c>
      <c r="D679" s="3" t="str">
        <f>IFERROR(INDEX('بيانات الحركات'!D:D,MATCH(678,'بيانات الحركات'!$G:$G,0)),"")</f>
        <v/>
      </c>
      <c r="E679" s="21" t="str">
        <f>IF($B679="إنتاج طبخة","",IFERROR(INDEX('بيانات الحركات'!E:E,MATCH(678,'بيانات الحركات'!$G:$G,0)),""))</f>
        <v/>
      </c>
      <c r="F679" s="3" t="str">
        <f>IFERROR(INDEX('بيانات الحركات'!F:F,MATCH(678,'بيانات الحركات'!$G:$G,0)),"")</f>
        <v/>
      </c>
    </row>
    <row r="680" spans="1:6" ht="21.95" customHeight="1">
      <c r="A680" s="8" t="str">
        <f>IFERROR(INDEX('بيانات الحركات'!A:A,MATCH(679,'بيانات الحركات'!$G:$G,0)),"")</f>
        <v/>
      </c>
      <c r="B680" s="5" t="str">
        <f>IFERROR(INDEX('بيانات الحركات'!B:B,MATCH(679,'بيانات الحركات'!$G:$G,0)),"")</f>
        <v/>
      </c>
      <c r="C680" s="3" t="str">
        <f>IFERROR(INDEX('بيانات الحركات'!C:C,MATCH(679,'بيانات الحركات'!$G:$G,0)),"")</f>
        <v/>
      </c>
      <c r="D680" s="3" t="str">
        <f>IFERROR(INDEX('بيانات الحركات'!D:D,MATCH(679,'بيانات الحركات'!$G:$G,0)),"")</f>
        <v/>
      </c>
      <c r="E680" s="21" t="str">
        <f>IF($B680="إنتاج طبخة","",IFERROR(INDEX('بيانات الحركات'!E:E,MATCH(679,'بيانات الحركات'!$G:$G,0)),""))</f>
        <v/>
      </c>
      <c r="F680" s="3" t="str">
        <f>IFERROR(INDEX('بيانات الحركات'!F:F,MATCH(679,'بيانات الحركات'!$G:$G,0)),"")</f>
        <v/>
      </c>
    </row>
    <row r="681" spans="1:6" ht="21.95" customHeight="1">
      <c r="A681" s="8" t="str">
        <f>IFERROR(INDEX('بيانات الحركات'!A:A,MATCH(680,'بيانات الحركات'!$G:$G,0)),"")</f>
        <v/>
      </c>
      <c r="B681" s="5" t="str">
        <f>IFERROR(INDEX('بيانات الحركات'!B:B,MATCH(680,'بيانات الحركات'!$G:$G,0)),"")</f>
        <v/>
      </c>
      <c r="C681" s="3" t="str">
        <f>IFERROR(INDEX('بيانات الحركات'!C:C,MATCH(680,'بيانات الحركات'!$G:$G,0)),"")</f>
        <v/>
      </c>
      <c r="D681" s="3" t="str">
        <f>IFERROR(INDEX('بيانات الحركات'!D:D,MATCH(680,'بيانات الحركات'!$G:$G,0)),"")</f>
        <v/>
      </c>
      <c r="E681" s="21" t="str">
        <f>IF($B681="إنتاج طبخة","",IFERROR(INDEX('بيانات الحركات'!E:E,MATCH(680,'بيانات الحركات'!$G:$G,0)),""))</f>
        <v/>
      </c>
      <c r="F681" s="3" t="str">
        <f>IFERROR(INDEX('بيانات الحركات'!F:F,MATCH(680,'بيانات الحركات'!$G:$G,0)),"")</f>
        <v/>
      </c>
    </row>
    <row r="682" spans="1:6" ht="21.95" customHeight="1">
      <c r="A682" s="8" t="str">
        <f>IFERROR(INDEX('بيانات الحركات'!A:A,MATCH(681,'بيانات الحركات'!$G:$G,0)),"")</f>
        <v/>
      </c>
      <c r="B682" s="5" t="str">
        <f>IFERROR(INDEX('بيانات الحركات'!B:B,MATCH(681,'بيانات الحركات'!$G:$G,0)),"")</f>
        <v/>
      </c>
      <c r="C682" s="3" t="str">
        <f>IFERROR(INDEX('بيانات الحركات'!C:C,MATCH(681,'بيانات الحركات'!$G:$G,0)),"")</f>
        <v/>
      </c>
      <c r="D682" s="3" t="str">
        <f>IFERROR(INDEX('بيانات الحركات'!D:D,MATCH(681,'بيانات الحركات'!$G:$G,0)),"")</f>
        <v/>
      </c>
      <c r="E682" s="21" t="str">
        <f>IF($B682="إنتاج طبخة","",IFERROR(INDEX('بيانات الحركات'!E:E,MATCH(681,'بيانات الحركات'!$G:$G,0)),""))</f>
        <v/>
      </c>
      <c r="F682" s="3" t="str">
        <f>IFERROR(INDEX('بيانات الحركات'!F:F,MATCH(681,'بيانات الحركات'!$G:$G,0)),"")</f>
        <v/>
      </c>
    </row>
    <row r="683" spans="1:6" ht="21.95" customHeight="1">
      <c r="A683" s="8" t="str">
        <f>IFERROR(INDEX('بيانات الحركات'!A:A,MATCH(682,'بيانات الحركات'!$G:$G,0)),"")</f>
        <v/>
      </c>
      <c r="B683" s="5" t="str">
        <f>IFERROR(INDEX('بيانات الحركات'!B:B,MATCH(682,'بيانات الحركات'!$G:$G,0)),"")</f>
        <v/>
      </c>
      <c r="C683" s="3" t="str">
        <f>IFERROR(INDEX('بيانات الحركات'!C:C,MATCH(682,'بيانات الحركات'!$G:$G,0)),"")</f>
        <v/>
      </c>
      <c r="D683" s="3" t="str">
        <f>IFERROR(INDEX('بيانات الحركات'!D:D,MATCH(682,'بيانات الحركات'!$G:$G,0)),"")</f>
        <v/>
      </c>
      <c r="E683" s="21" t="str">
        <f>IF($B683="إنتاج طبخة","",IFERROR(INDEX('بيانات الحركات'!E:E,MATCH(682,'بيانات الحركات'!$G:$G,0)),""))</f>
        <v/>
      </c>
      <c r="F683" s="3" t="str">
        <f>IFERROR(INDEX('بيانات الحركات'!F:F,MATCH(682,'بيانات الحركات'!$G:$G,0)),"")</f>
        <v/>
      </c>
    </row>
    <row r="684" spans="1:6" ht="21.95" customHeight="1">
      <c r="A684" s="8" t="str">
        <f>IFERROR(INDEX('بيانات الحركات'!A:A,MATCH(683,'بيانات الحركات'!$G:$G,0)),"")</f>
        <v/>
      </c>
      <c r="B684" s="5" t="str">
        <f>IFERROR(INDEX('بيانات الحركات'!B:B,MATCH(683,'بيانات الحركات'!$G:$G,0)),"")</f>
        <v/>
      </c>
      <c r="C684" s="3" t="str">
        <f>IFERROR(INDEX('بيانات الحركات'!C:C,MATCH(683,'بيانات الحركات'!$G:$G,0)),"")</f>
        <v/>
      </c>
      <c r="D684" s="3" t="str">
        <f>IFERROR(INDEX('بيانات الحركات'!D:D,MATCH(683,'بيانات الحركات'!$G:$G,0)),"")</f>
        <v/>
      </c>
      <c r="E684" s="21" t="str">
        <f>IF($B684="إنتاج طبخة","",IFERROR(INDEX('بيانات الحركات'!E:E,MATCH(683,'بيانات الحركات'!$G:$G,0)),""))</f>
        <v/>
      </c>
      <c r="F684" s="3" t="str">
        <f>IFERROR(INDEX('بيانات الحركات'!F:F,MATCH(683,'بيانات الحركات'!$G:$G,0)),"")</f>
        <v/>
      </c>
    </row>
    <row r="685" spans="1:6" ht="21.95" customHeight="1">
      <c r="A685" s="8" t="str">
        <f>IFERROR(INDEX('بيانات الحركات'!A:A,MATCH(684,'بيانات الحركات'!$G:$G,0)),"")</f>
        <v/>
      </c>
      <c r="B685" s="5" t="str">
        <f>IFERROR(INDEX('بيانات الحركات'!B:B,MATCH(684,'بيانات الحركات'!$G:$G,0)),"")</f>
        <v/>
      </c>
      <c r="C685" s="3" t="str">
        <f>IFERROR(INDEX('بيانات الحركات'!C:C,MATCH(684,'بيانات الحركات'!$G:$G,0)),"")</f>
        <v/>
      </c>
      <c r="D685" s="3" t="str">
        <f>IFERROR(INDEX('بيانات الحركات'!D:D,MATCH(684,'بيانات الحركات'!$G:$G,0)),"")</f>
        <v/>
      </c>
      <c r="E685" s="21" t="str">
        <f>IF($B685="إنتاج طبخة","",IFERROR(INDEX('بيانات الحركات'!E:E,MATCH(684,'بيانات الحركات'!$G:$G,0)),""))</f>
        <v/>
      </c>
      <c r="F685" s="3" t="str">
        <f>IFERROR(INDEX('بيانات الحركات'!F:F,MATCH(684,'بيانات الحركات'!$G:$G,0)),"")</f>
        <v/>
      </c>
    </row>
    <row r="686" spans="1:6" ht="21.95" customHeight="1">
      <c r="A686" s="8" t="str">
        <f>IFERROR(INDEX('بيانات الحركات'!A:A,MATCH(685,'بيانات الحركات'!$G:$G,0)),"")</f>
        <v/>
      </c>
      <c r="B686" s="5" t="str">
        <f>IFERROR(INDEX('بيانات الحركات'!B:B,MATCH(685,'بيانات الحركات'!$G:$G,0)),"")</f>
        <v/>
      </c>
      <c r="C686" s="3" t="str">
        <f>IFERROR(INDEX('بيانات الحركات'!C:C,MATCH(685,'بيانات الحركات'!$G:$G,0)),"")</f>
        <v/>
      </c>
      <c r="D686" s="3" t="str">
        <f>IFERROR(INDEX('بيانات الحركات'!D:D,MATCH(685,'بيانات الحركات'!$G:$G,0)),"")</f>
        <v/>
      </c>
      <c r="E686" s="21" t="str">
        <f>IF($B686="إنتاج طبخة","",IFERROR(INDEX('بيانات الحركات'!E:E,MATCH(685,'بيانات الحركات'!$G:$G,0)),""))</f>
        <v/>
      </c>
      <c r="F686" s="3" t="str">
        <f>IFERROR(INDEX('بيانات الحركات'!F:F,MATCH(685,'بيانات الحركات'!$G:$G,0)),"")</f>
        <v/>
      </c>
    </row>
    <row r="687" spans="1:6" ht="21.95" customHeight="1">
      <c r="A687" s="8" t="str">
        <f>IFERROR(INDEX('بيانات الحركات'!A:A,MATCH(686,'بيانات الحركات'!$G:$G,0)),"")</f>
        <v/>
      </c>
      <c r="B687" s="5" t="str">
        <f>IFERROR(INDEX('بيانات الحركات'!B:B,MATCH(686,'بيانات الحركات'!$G:$G,0)),"")</f>
        <v/>
      </c>
      <c r="C687" s="3" t="str">
        <f>IFERROR(INDEX('بيانات الحركات'!C:C,MATCH(686,'بيانات الحركات'!$G:$G,0)),"")</f>
        <v/>
      </c>
      <c r="D687" s="3" t="str">
        <f>IFERROR(INDEX('بيانات الحركات'!D:D,MATCH(686,'بيانات الحركات'!$G:$G,0)),"")</f>
        <v/>
      </c>
      <c r="E687" s="21" t="str">
        <f>IF($B687="إنتاج طبخة","",IFERROR(INDEX('بيانات الحركات'!E:E,MATCH(686,'بيانات الحركات'!$G:$G,0)),""))</f>
        <v/>
      </c>
      <c r="F687" s="3" t="str">
        <f>IFERROR(INDEX('بيانات الحركات'!F:F,MATCH(686,'بيانات الحركات'!$G:$G,0)),"")</f>
        <v/>
      </c>
    </row>
    <row r="688" spans="1:6" ht="21.95" customHeight="1">
      <c r="A688" s="8" t="str">
        <f>IFERROR(INDEX('بيانات الحركات'!A:A,MATCH(687,'بيانات الحركات'!$G:$G,0)),"")</f>
        <v/>
      </c>
      <c r="B688" s="5" t="str">
        <f>IFERROR(INDEX('بيانات الحركات'!B:B,MATCH(687,'بيانات الحركات'!$G:$G,0)),"")</f>
        <v/>
      </c>
      <c r="C688" s="3" t="str">
        <f>IFERROR(INDEX('بيانات الحركات'!C:C,MATCH(687,'بيانات الحركات'!$G:$G,0)),"")</f>
        <v/>
      </c>
      <c r="D688" s="3" t="str">
        <f>IFERROR(INDEX('بيانات الحركات'!D:D,MATCH(687,'بيانات الحركات'!$G:$G,0)),"")</f>
        <v/>
      </c>
      <c r="E688" s="21" t="str">
        <f>IF($B688="إنتاج طبخة","",IFERROR(INDEX('بيانات الحركات'!E:E,MATCH(687,'بيانات الحركات'!$G:$G,0)),""))</f>
        <v/>
      </c>
      <c r="F688" s="3" t="str">
        <f>IFERROR(INDEX('بيانات الحركات'!F:F,MATCH(687,'بيانات الحركات'!$G:$G,0)),"")</f>
        <v/>
      </c>
    </row>
    <row r="689" spans="1:6" ht="21.95" customHeight="1">
      <c r="A689" s="8" t="str">
        <f>IFERROR(INDEX('بيانات الحركات'!A:A,MATCH(688,'بيانات الحركات'!$G:$G,0)),"")</f>
        <v/>
      </c>
      <c r="B689" s="5" t="str">
        <f>IFERROR(INDEX('بيانات الحركات'!B:B,MATCH(688,'بيانات الحركات'!$G:$G,0)),"")</f>
        <v/>
      </c>
      <c r="C689" s="3" t="str">
        <f>IFERROR(INDEX('بيانات الحركات'!C:C,MATCH(688,'بيانات الحركات'!$G:$G,0)),"")</f>
        <v/>
      </c>
      <c r="D689" s="3" t="str">
        <f>IFERROR(INDEX('بيانات الحركات'!D:D,MATCH(688,'بيانات الحركات'!$G:$G,0)),"")</f>
        <v/>
      </c>
      <c r="E689" s="21" t="str">
        <f>IF($B689="إنتاج طبخة","",IFERROR(INDEX('بيانات الحركات'!E:E,MATCH(688,'بيانات الحركات'!$G:$G,0)),""))</f>
        <v/>
      </c>
      <c r="F689" s="3" t="str">
        <f>IFERROR(INDEX('بيانات الحركات'!F:F,MATCH(688,'بيانات الحركات'!$G:$G,0)),"")</f>
        <v/>
      </c>
    </row>
    <row r="690" spans="1:6" ht="21.95" customHeight="1">
      <c r="A690" s="8" t="str">
        <f>IFERROR(INDEX('بيانات الحركات'!A:A,MATCH(689,'بيانات الحركات'!$G:$G,0)),"")</f>
        <v/>
      </c>
      <c r="B690" s="5" t="str">
        <f>IFERROR(INDEX('بيانات الحركات'!B:B,MATCH(689,'بيانات الحركات'!$G:$G,0)),"")</f>
        <v/>
      </c>
      <c r="C690" s="3" t="str">
        <f>IFERROR(INDEX('بيانات الحركات'!C:C,MATCH(689,'بيانات الحركات'!$G:$G,0)),"")</f>
        <v/>
      </c>
      <c r="D690" s="3" t="str">
        <f>IFERROR(INDEX('بيانات الحركات'!D:D,MATCH(689,'بيانات الحركات'!$G:$G,0)),"")</f>
        <v/>
      </c>
      <c r="E690" s="21" t="str">
        <f>IF($B690="إنتاج طبخة","",IFERROR(INDEX('بيانات الحركات'!E:E,MATCH(689,'بيانات الحركات'!$G:$G,0)),""))</f>
        <v/>
      </c>
      <c r="F690" s="3" t="str">
        <f>IFERROR(INDEX('بيانات الحركات'!F:F,MATCH(689,'بيانات الحركات'!$G:$G,0)),"")</f>
        <v/>
      </c>
    </row>
    <row r="691" spans="1:6" ht="21.95" customHeight="1">
      <c r="A691" s="8" t="str">
        <f>IFERROR(INDEX('بيانات الحركات'!A:A,MATCH(690,'بيانات الحركات'!$G:$G,0)),"")</f>
        <v/>
      </c>
      <c r="B691" s="5" t="str">
        <f>IFERROR(INDEX('بيانات الحركات'!B:B,MATCH(690,'بيانات الحركات'!$G:$G,0)),"")</f>
        <v/>
      </c>
      <c r="C691" s="3" t="str">
        <f>IFERROR(INDEX('بيانات الحركات'!C:C,MATCH(690,'بيانات الحركات'!$G:$G,0)),"")</f>
        <v/>
      </c>
      <c r="D691" s="3" t="str">
        <f>IFERROR(INDEX('بيانات الحركات'!D:D,MATCH(690,'بيانات الحركات'!$G:$G,0)),"")</f>
        <v/>
      </c>
      <c r="E691" s="21" t="str">
        <f>IF($B691="إنتاج طبخة","",IFERROR(INDEX('بيانات الحركات'!E:E,MATCH(690,'بيانات الحركات'!$G:$G,0)),""))</f>
        <v/>
      </c>
      <c r="F691" s="3" t="str">
        <f>IFERROR(INDEX('بيانات الحركات'!F:F,MATCH(690,'بيانات الحركات'!$G:$G,0)),"")</f>
        <v/>
      </c>
    </row>
    <row r="692" spans="1:6" ht="21.95" customHeight="1">
      <c r="A692" s="8" t="str">
        <f>IFERROR(INDEX('بيانات الحركات'!A:A,MATCH(691,'بيانات الحركات'!$G:$G,0)),"")</f>
        <v/>
      </c>
      <c r="B692" s="5" t="str">
        <f>IFERROR(INDEX('بيانات الحركات'!B:B,MATCH(691,'بيانات الحركات'!$G:$G,0)),"")</f>
        <v/>
      </c>
      <c r="C692" s="3" t="str">
        <f>IFERROR(INDEX('بيانات الحركات'!C:C,MATCH(691,'بيانات الحركات'!$G:$G,0)),"")</f>
        <v/>
      </c>
      <c r="D692" s="3" t="str">
        <f>IFERROR(INDEX('بيانات الحركات'!D:D,MATCH(691,'بيانات الحركات'!$G:$G,0)),"")</f>
        <v/>
      </c>
      <c r="E692" s="21" t="str">
        <f>IF($B692="إنتاج طبخة","",IFERROR(INDEX('بيانات الحركات'!E:E,MATCH(691,'بيانات الحركات'!$G:$G,0)),""))</f>
        <v/>
      </c>
      <c r="F692" s="3" t="str">
        <f>IFERROR(INDEX('بيانات الحركات'!F:F,MATCH(691,'بيانات الحركات'!$G:$G,0)),"")</f>
        <v/>
      </c>
    </row>
    <row r="693" spans="1:6" ht="21.95" customHeight="1">
      <c r="A693" s="8" t="str">
        <f>IFERROR(INDEX('بيانات الحركات'!A:A,MATCH(692,'بيانات الحركات'!$G:$G,0)),"")</f>
        <v/>
      </c>
      <c r="B693" s="5" t="str">
        <f>IFERROR(INDEX('بيانات الحركات'!B:B,MATCH(692,'بيانات الحركات'!$G:$G,0)),"")</f>
        <v/>
      </c>
      <c r="C693" s="3" t="str">
        <f>IFERROR(INDEX('بيانات الحركات'!C:C,MATCH(692,'بيانات الحركات'!$G:$G,0)),"")</f>
        <v/>
      </c>
      <c r="D693" s="3" t="str">
        <f>IFERROR(INDEX('بيانات الحركات'!D:D,MATCH(692,'بيانات الحركات'!$G:$G,0)),"")</f>
        <v/>
      </c>
      <c r="E693" s="21" t="str">
        <f>IF($B693="إنتاج طبخة","",IFERROR(INDEX('بيانات الحركات'!E:E,MATCH(692,'بيانات الحركات'!$G:$G,0)),""))</f>
        <v/>
      </c>
      <c r="F693" s="3" t="str">
        <f>IFERROR(INDEX('بيانات الحركات'!F:F,MATCH(692,'بيانات الحركات'!$G:$G,0)),"")</f>
        <v/>
      </c>
    </row>
    <row r="694" spans="1:6" ht="21.95" customHeight="1">
      <c r="A694" s="8" t="str">
        <f>IFERROR(INDEX('بيانات الحركات'!A:A,MATCH(693,'بيانات الحركات'!$G:$G,0)),"")</f>
        <v/>
      </c>
      <c r="B694" s="5" t="str">
        <f>IFERROR(INDEX('بيانات الحركات'!B:B,MATCH(693,'بيانات الحركات'!$G:$G,0)),"")</f>
        <v/>
      </c>
      <c r="C694" s="3" t="str">
        <f>IFERROR(INDEX('بيانات الحركات'!C:C,MATCH(693,'بيانات الحركات'!$G:$G,0)),"")</f>
        <v/>
      </c>
      <c r="D694" s="3" t="str">
        <f>IFERROR(INDEX('بيانات الحركات'!D:D,MATCH(693,'بيانات الحركات'!$G:$G,0)),"")</f>
        <v/>
      </c>
      <c r="E694" s="21" t="str">
        <f>IF($B694="إنتاج طبخة","",IFERROR(INDEX('بيانات الحركات'!E:E,MATCH(693,'بيانات الحركات'!$G:$G,0)),""))</f>
        <v/>
      </c>
      <c r="F694" s="3" t="str">
        <f>IFERROR(INDEX('بيانات الحركات'!F:F,MATCH(693,'بيانات الحركات'!$G:$G,0)),"")</f>
        <v/>
      </c>
    </row>
    <row r="695" spans="1:6" ht="21.95" customHeight="1">
      <c r="A695" s="8" t="str">
        <f>IFERROR(INDEX('بيانات الحركات'!A:A,MATCH(694,'بيانات الحركات'!$G:$G,0)),"")</f>
        <v/>
      </c>
      <c r="B695" s="5" t="str">
        <f>IFERROR(INDEX('بيانات الحركات'!B:B,MATCH(694,'بيانات الحركات'!$G:$G,0)),"")</f>
        <v/>
      </c>
      <c r="C695" s="3" t="str">
        <f>IFERROR(INDEX('بيانات الحركات'!C:C,MATCH(694,'بيانات الحركات'!$G:$G,0)),"")</f>
        <v/>
      </c>
      <c r="D695" s="3" t="str">
        <f>IFERROR(INDEX('بيانات الحركات'!D:D,MATCH(694,'بيانات الحركات'!$G:$G,0)),"")</f>
        <v/>
      </c>
      <c r="E695" s="21" t="str">
        <f>IF($B695="إنتاج طبخة","",IFERROR(INDEX('بيانات الحركات'!E:E,MATCH(694,'بيانات الحركات'!$G:$G,0)),""))</f>
        <v/>
      </c>
      <c r="F695" s="3" t="str">
        <f>IFERROR(INDEX('بيانات الحركات'!F:F,MATCH(694,'بيانات الحركات'!$G:$G,0)),"")</f>
        <v/>
      </c>
    </row>
    <row r="696" spans="1:6" ht="21.95" customHeight="1">
      <c r="A696" s="8" t="str">
        <f>IFERROR(INDEX('بيانات الحركات'!A:A,MATCH(695,'بيانات الحركات'!$G:$G,0)),"")</f>
        <v/>
      </c>
      <c r="B696" s="5" t="str">
        <f>IFERROR(INDEX('بيانات الحركات'!B:B,MATCH(695,'بيانات الحركات'!$G:$G,0)),"")</f>
        <v/>
      </c>
      <c r="C696" s="3" t="str">
        <f>IFERROR(INDEX('بيانات الحركات'!C:C,MATCH(695,'بيانات الحركات'!$G:$G,0)),"")</f>
        <v/>
      </c>
      <c r="D696" s="3" t="str">
        <f>IFERROR(INDEX('بيانات الحركات'!D:D,MATCH(695,'بيانات الحركات'!$G:$G,0)),"")</f>
        <v/>
      </c>
      <c r="E696" s="21" t="str">
        <f>IF($B696="إنتاج طبخة","",IFERROR(INDEX('بيانات الحركات'!E:E,MATCH(695,'بيانات الحركات'!$G:$G,0)),""))</f>
        <v/>
      </c>
      <c r="F696" s="3" t="str">
        <f>IFERROR(INDEX('بيانات الحركات'!F:F,MATCH(695,'بيانات الحركات'!$G:$G,0)),"")</f>
        <v/>
      </c>
    </row>
    <row r="697" spans="1:6" ht="21.95" customHeight="1">
      <c r="A697" s="8" t="str">
        <f>IFERROR(INDEX('بيانات الحركات'!A:A,MATCH(696,'بيانات الحركات'!$G:$G,0)),"")</f>
        <v/>
      </c>
      <c r="B697" s="5" t="str">
        <f>IFERROR(INDEX('بيانات الحركات'!B:B,MATCH(696,'بيانات الحركات'!$G:$G,0)),"")</f>
        <v/>
      </c>
      <c r="C697" s="3" t="str">
        <f>IFERROR(INDEX('بيانات الحركات'!C:C,MATCH(696,'بيانات الحركات'!$G:$G,0)),"")</f>
        <v/>
      </c>
      <c r="D697" s="3" t="str">
        <f>IFERROR(INDEX('بيانات الحركات'!D:D,MATCH(696,'بيانات الحركات'!$G:$G,0)),"")</f>
        <v/>
      </c>
      <c r="E697" s="21" t="str">
        <f>IF($B697="إنتاج طبخة","",IFERROR(INDEX('بيانات الحركات'!E:E,MATCH(696,'بيانات الحركات'!$G:$G,0)),""))</f>
        <v/>
      </c>
      <c r="F697" s="3" t="str">
        <f>IFERROR(INDEX('بيانات الحركات'!F:F,MATCH(696,'بيانات الحركات'!$G:$G,0)),"")</f>
        <v/>
      </c>
    </row>
    <row r="698" spans="1:6" ht="21.95" customHeight="1">
      <c r="A698" s="8" t="str">
        <f>IFERROR(INDEX('بيانات الحركات'!A:A,MATCH(697,'بيانات الحركات'!$G:$G,0)),"")</f>
        <v/>
      </c>
      <c r="B698" s="5" t="str">
        <f>IFERROR(INDEX('بيانات الحركات'!B:B,MATCH(697,'بيانات الحركات'!$G:$G,0)),"")</f>
        <v/>
      </c>
      <c r="C698" s="3" t="str">
        <f>IFERROR(INDEX('بيانات الحركات'!C:C,MATCH(697,'بيانات الحركات'!$G:$G,0)),"")</f>
        <v/>
      </c>
      <c r="D698" s="3" t="str">
        <f>IFERROR(INDEX('بيانات الحركات'!D:D,MATCH(697,'بيانات الحركات'!$G:$G,0)),"")</f>
        <v/>
      </c>
      <c r="E698" s="21" t="str">
        <f>IF($B698="إنتاج طبخة","",IFERROR(INDEX('بيانات الحركات'!E:E,MATCH(697,'بيانات الحركات'!$G:$G,0)),""))</f>
        <v/>
      </c>
      <c r="F698" s="3" t="str">
        <f>IFERROR(INDEX('بيانات الحركات'!F:F,MATCH(697,'بيانات الحركات'!$G:$G,0)),"")</f>
        <v/>
      </c>
    </row>
    <row r="699" spans="1:6" ht="21.95" customHeight="1">
      <c r="A699" s="8" t="str">
        <f>IFERROR(INDEX('بيانات الحركات'!A:A,MATCH(698,'بيانات الحركات'!$G:$G,0)),"")</f>
        <v/>
      </c>
      <c r="B699" s="5" t="str">
        <f>IFERROR(INDEX('بيانات الحركات'!B:B,MATCH(698,'بيانات الحركات'!$G:$G,0)),"")</f>
        <v/>
      </c>
      <c r="C699" s="3" t="str">
        <f>IFERROR(INDEX('بيانات الحركات'!C:C,MATCH(698,'بيانات الحركات'!$G:$G,0)),"")</f>
        <v/>
      </c>
      <c r="D699" s="3" t="str">
        <f>IFERROR(INDEX('بيانات الحركات'!D:D,MATCH(698,'بيانات الحركات'!$G:$G,0)),"")</f>
        <v/>
      </c>
      <c r="E699" s="21" t="str">
        <f>IF($B699="إنتاج طبخة","",IFERROR(INDEX('بيانات الحركات'!E:E,MATCH(698,'بيانات الحركات'!$G:$G,0)),""))</f>
        <v/>
      </c>
      <c r="F699" s="3" t="str">
        <f>IFERROR(INDEX('بيانات الحركات'!F:F,MATCH(698,'بيانات الحركات'!$G:$G,0)),"")</f>
        <v/>
      </c>
    </row>
    <row r="700" spans="1:6" ht="21.95" customHeight="1">
      <c r="A700" s="8" t="str">
        <f>IFERROR(INDEX('بيانات الحركات'!A:A,MATCH(699,'بيانات الحركات'!$G:$G,0)),"")</f>
        <v/>
      </c>
      <c r="B700" s="5" t="str">
        <f>IFERROR(INDEX('بيانات الحركات'!B:B,MATCH(699,'بيانات الحركات'!$G:$G,0)),"")</f>
        <v/>
      </c>
      <c r="C700" s="3" t="str">
        <f>IFERROR(INDEX('بيانات الحركات'!C:C,MATCH(699,'بيانات الحركات'!$G:$G,0)),"")</f>
        <v/>
      </c>
      <c r="D700" s="3" t="str">
        <f>IFERROR(INDEX('بيانات الحركات'!D:D,MATCH(699,'بيانات الحركات'!$G:$G,0)),"")</f>
        <v/>
      </c>
      <c r="E700" s="21" t="str">
        <f>IF($B700="إنتاج طبخة","",IFERROR(INDEX('بيانات الحركات'!E:E,MATCH(699,'بيانات الحركات'!$G:$G,0)),""))</f>
        <v/>
      </c>
      <c r="F700" s="3" t="str">
        <f>IFERROR(INDEX('بيانات الحركات'!F:F,MATCH(699,'بيانات الحركات'!$G:$G,0)),"")</f>
        <v/>
      </c>
    </row>
    <row r="701" spans="1:6" ht="21.95" customHeight="1">
      <c r="A701" s="8" t="str">
        <f>IFERROR(INDEX('بيانات الحركات'!A:A,MATCH(700,'بيانات الحركات'!$G:$G,0)),"")</f>
        <v/>
      </c>
      <c r="B701" s="5" t="str">
        <f>IFERROR(INDEX('بيانات الحركات'!B:B,MATCH(700,'بيانات الحركات'!$G:$G,0)),"")</f>
        <v/>
      </c>
      <c r="C701" s="3" t="str">
        <f>IFERROR(INDEX('بيانات الحركات'!C:C,MATCH(700,'بيانات الحركات'!$G:$G,0)),"")</f>
        <v/>
      </c>
      <c r="D701" s="3" t="str">
        <f>IFERROR(INDEX('بيانات الحركات'!D:D,MATCH(700,'بيانات الحركات'!$G:$G,0)),"")</f>
        <v/>
      </c>
      <c r="E701" s="21" t="str">
        <f>IF($B701="إنتاج طبخة","",IFERROR(INDEX('بيانات الحركات'!E:E,MATCH(700,'بيانات الحركات'!$G:$G,0)),""))</f>
        <v/>
      </c>
      <c r="F701" s="3" t="str">
        <f>IFERROR(INDEX('بيانات الحركات'!F:F,MATCH(700,'بيانات الحركات'!$G:$G,0)),"")</f>
        <v/>
      </c>
    </row>
    <row r="702" spans="1:6" ht="21.95" customHeight="1">
      <c r="A702" s="8" t="str">
        <f>IFERROR(INDEX('بيانات الحركات'!A:A,MATCH(701,'بيانات الحركات'!$G:$G,0)),"")</f>
        <v/>
      </c>
      <c r="B702" s="5" t="str">
        <f>IFERROR(INDEX('بيانات الحركات'!B:B,MATCH(701,'بيانات الحركات'!$G:$G,0)),"")</f>
        <v/>
      </c>
      <c r="C702" s="3" t="str">
        <f>IFERROR(INDEX('بيانات الحركات'!C:C,MATCH(701,'بيانات الحركات'!$G:$G,0)),"")</f>
        <v/>
      </c>
      <c r="D702" s="3" t="str">
        <f>IFERROR(INDEX('بيانات الحركات'!D:D,MATCH(701,'بيانات الحركات'!$G:$G,0)),"")</f>
        <v/>
      </c>
      <c r="E702" s="21" t="str">
        <f>IF($B702="إنتاج طبخة","",IFERROR(INDEX('بيانات الحركات'!E:E,MATCH(701,'بيانات الحركات'!$G:$G,0)),""))</f>
        <v/>
      </c>
      <c r="F702" s="3" t="str">
        <f>IFERROR(INDEX('بيانات الحركات'!F:F,MATCH(701,'بيانات الحركات'!$G:$G,0)),"")</f>
        <v/>
      </c>
    </row>
    <row r="703" spans="1:6" ht="21.95" customHeight="1">
      <c r="A703" s="8" t="str">
        <f>IFERROR(INDEX('بيانات الحركات'!A:A,MATCH(702,'بيانات الحركات'!$G:$G,0)),"")</f>
        <v/>
      </c>
      <c r="B703" s="5" t="str">
        <f>IFERROR(INDEX('بيانات الحركات'!B:B,MATCH(702,'بيانات الحركات'!$G:$G,0)),"")</f>
        <v/>
      </c>
      <c r="C703" s="3" t="str">
        <f>IFERROR(INDEX('بيانات الحركات'!C:C,MATCH(702,'بيانات الحركات'!$G:$G,0)),"")</f>
        <v/>
      </c>
      <c r="D703" s="3" t="str">
        <f>IFERROR(INDEX('بيانات الحركات'!D:D,MATCH(702,'بيانات الحركات'!$G:$G,0)),"")</f>
        <v/>
      </c>
      <c r="E703" s="21" t="str">
        <f>IF($B703="إنتاج طبخة","",IFERROR(INDEX('بيانات الحركات'!E:E,MATCH(702,'بيانات الحركات'!$G:$G,0)),""))</f>
        <v/>
      </c>
      <c r="F703" s="3" t="str">
        <f>IFERROR(INDEX('بيانات الحركات'!F:F,MATCH(702,'بيانات الحركات'!$G:$G,0)),"")</f>
        <v/>
      </c>
    </row>
    <row r="704" spans="1:6" ht="21.95" customHeight="1">
      <c r="A704" s="8" t="str">
        <f>IFERROR(INDEX('بيانات الحركات'!A:A,MATCH(703,'بيانات الحركات'!$G:$G,0)),"")</f>
        <v/>
      </c>
      <c r="B704" s="5" t="str">
        <f>IFERROR(INDEX('بيانات الحركات'!B:B,MATCH(703,'بيانات الحركات'!$G:$G,0)),"")</f>
        <v/>
      </c>
      <c r="C704" s="3" t="str">
        <f>IFERROR(INDEX('بيانات الحركات'!C:C,MATCH(703,'بيانات الحركات'!$G:$G,0)),"")</f>
        <v/>
      </c>
      <c r="D704" s="3" t="str">
        <f>IFERROR(INDEX('بيانات الحركات'!D:D,MATCH(703,'بيانات الحركات'!$G:$G,0)),"")</f>
        <v/>
      </c>
      <c r="E704" s="21" t="str">
        <f>IF($B704="إنتاج طبخة","",IFERROR(INDEX('بيانات الحركات'!E:E,MATCH(703,'بيانات الحركات'!$G:$G,0)),""))</f>
        <v/>
      </c>
      <c r="F704" s="3" t="str">
        <f>IFERROR(INDEX('بيانات الحركات'!F:F,MATCH(703,'بيانات الحركات'!$G:$G,0)),"")</f>
        <v/>
      </c>
    </row>
    <row r="705" spans="1:6" ht="21.95" customHeight="1">
      <c r="A705" s="8" t="str">
        <f>IFERROR(INDEX('بيانات الحركات'!A:A,MATCH(704,'بيانات الحركات'!$G:$G,0)),"")</f>
        <v/>
      </c>
      <c r="B705" s="5" t="str">
        <f>IFERROR(INDEX('بيانات الحركات'!B:B,MATCH(704,'بيانات الحركات'!$G:$G,0)),"")</f>
        <v/>
      </c>
      <c r="C705" s="3" t="str">
        <f>IFERROR(INDEX('بيانات الحركات'!C:C,MATCH(704,'بيانات الحركات'!$G:$G,0)),"")</f>
        <v/>
      </c>
      <c r="D705" s="3" t="str">
        <f>IFERROR(INDEX('بيانات الحركات'!D:D,MATCH(704,'بيانات الحركات'!$G:$G,0)),"")</f>
        <v/>
      </c>
      <c r="E705" s="21" t="str">
        <f>IF($B705="إنتاج طبخة","",IFERROR(INDEX('بيانات الحركات'!E:E,MATCH(704,'بيانات الحركات'!$G:$G,0)),""))</f>
        <v/>
      </c>
      <c r="F705" s="3" t="str">
        <f>IFERROR(INDEX('بيانات الحركات'!F:F,MATCH(704,'بيانات الحركات'!$G:$G,0)),"")</f>
        <v/>
      </c>
    </row>
    <row r="706" spans="1:6" ht="21.95" customHeight="1">
      <c r="A706" s="8" t="str">
        <f>IFERROR(INDEX('بيانات الحركات'!A:A,MATCH(705,'بيانات الحركات'!$G:$G,0)),"")</f>
        <v/>
      </c>
      <c r="B706" s="5" t="str">
        <f>IFERROR(INDEX('بيانات الحركات'!B:B,MATCH(705,'بيانات الحركات'!$G:$G,0)),"")</f>
        <v/>
      </c>
      <c r="C706" s="3" t="str">
        <f>IFERROR(INDEX('بيانات الحركات'!C:C,MATCH(705,'بيانات الحركات'!$G:$G,0)),"")</f>
        <v/>
      </c>
      <c r="D706" s="3" t="str">
        <f>IFERROR(INDEX('بيانات الحركات'!D:D,MATCH(705,'بيانات الحركات'!$G:$G,0)),"")</f>
        <v/>
      </c>
      <c r="E706" s="21" t="str">
        <f>IF($B706="إنتاج طبخة","",IFERROR(INDEX('بيانات الحركات'!E:E,MATCH(705,'بيانات الحركات'!$G:$G,0)),""))</f>
        <v/>
      </c>
      <c r="F706" s="3" t="str">
        <f>IFERROR(INDEX('بيانات الحركات'!F:F,MATCH(705,'بيانات الحركات'!$G:$G,0)),"")</f>
        <v/>
      </c>
    </row>
    <row r="707" spans="1:6" ht="21.95" customHeight="1">
      <c r="A707" s="8" t="str">
        <f>IFERROR(INDEX('بيانات الحركات'!A:A,MATCH(706,'بيانات الحركات'!$G:$G,0)),"")</f>
        <v/>
      </c>
      <c r="B707" s="5" t="str">
        <f>IFERROR(INDEX('بيانات الحركات'!B:B,MATCH(706,'بيانات الحركات'!$G:$G,0)),"")</f>
        <v/>
      </c>
      <c r="C707" s="3" t="str">
        <f>IFERROR(INDEX('بيانات الحركات'!C:C,MATCH(706,'بيانات الحركات'!$G:$G,0)),"")</f>
        <v/>
      </c>
      <c r="D707" s="3" t="str">
        <f>IFERROR(INDEX('بيانات الحركات'!D:D,MATCH(706,'بيانات الحركات'!$G:$G,0)),"")</f>
        <v/>
      </c>
      <c r="E707" s="21" t="str">
        <f>IF($B707="إنتاج طبخة","",IFERROR(INDEX('بيانات الحركات'!E:E,MATCH(706,'بيانات الحركات'!$G:$G,0)),""))</f>
        <v/>
      </c>
      <c r="F707" s="3" t="str">
        <f>IFERROR(INDEX('بيانات الحركات'!F:F,MATCH(706,'بيانات الحركات'!$G:$G,0)),"")</f>
        <v/>
      </c>
    </row>
    <row r="708" spans="1:6" ht="21.95" customHeight="1">
      <c r="A708" s="8" t="str">
        <f>IFERROR(INDEX('بيانات الحركات'!A:A,MATCH(707,'بيانات الحركات'!$G:$G,0)),"")</f>
        <v/>
      </c>
      <c r="B708" s="5" t="str">
        <f>IFERROR(INDEX('بيانات الحركات'!B:B,MATCH(707,'بيانات الحركات'!$G:$G,0)),"")</f>
        <v/>
      </c>
      <c r="C708" s="3" t="str">
        <f>IFERROR(INDEX('بيانات الحركات'!C:C,MATCH(707,'بيانات الحركات'!$G:$G,0)),"")</f>
        <v/>
      </c>
      <c r="D708" s="3" t="str">
        <f>IFERROR(INDEX('بيانات الحركات'!D:D,MATCH(707,'بيانات الحركات'!$G:$G,0)),"")</f>
        <v/>
      </c>
      <c r="E708" s="21" t="str">
        <f>IF($B708="إنتاج طبخة","",IFERROR(INDEX('بيانات الحركات'!E:E,MATCH(707,'بيانات الحركات'!$G:$G,0)),""))</f>
        <v/>
      </c>
      <c r="F708" s="3" t="str">
        <f>IFERROR(INDEX('بيانات الحركات'!F:F,MATCH(707,'بيانات الحركات'!$G:$G,0)),"")</f>
        <v/>
      </c>
    </row>
    <row r="709" spans="1:6" ht="21.95" customHeight="1">
      <c r="A709" s="8" t="str">
        <f>IFERROR(INDEX('بيانات الحركات'!A:A,MATCH(708,'بيانات الحركات'!$G:$G,0)),"")</f>
        <v/>
      </c>
      <c r="B709" s="5" t="str">
        <f>IFERROR(INDEX('بيانات الحركات'!B:B,MATCH(708,'بيانات الحركات'!$G:$G,0)),"")</f>
        <v/>
      </c>
      <c r="C709" s="3" t="str">
        <f>IFERROR(INDEX('بيانات الحركات'!C:C,MATCH(708,'بيانات الحركات'!$G:$G,0)),"")</f>
        <v/>
      </c>
      <c r="D709" s="3" t="str">
        <f>IFERROR(INDEX('بيانات الحركات'!D:D,MATCH(708,'بيانات الحركات'!$G:$G,0)),"")</f>
        <v/>
      </c>
      <c r="E709" s="21" t="str">
        <f>IF($B709="إنتاج طبخة","",IFERROR(INDEX('بيانات الحركات'!E:E,MATCH(708,'بيانات الحركات'!$G:$G,0)),""))</f>
        <v/>
      </c>
      <c r="F709" s="3" t="str">
        <f>IFERROR(INDEX('بيانات الحركات'!F:F,MATCH(708,'بيانات الحركات'!$G:$G,0)),"")</f>
        <v/>
      </c>
    </row>
    <row r="710" spans="1:6" ht="21.95" customHeight="1">
      <c r="A710" s="8" t="str">
        <f>IFERROR(INDEX('بيانات الحركات'!A:A,MATCH(709,'بيانات الحركات'!$G:$G,0)),"")</f>
        <v/>
      </c>
      <c r="B710" s="5" t="str">
        <f>IFERROR(INDEX('بيانات الحركات'!B:B,MATCH(709,'بيانات الحركات'!$G:$G,0)),"")</f>
        <v/>
      </c>
      <c r="C710" s="3" t="str">
        <f>IFERROR(INDEX('بيانات الحركات'!C:C,MATCH(709,'بيانات الحركات'!$G:$G,0)),"")</f>
        <v/>
      </c>
      <c r="D710" s="3" t="str">
        <f>IFERROR(INDEX('بيانات الحركات'!D:D,MATCH(709,'بيانات الحركات'!$G:$G,0)),"")</f>
        <v/>
      </c>
      <c r="E710" s="21" t="str">
        <f>IF($B710="إنتاج طبخة","",IFERROR(INDEX('بيانات الحركات'!E:E,MATCH(709,'بيانات الحركات'!$G:$G,0)),""))</f>
        <v/>
      </c>
      <c r="F710" s="3" t="str">
        <f>IFERROR(INDEX('بيانات الحركات'!F:F,MATCH(709,'بيانات الحركات'!$G:$G,0)),"")</f>
        <v/>
      </c>
    </row>
    <row r="711" spans="1:6" ht="21.95" customHeight="1">
      <c r="A711" s="8" t="str">
        <f>IFERROR(INDEX('بيانات الحركات'!A:A,MATCH(710,'بيانات الحركات'!$G:$G,0)),"")</f>
        <v/>
      </c>
      <c r="B711" s="5" t="str">
        <f>IFERROR(INDEX('بيانات الحركات'!B:B,MATCH(710,'بيانات الحركات'!$G:$G,0)),"")</f>
        <v/>
      </c>
      <c r="C711" s="3" t="str">
        <f>IFERROR(INDEX('بيانات الحركات'!C:C,MATCH(710,'بيانات الحركات'!$G:$G,0)),"")</f>
        <v/>
      </c>
      <c r="D711" s="3" t="str">
        <f>IFERROR(INDEX('بيانات الحركات'!D:D,MATCH(710,'بيانات الحركات'!$G:$G,0)),"")</f>
        <v/>
      </c>
      <c r="E711" s="21" t="str">
        <f>IF($B711="إنتاج طبخة","",IFERROR(INDEX('بيانات الحركات'!E:E,MATCH(710,'بيانات الحركات'!$G:$G,0)),""))</f>
        <v/>
      </c>
      <c r="F711" s="3" t="str">
        <f>IFERROR(INDEX('بيانات الحركات'!F:F,MATCH(710,'بيانات الحركات'!$G:$G,0)),"")</f>
        <v/>
      </c>
    </row>
    <row r="712" spans="1:6" ht="21.95" customHeight="1">
      <c r="A712" s="8" t="str">
        <f>IFERROR(INDEX('بيانات الحركات'!A:A,MATCH(711,'بيانات الحركات'!$G:$G,0)),"")</f>
        <v/>
      </c>
      <c r="B712" s="5" t="str">
        <f>IFERROR(INDEX('بيانات الحركات'!B:B,MATCH(711,'بيانات الحركات'!$G:$G,0)),"")</f>
        <v/>
      </c>
      <c r="C712" s="3" t="str">
        <f>IFERROR(INDEX('بيانات الحركات'!C:C,MATCH(711,'بيانات الحركات'!$G:$G,0)),"")</f>
        <v/>
      </c>
      <c r="D712" s="3" t="str">
        <f>IFERROR(INDEX('بيانات الحركات'!D:D,MATCH(711,'بيانات الحركات'!$G:$G,0)),"")</f>
        <v/>
      </c>
      <c r="E712" s="21" t="str">
        <f>IF($B712="إنتاج طبخة","",IFERROR(INDEX('بيانات الحركات'!E:E,MATCH(711,'بيانات الحركات'!$G:$G,0)),""))</f>
        <v/>
      </c>
      <c r="F712" s="3" t="str">
        <f>IFERROR(INDEX('بيانات الحركات'!F:F,MATCH(711,'بيانات الحركات'!$G:$G,0)),"")</f>
        <v/>
      </c>
    </row>
    <row r="713" spans="1:6" ht="21.95" customHeight="1">
      <c r="A713" s="8" t="str">
        <f>IFERROR(INDEX('بيانات الحركات'!A:A,MATCH(712,'بيانات الحركات'!$G:$G,0)),"")</f>
        <v/>
      </c>
      <c r="B713" s="5" t="str">
        <f>IFERROR(INDEX('بيانات الحركات'!B:B,MATCH(712,'بيانات الحركات'!$G:$G,0)),"")</f>
        <v/>
      </c>
      <c r="C713" s="3" t="str">
        <f>IFERROR(INDEX('بيانات الحركات'!C:C,MATCH(712,'بيانات الحركات'!$G:$G,0)),"")</f>
        <v/>
      </c>
      <c r="D713" s="3" t="str">
        <f>IFERROR(INDEX('بيانات الحركات'!D:D,MATCH(712,'بيانات الحركات'!$G:$G,0)),"")</f>
        <v/>
      </c>
      <c r="E713" s="21" t="str">
        <f>IF($B713="إنتاج طبخة","",IFERROR(INDEX('بيانات الحركات'!E:E,MATCH(712,'بيانات الحركات'!$G:$G,0)),""))</f>
        <v/>
      </c>
      <c r="F713" s="3" t="str">
        <f>IFERROR(INDEX('بيانات الحركات'!F:F,MATCH(712,'بيانات الحركات'!$G:$G,0)),"")</f>
        <v/>
      </c>
    </row>
    <row r="714" spans="1:6" ht="21.95" customHeight="1">
      <c r="A714" s="8" t="str">
        <f>IFERROR(INDEX('بيانات الحركات'!A:A,MATCH(713,'بيانات الحركات'!$G:$G,0)),"")</f>
        <v/>
      </c>
      <c r="B714" s="5" t="str">
        <f>IFERROR(INDEX('بيانات الحركات'!B:B,MATCH(713,'بيانات الحركات'!$G:$G,0)),"")</f>
        <v/>
      </c>
      <c r="C714" s="3" t="str">
        <f>IFERROR(INDEX('بيانات الحركات'!C:C,MATCH(713,'بيانات الحركات'!$G:$G,0)),"")</f>
        <v/>
      </c>
      <c r="D714" s="3" t="str">
        <f>IFERROR(INDEX('بيانات الحركات'!D:D,MATCH(713,'بيانات الحركات'!$G:$G,0)),"")</f>
        <v/>
      </c>
      <c r="E714" s="21" t="str">
        <f>IF($B714="إنتاج طبخة","",IFERROR(INDEX('بيانات الحركات'!E:E,MATCH(713,'بيانات الحركات'!$G:$G,0)),""))</f>
        <v/>
      </c>
      <c r="F714" s="3" t="str">
        <f>IFERROR(INDEX('بيانات الحركات'!F:F,MATCH(713,'بيانات الحركات'!$G:$G,0)),"")</f>
        <v/>
      </c>
    </row>
    <row r="715" spans="1:6" ht="21.95" customHeight="1">
      <c r="A715" s="8" t="str">
        <f>IFERROR(INDEX('بيانات الحركات'!A:A,MATCH(714,'بيانات الحركات'!$G:$G,0)),"")</f>
        <v/>
      </c>
      <c r="B715" s="5" t="str">
        <f>IFERROR(INDEX('بيانات الحركات'!B:B,MATCH(714,'بيانات الحركات'!$G:$G,0)),"")</f>
        <v/>
      </c>
      <c r="C715" s="3" t="str">
        <f>IFERROR(INDEX('بيانات الحركات'!C:C,MATCH(714,'بيانات الحركات'!$G:$G,0)),"")</f>
        <v/>
      </c>
      <c r="D715" s="3" t="str">
        <f>IFERROR(INDEX('بيانات الحركات'!D:D,MATCH(714,'بيانات الحركات'!$G:$G,0)),"")</f>
        <v/>
      </c>
      <c r="E715" s="21" t="str">
        <f>IF($B715="إنتاج طبخة","",IFERROR(INDEX('بيانات الحركات'!E:E,MATCH(714,'بيانات الحركات'!$G:$G,0)),""))</f>
        <v/>
      </c>
      <c r="F715" s="3" t="str">
        <f>IFERROR(INDEX('بيانات الحركات'!F:F,MATCH(714,'بيانات الحركات'!$G:$G,0)),"")</f>
        <v/>
      </c>
    </row>
    <row r="716" spans="1:6" ht="21.95" customHeight="1">
      <c r="A716" s="8" t="str">
        <f>IFERROR(INDEX('بيانات الحركات'!A:A,MATCH(715,'بيانات الحركات'!$G:$G,0)),"")</f>
        <v/>
      </c>
      <c r="B716" s="5" t="str">
        <f>IFERROR(INDEX('بيانات الحركات'!B:B,MATCH(715,'بيانات الحركات'!$G:$G,0)),"")</f>
        <v/>
      </c>
      <c r="C716" s="3" t="str">
        <f>IFERROR(INDEX('بيانات الحركات'!C:C,MATCH(715,'بيانات الحركات'!$G:$G,0)),"")</f>
        <v/>
      </c>
      <c r="D716" s="3" t="str">
        <f>IFERROR(INDEX('بيانات الحركات'!D:D,MATCH(715,'بيانات الحركات'!$G:$G,0)),"")</f>
        <v/>
      </c>
      <c r="E716" s="21" t="str">
        <f>IF($B716="إنتاج طبخة","",IFERROR(INDEX('بيانات الحركات'!E:E,MATCH(715,'بيانات الحركات'!$G:$G,0)),""))</f>
        <v/>
      </c>
      <c r="F716" s="3" t="str">
        <f>IFERROR(INDEX('بيانات الحركات'!F:F,MATCH(715,'بيانات الحركات'!$G:$G,0)),"")</f>
        <v/>
      </c>
    </row>
    <row r="717" spans="1:6" ht="21.95" customHeight="1">
      <c r="A717" s="8" t="str">
        <f>IFERROR(INDEX('بيانات الحركات'!A:A,MATCH(716,'بيانات الحركات'!$G:$G,0)),"")</f>
        <v/>
      </c>
      <c r="B717" s="5" t="str">
        <f>IFERROR(INDEX('بيانات الحركات'!B:B,MATCH(716,'بيانات الحركات'!$G:$G,0)),"")</f>
        <v/>
      </c>
      <c r="C717" s="3" t="str">
        <f>IFERROR(INDEX('بيانات الحركات'!C:C,MATCH(716,'بيانات الحركات'!$G:$G,0)),"")</f>
        <v/>
      </c>
      <c r="D717" s="3" t="str">
        <f>IFERROR(INDEX('بيانات الحركات'!D:D,MATCH(716,'بيانات الحركات'!$G:$G,0)),"")</f>
        <v/>
      </c>
      <c r="E717" s="21" t="str">
        <f>IF($B717="إنتاج طبخة","",IFERROR(INDEX('بيانات الحركات'!E:E,MATCH(716,'بيانات الحركات'!$G:$G,0)),""))</f>
        <v/>
      </c>
      <c r="F717" s="3" t="str">
        <f>IFERROR(INDEX('بيانات الحركات'!F:F,MATCH(716,'بيانات الحركات'!$G:$G,0)),"")</f>
        <v/>
      </c>
    </row>
    <row r="718" spans="1:6" ht="21.95" customHeight="1">
      <c r="A718" s="8" t="str">
        <f>IFERROR(INDEX('بيانات الحركات'!A:A,MATCH(717,'بيانات الحركات'!$G:$G,0)),"")</f>
        <v/>
      </c>
      <c r="B718" s="5" t="str">
        <f>IFERROR(INDEX('بيانات الحركات'!B:B,MATCH(717,'بيانات الحركات'!$G:$G,0)),"")</f>
        <v/>
      </c>
      <c r="C718" s="3" t="str">
        <f>IFERROR(INDEX('بيانات الحركات'!C:C,MATCH(717,'بيانات الحركات'!$G:$G,0)),"")</f>
        <v/>
      </c>
      <c r="D718" s="3" t="str">
        <f>IFERROR(INDEX('بيانات الحركات'!D:D,MATCH(717,'بيانات الحركات'!$G:$G,0)),"")</f>
        <v/>
      </c>
      <c r="E718" s="21" t="str">
        <f>IF($B718="إنتاج طبخة","",IFERROR(INDEX('بيانات الحركات'!E:E,MATCH(717,'بيانات الحركات'!$G:$G,0)),""))</f>
        <v/>
      </c>
      <c r="F718" s="3" t="str">
        <f>IFERROR(INDEX('بيانات الحركات'!F:F,MATCH(717,'بيانات الحركات'!$G:$G,0)),"")</f>
        <v/>
      </c>
    </row>
    <row r="719" spans="1:6" ht="21.95" customHeight="1">
      <c r="A719" s="8" t="str">
        <f>IFERROR(INDEX('بيانات الحركات'!A:A,MATCH(718,'بيانات الحركات'!$G:$G,0)),"")</f>
        <v/>
      </c>
      <c r="B719" s="5" t="str">
        <f>IFERROR(INDEX('بيانات الحركات'!B:B,MATCH(718,'بيانات الحركات'!$G:$G,0)),"")</f>
        <v/>
      </c>
      <c r="C719" s="3" t="str">
        <f>IFERROR(INDEX('بيانات الحركات'!C:C,MATCH(718,'بيانات الحركات'!$G:$G,0)),"")</f>
        <v/>
      </c>
      <c r="D719" s="3" t="str">
        <f>IFERROR(INDEX('بيانات الحركات'!D:D,MATCH(718,'بيانات الحركات'!$G:$G,0)),"")</f>
        <v/>
      </c>
      <c r="E719" s="21" t="str">
        <f>IF($B719="إنتاج طبخة","",IFERROR(INDEX('بيانات الحركات'!E:E,MATCH(718,'بيانات الحركات'!$G:$G,0)),""))</f>
        <v/>
      </c>
      <c r="F719" s="3" t="str">
        <f>IFERROR(INDEX('بيانات الحركات'!F:F,MATCH(718,'بيانات الحركات'!$G:$G,0)),"")</f>
        <v/>
      </c>
    </row>
    <row r="720" spans="1:6" ht="21.95" customHeight="1">
      <c r="A720" s="8" t="str">
        <f>IFERROR(INDEX('بيانات الحركات'!A:A,MATCH(719,'بيانات الحركات'!$G:$G,0)),"")</f>
        <v/>
      </c>
      <c r="B720" s="5" t="str">
        <f>IFERROR(INDEX('بيانات الحركات'!B:B,MATCH(719,'بيانات الحركات'!$G:$G,0)),"")</f>
        <v/>
      </c>
      <c r="C720" s="3" t="str">
        <f>IFERROR(INDEX('بيانات الحركات'!C:C,MATCH(719,'بيانات الحركات'!$G:$G,0)),"")</f>
        <v/>
      </c>
      <c r="D720" s="3" t="str">
        <f>IFERROR(INDEX('بيانات الحركات'!D:D,MATCH(719,'بيانات الحركات'!$G:$G,0)),"")</f>
        <v/>
      </c>
      <c r="E720" s="21" t="str">
        <f>IF($B720="إنتاج طبخة","",IFERROR(INDEX('بيانات الحركات'!E:E,MATCH(719,'بيانات الحركات'!$G:$G,0)),""))</f>
        <v/>
      </c>
      <c r="F720" s="3" t="str">
        <f>IFERROR(INDEX('بيانات الحركات'!F:F,MATCH(719,'بيانات الحركات'!$G:$G,0)),"")</f>
        <v/>
      </c>
    </row>
    <row r="721" spans="1:6" ht="21.95" customHeight="1">
      <c r="A721" s="8" t="str">
        <f>IFERROR(INDEX('بيانات الحركات'!A:A,MATCH(720,'بيانات الحركات'!$G:$G,0)),"")</f>
        <v/>
      </c>
      <c r="B721" s="5" t="str">
        <f>IFERROR(INDEX('بيانات الحركات'!B:B,MATCH(720,'بيانات الحركات'!$G:$G,0)),"")</f>
        <v/>
      </c>
      <c r="C721" s="3" t="str">
        <f>IFERROR(INDEX('بيانات الحركات'!C:C,MATCH(720,'بيانات الحركات'!$G:$G,0)),"")</f>
        <v/>
      </c>
      <c r="D721" s="3" t="str">
        <f>IFERROR(INDEX('بيانات الحركات'!D:D,MATCH(720,'بيانات الحركات'!$G:$G,0)),"")</f>
        <v/>
      </c>
      <c r="E721" s="21" t="str">
        <f>IF($B721="إنتاج طبخة","",IFERROR(INDEX('بيانات الحركات'!E:E,MATCH(720,'بيانات الحركات'!$G:$G,0)),""))</f>
        <v/>
      </c>
      <c r="F721" s="3" t="str">
        <f>IFERROR(INDEX('بيانات الحركات'!F:F,MATCH(720,'بيانات الحركات'!$G:$G,0)),"")</f>
        <v/>
      </c>
    </row>
    <row r="722" spans="1:6" ht="21.95" customHeight="1">
      <c r="A722" s="8" t="str">
        <f>IFERROR(INDEX('بيانات الحركات'!A:A,MATCH(721,'بيانات الحركات'!$G:$G,0)),"")</f>
        <v/>
      </c>
      <c r="B722" s="5" t="str">
        <f>IFERROR(INDEX('بيانات الحركات'!B:B,MATCH(721,'بيانات الحركات'!$G:$G,0)),"")</f>
        <v/>
      </c>
      <c r="C722" s="3" t="str">
        <f>IFERROR(INDEX('بيانات الحركات'!C:C,MATCH(721,'بيانات الحركات'!$G:$G,0)),"")</f>
        <v/>
      </c>
      <c r="D722" s="3" t="str">
        <f>IFERROR(INDEX('بيانات الحركات'!D:D,MATCH(721,'بيانات الحركات'!$G:$G,0)),"")</f>
        <v/>
      </c>
      <c r="E722" s="21" t="str">
        <f>IF($B722="إنتاج طبخة","",IFERROR(INDEX('بيانات الحركات'!E:E,MATCH(721,'بيانات الحركات'!$G:$G,0)),""))</f>
        <v/>
      </c>
      <c r="F722" s="3" t="str">
        <f>IFERROR(INDEX('بيانات الحركات'!F:F,MATCH(721,'بيانات الحركات'!$G:$G,0)),"")</f>
        <v/>
      </c>
    </row>
    <row r="723" spans="1:6" ht="21.95" customHeight="1">
      <c r="A723" s="8" t="str">
        <f>IFERROR(INDEX('بيانات الحركات'!A:A,MATCH(722,'بيانات الحركات'!$G:$G,0)),"")</f>
        <v/>
      </c>
      <c r="B723" s="5" t="str">
        <f>IFERROR(INDEX('بيانات الحركات'!B:B,MATCH(722,'بيانات الحركات'!$G:$G,0)),"")</f>
        <v/>
      </c>
      <c r="C723" s="3" t="str">
        <f>IFERROR(INDEX('بيانات الحركات'!C:C,MATCH(722,'بيانات الحركات'!$G:$G,0)),"")</f>
        <v/>
      </c>
      <c r="D723" s="3" t="str">
        <f>IFERROR(INDEX('بيانات الحركات'!D:D,MATCH(722,'بيانات الحركات'!$G:$G,0)),"")</f>
        <v/>
      </c>
      <c r="E723" s="21" t="str">
        <f>IF($B723="إنتاج طبخة","",IFERROR(INDEX('بيانات الحركات'!E:E,MATCH(722,'بيانات الحركات'!$G:$G,0)),""))</f>
        <v/>
      </c>
      <c r="F723" s="3" t="str">
        <f>IFERROR(INDEX('بيانات الحركات'!F:F,MATCH(722,'بيانات الحركات'!$G:$G,0)),"")</f>
        <v/>
      </c>
    </row>
    <row r="724" spans="1:6" ht="21.95" customHeight="1">
      <c r="A724" s="8" t="str">
        <f>IFERROR(INDEX('بيانات الحركات'!A:A,MATCH(723,'بيانات الحركات'!$G:$G,0)),"")</f>
        <v/>
      </c>
      <c r="B724" s="5" t="str">
        <f>IFERROR(INDEX('بيانات الحركات'!B:B,MATCH(723,'بيانات الحركات'!$G:$G,0)),"")</f>
        <v/>
      </c>
      <c r="C724" s="3" t="str">
        <f>IFERROR(INDEX('بيانات الحركات'!C:C,MATCH(723,'بيانات الحركات'!$G:$G,0)),"")</f>
        <v/>
      </c>
      <c r="D724" s="3" t="str">
        <f>IFERROR(INDEX('بيانات الحركات'!D:D,MATCH(723,'بيانات الحركات'!$G:$G,0)),"")</f>
        <v/>
      </c>
      <c r="E724" s="21" t="str">
        <f>IF($B724="إنتاج طبخة","",IFERROR(INDEX('بيانات الحركات'!E:E,MATCH(723,'بيانات الحركات'!$G:$G,0)),""))</f>
        <v/>
      </c>
      <c r="F724" s="3" t="str">
        <f>IFERROR(INDEX('بيانات الحركات'!F:F,MATCH(723,'بيانات الحركات'!$G:$G,0)),"")</f>
        <v/>
      </c>
    </row>
    <row r="725" spans="1:6" ht="21.95" customHeight="1">
      <c r="A725" s="8" t="str">
        <f>IFERROR(INDEX('بيانات الحركات'!A:A,MATCH(724,'بيانات الحركات'!$G:$G,0)),"")</f>
        <v/>
      </c>
      <c r="B725" s="5" t="str">
        <f>IFERROR(INDEX('بيانات الحركات'!B:B,MATCH(724,'بيانات الحركات'!$G:$G,0)),"")</f>
        <v/>
      </c>
      <c r="C725" s="3" t="str">
        <f>IFERROR(INDEX('بيانات الحركات'!C:C,MATCH(724,'بيانات الحركات'!$G:$G,0)),"")</f>
        <v/>
      </c>
      <c r="D725" s="3" t="str">
        <f>IFERROR(INDEX('بيانات الحركات'!D:D,MATCH(724,'بيانات الحركات'!$G:$G,0)),"")</f>
        <v/>
      </c>
      <c r="E725" s="21" t="str">
        <f>IF($B725="إنتاج طبخة","",IFERROR(INDEX('بيانات الحركات'!E:E,MATCH(724,'بيانات الحركات'!$G:$G,0)),""))</f>
        <v/>
      </c>
      <c r="F725" s="3" t="str">
        <f>IFERROR(INDEX('بيانات الحركات'!F:F,MATCH(724,'بيانات الحركات'!$G:$G,0)),"")</f>
        <v/>
      </c>
    </row>
    <row r="726" spans="1:6" ht="21.95" customHeight="1">
      <c r="A726" s="8" t="str">
        <f>IFERROR(INDEX('بيانات الحركات'!A:A,MATCH(725,'بيانات الحركات'!$G:$G,0)),"")</f>
        <v/>
      </c>
      <c r="B726" s="5" t="str">
        <f>IFERROR(INDEX('بيانات الحركات'!B:B,MATCH(725,'بيانات الحركات'!$G:$G,0)),"")</f>
        <v/>
      </c>
      <c r="C726" s="3" t="str">
        <f>IFERROR(INDEX('بيانات الحركات'!C:C,MATCH(725,'بيانات الحركات'!$G:$G,0)),"")</f>
        <v/>
      </c>
      <c r="D726" s="3" t="str">
        <f>IFERROR(INDEX('بيانات الحركات'!D:D,MATCH(725,'بيانات الحركات'!$G:$G,0)),"")</f>
        <v/>
      </c>
      <c r="E726" s="21" t="str">
        <f>IF($B726="إنتاج طبخة","",IFERROR(INDEX('بيانات الحركات'!E:E,MATCH(725,'بيانات الحركات'!$G:$G,0)),""))</f>
        <v/>
      </c>
      <c r="F726" s="3" t="str">
        <f>IFERROR(INDEX('بيانات الحركات'!F:F,MATCH(725,'بيانات الحركات'!$G:$G,0)),"")</f>
        <v/>
      </c>
    </row>
    <row r="727" spans="1:6" ht="21.95" customHeight="1">
      <c r="A727" s="8" t="str">
        <f>IFERROR(INDEX('بيانات الحركات'!A:A,MATCH(726,'بيانات الحركات'!$G:$G,0)),"")</f>
        <v/>
      </c>
      <c r="B727" s="5" t="str">
        <f>IFERROR(INDEX('بيانات الحركات'!B:B,MATCH(726,'بيانات الحركات'!$G:$G,0)),"")</f>
        <v/>
      </c>
      <c r="C727" s="3" t="str">
        <f>IFERROR(INDEX('بيانات الحركات'!C:C,MATCH(726,'بيانات الحركات'!$G:$G,0)),"")</f>
        <v/>
      </c>
      <c r="D727" s="3" t="str">
        <f>IFERROR(INDEX('بيانات الحركات'!D:D,MATCH(726,'بيانات الحركات'!$G:$G,0)),"")</f>
        <v/>
      </c>
      <c r="E727" s="21" t="str">
        <f>IF($B727="إنتاج طبخة","",IFERROR(INDEX('بيانات الحركات'!E:E,MATCH(726,'بيانات الحركات'!$G:$G,0)),""))</f>
        <v/>
      </c>
      <c r="F727" s="3" t="str">
        <f>IFERROR(INDEX('بيانات الحركات'!F:F,MATCH(726,'بيانات الحركات'!$G:$G,0)),"")</f>
        <v/>
      </c>
    </row>
    <row r="728" spans="1:6" ht="21.95" customHeight="1">
      <c r="A728" s="8" t="str">
        <f>IFERROR(INDEX('بيانات الحركات'!A:A,MATCH(727,'بيانات الحركات'!$G:$G,0)),"")</f>
        <v/>
      </c>
      <c r="B728" s="5" t="str">
        <f>IFERROR(INDEX('بيانات الحركات'!B:B,MATCH(727,'بيانات الحركات'!$G:$G,0)),"")</f>
        <v/>
      </c>
      <c r="C728" s="3" t="str">
        <f>IFERROR(INDEX('بيانات الحركات'!C:C,MATCH(727,'بيانات الحركات'!$G:$G,0)),"")</f>
        <v/>
      </c>
      <c r="D728" s="3" t="str">
        <f>IFERROR(INDEX('بيانات الحركات'!D:D,MATCH(727,'بيانات الحركات'!$G:$G,0)),"")</f>
        <v/>
      </c>
      <c r="E728" s="21" t="str">
        <f>IF($B728="إنتاج طبخة","",IFERROR(INDEX('بيانات الحركات'!E:E,MATCH(727,'بيانات الحركات'!$G:$G,0)),""))</f>
        <v/>
      </c>
      <c r="F728" s="3" t="str">
        <f>IFERROR(INDEX('بيانات الحركات'!F:F,MATCH(727,'بيانات الحركات'!$G:$G,0)),"")</f>
        <v/>
      </c>
    </row>
    <row r="729" spans="1:6" ht="21.95" customHeight="1">
      <c r="A729" s="8" t="str">
        <f>IFERROR(INDEX('بيانات الحركات'!A:A,MATCH(728,'بيانات الحركات'!$G:$G,0)),"")</f>
        <v/>
      </c>
      <c r="B729" s="5" t="str">
        <f>IFERROR(INDEX('بيانات الحركات'!B:B,MATCH(728,'بيانات الحركات'!$G:$G,0)),"")</f>
        <v/>
      </c>
      <c r="C729" s="3" t="str">
        <f>IFERROR(INDEX('بيانات الحركات'!C:C,MATCH(728,'بيانات الحركات'!$G:$G,0)),"")</f>
        <v/>
      </c>
      <c r="D729" s="3" t="str">
        <f>IFERROR(INDEX('بيانات الحركات'!D:D,MATCH(728,'بيانات الحركات'!$G:$G,0)),"")</f>
        <v/>
      </c>
      <c r="E729" s="21" t="str">
        <f>IF($B729="إنتاج طبخة","",IFERROR(INDEX('بيانات الحركات'!E:E,MATCH(728,'بيانات الحركات'!$G:$G,0)),""))</f>
        <v/>
      </c>
      <c r="F729" s="3" t="str">
        <f>IFERROR(INDEX('بيانات الحركات'!F:F,MATCH(728,'بيانات الحركات'!$G:$G,0)),"")</f>
        <v/>
      </c>
    </row>
    <row r="730" spans="1:6" ht="21.95" customHeight="1">
      <c r="A730" s="8" t="str">
        <f>IFERROR(INDEX('بيانات الحركات'!A:A,MATCH(729,'بيانات الحركات'!$G:$G,0)),"")</f>
        <v/>
      </c>
      <c r="B730" s="5" t="str">
        <f>IFERROR(INDEX('بيانات الحركات'!B:B,MATCH(729,'بيانات الحركات'!$G:$G,0)),"")</f>
        <v/>
      </c>
      <c r="C730" s="3" t="str">
        <f>IFERROR(INDEX('بيانات الحركات'!C:C,MATCH(729,'بيانات الحركات'!$G:$G,0)),"")</f>
        <v/>
      </c>
      <c r="D730" s="3" t="str">
        <f>IFERROR(INDEX('بيانات الحركات'!D:D,MATCH(729,'بيانات الحركات'!$G:$G,0)),"")</f>
        <v/>
      </c>
      <c r="E730" s="21" t="str">
        <f>IF($B730="إنتاج طبخة","",IFERROR(INDEX('بيانات الحركات'!E:E,MATCH(729,'بيانات الحركات'!$G:$G,0)),""))</f>
        <v/>
      </c>
      <c r="F730" s="3" t="str">
        <f>IFERROR(INDEX('بيانات الحركات'!F:F,MATCH(729,'بيانات الحركات'!$G:$G,0)),"")</f>
        <v/>
      </c>
    </row>
    <row r="731" spans="1:6" ht="21.95" customHeight="1">
      <c r="A731" s="8" t="str">
        <f>IFERROR(INDEX('بيانات الحركات'!A:A,MATCH(730,'بيانات الحركات'!$G:$G,0)),"")</f>
        <v/>
      </c>
      <c r="B731" s="5" t="str">
        <f>IFERROR(INDEX('بيانات الحركات'!B:B,MATCH(730,'بيانات الحركات'!$G:$G,0)),"")</f>
        <v/>
      </c>
      <c r="C731" s="3" t="str">
        <f>IFERROR(INDEX('بيانات الحركات'!C:C,MATCH(730,'بيانات الحركات'!$G:$G,0)),"")</f>
        <v/>
      </c>
      <c r="D731" s="3" t="str">
        <f>IFERROR(INDEX('بيانات الحركات'!D:D,MATCH(730,'بيانات الحركات'!$G:$G,0)),"")</f>
        <v/>
      </c>
      <c r="E731" s="21" t="str">
        <f>IF($B731="إنتاج طبخة","",IFERROR(INDEX('بيانات الحركات'!E:E,MATCH(730,'بيانات الحركات'!$G:$G,0)),""))</f>
        <v/>
      </c>
      <c r="F731" s="3" t="str">
        <f>IFERROR(INDEX('بيانات الحركات'!F:F,MATCH(730,'بيانات الحركات'!$G:$G,0)),"")</f>
        <v/>
      </c>
    </row>
    <row r="732" spans="1:6" ht="21.95" customHeight="1">
      <c r="A732" s="8" t="str">
        <f>IFERROR(INDEX('بيانات الحركات'!A:A,MATCH(731,'بيانات الحركات'!$G:$G,0)),"")</f>
        <v/>
      </c>
      <c r="B732" s="5" t="str">
        <f>IFERROR(INDEX('بيانات الحركات'!B:B,MATCH(731,'بيانات الحركات'!$G:$G,0)),"")</f>
        <v/>
      </c>
      <c r="C732" s="3" t="str">
        <f>IFERROR(INDEX('بيانات الحركات'!C:C,MATCH(731,'بيانات الحركات'!$G:$G,0)),"")</f>
        <v/>
      </c>
      <c r="D732" s="3" t="str">
        <f>IFERROR(INDEX('بيانات الحركات'!D:D,MATCH(731,'بيانات الحركات'!$G:$G,0)),"")</f>
        <v/>
      </c>
      <c r="E732" s="21" t="str">
        <f>IF($B732="إنتاج طبخة","",IFERROR(INDEX('بيانات الحركات'!E:E,MATCH(731,'بيانات الحركات'!$G:$G,0)),""))</f>
        <v/>
      </c>
      <c r="F732" s="3" t="str">
        <f>IFERROR(INDEX('بيانات الحركات'!F:F,MATCH(731,'بيانات الحركات'!$G:$G,0)),"")</f>
        <v/>
      </c>
    </row>
    <row r="733" spans="1:6" ht="21.95" customHeight="1">
      <c r="A733" s="8" t="str">
        <f>IFERROR(INDEX('بيانات الحركات'!A:A,MATCH(732,'بيانات الحركات'!$G:$G,0)),"")</f>
        <v/>
      </c>
      <c r="B733" s="5" t="str">
        <f>IFERROR(INDEX('بيانات الحركات'!B:B,MATCH(732,'بيانات الحركات'!$G:$G,0)),"")</f>
        <v/>
      </c>
      <c r="C733" s="3" t="str">
        <f>IFERROR(INDEX('بيانات الحركات'!C:C,MATCH(732,'بيانات الحركات'!$G:$G,0)),"")</f>
        <v/>
      </c>
      <c r="D733" s="3" t="str">
        <f>IFERROR(INDEX('بيانات الحركات'!D:D,MATCH(732,'بيانات الحركات'!$G:$G,0)),"")</f>
        <v/>
      </c>
      <c r="E733" s="21" t="str">
        <f>IF($B733="إنتاج طبخة","",IFERROR(INDEX('بيانات الحركات'!E:E,MATCH(732,'بيانات الحركات'!$G:$G,0)),""))</f>
        <v/>
      </c>
      <c r="F733" s="3" t="str">
        <f>IFERROR(INDEX('بيانات الحركات'!F:F,MATCH(732,'بيانات الحركات'!$G:$G,0)),"")</f>
        <v/>
      </c>
    </row>
    <row r="734" spans="1:6" ht="21.95" customHeight="1">
      <c r="A734" s="8" t="str">
        <f>IFERROR(INDEX('بيانات الحركات'!A:A,MATCH(733,'بيانات الحركات'!$G:$G,0)),"")</f>
        <v/>
      </c>
      <c r="B734" s="5" t="str">
        <f>IFERROR(INDEX('بيانات الحركات'!B:B,MATCH(733,'بيانات الحركات'!$G:$G,0)),"")</f>
        <v/>
      </c>
      <c r="C734" s="3" t="str">
        <f>IFERROR(INDEX('بيانات الحركات'!C:C,MATCH(733,'بيانات الحركات'!$G:$G,0)),"")</f>
        <v/>
      </c>
      <c r="D734" s="3" t="str">
        <f>IFERROR(INDEX('بيانات الحركات'!D:D,MATCH(733,'بيانات الحركات'!$G:$G,0)),"")</f>
        <v/>
      </c>
      <c r="E734" s="21" t="str">
        <f>IF($B734="إنتاج طبخة","",IFERROR(INDEX('بيانات الحركات'!E:E,MATCH(733,'بيانات الحركات'!$G:$G,0)),""))</f>
        <v/>
      </c>
      <c r="F734" s="3" t="str">
        <f>IFERROR(INDEX('بيانات الحركات'!F:F,MATCH(733,'بيانات الحركات'!$G:$G,0)),"")</f>
        <v/>
      </c>
    </row>
    <row r="735" spans="1:6" ht="21.95" customHeight="1">
      <c r="A735" s="8" t="str">
        <f>IFERROR(INDEX('بيانات الحركات'!A:A,MATCH(734,'بيانات الحركات'!$G:$G,0)),"")</f>
        <v/>
      </c>
      <c r="B735" s="5" t="str">
        <f>IFERROR(INDEX('بيانات الحركات'!B:B,MATCH(734,'بيانات الحركات'!$G:$G,0)),"")</f>
        <v/>
      </c>
      <c r="C735" s="3" t="str">
        <f>IFERROR(INDEX('بيانات الحركات'!C:C,MATCH(734,'بيانات الحركات'!$G:$G,0)),"")</f>
        <v/>
      </c>
      <c r="D735" s="3" t="str">
        <f>IFERROR(INDEX('بيانات الحركات'!D:D,MATCH(734,'بيانات الحركات'!$G:$G,0)),"")</f>
        <v/>
      </c>
      <c r="E735" s="21" t="str">
        <f>IF($B735="إنتاج طبخة","",IFERROR(INDEX('بيانات الحركات'!E:E,MATCH(734,'بيانات الحركات'!$G:$G,0)),""))</f>
        <v/>
      </c>
      <c r="F735" s="3" t="str">
        <f>IFERROR(INDEX('بيانات الحركات'!F:F,MATCH(734,'بيانات الحركات'!$G:$G,0)),"")</f>
        <v/>
      </c>
    </row>
    <row r="736" spans="1:6" ht="21.95" customHeight="1">
      <c r="A736" s="8" t="str">
        <f>IFERROR(INDEX('بيانات الحركات'!A:A,MATCH(735,'بيانات الحركات'!$G:$G,0)),"")</f>
        <v/>
      </c>
      <c r="B736" s="5" t="str">
        <f>IFERROR(INDEX('بيانات الحركات'!B:B,MATCH(735,'بيانات الحركات'!$G:$G,0)),"")</f>
        <v/>
      </c>
      <c r="C736" s="3" t="str">
        <f>IFERROR(INDEX('بيانات الحركات'!C:C,MATCH(735,'بيانات الحركات'!$G:$G,0)),"")</f>
        <v/>
      </c>
      <c r="D736" s="3" t="str">
        <f>IFERROR(INDEX('بيانات الحركات'!D:D,MATCH(735,'بيانات الحركات'!$G:$G,0)),"")</f>
        <v/>
      </c>
      <c r="E736" s="21" t="str">
        <f>IF($B736="إنتاج طبخة","",IFERROR(INDEX('بيانات الحركات'!E:E,MATCH(735,'بيانات الحركات'!$G:$G,0)),""))</f>
        <v/>
      </c>
      <c r="F736" s="3" t="str">
        <f>IFERROR(INDEX('بيانات الحركات'!F:F,MATCH(735,'بيانات الحركات'!$G:$G,0)),"")</f>
        <v/>
      </c>
    </row>
    <row r="737" spans="1:6" ht="21.95" customHeight="1">
      <c r="A737" s="8" t="str">
        <f>IFERROR(INDEX('بيانات الحركات'!A:A,MATCH(736,'بيانات الحركات'!$G:$G,0)),"")</f>
        <v/>
      </c>
      <c r="B737" s="5" t="str">
        <f>IFERROR(INDEX('بيانات الحركات'!B:B,MATCH(736,'بيانات الحركات'!$G:$G,0)),"")</f>
        <v/>
      </c>
      <c r="C737" s="3" t="str">
        <f>IFERROR(INDEX('بيانات الحركات'!C:C,MATCH(736,'بيانات الحركات'!$G:$G,0)),"")</f>
        <v/>
      </c>
      <c r="D737" s="3" t="str">
        <f>IFERROR(INDEX('بيانات الحركات'!D:D,MATCH(736,'بيانات الحركات'!$G:$G,0)),"")</f>
        <v/>
      </c>
      <c r="E737" s="21" t="str">
        <f>IF($B737="إنتاج طبخة","",IFERROR(INDEX('بيانات الحركات'!E:E,MATCH(736,'بيانات الحركات'!$G:$G,0)),""))</f>
        <v/>
      </c>
      <c r="F737" s="3" t="str">
        <f>IFERROR(INDEX('بيانات الحركات'!F:F,MATCH(736,'بيانات الحركات'!$G:$G,0)),"")</f>
        <v/>
      </c>
    </row>
    <row r="738" spans="1:6" ht="21.95" customHeight="1">
      <c r="A738" s="8" t="str">
        <f>IFERROR(INDEX('بيانات الحركات'!A:A,MATCH(737,'بيانات الحركات'!$G:$G,0)),"")</f>
        <v/>
      </c>
      <c r="B738" s="5" t="str">
        <f>IFERROR(INDEX('بيانات الحركات'!B:B,MATCH(737,'بيانات الحركات'!$G:$G,0)),"")</f>
        <v/>
      </c>
      <c r="C738" s="3" t="str">
        <f>IFERROR(INDEX('بيانات الحركات'!C:C,MATCH(737,'بيانات الحركات'!$G:$G,0)),"")</f>
        <v/>
      </c>
      <c r="D738" s="3" t="str">
        <f>IFERROR(INDEX('بيانات الحركات'!D:D,MATCH(737,'بيانات الحركات'!$G:$G,0)),"")</f>
        <v/>
      </c>
      <c r="E738" s="21" t="str">
        <f>IF($B738="إنتاج طبخة","",IFERROR(INDEX('بيانات الحركات'!E:E,MATCH(737,'بيانات الحركات'!$G:$G,0)),""))</f>
        <v/>
      </c>
      <c r="F738" s="3" t="str">
        <f>IFERROR(INDEX('بيانات الحركات'!F:F,MATCH(737,'بيانات الحركات'!$G:$G,0)),"")</f>
        <v/>
      </c>
    </row>
    <row r="739" spans="1:6" ht="21.95" customHeight="1">
      <c r="A739" s="8" t="str">
        <f>IFERROR(INDEX('بيانات الحركات'!A:A,MATCH(738,'بيانات الحركات'!$G:$G,0)),"")</f>
        <v/>
      </c>
      <c r="B739" s="5" t="str">
        <f>IFERROR(INDEX('بيانات الحركات'!B:B,MATCH(738,'بيانات الحركات'!$G:$G,0)),"")</f>
        <v/>
      </c>
      <c r="C739" s="3" t="str">
        <f>IFERROR(INDEX('بيانات الحركات'!C:C,MATCH(738,'بيانات الحركات'!$G:$G,0)),"")</f>
        <v/>
      </c>
      <c r="D739" s="3" t="str">
        <f>IFERROR(INDEX('بيانات الحركات'!D:D,MATCH(738,'بيانات الحركات'!$G:$G,0)),"")</f>
        <v/>
      </c>
      <c r="E739" s="21" t="str">
        <f>IF($B739="إنتاج طبخة","",IFERROR(INDEX('بيانات الحركات'!E:E,MATCH(738,'بيانات الحركات'!$G:$G,0)),""))</f>
        <v/>
      </c>
      <c r="F739" s="3" t="str">
        <f>IFERROR(INDEX('بيانات الحركات'!F:F,MATCH(738,'بيانات الحركات'!$G:$G,0)),"")</f>
        <v/>
      </c>
    </row>
    <row r="740" spans="1:6" ht="21.95" customHeight="1">
      <c r="A740" s="8" t="str">
        <f>IFERROR(INDEX('بيانات الحركات'!A:A,MATCH(739,'بيانات الحركات'!$G:$G,0)),"")</f>
        <v/>
      </c>
      <c r="B740" s="5" t="str">
        <f>IFERROR(INDEX('بيانات الحركات'!B:B,MATCH(739,'بيانات الحركات'!$G:$G,0)),"")</f>
        <v/>
      </c>
      <c r="C740" s="3" t="str">
        <f>IFERROR(INDEX('بيانات الحركات'!C:C,MATCH(739,'بيانات الحركات'!$G:$G,0)),"")</f>
        <v/>
      </c>
      <c r="D740" s="3" t="str">
        <f>IFERROR(INDEX('بيانات الحركات'!D:D,MATCH(739,'بيانات الحركات'!$G:$G,0)),"")</f>
        <v/>
      </c>
      <c r="E740" s="21" t="str">
        <f>IF($B740="إنتاج طبخة","",IFERROR(INDEX('بيانات الحركات'!E:E,MATCH(739,'بيانات الحركات'!$G:$G,0)),""))</f>
        <v/>
      </c>
      <c r="F740" s="3" t="str">
        <f>IFERROR(INDEX('بيانات الحركات'!F:F,MATCH(739,'بيانات الحركات'!$G:$G,0)),"")</f>
        <v/>
      </c>
    </row>
    <row r="741" spans="1:6" ht="21.95" customHeight="1">
      <c r="A741" s="8" t="str">
        <f>IFERROR(INDEX('بيانات الحركات'!A:A,MATCH(740,'بيانات الحركات'!$G:$G,0)),"")</f>
        <v/>
      </c>
      <c r="B741" s="5" t="str">
        <f>IFERROR(INDEX('بيانات الحركات'!B:B,MATCH(740,'بيانات الحركات'!$G:$G,0)),"")</f>
        <v/>
      </c>
      <c r="C741" s="3" t="str">
        <f>IFERROR(INDEX('بيانات الحركات'!C:C,MATCH(740,'بيانات الحركات'!$G:$G,0)),"")</f>
        <v/>
      </c>
      <c r="D741" s="3" t="str">
        <f>IFERROR(INDEX('بيانات الحركات'!D:D,MATCH(740,'بيانات الحركات'!$G:$G,0)),"")</f>
        <v/>
      </c>
      <c r="E741" s="21" t="str">
        <f>IF($B741="إنتاج طبخة","",IFERROR(INDEX('بيانات الحركات'!E:E,MATCH(740,'بيانات الحركات'!$G:$G,0)),""))</f>
        <v/>
      </c>
      <c r="F741" s="3" t="str">
        <f>IFERROR(INDEX('بيانات الحركات'!F:F,MATCH(740,'بيانات الحركات'!$G:$G,0)),"")</f>
        <v/>
      </c>
    </row>
    <row r="742" spans="1:6" ht="21.95" customHeight="1">
      <c r="A742" s="8" t="str">
        <f>IFERROR(INDEX('بيانات الحركات'!A:A,MATCH(741,'بيانات الحركات'!$G:$G,0)),"")</f>
        <v/>
      </c>
      <c r="B742" s="5" t="str">
        <f>IFERROR(INDEX('بيانات الحركات'!B:B,MATCH(741,'بيانات الحركات'!$G:$G,0)),"")</f>
        <v/>
      </c>
      <c r="C742" s="3" t="str">
        <f>IFERROR(INDEX('بيانات الحركات'!C:C,MATCH(741,'بيانات الحركات'!$G:$G,0)),"")</f>
        <v/>
      </c>
      <c r="D742" s="3" t="str">
        <f>IFERROR(INDEX('بيانات الحركات'!D:D,MATCH(741,'بيانات الحركات'!$G:$G,0)),"")</f>
        <v/>
      </c>
      <c r="E742" s="21" t="str">
        <f>IF($B742="إنتاج طبخة","",IFERROR(INDEX('بيانات الحركات'!E:E,MATCH(741,'بيانات الحركات'!$G:$G,0)),""))</f>
        <v/>
      </c>
      <c r="F742" s="3" t="str">
        <f>IFERROR(INDEX('بيانات الحركات'!F:F,MATCH(741,'بيانات الحركات'!$G:$G,0)),"")</f>
        <v/>
      </c>
    </row>
    <row r="743" spans="1:6" ht="21.95" customHeight="1">
      <c r="A743" s="8" t="str">
        <f>IFERROR(INDEX('بيانات الحركات'!A:A,MATCH(742,'بيانات الحركات'!$G:$G,0)),"")</f>
        <v/>
      </c>
      <c r="B743" s="5" t="str">
        <f>IFERROR(INDEX('بيانات الحركات'!B:B,MATCH(742,'بيانات الحركات'!$G:$G,0)),"")</f>
        <v/>
      </c>
      <c r="C743" s="3" t="str">
        <f>IFERROR(INDEX('بيانات الحركات'!C:C,MATCH(742,'بيانات الحركات'!$G:$G,0)),"")</f>
        <v/>
      </c>
      <c r="D743" s="3" t="str">
        <f>IFERROR(INDEX('بيانات الحركات'!D:D,MATCH(742,'بيانات الحركات'!$G:$G,0)),"")</f>
        <v/>
      </c>
      <c r="E743" s="21" t="str">
        <f>IF($B743="إنتاج طبخة","",IFERROR(INDEX('بيانات الحركات'!E:E,MATCH(742,'بيانات الحركات'!$G:$G,0)),""))</f>
        <v/>
      </c>
      <c r="F743" s="3" t="str">
        <f>IFERROR(INDEX('بيانات الحركات'!F:F,MATCH(742,'بيانات الحركات'!$G:$G,0)),"")</f>
        <v/>
      </c>
    </row>
    <row r="744" spans="1:6" ht="21.95" customHeight="1">
      <c r="A744" s="8" t="str">
        <f>IFERROR(INDEX('بيانات الحركات'!A:A,MATCH(743,'بيانات الحركات'!$G:$G,0)),"")</f>
        <v/>
      </c>
      <c r="B744" s="5" t="str">
        <f>IFERROR(INDEX('بيانات الحركات'!B:B,MATCH(743,'بيانات الحركات'!$G:$G,0)),"")</f>
        <v/>
      </c>
      <c r="C744" s="3" t="str">
        <f>IFERROR(INDEX('بيانات الحركات'!C:C,MATCH(743,'بيانات الحركات'!$G:$G,0)),"")</f>
        <v/>
      </c>
      <c r="D744" s="3" t="str">
        <f>IFERROR(INDEX('بيانات الحركات'!D:D,MATCH(743,'بيانات الحركات'!$G:$G,0)),"")</f>
        <v/>
      </c>
      <c r="E744" s="21" t="str">
        <f>IF($B744="إنتاج طبخة","",IFERROR(INDEX('بيانات الحركات'!E:E,MATCH(743,'بيانات الحركات'!$G:$G,0)),""))</f>
        <v/>
      </c>
      <c r="F744" s="3" t="str">
        <f>IFERROR(INDEX('بيانات الحركات'!F:F,MATCH(743,'بيانات الحركات'!$G:$G,0)),"")</f>
        <v/>
      </c>
    </row>
    <row r="745" spans="1:6" ht="21.95" customHeight="1">
      <c r="A745" s="8" t="str">
        <f>IFERROR(INDEX('بيانات الحركات'!A:A,MATCH(744,'بيانات الحركات'!$G:$G,0)),"")</f>
        <v/>
      </c>
      <c r="B745" s="5" t="str">
        <f>IFERROR(INDEX('بيانات الحركات'!B:B,MATCH(744,'بيانات الحركات'!$G:$G,0)),"")</f>
        <v/>
      </c>
      <c r="C745" s="3" t="str">
        <f>IFERROR(INDEX('بيانات الحركات'!C:C,MATCH(744,'بيانات الحركات'!$G:$G,0)),"")</f>
        <v/>
      </c>
      <c r="D745" s="3" t="str">
        <f>IFERROR(INDEX('بيانات الحركات'!D:D,MATCH(744,'بيانات الحركات'!$G:$G,0)),"")</f>
        <v/>
      </c>
      <c r="E745" s="21" t="str">
        <f>IF($B745="إنتاج طبخة","",IFERROR(INDEX('بيانات الحركات'!E:E,MATCH(744,'بيانات الحركات'!$G:$G,0)),""))</f>
        <v/>
      </c>
      <c r="F745" s="3" t="str">
        <f>IFERROR(INDEX('بيانات الحركات'!F:F,MATCH(744,'بيانات الحركات'!$G:$G,0)),"")</f>
        <v/>
      </c>
    </row>
    <row r="746" spans="1:6" ht="21.95" customHeight="1">
      <c r="A746" s="8" t="str">
        <f>IFERROR(INDEX('بيانات الحركات'!A:A,MATCH(745,'بيانات الحركات'!$G:$G,0)),"")</f>
        <v/>
      </c>
      <c r="B746" s="5" t="str">
        <f>IFERROR(INDEX('بيانات الحركات'!B:B,MATCH(745,'بيانات الحركات'!$G:$G,0)),"")</f>
        <v/>
      </c>
      <c r="C746" s="3" t="str">
        <f>IFERROR(INDEX('بيانات الحركات'!C:C,MATCH(745,'بيانات الحركات'!$G:$G,0)),"")</f>
        <v/>
      </c>
      <c r="D746" s="3" t="str">
        <f>IFERROR(INDEX('بيانات الحركات'!D:D,MATCH(745,'بيانات الحركات'!$G:$G,0)),"")</f>
        <v/>
      </c>
      <c r="E746" s="21" t="str">
        <f>IF($B746="إنتاج طبخة","",IFERROR(INDEX('بيانات الحركات'!E:E,MATCH(745,'بيانات الحركات'!$G:$G,0)),""))</f>
        <v/>
      </c>
      <c r="F746" s="3" t="str">
        <f>IFERROR(INDEX('بيانات الحركات'!F:F,MATCH(745,'بيانات الحركات'!$G:$G,0)),"")</f>
        <v/>
      </c>
    </row>
    <row r="747" spans="1:6" ht="21.95" customHeight="1">
      <c r="A747" s="8" t="str">
        <f>IFERROR(INDEX('بيانات الحركات'!A:A,MATCH(746,'بيانات الحركات'!$G:$G,0)),"")</f>
        <v/>
      </c>
      <c r="B747" s="5" t="str">
        <f>IFERROR(INDEX('بيانات الحركات'!B:B,MATCH(746,'بيانات الحركات'!$G:$G,0)),"")</f>
        <v/>
      </c>
      <c r="C747" s="3" t="str">
        <f>IFERROR(INDEX('بيانات الحركات'!C:C,MATCH(746,'بيانات الحركات'!$G:$G,0)),"")</f>
        <v/>
      </c>
      <c r="D747" s="3" t="str">
        <f>IFERROR(INDEX('بيانات الحركات'!D:D,MATCH(746,'بيانات الحركات'!$G:$G,0)),"")</f>
        <v/>
      </c>
      <c r="E747" s="21" t="str">
        <f>IF($B747="إنتاج طبخة","",IFERROR(INDEX('بيانات الحركات'!E:E,MATCH(746,'بيانات الحركات'!$G:$G,0)),""))</f>
        <v/>
      </c>
      <c r="F747" s="3" t="str">
        <f>IFERROR(INDEX('بيانات الحركات'!F:F,MATCH(746,'بيانات الحركات'!$G:$G,0)),"")</f>
        <v/>
      </c>
    </row>
    <row r="748" spans="1:6" ht="21.95" customHeight="1">
      <c r="A748" s="8" t="str">
        <f>IFERROR(INDEX('بيانات الحركات'!A:A,MATCH(747,'بيانات الحركات'!$G:$G,0)),"")</f>
        <v/>
      </c>
      <c r="B748" s="5" t="str">
        <f>IFERROR(INDEX('بيانات الحركات'!B:B,MATCH(747,'بيانات الحركات'!$G:$G,0)),"")</f>
        <v/>
      </c>
      <c r="C748" s="3" t="str">
        <f>IFERROR(INDEX('بيانات الحركات'!C:C,MATCH(747,'بيانات الحركات'!$G:$G,0)),"")</f>
        <v/>
      </c>
      <c r="D748" s="3" t="str">
        <f>IFERROR(INDEX('بيانات الحركات'!D:D,MATCH(747,'بيانات الحركات'!$G:$G,0)),"")</f>
        <v/>
      </c>
      <c r="E748" s="21" t="str">
        <f>IF($B748="إنتاج طبخة","",IFERROR(INDEX('بيانات الحركات'!E:E,MATCH(747,'بيانات الحركات'!$G:$G,0)),""))</f>
        <v/>
      </c>
      <c r="F748" s="3" t="str">
        <f>IFERROR(INDEX('بيانات الحركات'!F:F,MATCH(747,'بيانات الحركات'!$G:$G,0)),"")</f>
        <v/>
      </c>
    </row>
    <row r="749" spans="1:6" ht="21.95" customHeight="1">
      <c r="A749" s="8" t="str">
        <f>IFERROR(INDEX('بيانات الحركات'!A:A,MATCH(748,'بيانات الحركات'!$G:$G,0)),"")</f>
        <v/>
      </c>
      <c r="B749" s="5" t="str">
        <f>IFERROR(INDEX('بيانات الحركات'!B:B,MATCH(748,'بيانات الحركات'!$G:$G,0)),"")</f>
        <v/>
      </c>
      <c r="C749" s="3" t="str">
        <f>IFERROR(INDEX('بيانات الحركات'!C:C,MATCH(748,'بيانات الحركات'!$G:$G,0)),"")</f>
        <v/>
      </c>
      <c r="D749" s="3" t="str">
        <f>IFERROR(INDEX('بيانات الحركات'!D:D,MATCH(748,'بيانات الحركات'!$G:$G,0)),"")</f>
        <v/>
      </c>
      <c r="E749" s="21" t="str">
        <f>IF($B749="إنتاج طبخة","",IFERROR(INDEX('بيانات الحركات'!E:E,MATCH(748,'بيانات الحركات'!$G:$G,0)),""))</f>
        <v/>
      </c>
      <c r="F749" s="3" t="str">
        <f>IFERROR(INDEX('بيانات الحركات'!F:F,MATCH(748,'بيانات الحركات'!$G:$G,0)),"")</f>
        <v/>
      </c>
    </row>
    <row r="750" spans="1:6" ht="21.95" customHeight="1">
      <c r="A750" s="8" t="str">
        <f>IFERROR(INDEX('بيانات الحركات'!A:A,MATCH(749,'بيانات الحركات'!$G:$G,0)),"")</f>
        <v/>
      </c>
      <c r="B750" s="5" t="str">
        <f>IFERROR(INDEX('بيانات الحركات'!B:B,MATCH(749,'بيانات الحركات'!$G:$G,0)),"")</f>
        <v/>
      </c>
      <c r="C750" s="3" t="str">
        <f>IFERROR(INDEX('بيانات الحركات'!C:C,MATCH(749,'بيانات الحركات'!$G:$G,0)),"")</f>
        <v/>
      </c>
      <c r="D750" s="3" t="str">
        <f>IFERROR(INDEX('بيانات الحركات'!D:D,MATCH(749,'بيانات الحركات'!$G:$G,0)),"")</f>
        <v/>
      </c>
      <c r="E750" s="21" t="str">
        <f>IF($B750="إنتاج طبخة","",IFERROR(INDEX('بيانات الحركات'!E:E,MATCH(749,'بيانات الحركات'!$G:$G,0)),""))</f>
        <v/>
      </c>
      <c r="F750" s="3" t="str">
        <f>IFERROR(INDEX('بيانات الحركات'!F:F,MATCH(749,'بيانات الحركات'!$G:$G,0)),"")</f>
        <v/>
      </c>
    </row>
    <row r="751" spans="1:6" ht="21.95" customHeight="1">
      <c r="A751" s="8" t="str">
        <f>IFERROR(INDEX('بيانات الحركات'!A:A,MATCH(750,'بيانات الحركات'!$G:$G,0)),"")</f>
        <v/>
      </c>
      <c r="B751" s="5" t="str">
        <f>IFERROR(INDEX('بيانات الحركات'!B:B,MATCH(750,'بيانات الحركات'!$G:$G,0)),"")</f>
        <v/>
      </c>
      <c r="C751" s="3" t="str">
        <f>IFERROR(INDEX('بيانات الحركات'!C:C,MATCH(750,'بيانات الحركات'!$G:$G,0)),"")</f>
        <v/>
      </c>
      <c r="D751" s="3" t="str">
        <f>IFERROR(INDEX('بيانات الحركات'!D:D,MATCH(750,'بيانات الحركات'!$G:$G,0)),"")</f>
        <v/>
      </c>
      <c r="E751" s="21" t="str">
        <f>IF($B751="إنتاج طبخة","",IFERROR(INDEX('بيانات الحركات'!E:E,MATCH(750,'بيانات الحركات'!$G:$G,0)),""))</f>
        <v/>
      </c>
      <c r="F751" s="3" t="str">
        <f>IFERROR(INDEX('بيانات الحركات'!F:F,MATCH(750,'بيانات الحركات'!$G:$G,0)),"")</f>
        <v/>
      </c>
    </row>
    <row r="752" spans="1:6" ht="21.95" customHeight="1">
      <c r="A752" s="8" t="str">
        <f>IFERROR(INDEX('بيانات الحركات'!A:A,MATCH(751,'بيانات الحركات'!$G:$G,0)),"")</f>
        <v/>
      </c>
      <c r="B752" s="5" t="str">
        <f>IFERROR(INDEX('بيانات الحركات'!B:B,MATCH(751,'بيانات الحركات'!$G:$G,0)),"")</f>
        <v/>
      </c>
      <c r="C752" s="3" t="str">
        <f>IFERROR(INDEX('بيانات الحركات'!C:C,MATCH(751,'بيانات الحركات'!$G:$G,0)),"")</f>
        <v/>
      </c>
      <c r="D752" s="3" t="str">
        <f>IFERROR(INDEX('بيانات الحركات'!D:D,MATCH(751,'بيانات الحركات'!$G:$G,0)),"")</f>
        <v/>
      </c>
      <c r="E752" s="21" t="str">
        <f>IF($B752="إنتاج طبخة","",IFERROR(INDEX('بيانات الحركات'!E:E,MATCH(751,'بيانات الحركات'!$G:$G,0)),""))</f>
        <v/>
      </c>
      <c r="F752" s="3" t="str">
        <f>IFERROR(INDEX('بيانات الحركات'!F:F,MATCH(751,'بيانات الحركات'!$G:$G,0)),"")</f>
        <v/>
      </c>
    </row>
    <row r="753" spans="1:6" ht="21.95" customHeight="1">
      <c r="A753" s="8" t="str">
        <f>IFERROR(INDEX('بيانات الحركات'!A:A,MATCH(752,'بيانات الحركات'!$G:$G,0)),"")</f>
        <v/>
      </c>
      <c r="B753" s="5" t="str">
        <f>IFERROR(INDEX('بيانات الحركات'!B:B,MATCH(752,'بيانات الحركات'!$G:$G,0)),"")</f>
        <v/>
      </c>
      <c r="C753" s="3" t="str">
        <f>IFERROR(INDEX('بيانات الحركات'!C:C,MATCH(752,'بيانات الحركات'!$G:$G,0)),"")</f>
        <v/>
      </c>
      <c r="D753" s="3" t="str">
        <f>IFERROR(INDEX('بيانات الحركات'!D:D,MATCH(752,'بيانات الحركات'!$G:$G,0)),"")</f>
        <v/>
      </c>
      <c r="E753" s="21" t="str">
        <f>IF($B753="إنتاج طبخة","",IFERROR(INDEX('بيانات الحركات'!E:E,MATCH(752,'بيانات الحركات'!$G:$G,0)),""))</f>
        <v/>
      </c>
      <c r="F753" s="3" t="str">
        <f>IFERROR(INDEX('بيانات الحركات'!F:F,MATCH(752,'بيانات الحركات'!$G:$G,0)),"")</f>
        <v/>
      </c>
    </row>
    <row r="754" spans="1:6" ht="21.95" customHeight="1">
      <c r="A754" s="8" t="str">
        <f>IFERROR(INDEX('بيانات الحركات'!A:A,MATCH(753,'بيانات الحركات'!$G:$G,0)),"")</f>
        <v/>
      </c>
      <c r="B754" s="5" t="str">
        <f>IFERROR(INDEX('بيانات الحركات'!B:B,MATCH(753,'بيانات الحركات'!$G:$G,0)),"")</f>
        <v/>
      </c>
      <c r="C754" s="3" t="str">
        <f>IFERROR(INDEX('بيانات الحركات'!C:C,MATCH(753,'بيانات الحركات'!$G:$G,0)),"")</f>
        <v/>
      </c>
      <c r="D754" s="3" t="str">
        <f>IFERROR(INDEX('بيانات الحركات'!D:D,MATCH(753,'بيانات الحركات'!$G:$G,0)),"")</f>
        <v/>
      </c>
      <c r="E754" s="21" t="str">
        <f>IF($B754="إنتاج طبخة","",IFERROR(INDEX('بيانات الحركات'!E:E,MATCH(753,'بيانات الحركات'!$G:$G,0)),""))</f>
        <v/>
      </c>
      <c r="F754" s="3" t="str">
        <f>IFERROR(INDEX('بيانات الحركات'!F:F,MATCH(753,'بيانات الحركات'!$G:$G,0)),"")</f>
        <v/>
      </c>
    </row>
    <row r="755" spans="1:6" ht="21.95" customHeight="1">
      <c r="A755" s="8" t="str">
        <f>IFERROR(INDEX('بيانات الحركات'!A:A,MATCH(754,'بيانات الحركات'!$G:$G,0)),"")</f>
        <v/>
      </c>
      <c r="B755" s="5" t="str">
        <f>IFERROR(INDEX('بيانات الحركات'!B:B,MATCH(754,'بيانات الحركات'!$G:$G,0)),"")</f>
        <v/>
      </c>
      <c r="C755" s="3" t="str">
        <f>IFERROR(INDEX('بيانات الحركات'!C:C,MATCH(754,'بيانات الحركات'!$G:$G,0)),"")</f>
        <v/>
      </c>
      <c r="D755" s="3" t="str">
        <f>IFERROR(INDEX('بيانات الحركات'!D:D,MATCH(754,'بيانات الحركات'!$G:$G,0)),"")</f>
        <v/>
      </c>
      <c r="E755" s="21" t="str">
        <f>IF($B755="إنتاج طبخة","",IFERROR(INDEX('بيانات الحركات'!E:E,MATCH(754,'بيانات الحركات'!$G:$G,0)),""))</f>
        <v/>
      </c>
      <c r="F755" s="3" t="str">
        <f>IFERROR(INDEX('بيانات الحركات'!F:F,MATCH(754,'بيانات الحركات'!$G:$G,0)),"")</f>
        <v/>
      </c>
    </row>
    <row r="756" spans="1:6" ht="21.95" customHeight="1">
      <c r="A756" s="8" t="str">
        <f>IFERROR(INDEX('بيانات الحركات'!A:A,MATCH(755,'بيانات الحركات'!$G:$G,0)),"")</f>
        <v/>
      </c>
      <c r="B756" s="5" t="str">
        <f>IFERROR(INDEX('بيانات الحركات'!B:B,MATCH(755,'بيانات الحركات'!$G:$G,0)),"")</f>
        <v/>
      </c>
      <c r="C756" s="3" t="str">
        <f>IFERROR(INDEX('بيانات الحركات'!C:C,MATCH(755,'بيانات الحركات'!$G:$G,0)),"")</f>
        <v/>
      </c>
      <c r="D756" s="3" t="str">
        <f>IFERROR(INDEX('بيانات الحركات'!D:D,MATCH(755,'بيانات الحركات'!$G:$G,0)),"")</f>
        <v/>
      </c>
      <c r="E756" s="21" t="str">
        <f>IF($B756="إنتاج طبخة","",IFERROR(INDEX('بيانات الحركات'!E:E,MATCH(755,'بيانات الحركات'!$G:$G,0)),""))</f>
        <v/>
      </c>
      <c r="F756" s="3" t="str">
        <f>IFERROR(INDEX('بيانات الحركات'!F:F,MATCH(755,'بيانات الحركات'!$G:$G,0)),"")</f>
        <v/>
      </c>
    </row>
    <row r="757" spans="1:6" ht="21.95" customHeight="1">
      <c r="A757" s="8" t="str">
        <f>IFERROR(INDEX('بيانات الحركات'!A:A,MATCH(756,'بيانات الحركات'!$G:$G,0)),"")</f>
        <v/>
      </c>
      <c r="B757" s="5" t="str">
        <f>IFERROR(INDEX('بيانات الحركات'!B:B,MATCH(756,'بيانات الحركات'!$G:$G,0)),"")</f>
        <v/>
      </c>
      <c r="C757" s="3" t="str">
        <f>IFERROR(INDEX('بيانات الحركات'!C:C,MATCH(756,'بيانات الحركات'!$G:$G,0)),"")</f>
        <v/>
      </c>
      <c r="D757" s="3" t="str">
        <f>IFERROR(INDEX('بيانات الحركات'!D:D,MATCH(756,'بيانات الحركات'!$G:$G,0)),"")</f>
        <v/>
      </c>
      <c r="E757" s="21" t="str">
        <f>IF($B757="إنتاج طبخة","",IFERROR(INDEX('بيانات الحركات'!E:E,MATCH(756,'بيانات الحركات'!$G:$G,0)),""))</f>
        <v/>
      </c>
      <c r="F757" s="3" t="str">
        <f>IFERROR(INDEX('بيانات الحركات'!F:F,MATCH(756,'بيانات الحركات'!$G:$G,0)),"")</f>
        <v/>
      </c>
    </row>
    <row r="758" spans="1:6" ht="21.95" customHeight="1">
      <c r="A758" s="8" t="str">
        <f>IFERROR(INDEX('بيانات الحركات'!A:A,MATCH(757,'بيانات الحركات'!$G:$G,0)),"")</f>
        <v/>
      </c>
      <c r="B758" s="5" t="str">
        <f>IFERROR(INDEX('بيانات الحركات'!B:B,MATCH(757,'بيانات الحركات'!$G:$G,0)),"")</f>
        <v/>
      </c>
      <c r="C758" s="3" t="str">
        <f>IFERROR(INDEX('بيانات الحركات'!C:C,MATCH(757,'بيانات الحركات'!$G:$G,0)),"")</f>
        <v/>
      </c>
      <c r="D758" s="3" t="str">
        <f>IFERROR(INDEX('بيانات الحركات'!D:D,MATCH(757,'بيانات الحركات'!$G:$G,0)),"")</f>
        <v/>
      </c>
      <c r="E758" s="21" t="str">
        <f>IF($B758="إنتاج طبخة","",IFERROR(INDEX('بيانات الحركات'!E:E,MATCH(757,'بيانات الحركات'!$G:$G,0)),""))</f>
        <v/>
      </c>
      <c r="F758" s="3" t="str">
        <f>IFERROR(INDEX('بيانات الحركات'!F:F,MATCH(757,'بيانات الحركات'!$G:$G,0)),"")</f>
        <v/>
      </c>
    </row>
    <row r="759" spans="1:6" ht="21.95" customHeight="1">
      <c r="A759" s="8" t="str">
        <f>IFERROR(INDEX('بيانات الحركات'!A:A,MATCH(758,'بيانات الحركات'!$G:$G,0)),"")</f>
        <v/>
      </c>
      <c r="B759" s="5" t="str">
        <f>IFERROR(INDEX('بيانات الحركات'!B:B,MATCH(758,'بيانات الحركات'!$G:$G,0)),"")</f>
        <v/>
      </c>
      <c r="C759" s="3" t="str">
        <f>IFERROR(INDEX('بيانات الحركات'!C:C,MATCH(758,'بيانات الحركات'!$G:$G,0)),"")</f>
        <v/>
      </c>
      <c r="D759" s="3" t="str">
        <f>IFERROR(INDEX('بيانات الحركات'!D:D,MATCH(758,'بيانات الحركات'!$G:$G,0)),"")</f>
        <v/>
      </c>
      <c r="E759" s="21" t="str">
        <f>IF($B759="إنتاج طبخة","",IFERROR(INDEX('بيانات الحركات'!E:E,MATCH(758,'بيانات الحركات'!$G:$G,0)),""))</f>
        <v/>
      </c>
      <c r="F759" s="3" t="str">
        <f>IFERROR(INDEX('بيانات الحركات'!F:F,MATCH(758,'بيانات الحركات'!$G:$G,0)),"")</f>
        <v/>
      </c>
    </row>
    <row r="760" spans="1:6" ht="21.95" customHeight="1">
      <c r="A760" s="8" t="str">
        <f>IFERROR(INDEX('بيانات الحركات'!A:A,MATCH(759,'بيانات الحركات'!$G:$G,0)),"")</f>
        <v/>
      </c>
      <c r="B760" s="5" t="str">
        <f>IFERROR(INDEX('بيانات الحركات'!B:B,MATCH(759,'بيانات الحركات'!$G:$G,0)),"")</f>
        <v/>
      </c>
      <c r="C760" s="3" t="str">
        <f>IFERROR(INDEX('بيانات الحركات'!C:C,MATCH(759,'بيانات الحركات'!$G:$G,0)),"")</f>
        <v/>
      </c>
      <c r="D760" s="3" t="str">
        <f>IFERROR(INDEX('بيانات الحركات'!D:D,MATCH(759,'بيانات الحركات'!$G:$G,0)),"")</f>
        <v/>
      </c>
      <c r="E760" s="21" t="str">
        <f>IF($B760="إنتاج طبخة","",IFERROR(INDEX('بيانات الحركات'!E:E,MATCH(759,'بيانات الحركات'!$G:$G,0)),""))</f>
        <v/>
      </c>
      <c r="F760" s="3" t="str">
        <f>IFERROR(INDEX('بيانات الحركات'!F:F,MATCH(759,'بيانات الحركات'!$G:$G,0)),"")</f>
        <v/>
      </c>
    </row>
    <row r="761" spans="1:6" ht="21.95" customHeight="1">
      <c r="A761" s="8" t="str">
        <f>IFERROR(INDEX('بيانات الحركات'!A:A,MATCH(760,'بيانات الحركات'!$G:$G,0)),"")</f>
        <v/>
      </c>
      <c r="B761" s="5" t="str">
        <f>IFERROR(INDEX('بيانات الحركات'!B:B,MATCH(760,'بيانات الحركات'!$G:$G,0)),"")</f>
        <v/>
      </c>
      <c r="C761" s="3" t="str">
        <f>IFERROR(INDEX('بيانات الحركات'!C:C,MATCH(760,'بيانات الحركات'!$G:$G,0)),"")</f>
        <v/>
      </c>
      <c r="D761" s="3" t="str">
        <f>IFERROR(INDEX('بيانات الحركات'!D:D,MATCH(760,'بيانات الحركات'!$G:$G,0)),"")</f>
        <v/>
      </c>
      <c r="E761" s="21" t="str">
        <f>IF($B761="إنتاج طبخة","",IFERROR(INDEX('بيانات الحركات'!E:E,MATCH(760,'بيانات الحركات'!$G:$G,0)),""))</f>
        <v/>
      </c>
      <c r="F761" s="3" t="str">
        <f>IFERROR(INDEX('بيانات الحركات'!F:F,MATCH(760,'بيانات الحركات'!$G:$G,0)),"")</f>
        <v/>
      </c>
    </row>
    <row r="762" spans="1:6" ht="21.95" customHeight="1">
      <c r="A762" s="8" t="str">
        <f>IFERROR(INDEX('بيانات الحركات'!A:A,MATCH(761,'بيانات الحركات'!$G:$G,0)),"")</f>
        <v/>
      </c>
      <c r="B762" s="5" t="str">
        <f>IFERROR(INDEX('بيانات الحركات'!B:B,MATCH(761,'بيانات الحركات'!$G:$G,0)),"")</f>
        <v/>
      </c>
      <c r="C762" s="3" t="str">
        <f>IFERROR(INDEX('بيانات الحركات'!C:C,MATCH(761,'بيانات الحركات'!$G:$G,0)),"")</f>
        <v/>
      </c>
      <c r="D762" s="3" t="str">
        <f>IFERROR(INDEX('بيانات الحركات'!D:D,MATCH(761,'بيانات الحركات'!$G:$G,0)),"")</f>
        <v/>
      </c>
      <c r="E762" s="21" t="str">
        <f>IF($B762="إنتاج طبخة","",IFERROR(INDEX('بيانات الحركات'!E:E,MATCH(761,'بيانات الحركات'!$G:$G,0)),""))</f>
        <v/>
      </c>
      <c r="F762" s="3" t="str">
        <f>IFERROR(INDEX('بيانات الحركات'!F:F,MATCH(761,'بيانات الحركات'!$G:$G,0)),"")</f>
        <v/>
      </c>
    </row>
    <row r="763" spans="1:6" ht="21.95" customHeight="1">
      <c r="A763" s="8" t="str">
        <f>IFERROR(INDEX('بيانات الحركات'!A:A,MATCH(762,'بيانات الحركات'!$G:$G,0)),"")</f>
        <v/>
      </c>
      <c r="B763" s="5" t="str">
        <f>IFERROR(INDEX('بيانات الحركات'!B:B,MATCH(762,'بيانات الحركات'!$G:$G,0)),"")</f>
        <v/>
      </c>
      <c r="C763" s="3" t="str">
        <f>IFERROR(INDEX('بيانات الحركات'!C:C,MATCH(762,'بيانات الحركات'!$G:$G,0)),"")</f>
        <v/>
      </c>
      <c r="D763" s="3" t="str">
        <f>IFERROR(INDEX('بيانات الحركات'!D:D,MATCH(762,'بيانات الحركات'!$G:$G,0)),"")</f>
        <v/>
      </c>
      <c r="E763" s="21" t="str">
        <f>IF($B763="إنتاج طبخة","",IFERROR(INDEX('بيانات الحركات'!E:E,MATCH(762,'بيانات الحركات'!$G:$G,0)),""))</f>
        <v/>
      </c>
      <c r="F763" s="3" t="str">
        <f>IFERROR(INDEX('بيانات الحركات'!F:F,MATCH(762,'بيانات الحركات'!$G:$G,0)),"")</f>
        <v/>
      </c>
    </row>
    <row r="764" spans="1:6" ht="21.95" customHeight="1">
      <c r="A764" s="8" t="str">
        <f>IFERROR(INDEX('بيانات الحركات'!A:A,MATCH(763,'بيانات الحركات'!$G:$G,0)),"")</f>
        <v/>
      </c>
      <c r="B764" s="5" t="str">
        <f>IFERROR(INDEX('بيانات الحركات'!B:B,MATCH(763,'بيانات الحركات'!$G:$G,0)),"")</f>
        <v/>
      </c>
      <c r="C764" s="3" t="str">
        <f>IFERROR(INDEX('بيانات الحركات'!C:C,MATCH(763,'بيانات الحركات'!$G:$G,0)),"")</f>
        <v/>
      </c>
      <c r="D764" s="3" t="str">
        <f>IFERROR(INDEX('بيانات الحركات'!D:D,MATCH(763,'بيانات الحركات'!$G:$G,0)),"")</f>
        <v/>
      </c>
      <c r="E764" s="21" t="str">
        <f>IF($B764="إنتاج طبخة","",IFERROR(INDEX('بيانات الحركات'!E:E,MATCH(763,'بيانات الحركات'!$G:$G,0)),""))</f>
        <v/>
      </c>
      <c r="F764" s="3" t="str">
        <f>IFERROR(INDEX('بيانات الحركات'!F:F,MATCH(763,'بيانات الحركات'!$G:$G,0)),"")</f>
        <v/>
      </c>
    </row>
    <row r="765" spans="1:6" ht="21.95" customHeight="1">
      <c r="A765" s="8" t="str">
        <f>IFERROR(INDEX('بيانات الحركات'!A:A,MATCH(764,'بيانات الحركات'!$G:$G,0)),"")</f>
        <v/>
      </c>
      <c r="B765" s="5" t="str">
        <f>IFERROR(INDEX('بيانات الحركات'!B:B,MATCH(764,'بيانات الحركات'!$G:$G,0)),"")</f>
        <v/>
      </c>
      <c r="C765" s="3" t="str">
        <f>IFERROR(INDEX('بيانات الحركات'!C:C,MATCH(764,'بيانات الحركات'!$G:$G,0)),"")</f>
        <v/>
      </c>
      <c r="D765" s="3" t="str">
        <f>IFERROR(INDEX('بيانات الحركات'!D:D,MATCH(764,'بيانات الحركات'!$G:$G,0)),"")</f>
        <v/>
      </c>
      <c r="E765" s="21" t="str">
        <f>IF($B765="إنتاج طبخة","",IFERROR(INDEX('بيانات الحركات'!E:E,MATCH(764,'بيانات الحركات'!$G:$G,0)),""))</f>
        <v/>
      </c>
      <c r="F765" s="3" t="str">
        <f>IFERROR(INDEX('بيانات الحركات'!F:F,MATCH(764,'بيانات الحركات'!$G:$G,0)),"")</f>
        <v/>
      </c>
    </row>
    <row r="766" spans="1:6" ht="21.95" customHeight="1">
      <c r="A766" s="8" t="str">
        <f>IFERROR(INDEX('بيانات الحركات'!A:A,MATCH(765,'بيانات الحركات'!$G:$G,0)),"")</f>
        <v/>
      </c>
      <c r="B766" s="5" t="str">
        <f>IFERROR(INDEX('بيانات الحركات'!B:B,MATCH(765,'بيانات الحركات'!$G:$G,0)),"")</f>
        <v/>
      </c>
      <c r="C766" s="3" t="str">
        <f>IFERROR(INDEX('بيانات الحركات'!C:C,MATCH(765,'بيانات الحركات'!$G:$G,0)),"")</f>
        <v/>
      </c>
      <c r="D766" s="3" t="str">
        <f>IFERROR(INDEX('بيانات الحركات'!D:D,MATCH(765,'بيانات الحركات'!$G:$G,0)),"")</f>
        <v/>
      </c>
      <c r="E766" s="21" t="str">
        <f>IF($B766="إنتاج طبخة","",IFERROR(INDEX('بيانات الحركات'!E:E,MATCH(765,'بيانات الحركات'!$G:$G,0)),""))</f>
        <v/>
      </c>
      <c r="F766" s="3" t="str">
        <f>IFERROR(INDEX('بيانات الحركات'!F:F,MATCH(765,'بيانات الحركات'!$G:$G,0)),"")</f>
        <v/>
      </c>
    </row>
    <row r="767" spans="1:6" ht="21.95" customHeight="1">
      <c r="A767" s="8" t="str">
        <f>IFERROR(INDEX('بيانات الحركات'!A:A,MATCH(766,'بيانات الحركات'!$G:$G,0)),"")</f>
        <v/>
      </c>
      <c r="B767" s="5" t="str">
        <f>IFERROR(INDEX('بيانات الحركات'!B:B,MATCH(766,'بيانات الحركات'!$G:$G,0)),"")</f>
        <v/>
      </c>
      <c r="C767" s="3" t="str">
        <f>IFERROR(INDEX('بيانات الحركات'!C:C,MATCH(766,'بيانات الحركات'!$G:$G,0)),"")</f>
        <v/>
      </c>
      <c r="D767" s="3" t="str">
        <f>IFERROR(INDEX('بيانات الحركات'!D:D,MATCH(766,'بيانات الحركات'!$G:$G,0)),"")</f>
        <v/>
      </c>
      <c r="E767" s="21" t="str">
        <f>IF($B767="إنتاج طبخة","",IFERROR(INDEX('بيانات الحركات'!E:E,MATCH(766,'بيانات الحركات'!$G:$G,0)),""))</f>
        <v/>
      </c>
      <c r="F767" s="3" t="str">
        <f>IFERROR(INDEX('بيانات الحركات'!F:F,MATCH(766,'بيانات الحركات'!$G:$G,0)),"")</f>
        <v/>
      </c>
    </row>
    <row r="768" spans="1:6" ht="21.95" customHeight="1">
      <c r="A768" s="8" t="str">
        <f>IFERROR(INDEX('بيانات الحركات'!A:A,MATCH(767,'بيانات الحركات'!$G:$G,0)),"")</f>
        <v/>
      </c>
      <c r="B768" s="5" t="str">
        <f>IFERROR(INDEX('بيانات الحركات'!B:B,MATCH(767,'بيانات الحركات'!$G:$G,0)),"")</f>
        <v/>
      </c>
      <c r="C768" s="3" t="str">
        <f>IFERROR(INDEX('بيانات الحركات'!C:C,MATCH(767,'بيانات الحركات'!$G:$G,0)),"")</f>
        <v/>
      </c>
      <c r="D768" s="3" t="str">
        <f>IFERROR(INDEX('بيانات الحركات'!D:D,MATCH(767,'بيانات الحركات'!$G:$G,0)),"")</f>
        <v/>
      </c>
      <c r="E768" s="21" t="str">
        <f>IF($B768="إنتاج طبخة","",IFERROR(INDEX('بيانات الحركات'!E:E,MATCH(767,'بيانات الحركات'!$G:$G,0)),""))</f>
        <v/>
      </c>
      <c r="F768" s="3" t="str">
        <f>IFERROR(INDEX('بيانات الحركات'!F:F,MATCH(767,'بيانات الحركات'!$G:$G,0)),"")</f>
        <v/>
      </c>
    </row>
    <row r="769" spans="1:6" ht="21.95" customHeight="1">
      <c r="A769" s="8" t="str">
        <f>IFERROR(INDEX('بيانات الحركات'!A:A,MATCH(768,'بيانات الحركات'!$G:$G,0)),"")</f>
        <v/>
      </c>
      <c r="B769" s="5" t="str">
        <f>IFERROR(INDEX('بيانات الحركات'!B:B,MATCH(768,'بيانات الحركات'!$G:$G,0)),"")</f>
        <v/>
      </c>
      <c r="C769" s="3" t="str">
        <f>IFERROR(INDEX('بيانات الحركات'!C:C,MATCH(768,'بيانات الحركات'!$G:$G,0)),"")</f>
        <v/>
      </c>
      <c r="D769" s="3" t="str">
        <f>IFERROR(INDEX('بيانات الحركات'!D:D,MATCH(768,'بيانات الحركات'!$G:$G,0)),"")</f>
        <v/>
      </c>
      <c r="E769" s="21" t="str">
        <f>IF($B769="إنتاج طبخة","",IFERROR(INDEX('بيانات الحركات'!E:E,MATCH(768,'بيانات الحركات'!$G:$G,0)),""))</f>
        <v/>
      </c>
      <c r="F769" s="3" t="str">
        <f>IFERROR(INDEX('بيانات الحركات'!F:F,MATCH(768,'بيانات الحركات'!$G:$G,0)),"")</f>
        <v/>
      </c>
    </row>
    <row r="770" spans="1:6" ht="21.95" customHeight="1">
      <c r="A770" s="8" t="str">
        <f>IFERROR(INDEX('بيانات الحركات'!A:A,MATCH(769,'بيانات الحركات'!$G:$G,0)),"")</f>
        <v/>
      </c>
      <c r="B770" s="5" t="str">
        <f>IFERROR(INDEX('بيانات الحركات'!B:B,MATCH(769,'بيانات الحركات'!$G:$G,0)),"")</f>
        <v/>
      </c>
      <c r="C770" s="3" t="str">
        <f>IFERROR(INDEX('بيانات الحركات'!C:C,MATCH(769,'بيانات الحركات'!$G:$G,0)),"")</f>
        <v/>
      </c>
      <c r="D770" s="3" t="str">
        <f>IFERROR(INDEX('بيانات الحركات'!D:D,MATCH(769,'بيانات الحركات'!$G:$G,0)),"")</f>
        <v/>
      </c>
      <c r="E770" s="21" t="str">
        <f>IF($B770="إنتاج طبخة","",IFERROR(INDEX('بيانات الحركات'!E:E,MATCH(769,'بيانات الحركات'!$G:$G,0)),""))</f>
        <v/>
      </c>
      <c r="F770" s="3" t="str">
        <f>IFERROR(INDEX('بيانات الحركات'!F:F,MATCH(769,'بيانات الحركات'!$G:$G,0)),"")</f>
        <v/>
      </c>
    </row>
    <row r="771" spans="1:6" ht="21.95" customHeight="1">
      <c r="A771" s="8" t="str">
        <f>IFERROR(INDEX('بيانات الحركات'!A:A,MATCH(770,'بيانات الحركات'!$G:$G,0)),"")</f>
        <v/>
      </c>
      <c r="B771" s="5" t="str">
        <f>IFERROR(INDEX('بيانات الحركات'!B:B,MATCH(770,'بيانات الحركات'!$G:$G,0)),"")</f>
        <v/>
      </c>
      <c r="C771" s="3" t="str">
        <f>IFERROR(INDEX('بيانات الحركات'!C:C,MATCH(770,'بيانات الحركات'!$G:$G,0)),"")</f>
        <v/>
      </c>
      <c r="D771" s="3" t="str">
        <f>IFERROR(INDEX('بيانات الحركات'!D:D,MATCH(770,'بيانات الحركات'!$G:$G,0)),"")</f>
        <v/>
      </c>
      <c r="E771" s="21" t="str">
        <f>IF($B771="إنتاج طبخة","",IFERROR(INDEX('بيانات الحركات'!E:E,MATCH(770,'بيانات الحركات'!$G:$G,0)),""))</f>
        <v/>
      </c>
      <c r="F771" s="3" t="str">
        <f>IFERROR(INDEX('بيانات الحركات'!F:F,MATCH(770,'بيانات الحركات'!$G:$G,0)),"")</f>
        <v/>
      </c>
    </row>
    <row r="772" spans="1:6" ht="21.95" customHeight="1">
      <c r="A772" s="8" t="str">
        <f>IFERROR(INDEX('بيانات الحركات'!A:A,MATCH(771,'بيانات الحركات'!$G:$G,0)),"")</f>
        <v/>
      </c>
      <c r="B772" s="5" t="str">
        <f>IFERROR(INDEX('بيانات الحركات'!B:B,MATCH(771,'بيانات الحركات'!$G:$G,0)),"")</f>
        <v/>
      </c>
      <c r="C772" s="3" t="str">
        <f>IFERROR(INDEX('بيانات الحركات'!C:C,MATCH(771,'بيانات الحركات'!$G:$G,0)),"")</f>
        <v/>
      </c>
      <c r="D772" s="3" t="str">
        <f>IFERROR(INDEX('بيانات الحركات'!D:D,MATCH(771,'بيانات الحركات'!$G:$G,0)),"")</f>
        <v/>
      </c>
      <c r="E772" s="21" t="str">
        <f>IF($B772="إنتاج طبخة","",IFERROR(INDEX('بيانات الحركات'!E:E,MATCH(771,'بيانات الحركات'!$G:$G,0)),""))</f>
        <v/>
      </c>
      <c r="F772" s="3" t="str">
        <f>IFERROR(INDEX('بيانات الحركات'!F:F,MATCH(771,'بيانات الحركات'!$G:$G,0)),"")</f>
        <v/>
      </c>
    </row>
    <row r="773" spans="1:6" ht="21.95" customHeight="1">
      <c r="A773" s="8" t="str">
        <f>IFERROR(INDEX('بيانات الحركات'!A:A,MATCH(772,'بيانات الحركات'!$G:$G,0)),"")</f>
        <v/>
      </c>
      <c r="B773" s="5" t="str">
        <f>IFERROR(INDEX('بيانات الحركات'!B:B,MATCH(772,'بيانات الحركات'!$G:$G,0)),"")</f>
        <v/>
      </c>
      <c r="C773" s="3" t="str">
        <f>IFERROR(INDEX('بيانات الحركات'!C:C,MATCH(772,'بيانات الحركات'!$G:$G,0)),"")</f>
        <v/>
      </c>
      <c r="D773" s="3" t="str">
        <f>IFERROR(INDEX('بيانات الحركات'!D:D,MATCH(772,'بيانات الحركات'!$G:$G,0)),"")</f>
        <v/>
      </c>
      <c r="E773" s="21" t="str">
        <f>IF($B773="إنتاج طبخة","",IFERROR(INDEX('بيانات الحركات'!E:E,MATCH(772,'بيانات الحركات'!$G:$G,0)),""))</f>
        <v/>
      </c>
      <c r="F773" s="3" t="str">
        <f>IFERROR(INDEX('بيانات الحركات'!F:F,MATCH(772,'بيانات الحركات'!$G:$G,0)),"")</f>
        <v/>
      </c>
    </row>
    <row r="774" spans="1:6" ht="21.95" customHeight="1">
      <c r="A774" s="8" t="str">
        <f>IFERROR(INDEX('بيانات الحركات'!A:A,MATCH(773,'بيانات الحركات'!$G:$G,0)),"")</f>
        <v/>
      </c>
      <c r="B774" s="5" t="str">
        <f>IFERROR(INDEX('بيانات الحركات'!B:B,MATCH(773,'بيانات الحركات'!$G:$G,0)),"")</f>
        <v/>
      </c>
      <c r="C774" s="3" t="str">
        <f>IFERROR(INDEX('بيانات الحركات'!C:C,MATCH(773,'بيانات الحركات'!$G:$G,0)),"")</f>
        <v/>
      </c>
      <c r="D774" s="3" t="str">
        <f>IFERROR(INDEX('بيانات الحركات'!D:D,MATCH(773,'بيانات الحركات'!$G:$G,0)),"")</f>
        <v/>
      </c>
      <c r="E774" s="21" t="str">
        <f>IF($B774="إنتاج طبخة","",IFERROR(INDEX('بيانات الحركات'!E:E,MATCH(773,'بيانات الحركات'!$G:$G,0)),""))</f>
        <v/>
      </c>
      <c r="F774" s="3" t="str">
        <f>IFERROR(INDEX('بيانات الحركات'!F:F,MATCH(773,'بيانات الحركات'!$G:$G,0)),"")</f>
        <v/>
      </c>
    </row>
    <row r="775" spans="1:6" ht="21.95" customHeight="1">
      <c r="A775" s="8" t="str">
        <f>IFERROR(INDEX('بيانات الحركات'!A:A,MATCH(774,'بيانات الحركات'!$G:$G,0)),"")</f>
        <v/>
      </c>
      <c r="B775" s="5" t="str">
        <f>IFERROR(INDEX('بيانات الحركات'!B:B,MATCH(774,'بيانات الحركات'!$G:$G,0)),"")</f>
        <v/>
      </c>
      <c r="C775" s="3" t="str">
        <f>IFERROR(INDEX('بيانات الحركات'!C:C,MATCH(774,'بيانات الحركات'!$G:$G,0)),"")</f>
        <v/>
      </c>
      <c r="D775" s="3" t="str">
        <f>IFERROR(INDEX('بيانات الحركات'!D:D,MATCH(774,'بيانات الحركات'!$G:$G,0)),"")</f>
        <v/>
      </c>
      <c r="E775" s="21" t="str">
        <f>IF($B775="إنتاج طبخة","",IFERROR(INDEX('بيانات الحركات'!E:E,MATCH(774,'بيانات الحركات'!$G:$G,0)),""))</f>
        <v/>
      </c>
      <c r="F775" s="3" t="str">
        <f>IFERROR(INDEX('بيانات الحركات'!F:F,MATCH(774,'بيانات الحركات'!$G:$G,0)),"")</f>
        <v/>
      </c>
    </row>
    <row r="776" spans="1:6" ht="21.95" customHeight="1">
      <c r="A776" s="8" t="str">
        <f>IFERROR(INDEX('بيانات الحركات'!A:A,MATCH(775,'بيانات الحركات'!$G:$G,0)),"")</f>
        <v/>
      </c>
      <c r="B776" s="5" t="str">
        <f>IFERROR(INDEX('بيانات الحركات'!B:B,MATCH(775,'بيانات الحركات'!$G:$G,0)),"")</f>
        <v/>
      </c>
      <c r="C776" s="3" t="str">
        <f>IFERROR(INDEX('بيانات الحركات'!C:C,MATCH(775,'بيانات الحركات'!$G:$G,0)),"")</f>
        <v/>
      </c>
      <c r="D776" s="3" t="str">
        <f>IFERROR(INDEX('بيانات الحركات'!D:D,MATCH(775,'بيانات الحركات'!$G:$G,0)),"")</f>
        <v/>
      </c>
      <c r="E776" s="21" t="str">
        <f>IF($B776="إنتاج طبخة","",IFERROR(INDEX('بيانات الحركات'!E:E,MATCH(775,'بيانات الحركات'!$G:$G,0)),""))</f>
        <v/>
      </c>
      <c r="F776" s="3" t="str">
        <f>IFERROR(INDEX('بيانات الحركات'!F:F,MATCH(775,'بيانات الحركات'!$G:$G,0)),"")</f>
        <v/>
      </c>
    </row>
    <row r="777" spans="1:6" ht="21.95" customHeight="1">
      <c r="A777" s="8" t="str">
        <f>IFERROR(INDEX('بيانات الحركات'!A:A,MATCH(776,'بيانات الحركات'!$G:$G,0)),"")</f>
        <v/>
      </c>
      <c r="B777" s="5" t="str">
        <f>IFERROR(INDEX('بيانات الحركات'!B:B,MATCH(776,'بيانات الحركات'!$G:$G,0)),"")</f>
        <v/>
      </c>
      <c r="C777" s="3" t="str">
        <f>IFERROR(INDEX('بيانات الحركات'!C:C,MATCH(776,'بيانات الحركات'!$G:$G,0)),"")</f>
        <v/>
      </c>
      <c r="D777" s="3" t="str">
        <f>IFERROR(INDEX('بيانات الحركات'!D:D,MATCH(776,'بيانات الحركات'!$G:$G,0)),"")</f>
        <v/>
      </c>
      <c r="E777" s="21" t="str">
        <f>IF($B777="إنتاج طبخة","",IFERROR(INDEX('بيانات الحركات'!E:E,MATCH(776,'بيانات الحركات'!$G:$G,0)),""))</f>
        <v/>
      </c>
      <c r="F777" s="3" t="str">
        <f>IFERROR(INDEX('بيانات الحركات'!F:F,MATCH(776,'بيانات الحركات'!$G:$G,0)),"")</f>
        <v/>
      </c>
    </row>
    <row r="778" spans="1:6" ht="21.95" customHeight="1">
      <c r="A778" s="8" t="str">
        <f>IFERROR(INDEX('بيانات الحركات'!A:A,MATCH(777,'بيانات الحركات'!$G:$G,0)),"")</f>
        <v/>
      </c>
      <c r="B778" s="5" t="str">
        <f>IFERROR(INDEX('بيانات الحركات'!B:B,MATCH(777,'بيانات الحركات'!$G:$G,0)),"")</f>
        <v/>
      </c>
      <c r="C778" s="3" t="str">
        <f>IFERROR(INDEX('بيانات الحركات'!C:C,MATCH(777,'بيانات الحركات'!$G:$G,0)),"")</f>
        <v/>
      </c>
      <c r="D778" s="3" t="str">
        <f>IFERROR(INDEX('بيانات الحركات'!D:D,MATCH(777,'بيانات الحركات'!$G:$G,0)),"")</f>
        <v/>
      </c>
      <c r="E778" s="21" t="str">
        <f>IF($B778="إنتاج طبخة","",IFERROR(INDEX('بيانات الحركات'!E:E,MATCH(777,'بيانات الحركات'!$G:$G,0)),""))</f>
        <v/>
      </c>
      <c r="F778" s="3" t="str">
        <f>IFERROR(INDEX('بيانات الحركات'!F:F,MATCH(777,'بيانات الحركات'!$G:$G,0)),"")</f>
        <v/>
      </c>
    </row>
    <row r="779" spans="1:6" ht="21.95" customHeight="1">
      <c r="A779" s="8" t="str">
        <f>IFERROR(INDEX('بيانات الحركات'!A:A,MATCH(778,'بيانات الحركات'!$G:$G,0)),"")</f>
        <v/>
      </c>
      <c r="B779" s="5" t="str">
        <f>IFERROR(INDEX('بيانات الحركات'!B:B,MATCH(778,'بيانات الحركات'!$G:$G,0)),"")</f>
        <v/>
      </c>
      <c r="C779" s="3" t="str">
        <f>IFERROR(INDEX('بيانات الحركات'!C:C,MATCH(778,'بيانات الحركات'!$G:$G,0)),"")</f>
        <v/>
      </c>
      <c r="D779" s="3" t="str">
        <f>IFERROR(INDEX('بيانات الحركات'!D:D,MATCH(778,'بيانات الحركات'!$G:$G,0)),"")</f>
        <v/>
      </c>
      <c r="E779" s="21" t="str">
        <f>IF($B779="إنتاج طبخة","",IFERROR(INDEX('بيانات الحركات'!E:E,MATCH(778,'بيانات الحركات'!$G:$G,0)),""))</f>
        <v/>
      </c>
      <c r="F779" s="3" t="str">
        <f>IFERROR(INDEX('بيانات الحركات'!F:F,MATCH(778,'بيانات الحركات'!$G:$G,0)),"")</f>
        <v/>
      </c>
    </row>
    <row r="780" spans="1:6" ht="21.95" customHeight="1">
      <c r="A780" s="8" t="str">
        <f>IFERROR(INDEX('بيانات الحركات'!A:A,MATCH(779,'بيانات الحركات'!$G:$G,0)),"")</f>
        <v/>
      </c>
      <c r="B780" s="5" t="str">
        <f>IFERROR(INDEX('بيانات الحركات'!B:B,MATCH(779,'بيانات الحركات'!$G:$G,0)),"")</f>
        <v/>
      </c>
      <c r="C780" s="3" t="str">
        <f>IFERROR(INDEX('بيانات الحركات'!C:C,MATCH(779,'بيانات الحركات'!$G:$G,0)),"")</f>
        <v/>
      </c>
      <c r="D780" s="3" t="str">
        <f>IFERROR(INDEX('بيانات الحركات'!D:D,MATCH(779,'بيانات الحركات'!$G:$G,0)),"")</f>
        <v/>
      </c>
      <c r="E780" s="21" t="str">
        <f>IF($B780="إنتاج طبخة","",IFERROR(INDEX('بيانات الحركات'!E:E,MATCH(779,'بيانات الحركات'!$G:$G,0)),""))</f>
        <v/>
      </c>
      <c r="F780" s="3" t="str">
        <f>IFERROR(INDEX('بيانات الحركات'!F:F,MATCH(779,'بيانات الحركات'!$G:$G,0)),"")</f>
        <v/>
      </c>
    </row>
    <row r="781" spans="1:6" ht="21.95" customHeight="1">
      <c r="A781" s="8" t="str">
        <f>IFERROR(INDEX('بيانات الحركات'!A:A,MATCH(780,'بيانات الحركات'!$G:$G,0)),"")</f>
        <v/>
      </c>
      <c r="B781" s="5" t="str">
        <f>IFERROR(INDEX('بيانات الحركات'!B:B,MATCH(780,'بيانات الحركات'!$G:$G,0)),"")</f>
        <v/>
      </c>
      <c r="C781" s="3" t="str">
        <f>IFERROR(INDEX('بيانات الحركات'!C:C,MATCH(780,'بيانات الحركات'!$G:$G,0)),"")</f>
        <v/>
      </c>
      <c r="D781" s="3" t="str">
        <f>IFERROR(INDEX('بيانات الحركات'!D:D,MATCH(780,'بيانات الحركات'!$G:$G,0)),"")</f>
        <v/>
      </c>
      <c r="E781" s="21" t="str">
        <f>IF($B781="إنتاج طبخة","",IFERROR(INDEX('بيانات الحركات'!E:E,MATCH(780,'بيانات الحركات'!$G:$G,0)),""))</f>
        <v/>
      </c>
      <c r="F781" s="3" t="str">
        <f>IFERROR(INDEX('بيانات الحركات'!F:F,MATCH(780,'بيانات الحركات'!$G:$G,0)),"")</f>
        <v/>
      </c>
    </row>
    <row r="782" spans="1:6" ht="21.95" customHeight="1">
      <c r="A782" s="8" t="str">
        <f>IFERROR(INDEX('بيانات الحركات'!A:A,MATCH(781,'بيانات الحركات'!$G:$G,0)),"")</f>
        <v/>
      </c>
      <c r="B782" s="5" t="str">
        <f>IFERROR(INDEX('بيانات الحركات'!B:B,MATCH(781,'بيانات الحركات'!$G:$G,0)),"")</f>
        <v/>
      </c>
      <c r="C782" s="3" t="str">
        <f>IFERROR(INDEX('بيانات الحركات'!C:C,MATCH(781,'بيانات الحركات'!$G:$G,0)),"")</f>
        <v/>
      </c>
      <c r="D782" s="3" t="str">
        <f>IFERROR(INDEX('بيانات الحركات'!D:D,MATCH(781,'بيانات الحركات'!$G:$G,0)),"")</f>
        <v/>
      </c>
      <c r="E782" s="21" t="str">
        <f>IF($B782="إنتاج طبخة","",IFERROR(INDEX('بيانات الحركات'!E:E,MATCH(781,'بيانات الحركات'!$G:$G,0)),""))</f>
        <v/>
      </c>
      <c r="F782" s="3" t="str">
        <f>IFERROR(INDEX('بيانات الحركات'!F:F,MATCH(781,'بيانات الحركات'!$G:$G,0)),"")</f>
        <v/>
      </c>
    </row>
    <row r="783" spans="1:6" ht="21.95" customHeight="1">
      <c r="A783" s="8" t="str">
        <f>IFERROR(INDEX('بيانات الحركات'!A:A,MATCH(782,'بيانات الحركات'!$G:$G,0)),"")</f>
        <v/>
      </c>
      <c r="B783" s="5" t="str">
        <f>IFERROR(INDEX('بيانات الحركات'!B:B,MATCH(782,'بيانات الحركات'!$G:$G,0)),"")</f>
        <v/>
      </c>
      <c r="C783" s="3" t="str">
        <f>IFERROR(INDEX('بيانات الحركات'!C:C,MATCH(782,'بيانات الحركات'!$G:$G,0)),"")</f>
        <v/>
      </c>
      <c r="D783" s="3" t="str">
        <f>IFERROR(INDEX('بيانات الحركات'!D:D,MATCH(782,'بيانات الحركات'!$G:$G,0)),"")</f>
        <v/>
      </c>
      <c r="E783" s="21" t="str">
        <f>IF($B783="إنتاج طبخة","",IFERROR(INDEX('بيانات الحركات'!E:E,MATCH(782,'بيانات الحركات'!$G:$G,0)),""))</f>
        <v/>
      </c>
      <c r="F783" s="3" t="str">
        <f>IFERROR(INDEX('بيانات الحركات'!F:F,MATCH(782,'بيانات الحركات'!$G:$G,0)),"")</f>
        <v/>
      </c>
    </row>
    <row r="784" spans="1:6" ht="21.95" customHeight="1">
      <c r="A784" s="8" t="str">
        <f>IFERROR(INDEX('بيانات الحركات'!A:A,MATCH(783,'بيانات الحركات'!$G:$G,0)),"")</f>
        <v/>
      </c>
      <c r="B784" s="5" t="str">
        <f>IFERROR(INDEX('بيانات الحركات'!B:B,MATCH(783,'بيانات الحركات'!$G:$G,0)),"")</f>
        <v/>
      </c>
      <c r="C784" s="3" t="str">
        <f>IFERROR(INDEX('بيانات الحركات'!C:C,MATCH(783,'بيانات الحركات'!$G:$G,0)),"")</f>
        <v/>
      </c>
      <c r="D784" s="3" t="str">
        <f>IFERROR(INDEX('بيانات الحركات'!D:D,MATCH(783,'بيانات الحركات'!$G:$G,0)),"")</f>
        <v/>
      </c>
      <c r="E784" s="21" t="str">
        <f>IF($B784="إنتاج طبخة","",IFERROR(INDEX('بيانات الحركات'!E:E,MATCH(783,'بيانات الحركات'!$G:$G,0)),""))</f>
        <v/>
      </c>
      <c r="F784" s="3" t="str">
        <f>IFERROR(INDEX('بيانات الحركات'!F:F,MATCH(783,'بيانات الحركات'!$G:$G,0)),"")</f>
        <v/>
      </c>
    </row>
    <row r="785" spans="1:6" ht="21.95" customHeight="1">
      <c r="A785" s="8" t="str">
        <f>IFERROR(INDEX('بيانات الحركات'!A:A,MATCH(784,'بيانات الحركات'!$G:$G,0)),"")</f>
        <v/>
      </c>
      <c r="B785" s="5" t="str">
        <f>IFERROR(INDEX('بيانات الحركات'!B:B,MATCH(784,'بيانات الحركات'!$G:$G,0)),"")</f>
        <v/>
      </c>
      <c r="C785" s="3" t="str">
        <f>IFERROR(INDEX('بيانات الحركات'!C:C,MATCH(784,'بيانات الحركات'!$G:$G,0)),"")</f>
        <v/>
      </c>
      <c r="D785" s="3" t="str">
        <f>IFERROR(INDEX('بيانات الحركات'!D:D,MATCH(784,'بيانات الحركات'!$G:$G,0)),"")</f>
        <v/>
      </c>
      <c r="E785" s="21" t="str">
        <f>IF($B785="إنتاج طبخة","",IFERROR(INDEX('بيانات الحركات'!E:E,MATCH(784,'بيانات الحركات'!$G:$G,0)),""))</f>
        <v/>
      </c>
      <c r="F785" s="3" t="str">
        <f>IFERROR(INDEX('بيانات الحركات'!F:F,MATCH(784,'بيانات الحركات'!$G:$G,0)),"")</f>
        <v/>
      </c>
    </row>
    <row r="786" spans="1:6" ht="21.95" customHeight="1">
      <c r="A786" s="8" t="str">
        <f>IFERROR(INDEX('بيانات الحركات'!A:A,MATCH(785,'بيانات الحركات'!$G:$G,0)),"")</f>
        <v/>
      </c>
      <c r="B786" s="5" t="str">
        <f>IFERROR(INDEX('بيانات الحركات'!B:B,MATCH(785,'بيانات الحركات'!$G:$G,0)),"")</f>
        <v/>
      </c>
      <c r="C786" s="3" t="str">
        <f>IFERROR(INDEX('بيانات الحركات'!C:C,MATCH(785,'بيانات الحركات'!$G:$G,0)),"")</f>
        <v/>
      </c>
      <c r="D786" s="3" t="str">
        <f>IFERROR(INDEX('بيانات الحركات'!D:D,MATCH(785,'بيانات الحركات'!$G:$G,0)),"")</f>
        <v/>
      </c>
      <c r="E786" s="21" t="str">
        <f>IF($B786="إنتاج طبخة","",IFERROR(INDEX('بيانات الحركات'!E:E,MATCH(785,'بيانات الحركات'!$G:$G,0)),""))</f>
        <v/>
      </c>
      <c r="F786" s="3" t="str">
        <f>IFERROR(INDEX('بيانات الحركات'!F:F,MATCH(785,'بيانات الحركات'!$G:$G,0)),"")</f>
        <v/>
      </c>
    </row>
    <row r="787" spans="1:6" ht="21.95" customHeight="1">
      <c r="A787" s="8" t="str">
        <f>IFERROR(INDEX('بيانات الحركات'!A:A,MATCH(786,'بيانات الحركات'!$G:$G,0)),"")</f>
        <v/>
      </c>
      <c r="B787" s="5" t="str">
        <f>IFERROR(INDEX('بيانات الحركات'!B:B,MATCH(786,'بيانات الحركات'!$G:$G,0)),"")</f>
        <v/>
      </c>
      <c r="C787" s="3" t="str">
        <f>IFERROR(INDEX('بيانات الحركات'!C:C,MATCH(786,'بيانات الحركات'!$G:$G,0)),"")</f>
        <v/>
      </c>
      <c r="D787" s="3" t="str">
        <f>IFERROR(INDEX('بيانات الحركات'!D:D,MATCH(786,'بيانات الحركات'!$G:$G,0)),"")</f>
        <v/>
      </c>
      <c r="E787" s="21" t="str">
        <f>IF($B787="إنتاج طبخة","",IFERROR(INDEX('بيانات الحركات'!E:E,MATCH(786,'بيانات الحركات'!$G:$G,0)),""))</f>
        <v/>
      </c>
      <c r="F787" s="3" t="str">
        <f>IFERROR(INDEX('بيانات الحركات'!F:F,MATCH(786,'بيانات الحركات'!$G:$G,0)),"")</f>
        <v/>
      </c>
    </row>
    <row r="788" spans="1:6" ht="21.95" customHeight="1">
      <c r="A788" s="8" t="str">
        <f>IFERROR(INDEX('بيانات الحركات'!A:A,MATCH(787,'بيانات الحركات'!$G:$G,0)),"")</f>
        <v/>
      </c>
      <c r="B788" s="5" t="str">
        <f>IFERROR(INDEX('بيانات الحركات'!B:B,MATCH(787,'بيانات الحركات'!$G:$G,0)),"")</f>
        <v/>
      </c>
      <c r="C788" s="3" t="str">
        <f>IFERROR(INDEX('بيانات الحركات'!C:C,MATCH(787,'بيانات الحركات'!$G:$G,0)),"")</f>
        <v/>
      </c>
      <c r="D788" s="3" t="str">
        <f>IFERROR(INDEX('بيانات الحركات'!D:D,MATCH(787,'بيانات الحركات'!$G:$G,0)),"")</f>
        <v/>
      </c>
      <c r="E788" s="21" t="str">
        <f>IF($B788="إنتاج طبخة","",IFERROR(INDEX('بيانات الحركات'!E:E,MATCH(787,'بيانات الحركات'!$G:$G,0)),""))</f>
        <v/>
      </c>
      <c r="F788" s="3" t="str">
        <f>IFERROR(INDEX('بيانات الحركات'!F:F,MATCH(787,'بيانات الحركات'!$G:$G,0)),"")</f>
        <v/>
      </c>
    </row>
    <row r="789" spans="1:6" ht="21.95" customHeight="1">
      <c r="A789" s="8" t="str">
        <f>IFERROR(INDEX('بيانات الحركات'!A:A,MATCH(788,'بيانات الحركات'!$G:$G,0)),"")</f>
        <v/>
      </c>
      <c r="B789" s="5" t="str">
        <f>IFERROR(INDEX('بيانات الحركات'!B:B,MATCH(788,'بيانات الحركات'!$G:$G,0)),"")</f>
        <v/>
      </c>
      <c r="C789" s="3" t="str">
        <f>IFERROR(INDEX('بيانات الحركات'!C:C,MATCH(788,'بيانات الحركات'!$G:$G,0)),"")</f>
        <v/>
      </c>
      <c r="D789" s="3" t="str">
        <f>IFERROR(INDEX('بيانات الحركات'!D:D,MATCH(788,'بيانات الحركات'!$G:$G,0)),"")</f>
        <v/>
      </c>
      <c r="E789" s="21" t="str">
        <f>IF($B789="إنتاج طبخة","",IFERROR(INDEX('بيانات الحركات'!E:E,MATCH(788,'بيانات الحركات'!$G:$G,0)),""))</f>
        <v/>
      </c>
      <c r="F789" s="3" t="str">
        <f>IFERROR(INDEX('بيانات الحركات'!F:F,MATCH(788,'بيانات الحركات'!$G:$G,0)),"")</f>
        <v/>
      </c>
    </row>
    <row r="790" spans="1:6" ht="21.95" customHeight="1">
      <c r="A790" s="8" t="str">
        <f>IFERROR(INDEX('بيانات الحركات'!A:A,MATCH(789,'بيانات الحركات'!$G:$G,0)),"")</f>
        <v/>
      </c>
      <c r="B790" s="5" t="str">
        <f>IFERROR(INDEX('بيانات الحركات'!B:B,MATCH(789,'بيانات الحركات'!$G:$G,0)),"")</f>
        <v/>
      </c>
      <c r="C790" s="3" t="str">
        <f>IFERROR(INDEX('بيانات الحركات'!C:C,MATCH(789,'بيانات الحركات'!$G:$G,0)),"")</f>
        <v/>
      </c>
      <c r="D790" s="3" t="str">
        <f>IFERROR(INDEX('بيانات الحركات'!D:D,MATCH(789,'بيانات الحركات'!$G:$G,0)),"")</f>
        <v/>
      </c>
      <c r="E790" s="21" t="str">
        <f>IF($B790="إنتاج طبخة","",IFERROR(INDEX('بيانات الحركات'!E:E,MATCH(789,'بيانات الحركات'!$G:$G,0)),""))</f>
        <v/>
      </c>
      <c r="F790" s="3" t="str">
        <f>IFERROR(INDEX('بيانات الحركات'!F:F,MATCH(789,'بيانات الحركات'!$G:$G,0)),"")</f>
        <v/>
      </c>
    </row>
    <row r="791" spans="1:6" ht="21.95" customHeight="1">
      <c r="A791" s="8" t="str">
        <f>IFERROR(INDEX('بيانات الحركات'!A:A,MATCH(790,'بيانات الحركات'!$G:$G,0)),"")</f>
        <v/>
      </c>
      <c r="B791" s="5" t="str">
        <f>IFERROR(INDEX('بيانات الحركات'!B:B,MATCH(790,'بيانات الحركات'!$G:$G,0)),"")</f>
        <v/>
      </c>
      <c r="C791" s="3" t="str">
        <f>IFERROR(INDEX('بيانات الحركات'!C:C,MATCH(790,'بيانات الحركات'!$G:$G,0)),"")</f>
        <v/>
      </c>
      <c r="D791" s="3" t="str">
        <f>IFERROR(INDEX('بيانات الحركات'!D:D,MATCH(790,'بيانات الحركات'!$G:$G,0)),"")</f>
        <v/>
      </c>
      <c r="E791" s="21" t="str">
        <f>IF($B791="إنتاج طبخة","",IFERROR(INDEX('بيانات الحركات'!E:E,MATCH(790,'بيانات الحركات'!$G:$G,0)),""))</f>
        <v/>
      </c>
      <c r="F791" s="3" t="str">
        <f>IFERROR(INDEX('بيانات الحركات'!F:F,MATCH(790,'بيانات الحركات'!$G:$G,0)),"")</f>
        <v/>
      </c>
    </row>
    <row r="792" spans="1:6" ht="21.95" customHeight="1">
      <c r="A792" s="8" t="str">
        <f>IFERROR(INDEX('بيانات الحركات'!A:A,MATCH(791,'بيانات الحركات'!$G:$G,0)),"")</f>
        <v/>
      </c>
      <c r="B792" s="5" t="str">
        <f>IFERROR(INDEX('بيانات الحركات'!B:B,MATCH(791,'بيانات الحركات'!$G:$G,0)),"")</f>
        <v/>
      </c>
      <c r="C792" s="3" t="str">
        <f>IFERROR(INDEX('بيانات الحركات'!C:C,MATCH(791,'بيانات الحركات'!$G:$G,0)),"")</f>
        <v/>
      </c>
      <c r="D792" s="3" t="str">
        <f>IFERROR(INDEX('بيانات الحركات'!D:D,MATCH(791,'بيانات الحركات'!$G:$G,0)),"")</f>
        <v/>
      </c>
      <c r="E792" s="21" t="str">
        <f>IF($B792="إنتاج طبخة","",IFERROR(INDEX('بيانات الحركات'!E:E,MATCH(791,'بيانات الحركات'!$G:$G,0)),""))</f>
        <v/>
      </c>
      <c r="F792" s="3" t="str">
        <f>IFERROR(INDEX('بيانات الحركات'!F:F,MATCH(791,'بيانات الحركات'!$G:$G,0)),"")</f>
        <v/>
      </c>
    </row>
    <row r="793" spans="1:6" ht="21.95" customHeight="1">
      <c r="A793" s="8" t="str">
        <f>IFERROR(INDEX('بيانات الحركات'!A:A,MATCH(792,'بيانات الحركات'!$G:$G,0)),"")</f>
        <v/>
      </c>
      <c r="B793" s="5" t="str">
        <f>IFERROR(INDEX('بيانات الحركات'!B:B,MATCH(792,'بيانات الحركات'!$G:$G,0)),"")</f>
        <v/>
      </c>
      <c r="C793" s="3" t="str">
        <f>IFERROR(INDEX('بيانات الحركات'!C:C,MATCH(792,'بيانات الحركات'!$G:$G,0)),"")</f>
        <v/>
      </c>
      <c r="D793" s="3" t="str">
        <f>IFERROR(INDEX('بيانات الحركات'!D:D,MATCH(792,'بيانات الحركات'!$G:$G,0)),"")</f>
        <v/>
      </c>
      <c r="E793" s="21" t="str">
        <f>IF($B793="إنتاج طبخة","",IFERROR(INDEX('بيانات الحركات'!E:E,MATCH(792,'بيانات الحركات'!$G:$G,0)),""))</f>
        <v/>
      </c>
      <c r="F793" s="3" t="str">
        <f>IFERROR(INDEX('بيانات الحركات'!F:F,MATCH(792,'بيانات الحركات'!$G:$G,0)),"")</f>
        <v/>
      </c>
    </row>
    <row r="794" spans="1:6" ht="21.95" customHeight="1">
      <c r="A794" s="8" t="str">
        <f>IFERROR(INDEX('بيانات الحركات'!A:A,MATCH(793,'بيانات الحركات'!$G:$G,0)),"")</f>
        <v/>
      </c>
      <c r="B794" s="5" t="str">
        <f>IFERROR(INDEX('بيانات الحركات'!B:B,MATCH(793,'بيانات الحركات'!$G:$G,0)),"")</f>
        <v/>
      </c>
      <c r="C794" s="3" t="str">
        <f>IFERROR(INDEX('بيانات الحركات'!C:C,MATCH(793,'بيانات الحركات'!$G:$G,0)),"")</f>
        <v/>
      </c>
      <c r="D794" s="3" t="str">
        <f>IFERROR(INDEX('بيانات الحركات'!D:D,MATCH(793,'بيانات الحركات'!$G:$G,0)),"")</f>
        <v/>
      </c>
      <c r="E794" s="21" t="str">
        <f>IF($B794="إنتاج طبخة","",IFERROR(INDEX('بيانات الحركات'!E:E,MATCH(793,'بيانات الحركات'!$G:$G,0)),""))</f>
        <v/>
      </c>
      <c r="F794" s="3" t="str">
        <f>IFERROR(INDEX('بيانات الحركات'!F:F,MATCH(793,'بيانات الحركات'!$G:$G,0)),"")</f>
        <v/>
      </c>
    </row>
    <row r="795" spans="1:6" ht="21.95" customHeight="1">
      <c r="A795" s="8" t="str">
        <f>IFERROR(INDEX('بيانات الحركات'!A:A,MATCH(794,'بيانات الحركات'!$G:$G,0)),"")</f>
        <v/>
      </c>
      <c r="B795" s="5" t="str">
        <f>IFERROR(INDEX('بيانات الحركات'!B:B,MATCH(794,'بيانات الحركات'!$G:$G,0)),"")</f>
        <v/>
      </c>
      <c r="C795" s="3" t="str">
        <f>IFERROR(INDEX('بيانات الحركات'!C:C,MATCH(794,'بيانات الحركات'!$G:$G,0)),"")</f>
        <v/>
      </c>
      <c r="D795" s="3" t="str">
        <f>IFERROR(INDEX('بيانات الحركات'!D:D,MATCH(794,'بيانات الحركات'!$G:$G,0)),"")</f>
        <v/>
      </c>
      <c r="E795" s="21" t="str">
        <f>IF($B795="إنتاج طبخة","",IFERROR(INDEX('بيانات الحركات'!E:E,MATCH(794,'بيانات الحركات'!$G:$G,0)),""))</f>
        <v/>
      </c>
      <c r="F795" s="3" t="str">
        <f>IFERROR(INDEX('بيانات الحركات'!F:F,MATCH(794,'بيانات الحركات'!$G:$G,0)),"")</f>
        <v/>
      </c>
    </row>
    <row r="796" spans="1:6" ht="21.95" customHeight="1">
      <c r="A796" s="8" t="str">
        <f>IFERROR(INDEX('بيانات الحركات'!A:A,MATCH(795,'بيانات الحركات'!$G:$G,0)),"")</f>
        <v/>
      </c>
      <c r="B796" s="5" t="str">
        <f>IFERROR(INDEX('بيانات الحركات'!B:B,MATCH(795,'بيانات الحركات'!$G:$G,0)),"")</f>
        <v/>
      </c>
      <c r="C796" s="3" t="str">
        <f>IFERROR(INDEX('بيانات الحركات'!C:C,MATCH(795,'بيانات الحركات'!$G:$G,0)),"")</f>
        <v/>
      </c>
      <c r="D796" s="3" t="str">
        <f>IFERROR(INDEX('بيانات الحركات'!D:D,MATCH(795,'بيانات الحركات'!$G:$G,0)),"")</f>
        <v/>
      </c>
      <c r="E796" s="21" t="str">
        <f>IF($B796="إنتاج طبخة","",IFERROR(INDEX('بيانات الحركات'!E:E,MATCH(795,'بيانات الحركات'!$G:$G,0)),""))</f>
        <v/>
      </c>
      <c r="F796" s="3" t="str">
        <f>IFERROR(INDEX('بيانات الحركات'!F:F,MATCH(795,'بيانات الحركات'!$G:$G,0)),"")</f>
        <v/>
      </c>
    </row>
    <row r="797" spans="1:6" ht="21.95" customHeight="1">
      <c r="A797" s="8" t="str">
        <f>IFERROR(INDEX('بيانات الحركات'!A:A,MATCH(796,'بيانات الحركات'!$G:$G,0)),"")</f>
        <v/>
      </c>
      <c r="B797" s="5" t="str">
        <f>IFERROR(INDEX('بيانات الحركات'!B:B,MATCH(796,'بيانات الحركات'!$G:$G,0)),"")</f>
        <v/>
      </c>
      <c r="C797" s="3" t="str">
        <f>IFERROR(INDEX('بيانات الحركات'!C:C,MATCH(796,'بيانات الحركات'!$G:$G,0)),"")</f>
        <v/>
      </c>
      <c r="D797" s="3" t="str">
        <f>IFERROR(INDEX('بيانات الحركات'!D:D,MATCH(796,'بيانات الحركات'!$G:$G,0)),"")</f>
        <v/>
      </c>
      <c r="E797" s="21" t="str">
        <f>IF($B797="إنتاج طبخة","",IFERROR(INDEX('بيانات الحركات'!E:E,MATCH(796,'بيانات الحركات'!$G:$G,0)),""))</f>
        <v/>
      </c>
      <c r="F797" s="3" t="str">
        <f>IFERROR(INDEX('بيانات الحركات'!F:F,MATCH(796,'بيانات الحركات'!$G:$G,0)),"")</f>
        <v/>
      </c>
    </row>
    <row r="798" spans="1:6" ht="21.95" customHeight="1">
      <c r="A798" s="8" t="str">
        <f>IFERROR(INDEX('بيانات الحركات'!A:A,MATCH(797,'بيانات الحركات'!$G:$G,0)),"")</f>
        <v/>
      </c>
      <c r="B798" s="5" t="str">
        <f>IFERROR(INDEX('بيانات الحركات'!B:B,MATCH(797,'بيانات الحركات'!$G:$G,0)),"")</f>
        <v/>
      </c>
      <c r="C798" s="3" t="str">
        <f>IFERROR(INDEX('بيانات الحركات'!C:C,MATCH(797,'بيانات الحركات'!$G:$G,0)),"")</f>
        <v/>
      </c>
      <c r="D798" s="3" t="str">
        <f>IFERROR(INDEX('بيانات الحركات'!D:D,MATCH(797,'بيانات الحركات'!$G:$G,0)),"")</f>
        <v/>
      </c>
      <c r="E798" s="21" t="str">
        <f>IF($B798="إنتاج طبخة","",IFERROR(INDEX('بيانات الحركات'!E:E,MATCH(797,'بيانات الحركات'!$G:$G,0)),""))</f>
        <v/>
      </c>
      <c r="F798" s="3" t="str">
        <f>IFERROR(INDEX('بيانات الحركات'!F:F,MATCH(797,'بيانات الحركات'!$G:$G,0)),"")</f>
        <v/>
      </c>
    </row>
    <row r="799" spans="1:6" ht="21.95" customHeight="1">
      <c r="A799" s="8" t="str">
        <f>IFERROR(INDEX('بيانات الحركات'!A:A,MATCH(798,'بيانات الحركات'!$G:$G,0)),"")</f>
        <v/>
      </c>
      <c r="B799" s="5" t="str">
        <f>IFERROR(INDEX('بيانات الحركات'!B:B,MATCH(798,'بيانات الحركات'!$G:$G,0)),"")</f>
        <v/>
      </c>
      <c r="C799" s="3" t="str">
        <f>IFERROR(INDEX('بيانات الحركات'!C:C,MATCH(798,'بيانات الحركات'!$G:$G,0)),"")</f>
        <v/>
      </c>
      <c r="D799" s="3" t="str">
        <f>IFERROR(INDEX('بيانات الحركات'!D:D,MATCH(798,'بيانات الحركات'!$G:$G,0)),"")</f>
        <v/>
      </c>
      <c r="E799" s="21" t="str">
        <f>IF($B799="إنتاج طبخة","",IFERROR(INDEX('بيانات الحركات'!E:E,MATCH(798,'بيانات الحركات'!$G:$G,0)),""))</f>
        <v/>
      </c>
      <c r="F799" s="3" t="str">
        <f>IFERROR(INDEX('بيانات الحركات'!F:F,MATCH(798,'بيانات الحركات'!$G:$G,0)),"")</f>
        <v/>
      </c>
    </row>
    <row r="800" spans="1:6" ht="21.95" customHeight="1">
      <c r="A800" s="8" t="str">
        <f>IFERROR(INDEX('بيانات الحركات'!A:A,MATCH(799,'بيانات الحركات'!$G:$G,0)),"")</f>
        <v/>
      </c>
      <c r="B800" s="5" t="str">
        <f>IFERROR(INDEX('بيانات الحركات'!B:B,MATCH(799,'بيانات الحركات'!$G:$G,0)),"")</f>
        <v/>
      </c>
      <c r="C800" s="3" t="str">
        <f>IFERROR(INDEX('بيانات الحركات'!C:C,MATCH(799,'بيانات الحركات'!$G:$G,0)),"")</f>
        <v/>
      </c>
      <c r="D800" s="3" t="str">
        <f>IFERROR(INDEX('بيانات الحركات'!D:D,MATCH(799,'بيانات الحركات'!$G:$G,0)),"")</f>
        <v/>
      </c>
      <c r="E800" s="21" t="str">
        <f>IF($B800="إنتاج طبخة","",IFERROR(INDEX('بيانات الحركات'!E:E,MATCH(799,'بيانات الحركات'!$G:$G,0)),""))</f>
        <v/>
      </c>
      <c r="F800" s="3" t="str">
        <f>IFERROR(INDEX('بيانات الحركات'!F:F,MATCH(799,'بيانات الحركات'!$G:$G,0)),"")</f>
        <v/>
      </c>
    </row>
    <row r="801" spans="1:6" ht="21.95" customHeight="1">
      <c r="A801" s="8" t="str">
        <f>IFERROR(INDEX('بيانات الحركات'!A:A,MATCH(800,'بيانات الحركات'!$G:$G,0)),"")</f>
        <v/>
      </c>
      <c r="B801" s="5" t="str">
        <f>IFERROR(INDEX('بيانات الحركات'!B:B,MATCH(800,'بيانات الحركات'!$G:$G,0)),"")</f>
        <v/>
      </c>
      <c r="C801" s="3" t="str">
        <f>IFERROR(INDEX('بيانات الحركات'!C:C,MATCH(800,'بيانات الحركات'!$G:$G,0)),"")</f>
        <v/>
      </c>
      <c r="D801" s="3" t="str">
        <f>IFERROR(INDEX('بيانات الحركات'!D:D,MATCH(800,'بيانات الحركات'!$G:$G,0)),"")</f>
        <v/>
      </c>
      <c r="E801" s="21" t="str">
        <f>IF($B801="إنتاج طبخة","",IFERROR(INDEX('بيانات الحركات'!E:E,MATCH(800,'بيانات الحركات'!$G:$G,0)),""))</f>
        <v/>
      </c>
      <c r="F801" s="3" t="str">
        <f>IFERROR(INDEX('بيانات الحركات'!F:F,MATCH(800,'بيانات الحركات'!$G:$G,0)),"")</f>
        <v/>
      </c>
    </row>
    <row r="802" spans="1:6" ht="21.95" customHeight="1">
      <c r="A802" s="8" t="str">
        <f>IFERROR(INDEX('بيانات الحركات'!A:A,MATCH(801,'بيانات الحركات'!$G:$G,0)),"")</f>
        <v/>
      </c>
      <c r="B802" s="5" t="str">
        <f>IFERROR(INDEX('بيانات الحركات'!B:B,MATCH(801,'بيانات الحركات'!$G:$G,0)),"")</f>
        <v/>
      </c>
      <c r="C802" s="3" t="str">
        <f>IFERROR(INDEX('بيانات الحركات'!C:C,MATCH(801,'بيانات الحركات'!$G:$G,0)),"")</f>
        <v/>
      </c>
      <c r="D802" s="3" t="str">
        <f>IFERROR(INDEX('بيانات الحركات'!D:D,MATCH(801,'بيانات الحركات'!$G:$G,0)),"")</f>
        <v/>
      </c>
      <c r="E802" s="21" t="str">
        <f>IF($B802="إنتاج طبخة","",IFERROR(INDEX('بيانات الحركات'!E:E,MATCH(801,'بيانات الحركات'!$G:$G,0)),""))</f>
        <v/>
      </c>
      <c r="F802" s="3" t="str">
        <f>IFERROR(INDEX('بيانات الحركات'!F:F,MATCH(801,'بيانات الحركات'!$G:$G,0)),"")</f>
        <v/>
      </c>
    </row>
    <row r="803" spans="1:6" ht="21.95" customHeight="1">
      <c r="A803" s="8" t="str">
        <f>IFERROR(INDEX('بيانات الحركات'!A:A,MATCH(802,'بيانات الحركات'!$G:$G,0)),"")</f>
        <v/>
      </c>
      <c r="B803" s="5" t="str">
        <f>IFERROR(INDEX('بيانات الحركات'!B:B,MATCH(802,'بيانات الحركات'!$G:$G,0)),"")</f>
        <v/>
      </c>
      <c r="C803" s="3" t="str">
        <f>IFERROR(INDEX('بيانات الحركات'!C:C,MATCH(802,'بيانات الحركات'!$G:$G,0)),"")</f>
        <v/>
      </c>
      <c r="D803" s="3" t="str">
        <f>IFERROR(INDEX('بيانات الحركات'!D:D,MATCH(802,'بيانات الحركات'!$G:$G,0)),"")</f>
        <v/>
      </c>
      <c r="E803" s="21" t="str">
        <f>IF($B803="إنتاج طبخة","",IFERROR(INDEX('بيانات الحركات'!E:E,MATCH(802,'بيانات الحركات'!$G:$G,0)),""))</f>
        <v/>
      </c>
      <c r="F803" s="3" t="str">
        <f>IFERROR(INDEX('بيانات الحركات'!F:F,MATCH(802,'بيانات الحركات'!$G:$G,0)),"")</f>
        <v/>
      </c>
    </row>
    <row r="804" spans="1:6" ht="21.95" customHeight="1">
      <c r="A804" s="8" t="str">
        <f>IFERROR(INDEX('بيانات الحركات'!A:A,MATCH(803,'بيانات الحركات'!$G:$G,0)),"")</f>
        <v/>
      </c>
      <c r="B804" s="5" t="str">
        <f>IFERROR(INDEX('بيانات الحركات'!B:B,MATCH(803,'بيانات الحركات'!$G:$G,0)),"")</f>
        <v/>
      </c>
      <c r="C804" s="3" t="str">
        <f>IFERROR(INDEX('بيانات الحركات'!C:C,MATCH(803,'بيانات الحركات'!$G:$G,0)),"")</f>
        <v/>
      </c>
      <c r="D804" s="3" t="str">
        <f>IFERROR(INDEX('بيانات الحركات'!D:D,MATCH(803,'بيانات الحركات'!$G:$G,0)),"")</f>
        <v/>
      </c>
      <c r="E804" s="21" t="str">
        <f>IF($B804="إنتاج طبخة","",IFERROR(INDEX('بيانات الحركات'!E:E,MATCH(803,'بيانات الحركات'!$G:$G,0)),""))</f>
        <v/>
      </c>
      <c r="F804" s="3" t="str">
        <f>IFERROR(INDEX('بيانات الحركات'!F:F,MATCH(803,'بيانات الحركات'!$G:$G,0)),"")</f>
        <v/>
      </c>
    </row>
    <row r="805" spans="1:6" ht="21.95" customHeight="1">
      <c r="A805" s="8" t="str">
        <f>IFERROR(INDEX('بيانات الحركات'!A:A,MATCH(804,'بيانات الحركات'!$G:$G,0)),"")</f>
        <v/>
      </c>
      <c r="B805" s="5" t="str">
        <f>IFERROR(INDEX('بيانات الحركات'!B:B,MATCH(804,'بيانات الحركات'!$G:$G,0)),"")</f>
        <v/>
      </c>
      <c r="C805" s="3" t="str">
        <f>IFERROR(INDEX('بيانات الحركات'!C:C,MATCH(804,'بيانات الحركات'!$G:$G,0)),"")</f>
        <v/>
      </c>
      <c r="D805" s="3" t="str">
        <f>IFERROR(INDEX('بيانات الحركات'!D:D,MATCH(804,'بيانات الحركات'!$G:$G,0)),"")</f>
        <v/>
      </c>
      <c r="E805" s="21" t="str">
        <f>IF($B805="إنتاج طبخة","",IFERROR(INDEX('بيانات الحركات'!E:E,MATCH(804,'بيانات الحركات'!$G:$G,0)),""))</f>
        <v/>
      </c>
      <c r="F805" s="3" t="str">
        <f>IFERROR(INDEX('بيانات الحركات'!F:F,MATCH(804,'بيانات الحركات'!$G:$G,0)),"")</f>
        <v/>
      </c>
    </row>
    <row r="806" spans="1:6" ht="21.95" customHeight="1">
      <c r="A806" s="8" t="str">
        <f>IFERROR(INDEX('بيانات الحركات'!A:A,MATCH(805,'بيانات الحركات'!$G:$G,0)),"")</f>
        <v/>
      </c>
      <c r="B806" s="5" t="str">
        <f>IFERROR(INDEX('بيانات الحركات'!B:B,MATCH(805,'بيانات الحركات'!$G:$G,0)),"")</f>
        <v/>
      </c>
      <c r="C806" s="3" t="str">
        <f>IFERROR(INDEX('بيانات الحركات'!C:C,MATCH(805,'بيانات الحركات'!$G:$G,0)),"")</f>
        <v/>
      </c>
      <c r="D806" s="3" t="str">
        <f>IFERROR(INDEX('بيانات الحركات'!D:D,MATCH(805,'بيانات الحركات'!$G:$G,0)),"")</f>
        <v/>
      </c>
      <c r="E806" s="21" t="str">
        <f>IF($B806="إنتاج طبخة","",IFERROR(INDEX('بيانات الحركات'!E:E,MATCH(805,'بيانات الحركات'!$G:$G,0)),""))</f>
        <v/>
      </c>
      <c r="F806" s="3" t="str">
        <f>IFERROR(INDEX('بيانات الحركات'!F:F,MATCH(805,'بيانات الحركات'!$G:$G,0)),"")</f>
        <v/>
      </c>
    </row>
    <row r="807" spans="1:6" ht="21.95" customHeight="1">
      <c r="A807" s="8" t="str">
        <f>IFERROR(INDEX('بيانات الحركات'!A:A,MATCH(806,'بيانات الحركات'!$G:$G,0)),"")</f>
        <v/>
      </c>
      <c r="B807" s="5" t="str">
        <f>IFERROR(INDEX('بيانات الحركات'!B:B,MATCH(806,'بيانات الحركات'!$G:$G,0)),"")</f>
        <v/>
      </c>
      <c r="C807" s="3" t="str">
        <f>IFERROR(INDEX('بيانات الحركات'!C:C,MATCH(806,'بيانات الحركات'!$G:$G,0)),"")</f>
        <v/>
      </c>
      <c r="D807" s="3" t="str">
        <f>IFERROR(INDEX('بيانات الحركات'!D:D,MATCH(806,'بيانات الحركات'!$G:$G,0)),"")</f>
        <v/>
      </c>
      <c r="E807" s="21" t="str">
        <f>IF($B807="إنتاج طبخة","",IFERROR(INDEX('بيانات الحركات'!E:E,MATCH(806,'بيانات الحركات'!$G:$G,0)),""))</f>
        <v/>
      </c>
      <c r="F807" s="3" t="str">
        <f>IFERROR(INDEX('بيانات الحركات'!F:F,MATCH(806,'بيانات الحركات'!$G:$G,0)),"")</f>
        <v/>
      </c>
    </row>
    <row r="808" spans="1:6" ht="21.95" customHeight="1">
      <c r="A808" s="8" t="str">
        <f>IFERROR(INDEX('بيانات الحركات'!A:A,MATCH(807,'بيانات الحركات'!$G:$G,0)),"")</f>
        <v/>
      </c>
      <c r="B808" s="5" t="str">
        <f>IFERROR(INDEX('بيانات الحركات'!B:B,MATCH(807,'بيانات الحركات'!$G:$G,0)),"")</f>
        <v/>
      </c>
      <c r="C808" s="3" t="str">
        <f>IFERROR(INDEX('بيانات الحركات'!C:C,MATCH(807,'بيانات الحركات'!$G:$G,0)),"")</f>
        <v/>
      </c>
      <c r="D808" s="3" t="str">
        <f>IFERROR(INDEX('بيانات الحركات'!D:D,MATCH(807,'بيانات الحركات'!$G:$G,0)),"")</f>
        <v/>
      </c>
      <c r="E808" s="21" t="str">
        <f>IF($B808="إنتاج طبخة","",IFERROR(INDEX('بيانات الحركات'!E:E,MATCH(807,'بيانات الحركات'!$G:$G,0)),""))</f>
        <v/>
      </c>
      <c r="F808" s="3" t="str">
        <f>IFERROR(INDEX('بيانات الحركات'!F:F,MATCH(807,'بيانات الحركات'!$G:$G,0)),"")</f>
        <v/>
      </c>
    </row>
    <row r="809" spans="1:6" ht="21.95" customHeight="1">
      <c r="A809" s="8" t="str">
        <f>IFERROR(INDEX('بيانات الحركات'!A:A,MATCH(808,'بيانات الحركات'!$G:$G,0)),"")</f>
        <v/>
      </c>
      <c r="B809" s="5" t="str">
        <f>IFERROR(INDEX('بيانات الحركات'!B:B,MATCH(808,'بيانات الحركات'!$G:$G,0)),"")</f>
        <v/>
      </c>
      <c r="C809" s="3" t="str">
        <f>IFERROR(INDEX('بيانات الحركات'!C:C,MATCH(808,'بيانات الحركات'!$G:$G,0)),"")</f>
        <v/>
      </c>
      <c r="D809" s="3" t="str">
        <f>IFERROR(INDEX('بيانات الحركات'!D:D,MATCH(808,'بيانات الحركات'!$G:$G,0)),"")</f>
        <v/>
      </c>
      <c r="E809" s="21" t="str">
        <f>IF($B809="إنتاج طبخة","",IFERROR(INDEX('بيانات الحركات'!E:E,MATCH(808,'بيانات الحركات'!$G:$G,0)),""))</f>
        <v/>
      </c>
      <c r="F809" s="3" t="str">
        <f>IFERROR(INDEX('بيانات الحركات'!F:F,MATCH(808,'بيانات الحركات'!$G:$G,0)),"")</f>
        <v/>
      </c>
    </row>
    <row r="810" spans="1:6" ht="21.95" customHeight="1">
      <c r="A810" s="8" t="str">
        <f>IFERROR(INDEX('بيانات الحركات'!A:A,MATCH(809,'بيانات الحركات'!$G:$G,0)),"")</f>
        <v/>
      </c>
      <c r="B810" s="5" t="str">
        <f>IFERROR(INDEX('بيانات الحركات'!B:B,MATCH(809,'بيانات الحركات'!$G:$G,0)),"")</f>
        <v/>
      </c>
      <c r="C810" s="3" t="str">
        <f>IFERROR(INDEX('بيانات الحركات'!C:C,MATCH(809,'بيانات الحركات'!$G:$G,0)),"")</f>
        <v/>
      </c>
      <c r="D810" s="3" t="str">
        <f>IFERROR(INDEX('بيانات الحركات'!D:D,MATCH(809,'بيانات الحركات'!$G:$G,0)),"")</f>
        <v/>
      </c>
      <c r="E810" s="21" t="str">
        <f>IF($B810="إنتاج طبخة","",IFERROR(INDEX('بيانات الحركات'!E:E,MATCH(809,'بيانات الحركات'!$G:$G,0)),""))</f>
        <v/>
      </c>
      <c r="F810" s="3" t="str">
        <f>IFERROR(INDEX('بيانات الحركات'!F:F,MATCH(809,'بيانات الحركات'!$G:$G,0)),"")</f>
        <v/>
      </c>
    </row>
    <row r="811" spans="1:6" ht="21.95" customHeight="1">
      <c r="A811" s="8" t="str">
        <f>IFERROR(INDEX('بيانات الحركات'!A:A,MATCH(810,'بيانات الحركات'!$G:$G,0)),"")</f>
        <v/>
      </c>
      <c r="B811" s="5" t="str">
        <f>IFERROR(INDEX('بيانات الحركات'!B:B,MATCH(810,'بيانات الحركات'!$G:$G,0)),"")</f>
        <v/>
      </c>
      <c r="C811" s="3" t="str">
        <f>IFERROR(INDEX('بيانات الحركات'!C:C,MATCH(810,'بيانات الحركات'!$G:$G,0)),"")</f>
        <v/>
      </c>
      <c r="D811" s="3" t="str">
        <f>IFERROR(INDEX('بيانات الحركات'!D:D,MATCH(810,'بيانات الحركات'!$G:$G,0)),"")</f>
        <v/>
      </c>
      <c r="E811" s="21" t="str">
        <f>IF($B811="إنتاج طبخة","",IFERROR(INDEX('بيانات الحركات'!E:E,MATCH(810,'بيانات الحركات'!$G:$G,0)),""))</f>
        <v/>
      </c>
      <c r="F811" s="3" t="str">
        <f>IFERROR(INDEX('بيانات الحركات'!F:F,MATCH(810,'بيانات الحركات'!$G:$G,0)),"")</f>
        <v/>
      </c>
    </row>
    <row r="812" spans="1:6" ht="21.95" customHeight="1">
      <c r="A812" s="8" t="str">
        <f>IFERROR(INDEX('بيانات الحركات'!A:A,MATCH(811,'بيانات الحركات'!$G:$G,0)),"")</f>
        <v/>
      </c>
      <c r="B812" s="5" t="str">
        <f>IFERROR(INDEX('بيانات الحركات'!B:B,MATCH(811,'بيانات الحركات'!$G:$G,0)),"")</f>
        <v/>
      </c>
      <c r="C812" s="3" t="str">
        <f>IFERROR(INDEX('بيانات الحركات'!C:C,MATCH(811,'بيانات الحركات'!$G:$G,0)),"")</f>
        <v/>
      </c>
      <c r="D812" s="3" t="str">
        <f>IFERROR(INDEX('بيانات الحركات'!D:D,MATCH(811,'بيانات الحركات'!$G:$G,0)),"")</f>
        <v/>
      </c>
      <c r="E812" s="21" t="str">
        <f>IF($B812="إنتاج طبخة","",IFERROR(INDEX('بيانات الحركات'!E:E,MATCH(811,'بيانات الحركات'!$G:$G,0)),""))</f>
        <v/>
      </c>
      <c r="F812" s="3" t="str">
        <f>IFERROR(INDEX('بيانات الحركات'!F:F,MATCH(811,'بيانات الحركات'!$G:$G,0)),"")</f>
        <v/>
      </c>
    </row>
    <row r="813" spans="1:6" ht="21.95" customHeight="1">
      <c r="A813" s="8" t="str">
        <f>IFERROR(INDEX('بيانات الحركات'!A:A,MATCH(812,'بيانات الحركات'!$G:$G,0)),"")</f>
        <v/>
      </c>
      <c r="B813" s="5" t="str">
        <f>IFERROR(INDEX('بيانات الحركات'!B:B,MATCH(812,'بيانات الحركات'!$G:$G,0)),"")</f>
        <v/>
      </c>
      <c r="C813" s="3" t="str">
        <f>IFERROR(INDEX('بيانات الحركات'!C:C,MATCH(812,'بيانات الحركات'!$G:$G,0)),"")</f>
        <v/>
      </c>
      <c r="D813" s="3" t="str">
        <f>IFERROR(INDEX('بيانات الحركات'!D:D,MATCH(812,'بيانات الحركات'!$G:$G,0)),"")</f>
        <v/>
      </c>
      <c r="E813" s="21" t="str">
        <f>IF($B813="إنتاج طبخة","",IFERROR(INDEX('بيانات الحركات'!E:E,MATCH(812,'بيانات الحركات'!$G:$G,0)),""))</f>
        <v/>
      </c>
      <c r="F813" s="3" t="str">
        <f>IFERROR(INDEX('بيانات الحركات'!F:F,MATCH(812,'بيانات الحركات'!$G:$G,0)),"")</f>
        <v/>
      </c>
    </row>
    <row r="814" spans="1:6" ht="21.95" customHeight="1">
      <c r="A814" s="8" t="str">
        <f>IFERROR(INDEX('بيانات الحركات'!A:A,MATCH(813,'بيانات الحركات'!$G:$G,0)),"")</f>
        <v/>
      </c>
      <c r="B814" s="5" t="str">
        <f>IFERROR(INDEX('بيانات الحركات'!B:B,MATCH(813,'بيانات الحركات'!$G:$G,0)),"")</f>
        <v/>
      </c>
      <c r="C814" s="3" t="str">
        <f>IFERROR(INDEX('بيانات الحركات'!C:C,MATCH(813,'بيانات الحركات'!$G:$G,0)),"")</f>
        <v/>
      </c>
      <c r="D814" s="3" t="str">
        <f>IFERROR(INDEX('بيانات الحركات'!D:D,MATCH(813,'بيانات الحركات'!$G:$G,0)),"")</f>
        <v/>
      </c>
      <c r="E814" s="21" t="str">
        <f>IF($B814="إنتاج طبخة","",IFERROR(INDEX('بيانات الحركات'!E:E,MATCH(813,'بيانات الحركات'!$G:$G,0)),""))</f>
        <v/>
      </c>
      <c r="F814" s="3" t="str">
        <f>IFERROR(INDEX('بيانات الحركات'!F:F,MATCH(813,'بيانات الحركات'!$G:$G,0)),"")</f>
        <v/>
      </c>
    </row>
    <row r="815" spans="1:6" ht="21.95" customHeight="1">
      <c r="A815" s="8" t="str">
        <f>IFERROR(INDEX('بيانات الحركات'!A:A,MATCH(814,'بيانات الحركات'!$G:$G,0)),"")</f>
        <v/>
      </c>
      <c r="B815" s="5" t="str">
        <f>IFERROR(INDEX('بيانات الحركات'!B:B,MATCH(814,'بيانات الحركات'!$G:$G,0)),"")</f>
        <v/>
      </c>
      <c r="C815" s="3" t="str">
        <f>IFERROR(INDEX('بيانات الحركات'!C:C,MATCH(814,'بيانات الحركات'!$G:$G,0)),"")</f>
        <v/>
      </c>
      <c r="D815" s="3" t="str">
        <f>IFERROR(INDEX('بيانات الحركات'!D:D,MATCH(814,'بيانات الحركات'!$G:$G,0)),"")</f>
        <v/>
      </c>
      <c r="E815" s="21" t="str">
        <f>IF($B815="إنتاج طبخة","",IFERROR(INDEX('بيانات الحركات'!E:E,MATCH(814,'بيانات الحركات'!$G:$G,0)),""))</f>
        <v/>
      </c>
      <c r="F815" s="3" t="str">
        <f>IFERROR(INDEX('بيانات الحركات'!F:F,MATCH(814,'بيانات الحركات'!$G:$G,0)),"")</f>
        <v/>
      </c>
    </row>
    <row r="816" spans="1:6" ht="21.95" customHeight="1">
      <c r="A816" s="8" t="str">
        <f>IFERROR(INDEX('بيانات الحركات'!A:A,MATCH(815,'بيانات الحركات'!$G:$G,0)),"")</f>
        <v/>
      </c>
      <c r="B816" s="5" t="str">
        <f>IFERROR(INDEX('بيانات الحركات'!B:B,MATCH(815,'بيانات الحركات'!$G:$G,0)),"")</f>
        <v/>
      </c>
      <c r="C816" s="3" t="str">
        <f>IFERROR(INDEX('بيانات الحركات'!C:C,MATCH(815,'بيانات الحركات'!$G:$G,0)),"")</f>
        <v/>
      </c>
      <c r="D816" s="3" t="str">
        <f>IFERROR(INDEX('بيانات الحركات'!D:D,MATCH(815,'بيانات الحركات'!$G:$G,0)),"")</f>
        <v/>
      </c>
      <c r="E816" s="21" t="str">
        <f>IF($B816="إنتاج طبخة","",IFERROR(INDEX('بيانات الحركات'!E:E,MATCH(815,'بيانات الحركات'!$G:$G,0)),""))</f>
        <v/>
      </c>
      <c r="F816" s="3" t="str">
        <f>IFERROR(INDEX('بيانات الحركات'!F:F,MATCH(815,'بيانات الحركات'!$G:$G,0)),"")</f>
        <v/>
      </c>
    </row>
    <row r="817" spans="1:6" ht="21.95" customHeight="1">
      <c r="A817" s="8" t="str">
        <f>IFERROR(INDEX('بيانات الحركات'!A:A,MATCH(816,'بيانات الحركات'!$G:$G,0)),"")</f>
        <v/>
      </c>
      <c r="B817" s="5" t="str">
        <f>IFERROR(INDEX('بيانات الحركات'!B:B,MATCH(816,'بيانات الحركات'!$G:$G,0)),"")</f>
        <v/>
      </c>
      <c r="C817" s="3" t="str">
        <f>IFERROR(INDEX('بيانات الحركات'!C:C,MATCH(816,'بيانات الحركات'!$G:$G,0)),"")</f>
        <v/>
      </c>
      <c r="D817" s="3" t="str">
        <f>IFERROR(INDEX('بيانات الحركات'!D:D,MATCH(816,'بيانات الحركات'!$G:$G,0)),"")</f>
        <v/>
      </c>
      <c r="E817" s="21" t="str">
        <f>IF($B817="إنتاج طبخة","",IFERROR(INDEX('بيانات الحركات'!E:E,MATCH(816,'بيانات الحركات'!$G:$G,0)),""))</f>
        <v/>
      </c>
      <c r="F817" s="3" t="str">
        <f>IFERROR(INDEX('بيانات الحركات'!F:F,MATCH(816,'بيانات الحركات'!$G:$G,0)),"")</f>
        <v/>
      </c>
    </row>
    <row r="818" spans="1:6" ht="21.95" customHeight="1">
      <c r="A818" s="8" t="str">
        <f>IFERROR(INDEX('بيانات الحركات'!A:A,MATCH(817,'بيانات الحركات'!$G:$G,0)),"")</f>
        <v/>
      </c>
      <c r="B818" s="5" t="str">
        <f>IFERROR(INDEX('بيانات الحركات'!B:B,MATCH(817,'بيانات الحركات'!$G:$G,0)),"")</f>
        <v/>
      </c>
      <c r="C818" s="3" t="str">
        <f>IFERROR(INDEX('بيانات الحركات'!C:C,MATCH(817,'بيانات الحركات'!$G:$G,0)),"")</f>
        <v/>
      </c>
      <c r="D818" s="3" t="str">
        <f>IFERROR(INDEX('بيانات الحركات'!D:D,MATCH(817,'بيانات الحركات'!$G:$G,0)),"")</f>
        <v/>
      </c>
      <c r="E818" s="21" t="str">
        <f>IF($B818="إنتاج طبخة","",IFERROR(INDEX('بيانات الحركات'!E:E,MATCH(817,'بيانات الحركات'!$G:$G,0)),""))</f>
        <v/>
      </c>
      <c r="F818" s="3" t="str">
        <f>IFERROR(INDEX('بيانات الحركات'!F:F,MATCH(817,'بيانات الحركات'!$G:$G,0)),"")</f>
        <v/>
      </c>
    </row>
    <row r="819" spans="1:6" ht="21.95" customHeight="1">
      <c r="A819" s="8" t="str">
        <f>IFERROR(INDEX('بيانات الحركات'!A:A,MATCH(818,'بيانات الحركات'!$G:$G,0)),"")</f>
        <v/>
      </c>
      <c r="B819" s="5" t="str">
        <f>IFERROR(INDEX('بيانات الحركات'!B:B,MATCH(818,'بيانات الحركات'!$G:$G,0)),"")</f>
        <v/>
      </c>
      <c r="C819" s="3" t="str">
        <f>IFERROR(INDEX('بيانات الحركات'!C:C,MATCH(818,'بيانات الحركات'!$G:$G,0)),"")</f>
        <v/>
      </c>
      <c r="D819" s="3" t="str">
        <f>IFERROR(INDEX('بيانات الحركات'!D:D,MATCH(818,'بيانات الحركات'!$G:$G,0)),"")</f>
        <v/>
      </c>
      <c r="E819" s="21" t="str">
        <f>IF($B819="إنتاج طبخة","",IFERROR(INDEX('بيانات الحركات'!E:E,MATCH(818,'بيانات الحركات'!$G:$G,0)),""))</f>
        <v/>
      </c>
      <c r="F819" s="3" t="str">
        <f>IFERROR(INDEX('بيانات الحركات'!F:F,MATCH(818,'بيانات الحركات'!$G:$G,0)),"")</f>
        <v/>
      </c>
    </row>
    <row r="820" spans="1:6" ht="21.95" customHeight="1">
      <c r="A820" s="8" t="str">
        <f>IFERROR(INDEX('بيانات الحركات'!A:A,MATCH(819,'بيانات الحركات'!$G:$G,0)),"")</f>
        <v/>
      </c>
      <c r="B820" s="5" t="str">
        <f>IFERROR(INDEX('بيانات الحركات'!B:B,MATCH(819,'بيانات الحركات'!$G:$G,0)),"")</f>
        <v/>
      </c>
      <c r="C820" s="3" t="str">
        <f>IFERROR(INDEX('بيانات الحركات'!C:C,MATCH(819,'بيانات الحركات'!$G:$G,0)),"")</f>
        <v/>
      </c>
      <c r="D820" s="3" t="str">
        <f>IFERROR(INDEX('بيانات الحركات'!D:D,MATCH(819,'بيانات الحركات'!$G:$G,0)),"")</f>
        <v/>
      </c>
      <c r="E820" s="21" t="str">
        <f>IF($B820="إنتاج طبخة","",IFERROR(INDEX('بيانات الحركات'!E:E,MATCH(819,'بيانات الحركات'!$G:$G,0)),""))</f>
        <v/>
      </c>
      <c r="F820" s="3" t="str">
        <f>IFERROR(INDEX('بيانات الحركات'!F:F,MATCH(819,'بيانات الحركات'!$G:$G,0)),"")</f>
        <v/>
      </c>
    </row>
    <row r="821" spans="1:6" ht="21.95" customHeight="1">
      <c r="A821" s="8" t="str">
        <f>IFERROR(INDEX('بيانات الحركات'!A:A,MATCH(820,'بيانات الحركات'!$G:$G,0)),"")</f>
        <v/>
      </c>
      <c r="B821" s="5" t="str">
        <f>IFERROR(INDEX('بيانات الحركات'!B:B,MATCH(820,'بيانات الحركات'!$G:$G,0)),"")</f>
        <v/>
      </c>
      <c r="C821" s="3" t="str">
        <f>IFERROR(INDEX('بيانات الحركات'!C:C,MATCH(820,'بيانات الحركات'!$G:$G,0)),"")</f>
        <v/>
      </c>
      <c r="D821" s="3" t="str">
        <f>IFERROR(INDEX('بيانات الحركات'!D:D,MATCH(820,'بيانات الحركات'!$G:$G,0)),"")</f>
        <v/>
      </c>
      <c r="E821" s="21" t="str">
        <f>IF($B821="إنتاج طبخة","",IFERROR(INDEX('بيانات الحركات'!E:E,MATCH(820,'بيانات الحركات'!$G:$G,0)),""))</f>
        <v/>
      </c>
      <c r="F821" s="3" t="str">
        <f>IFERROR(INDEX('بيانات الحركات'!F:F,MATCH(820,'بيانات الحركات'!$G:$G,0)),"")</f>
        <v/>
      </c>
    </row>
    <row r="822" spans="1:6" ht="21.95" customHeight="1">
      <c r="A822" s="8" t="str">
        <f>IFERROR(INDEX('بيانات الحركات'!A:A,MATCH(821,'بيانات الحركات'!$G:$G,0)),"")</f>
        <v/>
      </c>
      <c r="B822" s="5" t="str">
        <f>IFERROR(INDEX('بيانات الحركات'!B:B,MATCH(821,'بيانات الحركات'!$G:$G,0)),"")</f>
        <v/>
      </c>
      <c r="C822" s="3" t="str">
        <f>IFERROR(INDEX('بيانات الحركات'!C:C,MATCH(821,'بيانات الحركات'!$G:$G,0)),"")</f>
        <v/>
      </c>
      <c r="D822" s="3" t="str">
        <f>IFERROR(INDEX('بيانات الحركات'!D:D,MATCH(821,'بيانات الحركات'!$G:$G,0)),"")</f>
        <v/>
      </c>
      <c r="E822" s="21" t="str">
        <f>IF($B822="إنتاج طبخة","",IFERROR(INDEX('بيانات الحركات'!E:E,MATCH(821,'بيانات الحركات'!$G:$G,0)),""))</f>
        <v/>
      </c>
      <c r="F822" s="3" t="str">
        <f>IFERROR(INDEX('بيانات الحركات'!F:F,MATCH(821,'بيانات الحركات'!$G:$G,0)),"")</f>
        <v/>
      </c>
    </row>
    <row r="823" spans="1:6" ht="21.95" customHeight="1">
      <c r="A823" s="8" t="str">
        <f>IFERROR(INDEX('بيانات الحركات'!A:A,MATCH(822,'بيانات الحركات'!$G:$G,0)),"")</f>
        <v/>
      </c>
      <c r="B823" s="5" t="str">
        <f>IFERROR(INDEX('بيانات الحركات'!B:B,MATCH(822,'بيانات الحركات'!$G:$G,0)),"")</f>
        <v/>
      </c>
      <c r="C823" s="3" t="str">
        <f>IFERROR(INDEX('بيانات الحركات'!C:C,MATCH(822,'بيانات الحركات'!$G:$G,0)),"")</f>
        <v/>
      </c>
      <c r="D823" s="3" t="str">
        <f>IFERROR(INDEX('بيانات الحركات'!D:D,MATCH(822,'بيانات الحركات'!$G:$G,0)),"")</f>
        <v/>
      </c>
      <c r="E823" s="21" t="str">
        <f>IF($B823="إنتاج طبخة","",IFERROR(INDEX('بيانات الحركات'!E:E,MATCH(822,'بيانات الحركات'!$G:$G,0)),""))</f>
        <v/>
      </c>
      <c r="F823" s="3" t="str">
        <f>IFERROR(INDEX('بيانات الحركات'!F:F,MATCH(822,'بيانات الحركات'!$G:$G,0)),"")</f>
        <v/>
      </c>
    </row>
    <row r="824" spans="1:6" ht="21.95" customHeight="1">
      <c r="A824" s="8" t="str">
        <f>IFERROR(INDEX('بيانات الحركات'!A:A,MATCH(823,'بيانات الحركات'!$G:$G,0)),"")</f>
        <v/>
      </c>
      <c r="B824" s="5" t="str">
        <f>IFERROR(INDEX('بيانات الحركات'!B:B,MATCH(823,'بيانات الحركات'!$G:$G,0)),"")</f>
        <v/>
      </c>
      <c r="C824" s="3" t="str">
        <f>IFERROR(INDEX('بيانات الحركات'!C:C,MATCH(823,'بيانات الحركات'!$G:$G,0)),"")</f>
        <v/>
      </c>
      <c r="D824" s="3" t="str">
        <f>IFERROR(INDEX('بيانات الحركات'!D:D,MATCH(823,'بيانات الحركات'!$G:$G,0)),"")</f>
        <v/>
      </c>
      <c r="E824" s="21" t="str">
        <f>IF($B824="إنتاج طبخة","",IFERROR(INDEX('بيانات الحركات'!E:E,MATCH(823,'بيانات الحركات'!$G:$G,0)),""))</f>
        <v/>
      </c>
      <c r="F824" s="3" t="str">
        <f>IFERROR(INDEX('بيانات الحركات'!F:F,MATCH(823,'بيانات الحركات'!$G:$G,0)),"")</f>
        <v/>
      </c>
    </row>
    <row r="825" spans="1:6" ht="21.95" customHeight="1">
      <c r="A825" s="8" t="str">
        <f>IFERROR(INDEX('بيانات الحركات'!A:A,MATCH(824,'بيانات الحركات'!$G:$G,0)),"")</f>
        <v/>
      </c>
      <c r="B825" s="5" t="str">
        <f>IFERROR(INDEX('بيانات الحركات'!B:B,MATCH(824,'بيانات الحركات'!$G:$G,0)),"")</f>
        <v/>
      </c>
      <c r="C825" s="3" t="str">
        <f>IFERROR(INDEX('بيانات الحركات'!C:C,MATCH(824,'بيانات الحركات'!$G:$G,0)),"")</f>
        <v/>
      </c>
      <c r="D825" s="3" t="str">
        <f>IFERROR(INDEX('بيانات الحركات'!D:D,MATCH(824,'بيانات الحركات'!$G:$G,0)),"")</f>
        <v/>
      </c>
      <c r="E825" s="21" t="str">
        <f>IF($B825="إنتاج طبخة","",IFERROR(INDEX('بيانات الحركات'!E:E,MATCH(824,'بيانات الحركات'!$G:$G,0)),""))</f>
        <v/>
      </c>
      <c r="F825" s="3" t="str">
        <f>IFERROR(INDEX('بيانات الحركات'!F:F,MATCH(824,'بيانات الحركات'!$G:$G,0)),"")</f>
        <v/>
      </c>
    </row>
    <row r="826" spans="1:6" ht="21.95" customHeight="1">
      <c r="A826" s="8" t="str">
        <f>IFERROR(INDEX('بيانات الحركات'!A:A,MATCH(825,'بيانات الحركات'!$G:$G,0)),"")</f>
        <v/>
      </c>
      <c r="B826" s="5" t="str">
        <f>IFERROR(INDEX('بيانات الحركات'!B:B,MATCH(825,'بيانات الحركات'!$G:$G,0)),"")</f>
        <v/>
      </c>
      <c r="C826" s="3" t="str">
        <f>IFERROR(INDEX('بيانات الحركات'!C:C,MATCH(825,'بيانات الحركات'!$G:$G,0)),"")</f>
        <v/>
      </c>
      <c r="D826" s="3" t="str">
        <f>IFERROR(INDEX('بيانات الحركات'!D:D,MATCH(825,'بيانات الحركات'!$G:$G,0)),"")</f>
        <v/>
      </c>
      <c r="E826" s="21" t="str">
        <f>IF($B826="إنتاج طبخة","",IFERROR(INDEX('بيانات الحركات'!E:E,MATCH(825,'بيانات الحركات'!$G:$G,0)),""))</f>
        <v/>
      </c>
      <c r="F826" s="3" t="str">
        <f>IFERROR(INDEX('بيانات الحركات'!F:F,MATCH(825,'بيانات الحركات'!$G:$G,0)),"")</f>
        <v/>
      </c>
    </row>
    <row r="827" spans="1:6" ht="21.95" customHeight="1">
      <c r="A827" s="8" t="str">
        <f>IFERROR(INDEX('بيانات الحركات'!A:A,MATCH(826,'بيانات الحركات'!$G:$G,0)),"")</f>
        <v/>
      </c>
      <c r="B827" s="5" t="str">
        <f>IFERROR(INDEX('بيانات الحركات'!B:B,MATCH(826,'بيانات الحركات'!$G:$G,0)),"")</f>
        <v/>
      </c>
      <c r="C827" s="3" t="str">
        <f>IFERROR(INDEX('بيانات الحركات'!C:C,MATCH(826,'بيانات الحركات'!$G:$G,0)),"")</f>
        <v/>
      </c>
      <c r="D827" s="3" t="str">
        <f>IFERROR(INDEX('بيانات الحركات'!D:D,MATCH(826,'بيانات الحركات'!$G:$G,0)),"")</f>
        <v/>
      </c>
      <c r="E827" s="21" t="str">
        <f>IF($B827="إنتاج طبخة","",IFERROR(INDEX('بيانات الحركات'!E:E,MATCH(826,'بيانات الحركات'!$G:$G,0)),""))</f>
        <v/>
      </c>
      <c r="F827" s="3" t="str">
        <f>IFERROR(INDEX('بيانات الحركات'!F:F,MATCH(826,'بيانات الحركات'!$G:$G,0)),"")</f>
        <v/>
      </c>
    </row>
    <row r="828" spans="1:6" ht="21.95" customHeight="1">
      <c r="A828" s="8" t="str">
        <f>IFERROR(INDEX('بيانات الحركات'!A:A,MATCH(827,'بيانات الحركات'!$G:$G,0)),"")</f>
        <v/>
      </c>
      <c r="B828" s="5" t="str">
        <f>IFERROR(INDEX('بيانات الحركات'!B:B,MATCH(827,'بيانات الحركات'!$G:$G,0)),"")</f>
        <v/>
      </c>
      <c r="C828" s="3" t="str">
        <f>IFERROR(INDEX('بيانات الحركات'!C:C,MATCH(827,'بيانات الحركات'!$G:$G,0)),"")</f>
        <v/>
      </c>
      <c r="D828" s="3" t="str">
        <f>IFERROR(INDEX('بيانات الحركات'!D:D,MATCH(827,'بيانات الحركات'!$G:$G,0)),"")</f>
        <v/>
      </c>
      <c r="E828" s="21" t="str">
        <f>IF($B828="إنتاج طبخة","",IFERROR(INDEX('بيانات الحركات'!E:E,MATCH(827,'بيانات الحركات'!$G:$G,0)),""))</f>
        <v/>
      </c>
      <c r="F828" s="3" t="str">
        <f>IFERROR(INDEX('بيانات الحركات'!F:F,MATCH(827,'بيانات الحركات'!$G:$G,0)),"")</f>
        <v/>
      </c>
    </row>
    <row r="829" spans="1:6" ht="21.95" customHeight="1">
      <c r="A829" s="8" t="str">
        <f>IFERROR(INDEX('بيانات الحركات'!A:A,MATCH(828,'بيانات الحركات'!$G:$G,0)),"")</f>
        <v/>
      </c>
      <c r="B829" s="5" t="str">
        <f>IFERROR(INDEX('بيانات الحركات'!B:B,MATCH(828,'بيانات الحركات'!$G:$G,0)),"")</f>
        <v/>
      </c>
      <c r="C829" s="3" t="str">
        <f>IFERROR(INDEX('بيانات الحركات'!C:C,MATCH(828,'بيانات الحركات'!$G:$G,0)),"")</f>
        <v/>
      </c>
      <c r="D829" s="3" t="str">
        <f>IFERROR(INDEX('بيانات الحركات'!D:D,MATCH(828,'بيانات الحركات'!$G:$G,0)),"")</f>
        <v/>
      </c>
      <c r="E829" s="21" t="str">
        <f>IF($B829="إنتاج طبخة","",IFERROR(INDEX('بيانات الحركات'!E:E,MATCH(828,'بيانات الحركات'!$G:$G,0)),""))</f>
        <v/>
      </c>
      <c r="F829" s="3" t="str">
        <f>IFERROR(INDEX('بيانات الحركات'!F:F,MATCH(828,'بيانات الحركات'!$G:$G,0)),"")</f>
        <v/>
      </c>
    </row>
    <row r="830" spans="1:6" ht="21.95" customHeight="1">
      <c r="A830" s="8" t="str">
        <f>IFERROR(INDEX('بيانات الحركات'!A:A,MATCH(829,'بيانات الحركات'!$G:$G,0)),"")</f>
        <v/>
      </c>
      <c r="B830" s="5" t="str">
        <f>IFERROR(INDEX('بيانات الحركات'!B:B,MATCH(829,'بيانات الحركات'!$G:$G,0)),"")</f>
        <v/>
      </c>
      <c r="C830" s="3" t="str">
        <f>IFERROR(INDEX('بيانات الحركات'!C:C,MATCH(829,'بيانات الحركات'!$G:$G,0)),"")</f>
        <v/>
      </c>
      <c r="D830" s="3" t="str">
        <f>IFERROR(INDEX('بيانات الحركات'!D:D,MATCH(829,'بيانات الحركات'!$G:$G,0)),"")</f>
        <v/>
      </c>
      <c r="E830" s="21" t="str">
        <f>IF($B830="إنتاج طبخة","",IFERROR(INDEX('بيانات الحركات'!E:E,MATCH(829,'بيانات الحركات'!$G:$G,0)),""))</f>
        <v/>
      </c>
      <c r="F830" s="3" t="str">
        <f>IFERROR(INDEX('بيانات الحركات'!F:F,MATCH(829,'بيانات الحركات'!$G:$G,0)),"")</f>
        <v/>
      </c>
    </row>
    <row r="831" spans="1:6" ht="21.95" customHeight="1">
      <c r="A831" s="8" t="str">
        <f>IFERROR(INDEX('بيانات الحركات'!A:A,MATCH(830,'بيانات الحركات'!$G:$G,0)),"")</f>
        <v/>
      </c>
      <c r="B831" s="5" t="str">
        <f>IFERROR(INDEX('بيانات الحركات'!B:B,MATCH(830,'بيانات الحركات'!$G:$G,0)),"")</f>
        <v/>
      </c>
      <c r="C831" s="3" t="str">
        <f>IFERROR(INDEX('بيانات الحركات'!C:C,MATCH(830,'بيانات الحركات'!$G:$G,0)),"")</f>
        <v/>
      </c>
      <c r="D831" s="3" t="str">
        <f>IFERROR(INDEX('بيانات الحركات'!D:D,MATCH(830,'بيانات الحركات'!$G:$G,0)),"")</f>
        <v/>
      </c>
      <c r="E831" s="21" t="str">
        <f>IF($B831="إنتاج طبخة","",IFERROR(INDEX('بيانات الحركات'!E:E,MATCH(830,'بيانات الحركات'!$G:$G,0)),""))</f>
        <v/>
      </c>
      <c r="F831" s="3" t="str">
        <f>IFERROR(INDEX('بيانات الحركات'!F:F,MATCH(830,'بيانات الحركات'!$G:$G,0)),"")</f>
        <v/>
      </c>
    </row>
    <row r="832" spans="1:6" ht="21.95" customHeight="1">
      <c r="A832" s="8" t="str">
        <f>IFERROR(INDEX('بيانات الحركات'!A:A,MATCH(831,'بيانات الحركات'!$G:$G,0)),"")</f>
        <v/>
      </c>
      <c r="B832" s="5" t="str">
        <f>IFERROR(INDEX('بيانات الحركات'!B:B,MATCH(831,'بيانات الحركات'!$G:$G,0)),"")</f>
        <v/>
      </c>
      <c r="C832" s="3" t="str">
        <f>IFERROR(INDEX('بيانات الحركات'!C:C,MATCH(831,'بيانات الحركات'!$G:$G,0)),"")</f>
        <v/>
      </c>
      <c r="D832" s="3" t="str">
        <f>IFERROR(INDEX('بيانات الحركات'!D:D,MATCH(831,'بيانات الحركات'!$G:$G,0)),"")</f>
        <v/>
      </c>
      <c r="E832" s="21" t="str">
        <f>IF($B832="إنتاج طبخة","",IFERROR(INDEX('بيانات الحركات'!E:E,MATCH(831,'بيانات الحركات'!$G:$G,0)),""))</f>
        <v/>
      </c>
      <c r="F832" s="3" t="str">
        <f>IFERROR(INDEX('بيانات الحركات'!F:F,MATCH(831,'بيانات الحركات'!$G:$G,0)),"")</f>
        <v/>
      </c>
    </row>
    <row r="833" spans="1:6" ht="21.95" customHeight="1">
      <c r="A833" s="8" t="str">
        <f>IFERROR(INDEX('بيانات الحركات'!A:A,MATCH(832,'بيانات الحركات'!$G:$G,0)),"")</f>
        <v/>
      </c>
      <c r="B833" s="5" t="str">
        <f>IFERROR(INDEX('بيانات الحركات'!B:B,MATCH(832,'بيانات الحركات'!$G:$G,0)),"")</f>
        <v/>
      </c>
      <c r="C833" s="3" t="str">
        <f>IFERROR(INDEX('بيانات الحركات'!C:C,MATCH(832,'بيانات الحركات'!$G:$G,0)),"")</f>
        <v/>
      </c>
      <c r="D833" s="3" t="str">
        <f>IFERROR(INDEX('بيانات الحركات'!D:D,MATCH(832,'بيانات الحركات'!$G:$G,0)),"")</f>
        <v/>
      </c>
      <c r="E833" s="21" t="str">
        <f>IF($B833="إنتاج طبخة","",IFERROR(INDEX('بيانات الحركات'!E:E,MATCH(832,'بيانات الحركات'!$G:$G,0)),""))</f>
        <v/>
      </c>
      <c r="F833" s="3" t="str">
        <f>IFERROR(INDEX('بيانات الحركات'!F:F,MATCH(832,'بيانات الحركات'!$G:$G,0)),"")</f>
        <v/>
      </c>
    </row>
    <row r="834" spans="1:6" ht="21.95" customHeight="1">
      <c r="A834" s="8" t="str">
        <f>IFERROR(INDEX('بيانات الحركات'!A:A,MATCH(833,'بيانات الحركات'!$G:$G,0)),"")</f>
        <v/>
      </c>
      <c r="B834" s="5" t="str">
        <f>IFERROR(INDEX('بيانات الحركات'!B:B,MATCH(833,'بيانات الحركات'!$G:$G,0)),"")</f>
        <v/>
      </c>
      <c r="C834" s="3" t="str">
        <f>IFERROR(INDEX('بيانات الحركات'!C:C,MATCH(833,'بيانات الحركات'!$G:$G,0)),"")</f>
        <v/>
      </c>
      <c r="D834" s="3" t="str">
        <f>IFERROR(INDEX('بيانات الحركات'!D:D,MATCH(833,'بيانات الحركات'!$G:$G,0)),"")</f>
        <v/>
      </c>
      <c r="E834" s="21" t="str">
        <f>IF($B834="إنتاج طبخة","",IFERROR(INDEX('بيانات الحركات'!E:E,MATCH(833,'بيانات الحركات'!$G:$G,0)),""))</f>
        <v/>
      </c>
      <c r="F834" s="3" t="str">
        <f>IFERROR(INDEX('بيانات الحركات'!F:F,MATCH(833,'بيانات الحركات'!$G:$G,0)),"")</f>
        <v/>
      </c>
    </row>
    <row r="835" spans="1:6" ht="21.95" customHeight="1">
      <c r="A835" s="8" t="str">
        <f>IFERROR(INDEX('بيانات الحركات'!A:A,MATCH(834,'بيانات الحركات'!$G:$G,0)),"")</f>
        <v/>
      </c>
      <c r="B835" s="5" t="str">
        <f>IFERROR(INDEX('بيانات الحركات'!B:B,MATCH(834,'بيانات الحركات'!$G:$G,0)),"")</f>
        <v/>
      </c>
      <c r="C835" s="3" t="str">
        <f>IFERROR(INDEX('بيانات الحركات'!C:C,MATCH(834,'بيانات الحركات'!$G:$G,0)),"")</f>
        <v/>
      </c>
      <c r="D835" s="3" t="str">
        <f>IFERROR(INDEX('بيانات الحركات'!D:D,MATCH(834,'بيانات الحركات'!$G:$G,0)),"")</f>
        <v/>
      </c>
      <c r="E835" s="21" t="str">
        <f>IF($B835="إنتاج طبخة","",IFERROR(INDEX('بيانات الحركات'!E:E,MATCH(834,'بيانات الحركات'!$G:$G,0)),""))</f>
        <v/>
      </c>
      <c r="F835" s="3" t="str">
        <f>IFERROR(INDEX('بيانات الحركات'!F:F,MATCH(834,'بيانات الحركات'!$G:$G,0)),"")</f>
        <v/>
      </c>
    </row>
    <row r="836" spans="1:6" ht="21.95" customHeight="1">
      <c r="A836" s="8" t="str">
        <f>IFERROR(INDEX('بيانات الحركات'!A:A,MATCH(835,'بيانات الحركات'!$G:$G,0)),"")</f>
        <v/>
      </c>
      <c r="B836" s="5" t="str">
        <f>IFERROR(INDEX('بيانات الحركات'!B:B,MATCH(835,'بيانات الحركات'!$G:$G,0)),"")</f>
        <v/>
      </c>
      <c r="C836" s="3" t="str">
        <f>IFERROR(INDEX('بيانات الحركات'!C:C,MATCH(835,'بيانات الحركات'!$G:$G,0)),"")</f>
        <v/>
      </c>
      <c r="D836" s="3" t="str">
        <f>IFERROR(INDEX('بيانات الحركات'!D:D,MATCH(835,'بيانات الحركات'!$G:$G,0)),"")</f>
        <v/>
      </c>
      <c r="E836" s="21" t="str">
        <f>IF($B836="إنتاج طبخة","",IFERROR(INDEX('بيانات الحركات'!E:E,MATCH(835,'بيانات الحركات'!$G:$G,0)),""))</f>
        <v/>
      </c>
      <c r="F836" s="3" t="str">
        <f>IFERROR(INDEX('بيانات الحركات'!F:F,MATCH(835,'بيانات الحركات'!$G:$G,0)),"")</f>
        <v/>
      </c>
    </row>
    <row r="837" spans="1:6" ht="21.95" customHeight="1">
      <c r="A837" s="8" t="str">
        <f>IFERROR(INDEX('بيانات الحركات'!A:A,MATCH(836,'بيانات الحركات'!$G:$G,0)),"")</f>
        <v/>
      </c>
      <c r="B837" s="5" t="str">
        <f>IFERROR(INDEX('بيانات الحركات'!B:B,MATCH(836,'بيانات الحركات'!$G:$G,0)),"")</f>
        <v/>
      </c>
      <c r="C837" s="3" t="str">
        <f>IFERROR(INDEX('بيانات الحركات'!C:C,MATCH(836,'بيانات الحركات'!$G:$G,0)),"")</f>
        <v/>
      </c>
      <c r="D837" s="3" t="str">
        <f>IFERROR(INDEX('بيانات الحركات'!D:D,MATCH(836,'بيانات الحركات'!$G:$G,0)),"")</f>
        <v/>
      </c>
      <c r="E837" s="21" t="str">
        <f>IF($B837="إنتاج طبخة","",IFERROR(INDEX('بيانات الحركات'!E:E,MATCH(836,'بيانات الحركات'!$G:$G,0)),""))</f>
        <v/>
      </c>
      <c r="F837" s="3" t="str">
        <f>IFERROR(INDEX('بيانات الحركات'!F:F,MATCH(836,'بيانات الحركات'!$G:$G,0)),"")</f>
        <v/>
      </c>
    </row>
    <row r="838" spans="1:6" ht="21.95" customHeight="1">
      <c r="A838" s="8" t="str">
        <f>IFERROR(INDEX('بيانات الحركات'!A:A,MATCH(837,'بيانات الحركات'!$G:$G,0)),"")</f>
        <v/>
      </c>
      <c r="B838" s="5" t="str">
        <f>IFERROR(INDEX('بيانات الحركات'!B:B,MATCH(837,'بيانات الحركات'!$G:$G,0)),"")</f>
        <v/>
      </c>
      <c r="C838" s="3" t="str">
        <f>IFERROR(INDEX('بيانات الحركات'!C:C,MATCH(837,'بيانات الحركات'!$G:$G,0)),"")</f>
        <v/>
      </c>
      <c r="D838" s="3" t="str">
        <f>IFERROR(INDEX('بيانات الحركات'!D:D,MATCH(837,'بيانات الحركات'!$G:$G,0)),"")</f>
        <v/>
      </c>
      <c r="E838" s="21" t="str">
        <f>IF($B838="إنتاج طبخة","",IFERROR(INDEX('بيانات الحركات'!E:E,MATCH(837,'بيانات الحركات'!$G:$G,0)),""))</f>
        <v/>
      </c>
      <c r="F838" s="3" t="str">
        <f>IFERROR(INDEX('بيانات الحركات'!F:F,MATCH(837,'بيانات الحركات'!$G:$G,0)),"")</f>
        <v/>
      </c>
    </row>
    <row r="839" spans="1:6" ht="21.95" customHeight="1">
      <c r="A839" s="8" t="str">
        <f>IFERROR(INDEX('بيانات الحركات'!A:A,MATCH(838,'بيانات الحركات'!$G:$G,0)),"")</f>
        <v/>
      </c>
      <c r="B839" s="5" t="str">
        <f>IFERROR(INDEX('بيانات الحركات'!B:B,MATCH(838,'بيانات الحركات'!$G:$G,0)),"")</f>
        <v/>
      </c>
      <c r="C839" s="3" t="str">
        <f>IFERROR(INDEX('بيانات الحركات'!C:C,MATCH(838,'بيانات الحركات'!$G:$G,0)),"")</f>
        <v/>
      </c>
      <c r="D839" s="3" t="str">
        <f>IFERROR(INDEX('بيانات الحركات'!D:D,MATCH(838,'بيانات الحركات'!$G:$G,0)),"")</f>
        <v/>
      </c>
      <c r="E839" s="21" t="str">
        <f>IF($B839="إنتاج طبخة","",IFERROR(INDEX('بيانات الحركات'!E:E,MATCH(838,'بيانات الحركات'!$G:$G,0)),""))</f>
        <v/>
      </c>
      <c r="F839" s="3" t="str">
        <f>IFERROR(INDEX('بيانات الحركات'!F:F,MATCH(838,'بيانات الحركات'!$G:$G,0)),"")</f>
        <v/>
      </c>
    </row>
    <row r="840" spans="1:6" ht="21.95" customHeight="1">
      <c r="A840" s="8" t="str">
        <f>IFERROR(INDEX('بيانات الحركات'!A:A,MATCH(839,'بيانات الحركات'!$G:$G,0)),"")</f>
        <v/>
      </c>
      <c r="B840" s="5" t="str">
        <f>IFERROR(INDEX('بيانات الحركات'!B:B,MATCH(839,'بيانات الحركات'!$G:$G,0)),"")</f>
        <v/>
      </c>
      <c r="C840" s="3" t="str">
        <f>IFERROR(INDEX('بيانات الحركات'!C:C,MATCH(839,'بيانات الحركات'!$G:$G,0)),"")</f>
        <v/>
      </c>
      <c r="D840" s="3" t="str">
        <f>IFERROR(INDEX('بيانات الحركات'!D:D,MATCH(839,'بيانات الحركات'!$G:$G,0)),"")</f>
        <v/>
      </c>
      <c r="E840" s="21" t="str">
        <f>IF($B840="إنتاج طبخة","",IFERROR(INDEX('بيانات الحركات'!E:E,MATCH(839,'بيانات الحركات'!$G:$G,0)),""))</f>
        <v/>
      </c>
      <c r="F840" s="3" t="str">
        <f>IFERROR(INDEX('بيانات الحركات'!F:F,MATCH(839,'بيانات الحركات'!$G:$G,0)),"")</f>
        <v/>
      </c>
    </row>
    <row r="841" spans="1:6" ht="21.95" customHeight="1">
      <c r="A841" s="8" t="str">
        <f>IFERROR(INDEX('بيانات الحركات'!A:A,MATCH(840,'بيانات الحركات'!$G:$G,0)),"")</f>
        <v/>
      </c>
      <c r="B841" s="5" t="str">
        <f>IFERROR(INDEX('بيانات الحركات'!B:B,MATCH(840,'بيانات الحركات'!$G:$G,0)),"")</f>
        <v/>
      </c>
      <c r="C841" s="3" t="str">
        <f>IFERROR(INDEX('بيانات الحركات'!C:C,MATCH(840,'بيانات الحركات'!$G:$G,0)),"")</f>
        <v/>
      </c>
      <c r="D841" s="3" t="str">
        <f>IFERROR(INDEX('بيانات الحركات'!D:D,MATCH(840,'بيانات الحركات'!$G:$G,0)),"")</f>
        <v/>
      </c>
      <c r="E841" s="21" t="str">
        <f>IF($B841="إنتاج طبخة","",IFERROR(INDEX('بيانات الحركات'!E:E,MATCH(840,'بيانات الحركات'!$G:$G,0)),""))</f>
        <v/>
      </c>
      <c r="F841" s="3" t="str">
        <f>IFERROR(INDEX('بيانات الحركات'!F:F,MATCH(840,'بيانات الحركات'!$G:$G,0)),"")</f>
        <v/>
      </c>
    </row>
    <row r="842" spans="1:6" ht="21.95" customHeight="1">
      <c r="A842" s="8" t="str">
        <f>IFERROR(INDEX('بيانات الحركات'!A:A,MATCH(841,'بيانات الحركات'!$G:$G,0)),"")</f>
        <v/>
      </c>
      <c r="B842" s="5" t="str">
        <f>IFERROR(INDEX('بيانات الحركات'!B:B,MATCH(841,'بيانات الحركات'!$G:$G,0)),"")</f>
        <v/>
      </c>
      <c r="C842" s="3" t="str">
        <f>IFERROR(INDEX('بيانات الحركات'!C:C,MATCH(841,'بيانات الحركات'!$G:$G,0)),"")</f>
        <v/>
      </c>
      <c r="D842" s="3" t="str">
        <f>IFERROR(INDEX('بيانات الحركات'!D:D,MATCH(841,'بيانات الحركات'!$G:$G,0)),"")</f>
        <v/>
      </c>
      <c r="E842" s="21" t="str">
        <f>IF($B842="إنتاج طبخة","",IFERROR(INDEX('بيانات الحركات'!E:E,MATCH(841,'بيانات الحركات'!$G:$G,0)),""))</f>
        <v/>
      </c>
      <c r="F842" s="3" t="str">
        <f>IFERROR(INDEX('بيانات الحركات'!F:F,MATCH(841,'بيانات الحركات'!$G:$G,0)),"")</f>
        <v/>
      </c>
    </row>
    <row r="843" spans="1:6" ht="21.95" customHeight="1">
      <c r="A843" s="8" t="str">
        <f>IFERROR(INDEX('بيانات الحركات'!A:A,MATCH(842,'بيانات الحركات'!$G:$G,0)),"")</f>
        <v/>
      </c>
      <c r="B843" s="5" t="str">
        <f>IFERROR(INDEX('بيانات الحركات'!B:B,MATCH(842,'بيانات الحركات'!$G:$G,0)),"")</f>
        <v/>
      </c>
      <c r="C843" s="3" t="str">
        <f>IFERROR(INDEX('بيانات الحركات'!C:C,MATCH(842,'بيانات الحركات'!$G:$G,0)),"")</f>
        <v/>
      </c>
      <c r="D843" s="3" t="str">
        <f>IFERROR(INDEX('بيانات الحركات'!D:D,MATCH(842,'بيانات الحركات'!$G:$G,0)),"")</f>
        <v/>
      </c>
      <c r="E843" s="21" t="str">
        <f>IF($B843="إنتاج طبخة","",IFERROR(INDEX('بيانات الحركات'!E:E,MATCH(842,'بيانات الحركات'!$G:$G,0)),""))</f>
        <v/>
      </c>
      <c r="F843" s="3" t="str">
        <f>IFERROR(INDEX('بيانات الحركات'!F:F,MATCH(842,'بيانات الحركات'!$G:$G,0)),"")</f>
        <v/>
      </c>
    </row>
    <row r="844" spans="1:6" ht="21.95" customHeight="1">
      <c r="A844" s="8" t="str">
        <f>IFERROR(INDEX('بيانات الحركات'!A:A,MATCH(843,'بيانات الحركات'!$G:$G,0)),"")</f>
        <v/>
      </c>
      <c r="B844" s="5" t="str">
        <f>IFERROR(INDEX('بيانات الحركات'!B:B,MATCH(843,'بيانات الحركات'!$G:$G,0)),"")</f>
        <v/>
      </c>
      <c r="C844" s="3" t="str">
        <f>IFERROR(INDEX('بيانات الحركات'!C:C,MATCH(843,'بيانات الحركات'!$G:$G,0)),"")</f>
        <v/>
      </c>
      <c r="D844" s="3" t="str">
        <f>IFERROR(INDEX('بيانات الحركات'!D:D,MATCH(843,'بيانات الحركات'!$G:$G,0)),"")</f>
        <v/>
      </c>
      <c r="E844" s="21" t="str">
        <f>IF($B844="إنتاج طبخة","",IFERROR(INDEX('بيانات الحركات'!E:E,MATCH(843,'بيانات الحركات'!$G:$G,0)),""))</f>
        <v/>
      </c>
      <c r="F844" s="3" t="str">
        <f>IFERROR(INDEX('بيانات الحركات'!F:F,MATCH(843,'بيانات الحركات'!$G:$G,0)),"")</f>
        <v/>
      </c>
    </row>
    <row r="845" spans="1:6" ht="21.95" customHeight="1">
      <c r="A845" s="8" t="str">
        <f>IFERROR(INDEX('بيانات الحركات'!A:A,MATCH(844,'بيانات الحركات'!$G:$G,0)),"")</f>
        <v/>
      </c>
      <c r="B845" s="5" t="str">
        <f>IFERROR(INDEX('بيانات الحركات'!B:B,MATCH(844,'بيانات الحركات'!$G:$G,0)),"")</f>
        <v/>
      </c>
      <c r="C845" s="3" t="str">
        <f>IFERROR(INDEX('بيانات الحركات'!C:C,MATCH(844,'بيانات الحركات'!$G:$G,0)),"")</f>
        <v/>
      </c>
      <c r="D845" s="3" t="str">
        <f>IFERROR(INDEX('بيانات الحركات'!D:D,MATCH(844,'بيانات الحركات'!$G:$G,0)),"")</f>
        <v/>
      </c>
      <c r="E845" s="21" t="str">
        <f>IF($B845="إنتاج طبخة","",IFERROR(INDEX('بيانات الحركات'!E:E,MATCH(844,'بيانات الحركات'!$G:$G,0)),""))</f>
        <v/>
      </c>
      <c r="F845" s="3" t="str">
        <f>IFERROR(INDEX('بيانات الحركات'!F:F,MATCH(844,'بيانات الحركات'!$G:$G,0)),"")</f>
        <v/>
      </c>
    </row>
    <row r="846" spans="1:6" ht="21.95" customHeight="1">
      <c r="A846" s="8" t="str">
        <f>IFERROR(INDEX('بيانات الحركات'!A:A,MATCH(845,'بيانات الحركات'!$G:$G,0)),"")</f>
        <v/>
      </c>
      <c r="B846" s="5" t="str">
        <f>IFERROR(INDEX('بيانات الحركات'!B:B,MATCH(845,'بيانات الحركات'!$G:$G,0)),"")</f>
        <v/>
      </c>
      <c r="C846" s="3" t="str">
        <f>IFERROR(INDEX('بيانات الحركات'!C:C,MATCH(845,'بيانات الحركات'!$G:$G,0)),"")</f>
        <v/>
      </c>
      <c r="D846" s="3" t="str">
        <f>IFERROR(INDEX('بيانات الحركات'!D:D,MATCH(845,'بيانات الحركات'!$G:$G,0)),"")</f>
        <v/>
      </c>
      <c r="E846" s="21" t="str">
        <f>IF($B846="إنتاج طبخة","",IFERROR(INDEX('بيانات الحركات'!E:E,MATCH(845,'بيانات الحركات'!$G:$G,0)),""))</f>
        <v/>
      </c>
      <c r="F846" s="3" t="str">
        <f>IFERROR(INDEX('بيانات الحركات'!F:F,MATCH(845,'بيانات الحركات'!$G:$G,0)),"")</f>
        <v/>
      </c>
    </row>
    <row r="847" spans="1:6" ht="21.95" customHeight="1">
      <c r="A847" s="8" t="str">
        <f>IFERROR(INDEX('بيانات الحركات'!A:A,MATCH(846,'بيانات الحركات'!$G:$G,0)),"")</f>
        <v/>
      </c>
      <c r="B847" s="5" t="str">
        <f>IFERROR(INDEX('بيانات الحركات'!B:B,MATCH(846,'بيانات الحركات'!$G:$G,0)),"")</f>
        <v/>
      </c>
      <c r="C847" s="3" t="str">
        <f>IFERROR(INDEX('بيانات الحركات'!C:C,MATCH(846,'بيانات الحركات'!$G:$G,0)),"")</f>
        <v/>
      </c>
      <c r="D847" s="3" t="str">
        <f>IFERROR(INDEX('بيانات الحركات'!D:D,MATCH(846,'بيانات الحركات'!$G:$G,0)),"")</f>
        <v/>
      </c>
      <c r="E847" s="21" t="str">
        <f>IF($B847="إنتاج طبخة","",IFERROR(INDEX('بيانات الحركات'!E:E,MATCH(846,'بيانات الحركات'!$G:$G,0)),""))</f>
        <v/>
      </c>
      <c r="F847" s="3" t="str">
        <f>IFERROR(INDEX('بيانات الحركات'!F:F,MATCH(846,'بيانات الحركات'!$G:$G,0)),"")</f>
        <v/>
      </c>
    </row>
    <row r="848" spans="1:6" ht="21.95" customHeight="1">
      <c r="A848" s="8" t="str">
        <f>IFERROR(INDEX('بيانات الحركات'!A:A,MATCH(847,'بيانات الحركات'!$G:$G,0)),"")</f>
        <v/>
      </c>
      <c r="B848" s="5" t="str">
        <f>IFERROR(INDEX('بيانات الحركات'!B:B,MATCH(847,'بيانات الحركات'!$G:$G,0)),"")</f>
        <v/>
      </c>
      <c r="C848" s="3" t="str">
        <f>IFERROR(INDEX('بيانات الحركات'!C:C,MATCH(847,'بيانات الحركات'!$G:$G,0)),"")</f>
        <v/>
      </c>
      <c r="D848" s="3" t="str">
        <f>IFERROR(INDEX('بيانات الحركات'!D:D,MATCH(847,'بيانات الحركات'!$G:$G,0)),"")</f>
        <v/>
      </c>
      <c r="E848" s="21" t="str">
        <f>IF($B848="إنتاج طبخة","",IFERROR(INDEX('بيانات الحركات'!E:E,MATCH(847,'بيانات الحركات'!$G:$G,0)),""))</f>
        <v/>
      </c>
      <c r="F848" s="3" t="str">
        <f>IFERROR(INDEX('بيانات الحركات'!F:F,MATCH(847,'بيانات الحركات'!$G:$G,0)),"")</f>
        <v/>
      </c>
    </row>
    <row r="849" spans="1:6" ht="21.95" customHeight="1">
      <c r="A849" s="8" t="str">
        <f>IFERROR(INDEX('بيانات الحركات'!A:A,MATCH(848,'بيانات الحركات'!$G:$G,0)),"")</f>
        <v/>
      </c>
      <c r="B849" s="5" t="str">
        <f>IFERROR(INDEX('بيانات الحركات'!B:B,MATCH(848,'بيانات الحركات'!$G:$G,0)),"")</f>
        <v/>
      </c>
      <c r="C849" s="3" t="str">
        <f>IFERROR(INDEX('بيانات الحركات'!C:C,MATCH(848,'بيانات الحركات'!$G:$G,0)),"")</f>
        <v/>
      </c>
      <c r="D849" s="3" t="str">
        <f>IFERROR(INDEX('بيانات الحركات'!D:D,MATCH(848,'بيانات الحركات'!$G:$G,0)),"")</f>
        <v/>
      </c>
      <c r="E849" s="21" t="str">
        <f>IF($B849="إنتاج طبخة","",IFERROR(INDEX('بيانات الحركات'!E:E,MATCH(848,'بيانات الحركات'!$G:$G,0)),""))</f>
        <v/>
      </c>
      <c r="F849" s="3" t="str">
        <f>IFERROR(INDEX('بيانات الحركات'!F:F,MATCH(848,'بيانات الحركات'!$G:$G,0)),"")</f>
        <v/>
      </c>
    </row>
    <row r="850" spans="1:6" ht="21.95" customHeight="1">
      <c r="A850" s="8" t="str">
        <f>IFERROR(INDEX('بيانات الحركات'!A:A,MATCH(849,'بيانات الحركات'!$G:$G,0)),"")</f>
        <v/>
      </c>
      <c r="B850" s="5" t="str">
        <f>IFERROR(INDEX('بيانات الحركات'!B:B,MATCH(849,'بيانات الحركات'!$G:$G,0)),"")</f>
        <v/>
      </c>
      <c r="C850" s="3" t="str">
        <f>IFERROR(INDEX('بيانات الحركات'!C:C,MATCH(849,'بيانات الحركات'!$G:$G,0)),"")</f>
        <v/>
      </c>
      <c r="D850" s="3" t="str">
        <f>IFERROR(INDEX('بيانات الحركات'!D:D,MATCH(849,'بيانات الحركات'!$G:$G,0)),"")</f>
        <v/>
      </c>
      <c r="E850" s="21" t="str">
        <f>IF($B850="إنتاج طبخة","",IFERROR(INDEX('بيانات الحركات'!E:E,MATCH(849,'بيانات الحركات'!$G:$G,0)),""))</f>
        <v/>
      </c>
      <c r="F850" s="3" t="str">
        <f>IFERROR(INDEX('بيانات الحركات'!F:F,MATCH(849,'بيانات الحركات'!$G:$G,0)),"")</f>
        <v/>
      </c>
    </row>
    <row r="851" spans="1:6" ht="21.95" customHeight="1">
      <c r="A851" s="8" t="str">
        <f>IFERROR(INDEX('بيانات الحركات'!A:A,MATCH(850,'بيانات الحركات'!$G:$G,0)),"")</f>
        <v/>
      </c>
      <c r="B851" s="5" t="str">
        <f>IFERROR(INDEX('بيانات الحركات'!B:B,MATCH(850,'بيانات الحركات'!$G:$G,0)),"")</f>
        <v/>
      </c>
      <c r="C851" s="3" t="str">
        <f>IFERROR(INDEX('بيانات الحركات'!C:C,MATCH(850,'بيانات الحركات'!$G:$G,0)),"")</f>
        <v/>
      </c>
      <c r="D851" s="3" t="str">
        <f>IFERROR(INDEX('بيانات الحركات'!D:D,MATCH(850,'بيانات الحركات'!$G:$G,0)),"")</f>
        <v/>
      </c>
      <c r="E851" s="21" t="str">
        <f>IF($B851="إنتاج طبخة","",IFERROR(INDEX('بيانات الحركات'!E:E,MATCH(850,'بيانات الحركات'!$G:$G,0)),""))</f>
        <v/>
      </c>
      <c r="F851" s="3" t="str">
        <f>IFERROR(INDEX('بيانات الحركات'!F:F,MATCH(850,'بيانات الحركات'!$G:$G,0)),"")</f>
        <v/>
      </c>
    </row>
    <row r="852" spans="1:6" ht="21.95" customHeight="1">
      <c r="A852" s="8" t="str">
        <f>IFERROR(INDEX('بيانات الحركات'!A:A,MATCH(851,'بيانات الحركات'!$G:$G,0)),"")</f>
        <v/>
      </c>
      <c r="B852" s="5" t="str">
        <f>IFERROR(INDEX('بيانات الحركات'!B:B,MATCH(851,'بيانات الحركات'!$G:$G,0)),"")</f>
        <v/>
      </c>
      <c r="C852" s="3" t="str">
        <f>IFERROR(INDEX('بيانات الحركات'!C:C,MATCH(851,'بيانات الحركات'!$G:$G,0)),"")</f>
        <v/>
      </c>
      <c r="D852" s="3" t="str">
        <f>IFERROR(INDEX('بيانات الحركات'!D:D,MATCH(851,'بيانات الحركات'!$G:$G,0)),"")</f>
        <v/>
      </c>
      <c r="E852" s="21" t="str">
        <f>IF($B852="إنتاج طبخة","",IFERROR(INDEX('بيانات الحركات'!E:E,MATCH(851,'بيانات الحركات'!$G:$G,0)),""))</f>
        <v/>
      </c>
      <c r="F852" s="3" t="str">
        <f>IFERROR(INDEX('بيانات الحركات'!F:F,MATCH(851,'بيانات الحركات'!$G:$G,0)),"")</f>
        <v/>
      </c>
    </row>
    <row r="853" spans="1:6" ht="21.95" customHeight="1">
      <c r="A853" s="8" t="str">
        <f>IFERROR(INDEX('بيانات الحركات'!A:A,MATCH(852,'بيانات الحركات'!$G:$G,0)),"")</f>
        <v/>
      </c>
      <c r="B853" s="5" t="str">
        <f>IFERROR(INDEX('بيانات الحركات'!B:B,MATCH(852,'بيانات الحركات'!$G:$G,0)),"")</f>
        <v/>
      </c>
      <c r="C853" s="3" t="str">
        <f>IFERROR(INDEX('بيانات الحركات'!C:C,MATCH(852,'بيانات الحركات'!$G:$G,0)),"")</f>
        <v/>
      </c>
      <c r="D853" s="3" t="str">
        <f>IFERROR(INDEX('بيانات الحركات'!D:D,MATCH(852,'بيانات الحركات'!$G:$G,0)),"")</f>
        <v/>
      </c>
      <c r="E853" s="21" t="str">
        <f>IF($B853="إنتاج طبخة","",IFERROR(INDEX('بيانات الحركات'!E:E,MATCH(852,'بيانات الحركات'!$G:$G,0)),""))</f>
        <v/>
      </c>
      <c r="F853" s="3" t="str">
        <f>IFERROR(INDEX('بيانات الحركات'!F:F,MATCH(852,'بيانات الحركات'!$G:$G,0)),"")</f>
        <v/>
      </c>
    </row>
    <row r="854" spans="1:6" ht="21.95" customHeight="1">
      <c r="A854" s="8" t="str">
        <f>IFERROR(INDEX('بيانات الحركات'!A:A,MATCH(853,'بيانات الحركات'!$G:$G,0)),"")</f>
        <v/>
      </c>
      <c r="B854" s="5" t="str">
        <f>IFERROR(INDEX('بيانات الحركات'!B:B,MATCH(853,'بيانات الحركات'!$G:$G,0)),"")</f>
        <v/>
      </c>
      <c r="C854" s="3" t="str">
        <f>IFERROR(INDEX('بيانات الحركات'!C:C,MATCH(853,'بيانات الحركات'!$G:$G,0)),"")</f>
        <v/>
      </c>
      <c r="D854" s="3" t="str">
        <f>IFERROR(INDEX('بيانات الحركات'!D:D,MATCH(853,'بيانات الحركات'!$G:$G,0)),"")</f>
        <v/>
      </c>
      <c r="E854" s="21" t="str">
        <f>IF($B854="إنتاج طبخة","",IFERROR(INDEX('بيانات الحركات'!E:E,MATCH(853,'بيانات الحركات'!$G:$G,0)),""))</f>
        <v/>
      </c>
      <c r="F854" s="3" t="str">
        <f>IFERROR(INDEX('بيانات الحركات'!F:F,MATCH(853,'بيانات الحركات'!$G:$G,0)),"")</f>
        <v/>
      </c>
    </row>
    <row r="855" spans="1:6" ht="21.95" customHeight="1">
      <c r="A855" s="8" t="str">
        <f>IFERROR(INDEX('بيانات الحركات'!A:A,MATCH(854,'بيانات الحركات'!$G:$G,0)),"")</f>
        <v/>
      </c>
      <c r="B855" s="5" t="str">
        <f>IFERROR(INDEX('بيانات الحركات'!B:B,MATCH(854,'بيانات الحركات'!$G:$G,0)),"")</f>
        <v/>
      </c>
      <c r="C855" s="3" t="str">
        <f>IFERROR(INDEX('بيانات الحركات'!C:C,MATCH(854,'بيانات الحركات'!$G:$G,0)),"")</f>
        <v/>
      </c>
      <c r="D855" s="3" t="str">
        <f>IFERROR(INDEX('بيانات الحركات'!D:D,MATCH(854,'بيانات الحركات'!$G:$G,0)),"")</f>
        <v/>
      </c>
      <c r="E855" s="21" t="str">
        <f>IF($B855="إنتاج طبخة","",IFERROR(INDEX('بيانات الحركات'!E:E,MATCH(854,'بيانات الحركات'!$G:$G,0)),""))</f>
        <v/>
      </c>
      <c r="F855" s="3" t="str">
        <f>IFERROR(INDEX('بيانات الحركات'!F:F,MATCH(854,'بيانات الحركات'!$G:$G,0)),"")</f>
        <v/>
      </c>
    </row>
    <row r="856" spans="1:6" ht="21.95" customHeight="1">
      <c r="A856" s="8" t="str">
        <f>IFERROR(INDEX('بيانات الحركات'!A:A,MATCH(855,'بيانات الحركات'!$G:$G,0)),"")</f>
        <v/>
      </c>
      <c r="B856" s="5" t="str">
        <f>IFERROR(INDEX('بيانات الحركات'!B:B,MATCH(855,'بيانات الحركات'!$G:$G,0)),"")</f>
        <v/>
      </c>
      <c r="C856" s="3" t="str">
        <f>IFERROR(INDEX('بيانات الحركات'!C:C,MATCH(855,'بيانات الحركات'!$G:$G,0)),"")</f>
        <v/>
      </c>
      <c r="D856" s="3" t="str">
        <f>IFERROR(INDEX('بيانات الحركات'!D:D,MATCH(855,'بيانات الحركات'!$G:$G,0)),"")</f>
        <v/>
      </c>
      <c r="E856" s="21" t="str">
        <f>IF($B856="إنتاج طبخة","",IFERROR(INDEX('بيانات الحركات'!E:E,MATCH(855,'بيانات الحركات'!$G:$G,0)),""))</f>
        <v/>
      </c>
      <c r="F856" s="3" t="str">
        <f>IFERROR(INDEX('بيانات الحركات'!F:F,MATCH(855,'بيانات الحركات'!$G:$G,0)),"")</f>
        <v/>
      </c>
    </row>
    <row r="857" spans="1:6" ht="21.95" customHeight="1">
      <c r="A857" s="8" t="str">
        <f>IFERROR(INDEX('بيانات الحركات'!A:A,MATCH(856,'بيانات الحركات'!$G:$G,0)),"")</f>
        <v/>
      </c>
      <c r="B857" s="5" t="str">
        <f>IFERROR(INDEX('بيانات الحركات'!B:B,MATCH(856,'بيانات الحركات'!$G:$G,0)),"")</f>
        <v/>
      </c>
      <c r="C857" s="3" t="str">
        <f>IFERROR(INDEX('بيانات الحركات'!C:C,MATCH(856,'بيانات الحركات'!$G:$G,0)),"")</f>
        <v/>
      </c>
      <c r="D857" s="3" t="str">
        <f>IFERROR(INDEX('بيانات الحركات'!D:D,MATCH(856,'بيانات الحركات'!$G:$G,0)),"")</f>
        <v/>
      </c>
      <c r="E857" s="21" t="str">
        <f>IF($B857="إنتاج طبخة","",IFERROR(INDEX('بيانات الحركات'!E:E,MATCH(856,'بيانات الحركات'!$G:$G,0)),""))</f>
        <v/>
      </c>
      <c r="F857" s="3" t="str">
        <f>IFERROR(INDEX('بيانات الحركات'!F:F,MATCH(856,'بيانات الحركات'!$G:$G,0)),"")</f>
        <v/>
      </c>
    </row>
    <row r="858" spans="1:6" ht="21.95" customHeight="1">
      <c r="A858" s="8" t="str">
        <f>IFERROR(INDEX('بيانات الحركات'!A:A,MATCH(857,'بيانات الحركات'!$G:$G,0)),"")</f>
        <v/>
      </c>
      <c r="B858" s="5" t="str">
        <f>IFERROR(INDEX('بيانات الحركات'!B:B,MATCH(857,'بيانات الحركات'!$G:$G,0)),"")</f>
        <v/>
      </c>
      <c r="C858" s="3" t="str">
        <f>IFERROR(INDEX('بيانات الحركات'!C:C,MATCH(857,'بيانات الحركات'!$G:$G,0)),"")</f>
        <v/>
      </c>
      <c r="D858" s="3" t="str">
        <f>IFERROR(INDEX('بيانات الحركات'!D:D,MATCH(857,'بيانات الحركات'!$G:$G,0)),"")</f>
        <v/>
      </c>
      <c r="E858" s="21" t="str">
        <f>IF($B858="إنتاج طبخة","",IFERROR(INDEX('بيانات الحركات'!E:E,MATCH(857,'بيانات الحركات'!$G:$G,0)),""))</f>
        <v/>
      </c>
      <c r="F858" s="3" t="str">
        <f>IFERROR(INDEX('بيانات الحركات'!F:F,MATCH(857,'بيانات الحركات'!$G:$G,0)),"")</f>
        <v/>
      </c>
    </row>
    <row r="859" spans="1:6" ht="21.95" customHeight="1">
      <c r="A859" s="8" t="str">
        <f>IFERROR(INDEX('بيانات الحركات'!A:A,MATCH(858,'بيانات الحركات'!$G:$G,0)),"")</f>
        <v/>
      </c>
      <c r="B859" s="5" t="str">
        <f>IFERROR(INDEX('بيانات الحركات'!B:B,MATCH(858,'بيانات الحركات'!$G:$G,0)),"")</f>
        <v/>
      </c>
      <c r="C859" s="3" t="str">
        <f>IFERROR(INDEX('بيانات الحركات'!C:C,MATCH(858,'بيانات الحركات'!$G:$G,0)),"")</f>
        <v/>
      </c>
      <c r="D859" s="3" t="str">
        <f>IFERROR(INDEX('بيانات الحركات'!D:D,MATCH(858,'بيانات الحركات'!$G:$G,0)),"")</f>
        <v/>
      </c>
      <c r="E859" s="21" t="str">
        <f>IF($B859="إنتاج طبخة","",IFERROR(INDEX('بيانات الحركات'!E:E,MATCH(858,'بيانات الحركات'!$G:$G,0)),""))</f>
        <v/>
      </c>
      <c r="F859" s="3" t="str">
        <f>IFERROR(INDEX('بيانات الحركات'!F:F,MATCH(858,'بيانات الحركات'!$G:$G,0)),"")</f>
        <v/>
      </c>
    </row>
    <row r="860" spans="1:6" ht="21.95" customHeight="1">
      <c r="A860" s="8" t="str">
        <f>IFERROR(INDEX('بيانات الحركات'!A:A,MATCH(859,'بيانات الحركات'!$G:$G,0)),"")</f>
        <v/>
      </c>
      <c r="B860" s="5" t="str">
        <f>IFERROR(INDEX('بيانات الحركات'!B:B,MATCH(859,'بيانات الحركات'!$G:$G,0)),"")</f>
        <v/>
      </c>
      <c r="C860" s="3" t="str">
        <f>IFERROR(INDEX('بيانات الحركات'!C:C,MATCH(859,'بيانات الحركات'!$G:$G,0)),"")</f>
        <v/>
      </c>
      <c r="D860" s="3" t="str">
        <f>IFERROR(INDEX('بيانات الحركات'!D:D,MATCH(859,'بيانات الحركات'!$G:$G,0)),"")</f>
        <v/>
      </c>
      <c r="E860" s="21" t="str">
        <f>IF($B860="إنتاج طبخة","",IFERROR(INDEX('بيانات الحركات'!E:E,MATCH(859,'بيانات الحركات'!$G:$G,0)),""))</f>
        <v/>
      </c>
      <c r="F860" s="3" t="str">
        <f>IFERROR(INDEX('بيانات الحركات'!F:F,MATCH(859,'بيانات الحركات'!$G:$G,0)),"")</f>
        <v/>
      </c>
    </row>
    <row r="861" spans="1:6" ht="21.95" customHeight="1">
      <c r="A861" s="8" t="str">
        <f>IFERROR(INDEX('بيانات الحركات'!A:A,MATCH(860,'بيانات الحركات'!$G:$G,0)),"")</f>
        <v/>
      </c>
      <c r="B861" s="5" t="str">
        <f>IFERROR(INDEX('بيانات الحركات'!B:B,MATCH(860,'بيانات الحركات'!$G:$G,0)),"")</f>
        <v/>
      </c>
      <c r="C861" s="3" t="str">
        <f>IFERROR(INDEX('بيانات الحركات'!C:C,MATCH(860,'بيانات الحركات'!$G:$G,0)),"")</f>
        <v/>
      </c>
      <c r="D861" s="3" t="str">
        <f>IFERROR(INDEX('بيانات الحركات'!D:D,MATCH(860,'بيانات الحركات'!$G:$G,0)),"")</f>
        <v/>
      </c>
      <c r="E861" s="21" t="str">
        <f>IF($B861="إنتاج طبخة","",IFERROR(INDEX('بيانات الحركات'!E:E,MATCH(860,'بيانات الحركات'!$G:$G,0)),""))</f>
        <v/>
      </c>
      <c r="F861" s="3" t="str">
        <f>IFERROR(INDEX('بيانات الحركات'!F:F,MATCH(860,'بيانات الحركات'!$G:$G,0)),"")</f>
        <v/>
      </c>
    </row>
    <row r="862" spans="1:6" ht="21.95" customHeight="1">
      <c r="A862" s="8" t="str">
        <f>IFERROR(INDEX('بيانات الحركات'!A:A,MATCH(861,'بيانات الحركات'!$G:$G,0)),"")</f>
        <v/>
      </c>
      <c r="B862" s="5" t="str">
        <f>IFERROR(INDEX('بيانات الحركات'!B:B,MATCH(861,'بيانات الحركات'!$G:$G,0)),"")</f>
        <v/>
      </c>
      <c r="C862" s="3" t="str">
        <f>IFERROR(INDEX('بيانات الحركات'!C:C,MATCH(861,'بيانات الحركات'!$G:$G,0)),"")</f>
        <v/>
      </c>
      <c r="D862" s="3" t="str">
        <f>IFERROR(INDEX('بيانات الحركات'!D:D,MATCH(861,'بيانات الحركات'!$G:$G,0)),"")</f>
        <v/>
      </c>
      <c r="E862" s="21" t="str">
        <f>IF($B862="إنتاج طبخة","",IFERROR(INDEX('بيانات الحركات'!E:E,MATCH(861,'بيانات الحركات'!$G:$G,0)),""))</f>
        <v/>
      </c>
      <c r="F862" s="3" t="str">
        <f>IFERROR(INDEX('بيانات الحركات'!F:F,MATCH(861,'بيانات الحركات'!$G:$G,0)),"")</f>
        <v/>
      </c>
    </row>
    <row r="863" spans="1:6" ht="21.95" customHeight="1">
      <c r="A863" s="8" t="str">
        <f>IFERROR(INDEX('بيانات الحركات'!A:A,MATCH(862,'بيانات الحركات'!$G:$G,0)),"")</f>
        <v/>
      </c>
      <c r="B863" s="5" t="str">
        <f>IFERROR(INDEX('بيانات الحركات'!B:B,MATCH(862,'بيانات الحركات'!$G:$G,0)),"")</f>
        <v/>
      </c>
      <c r="C863" s="3" t="str">
        <f>IFERROR(INDEX('بيانات الحركات'!C:C,MATCH(862,'بيانات الحركات'!$G:$G,0)),"")</f>
        <v/>
      </c>
      <c r="D863" s="3" t="str">
        <f>IFERROR(INDEX('بيانات الحركات'!D:D,MATCH(862,'بيانات الحركات'!$G:$G,0)),"")</f>
        <v/>
      </c>
      <c r="E863" s="21" t="str">
        <f>IF($B863="إنتاج طبخة","",IFERROR(INDEX('بيانات الحركات'!E:E,MATCH(862,'بيانات الحركات'!$G:$G,0)),""))</f>
        <v/>
      </c>
      <c r="F863" s="3" t="str">
        <f>IFERROR(INDEX('بيانات الحركات'!F:F,MATCH(862,'بيانات الحركات'!$G:$G,0)),"")</f>
        <v/>
      </c>
    </row>
    <row r="864" spans="1:6" ht="21.95" customHeight="1">
      <c r="A864" s="8" t="str">
        <f>IFERROR(INDEX('بيانات الحركات'!A:A,MATCH(863,'بيانات الحركات'!$G:$G,0)),"")</f>
        <v/>
      </c>
      <c r="B864" s="5" t="str">
        <f>IFERROR(INDEX('بيانات الحركات'!B:B,MATCH(863,'بيانات الحركات'!$G:$G,0)),"")</f>
        <v/>
      </c>
      <c r="C864" s="3" t="str">
        <f>IFERROR(INDEX('بيانات الحركات'!C:C,MATCH(863,'بيانات الحركات'!$G:$G,0)),"")</f>
        <v/>
      </c>
      <c r="D864" s="3" t="str">
        <f>IFERROR(INDEX('بيانات الحركات'!D:D,MATCH(863,'بيانات الحركات'!$G:$G,0)),"")</f>
        <v/>
      </c>
      <c r="E864" s="21" t="str">
        <f>IF($B864="إنتاج طبخة","",IFERROR(INDEX('بيانات الحركات'!E:E,MATCH(863,'بيانات الحركات'!$G:$G,0)),""))</f>
        <v/>
      </c>
      <c r="F864" s="3" t="str">
        <f>IFERROR(INDEX('بيانات الحركات'!F:F,MATCH(863,'بيانات الحركات'!$G:$G,0)),"")</f>
        <v/>
      </c>
    </row>
    <row r="865" spans="1:6" ht="21.95" customHeight="1">
      <c r="A865" s="8" t="str">
        <f>IFERROR(INDEX('بيانات الحركات'!A:A,MATCH(864,'بيانات الحركات'!$G:$G,0)),"")</f>
        <v/>
      </c>
      <c r="B865" s="5" t="str">
        <f>IFERROR(INDEX('بيانات الحركات'!B:B,MATCH(864,'بيانات الحركات'!$G:$G,0)),"")</f>
        <v/>
      </c>
      <c r="C865" s="3" t="str">
        <f>IFERROR(INDEX('بيانات الحركات'!C:C,MATCH(864,'بيانات الحركات'!$G:$G,0)),"")</f>
        <v/>
      </c>
      <c r="D865" s="3" t="str">
        <f>IFERROR(INDEX('بيانات الحركات'!D:D,MATCH(864,'بيانات الحركات'!$G:$G,0)),"")</f>
        <v/>
      </c>
      <c r="E865" s="21" t="str">
        <f>IF($B865="إنتاج طبخة","",IFERROR(INDEX('بيانات الحركات'!E:E,MATCH(864,'بيانات الحركات'!$G:$G,0)),""))</f>
        <v/>
      </c>
      <c r="F865" s="3" t="str">
        <f>IFERROR(INDEX('بيانات الحركات'!F:F,MATCH(864,'بيانات الحركات'!$G:$G,0)),"")</f>
        <v/>
      </c>
    </row>
    <row r="866" spans="1:6" ht="21.95" customHeight="1">
      <c r="A866" s="8" t="str">
        <f>IFERROR(INDEX('بيانات الحركات'!A:A,MATCH(865,'بيانات الحركات'!$G:$G,0)),"")</f>
        <v/>
      </c>
      <c r="B866" s="5" t="str">
        <f>IFERROR(INDEX('بيانات الحركات'!B:B,MATCH(865,'بيانات الحركات'!$G:$G,0)),"")</f>
        <v/>
      </c>
      <c r="C866" s="3" t="str">
        <f>IFERROR(INDEX('بيانات الحركات'!C:C,MATCH(865,'بيانات الحركات'!$G:$G,0)),"")</f>
        <v/>
      </c>
      <c r="D866" s="3" t="str">
        <f>IFERROR(INDEX('بيانات الحركات'!D:D,MATCH(865,'بيانات الحركات'!$G:$G,0)),"")</f>
        <v/>
      </c>
      <c r="E866" s="21" t="str">
        <f>IF($B866="إنتاج طبخة","",IFERROR(INDEX('بيانات الحركات'!E:E,MATCH(865,'بيانات الحركات'!$G:$G,0)),""))</f>
        <v/>
      </c>
      <c r="F866" s="3" t="str">
        <f>IFERROR(INDEX('بيانات الحركات'!F:F,MATCH(865,'بيانات الحركات'!$G:$G,0)),"")</f>
        <v/>
      </c>
    </row>
    <row r="867" spans="1:6" ht="21.95" customHeight="1">
      <c r="A867" s="8" t="str">
        <f>IFERROR(INDEX('بيانات الحركات'!A:A,MATCH(866,'بيانات الحركات'!$G:$G,0)),"")</f>
        <v/>
      </c>
      <c r="B867" s="5" t="str">
        <f>IFERROR(INDEX('بيانات الحركات'!B:B,MATCH(866,'بيانات الحركات'!$G:$G,0)),"")</f>
        <v/>
      </c>
      <c r="C867" s="3" t="str">
        <f>IFERROR(INDEX('بيانات الحركات'!C:C,MATCH(866,'بيانات الحركات'!$G:$G,0)),"")</f>
        <v/>
      </c>
      <c r="D867" s="3" t="str">
        <f>IFERROR(INDEX('بيانات الحركات'!D:D,MATCH(866,'بيانات الحركات'!$G:$G,0)),"")</f>
        <v/>
      </c>
      <c r="E867" s="21" t="str">
        <f>IF($B867="إنتاج طبخة","",IFERROR(INDEX('بيانات الحركات'!E:E,MATCH(866,'بيانات الحركات'!$G:$G,0)),""))</f>
        <v/>
      </c>
      <c r="F867" s="3" t="str">
        <f>IFERROR(INDEX('بيانات الحركات'!F:F,MATCH(866,'بيانات الحركات'!$G:$G,0)),"")</f>
        <v/>
      </c>
    </row>
    <row r="868" spans="1:6" ht="21.95" customHeight="1">
      <c r="A868" s="8" t="str">
        <f>IFERROR(INDEX('بيانات الحركات'!A:A,MATCH(867,'بيانات الحركات'!$G:$G,0)),"")</f>
        <v/>
      </c>
      <c r="B868" s="5" t="str">
        <f>IFERROR(INDEX('بيانات الحركات'!B:B,MATCH(867,'بيانات الحركات'!$G:$G,0)),"")</f>
        <v/>
      </c>
      <c r="C868" s="3" t="str">
        <f>IFERROR(INDEX('بيانات الحركات'!C:C,MATCH(867,'بيانات الحركات'!$G:$G,0)),"")</f>
        <v/>
      </c>
      <c r="D868" s="3" t="str">
        <f>IFERROR(INDEX('بيانات الحركات'!D:D,MATCH(867,'بيانات الحركات'!$G:$G,0)),"")</f>
        <v/>
      </c>
      <c r="E868" s="21" t="str">
        <f>IF($B868="إنتاج طبخة","",IFERROR(INDEX('بيانات الحركات'!E:E,MATCH(867,'بيانات الحركات'!$G:$G,0)),""))</f>
        <v/>
      </c>
      <c r="F868" s="3" t="str">
        <f>IFERROR(INDEX('بيانات الحركات'!F:F,MATCH(867,'بيانات الحركات'!$G:$G,0)),"")</f>
        <v/>
      </c>
    </row>
    <row r="869" spans="1:6" ht="21.95" customHeight="1">
      <c r="A869" s="8" t="str">
        <f>IFERROR(INDEX('بيانات الحركات'!A:A,MATCH(868,'بيانات الحركات'!$G:$G,0)),"")</f>
        <v/>
      </c>
      <c r="B869" s="5" t="str">
        <f>IFERROR(INDEX('بيانات الحركات'!B:B,MATCH(868,'بيانات الحركات'!$G:$G,0)),"")</f>
        <v/>
      </c>
      <c r="C869" s="3" t="str">
        <f>IFERROR(INDEX('بيانات الحركات'!C:C,MATCH(868,'بيانات الحركات'!$G:$G,0)),"")</f>
        <v/>
      </c>
      <c r="D869" s="3" t="str">
        <f>IFERROR(INDEX('بيانات الحركات'!D:D,MATCH(868,'بيانات الحركات'!$G:$G,0)),"")</f>
        <v/>
      </c>
      <c r="E869" s="21" t="str">
        <f>IF($B869="إنتاج طبخة","",IFERROR(INDEX('بيانات الحركات'!E:E,MATCH(868,'بيانات الحركات'!$G:$G,0)),""))</f>
        <v/>
      </c>
      <c r="F869" s="3" t="str">
        <f>IFERROR(INDEX('بيانات الحركات'!F:F,MATCH(868,'بيانات الحركات'!$G:$G,0)),"")</f>
        <v/>
      </c>
    </row>
    <row r="870" spans="1:6" ht="21.95" customHeight="1">
      <c r="A870" s="8" t="str">
        <f>IFERROR(INDEX('بيانات الحركات'!A:A,MATCH(869,'بيانات الحركات'!$G:$G,0)),"")</f>
        <v/>
      </c>
      <c r="B870" s="5" t="str">
        <f>IFERROR(INDEX('بيانات الحركات'!B:B,MATCH(869,'بيانات الحركات'!$G:$G,0)),"")</f>
        <v/>
      </c>
      <c r="C870" s="3" t="str">
        <f>IFERROR(INDEX('بيانات الحركات'!C:C,MATCH(869,'بيانات الحركات'!$G:$G,0)),"")</f>
        <v/>
      </c>
      <c r="D870" s="3" t="str">
        <f>IFERROR(INDEX('بيانات الحركات'!D:D,MATCH(869,'بيانات الحركات'!$G:$G,0)),"")</f>
        <v/>
      </c>
      <c r="E870" s="21" t="str">
        <f>IF($B870="إنتاج طبخة","",IFERROR(INDEX('بيانات الحركات'!E:E,MATCH(869,'بيانات الحركات'!$G:$G,0)),""))</f>
        <v/>
      </c>
      <c r="F870" s="3" t="str">
        <f>IFERROR(INDEX('بيانات الحركات'!F:F,MATCH(869,'بيانات الحركات'!$G:$G,0)),"")</f>
        <v/>
      </c>
    </row>
    <row r="871" spans="1:6" ht="21.95" customHeight="1">
      <c r="A871" s="8" t="str">
        <f>IFERROR(INDEX('بيانات الحركات'!A:A,MATCH(870,'بيانات الحركات'!$G:$G,0)),"")</f>
        <v/>
      </c>
      <c r="B871" s="5" t="str">
        <f>IFERROR(INDEX('بيانات الحركات'!B:B,MATCH(870,'بيانات الحركات'!$G:$G,0)),"")</f>
        <v/>
      </c>
      <c r="C871" s="3" t="str">
        <f>IFERROR(INDEX('بيانات الحركات'!C:C,MATCH(870,'بيانات الحركات'!$G:$G,0)),"")</f>
        <v/>
      </c>
      <c r="D871" s="3" t="str">
        <f>IFERROR(INDEX('بيانات الحركات'!D:D,MATCH(870,'بيانات الحركات'!$G:$G,0)),"")</f>
        <v/>
      </c>
      <c r="E871" s="21" t="str">
        <f>IF($B871="إنتاج طبخة","",IFERROR(INDEX('بيانات الحركات'!E:E,MATCH(870,'بيانات الحركات'!$G:$G,0)),""))</f>
        <v/>
      </c>
      <c r="F871" s="3" t="str">
        <f>IFERROR(INDEX('بيانات الحركات'!F:F,MATCH(870,'بيانات الحركات'!$G:$G,0)),"")</f>
        <v/>
      </c>
    </row>
    <row r="872" spans="1:6" ht="21.95" customHeight="1">
      <c r="A872" s="8" t="str">
        <f>IFERROR(INDEX('بيانات الحركات'!A:A,MATCH(871,'بيانات الحركات'!$G:$G,0)),"")</f>
        <v/>
      </c>
      <c r="B872" s="5" t="str">
        <f>IFERROR(INDEX('بيانات الحركات'!B:B,MATCH(871,'بيانات الحركات'!$G:$G,0)),"")</f>
        <v/>
      </c>
      <c r="C872" s="3" t="str">
        <f>IFERROR(INDEX('بيانات الحركات'!C:C,MATCH(871,'بيانات الحركات'!$G:$G,0)),"")</f>
        <v/>
      </c>
      <c r="D872" s="3" t="str">
        <f>IFERROR(INDEX('بيانات الحركات'!D:D,MATCH(871,'بيانات الحركات'!$G:$G,0)),"")</f>
        <v/>
      </c>
      <c r="E872" s="21" t="str">
        <f>IF($B872="إنتاج طبخة","",IFERROR(INDEX('بيانات الحركات'!E:E,MATCH(871,'بيانات الحركات'!$G:$G,0)),""))</f>
        <v/>
      </c>
      <c r="F872" s="3" t="str">
        <f>IFERROR(INDEX('بيانات الحركات'!F:F,MATCH(871,'بيانات الحركات'!$G:$G,0)),"")</f>
        <v/>
      </c>
    </row>
    <row r="873" spans="1:6" ht="21.95" customHeight="1">
      <c r="A873" s="8" t="str">
        <f>IFERROR(INDEX('بيانات الحركات'!A:A,MATCH(872,'بيانات الحركات'!$G:$G,0)),"")</f>
        <v/>
      </c>
      <c r="B873" s="5" t="str">
        <f>IFERROR(INDEX('بيانات الحركات'!B:B,MATCH(872,'بيانات الحركات'!$G:$G,0)),"")</f>
        <v/>
      </c>
      <c r="C873" s="3" t="str">
        <f>IFERROR(INDEX('بيانات الحركات'!C:C,MATCH(872,'بيانات الحركات'!$G:$G,0)),"")</f>
        <v/>
      </c>
      <c r="D873" s="3" t="str">
        <f>IFERROR(INDEX('بيانات الحركات'!D:D,MATCH(872,'بيانات الحركات'!$G:$G,0)),"")</f>
        <v/>
      </c>
      <c r="E873" s="21" t="str">
        <f>IF($B873="إنتاج طبخة","",IFERROR(INDEX('بيانات الحركات'!E:E,MATCH(872,'بيانات الحركات'!$G:$G,0)),""))</f>
        <v/>
      </c>
      <c r="F873" s="3" t="str">
        <f>IFERROR(INDEX('بيانات الحركات'!F:F,MATCH(872,'بيانات الحركات'!$G:$G,0)),"")</f>
        <v/>
      </c>
    </row>
    <row r="874" spans="1:6" ht="21.95" customHeight="1">
      <c r="A874" s="8" t="str">
        <f>IFERROR(INDEX('بيانات الحركات'!A:A,MATCH(873,'بيانات الحركات'!$G:$G,0)),"")</f>
        <v/>
      </c>
      <c r="B874" s="5" t="str">
        <f>IFERROR(INDEX('بيانات الحركات'!B:B,MATCH(873,'بيانات الحركات'!$G:$G,0)),"")</f>
        <v/>
      </c>
      <c r="C874" s="3" t="str">
        <f>IFERROR(INDEX('بيانات الحركات'!C:C,MATCH(873,'بيانات الحركات'!$G:$G,0)),"")</f>
        <v/>
      </c>
      <c r="D874" s="3" t="str">
        <f>IFERROR(INDEX('بيانات الحركات'!D:D,MATCH(873,'بيانات الحركات'!$G:$G,0)),"")</f>
        <v/>
      </c>
      <c r="E874" s="21" t="str">
        <f>IF($B874="إنتاج طبخة","",IFERROR(INDEX('بيانات الحركات'!E:E,MATCH(873,'بيانات الحركات'!$G:$G,0)),""))</f>
        <v/>
      </c>
      <c r="F874" s="3" t="str">
        <f>IFERROR(INDEX('بيانات الحركات'!F:F,MATCH(873,'بيانات الحركات'!$G:$G,0)),"")</f>
        <v/>
      </c>
    </row>
    <row r="875" spans="1:6" ht="21.95" customHeight="1">
      <c r="A875" s="8" t="str">
        <f>IFERROR(INDEX('بيانات الحركات'!A:A,MATCH(874,'بيانات الحركات'!$G:$G,0)),"")</f>
        <v/>
      </c>
      <c r="B875" s="5" t="str">
        <f>IFERROR(INDEX('بيانات الحركات'!B:B,MATCH(874,'بيانات الحركات'!$G:$G,0)),"")</f>
        <v/>
      </c>
      <c r="C875" s="3" t="str">
        <f>IFERROR(INDEX('بيانات الحركات'!C:C,MATCH(874,'بيانات الحركات'!$G:$G,0)),"")</f>
        <v/>
      </c>
      <c r="D875" s="3" t="str">
        <f>IFERROR(INDEX('بيانات الحركات'!D:D,MATCH(874,'بيانات الحركات'!$G:$G,0)),"")</f>
        <v/>
      </c>
      <c r="E875" s="21" t="str">
        <f>IF($B875="إنتاج طبخة","",IFERROR(INDEX('بيانات الحركات'!E:E,MATCH(874,'بيانات الحركات'!$G:$G,0)),""))</f>
        <v/>
      </c>
      <c r="F875" s="3" t="str">
        <f>IFERROR(INDEX('بيانات الحركات'!F:F,MATCH(874,'بيانات الحركات'!$G:$G,0)),"")</f>
        <v/>
      </c>
    </row>
    <row r="876" spans="1:6" ht="21.95" customHeight="1">
      <c r="A876" s="8" t="str">
        <f>IFERROR(INDEX('بيانات الحركات'!A:A,MATCH(875,'بيانات الحركات'!$G:$G,0)),"")</f>
        <v/>
      </c>
      <c r="B876" s="5" t="str">
        <f>IFERROR(INDEX('بيانات الحركات'!B:B,MATCH(875,'بيانات الحركات'!$G:$G,0)),"")</f>
        <v/>
      </c>
      <c r="C876" s="3" t="str">
        <f>IFERROR(INDEX('بيانات الحركات'!C:C,MATCH(875,'بيانات الحركات'!$G:$G,0)),"")</f>
        <v/>
      </c>
      <c r="D876" s="3" t="str">
        <f>IFERROR(INDEX('بيانات الحركات'!D:D,MATCH(875,'بيانات الحركات'!$G:$G,0)),"")</f>
        <v/>
      </c>
      <c r="E876" s="21" t="str">
        <f>IF($B876="إنتاج طبخة","",IFERROR(INDEX('بيانات الحركات'!E:E,MATCH(875,'بيانات الحركات'!$G:$G,0)),""))</f>
        <v/>
      </c>
      <c r="F876" s="3" t="str">
        <f>IFERROR(INDEX('بيانات الحركات'!F:F,MATCH(875,'بيانات الحركات'!$G:$G,0)),"")</f>
        <v/>
      </c>
    </row>
    <row r="877" spans="1:6" ht="21.95" customHeight="1">
      <c r="A877" s="8" t="str">
        <f>IFERROR(INDEX('بيانات الحركات'!A:A,MATCH(876,'بيانات الحركات'!$G:$G,0)),"")</f>
        <v/>
      </c>
      <c r="B877" s="5" t="str">
        <f>IFERROR(INDEX('بيانات الحركات'!B:B,MATCH(876,'بيانات الحركات'!$G:$G,0)),"")</f>
        <v/>
      </c>
      <c r="C877" s="3" t="str">
        <f>IFERROR(INDEX('بيانات الحركات'!C:C,MATCH(876,'بيانات الحركات'!$G:$G,0)),"")</f>
        <v/>
      </c>
      <c r="D877" s="3" t="str">
        <f>IFERROR(INDEX('بيانات الحركات'!D:D,MATCH(876,'بيانات الحركات'!$G:$G,0)),"")</f>
        <v/>
      </c>
      <c r="E877" s="21" t="str">
        <f>IF($B877="إنتاج طبخة","",IFERROR(INDEX('بيانات الحركات'!E:E,MATCH(876,'بيانات الحركات'!$G:$G,0)),""))</f>
        <v/>
      </c>
      <c r="F877" s="3" t="str">
        <f>IFERROR(INDEX('بيانات الحركات'!F:F,MATCH(876,'بيانات الحركات'!$G:$G,0)),"")</f>
        <v/>
      </c>
    </row>
    <row r="878" spans="1:6" ht="21.95" customHeight="1">
      <c r="A878" s="8" t="str">
        <f>IFERROR(INDEX('بيانات الحركات'!A:A,MATCH(877,'بيانات الحركات'!$G:$G,0)),"")</f>
        <v/>
      </c>
      <c r="B878" s="5" t="str">
        <f>IFERROR(INDEX('بيانات الحركات'!B:B,MATCH(877,'بيانات الحركات'!$G:$G,0)),"")</f>
        <v/>
      </c>
      <c r="C878" s="3" t="str">
        <f>IFERROR(INDEX('بيانات الحركات'!C:C,MATCH(877,'بيانات الحركات'!$G:$G,0)),"")</f>
        <v/>
      </c>
      <c r="D878" s="3" t="str">
        <f>IFERROR(INDEX('بيانات الحركات'!D:D,MATCH(877,'بيانات الحركات'!$G:$G,0)),"")</f>
        <v/>
      </c>
      <c r="E878" s="21" t="str">
        <f>IF($B878="إنتاج طبخة","",IFERROR(INDEX('بيانات الحركات'!E:E,MATCH(877,'بيانات الحركات'!$G:$G,0)),""))</f>
        <v/>
      </c>
      <c r="F878" s="3" t="str">
        <f>IFERROR(INDEX('بيانات الحركات'!F:F,MATCH(877,'بيانات الحركات'!$G:$G,0)),"")</f>
        <v/>
      </c>
    </row>
    <row r="879" spans="1:6" ht="21.95" customHeight="1">
      <c r="A879" s="8" t="str">
        <f>IFERROR(INDEX('بيانات الحركات'!A:A,MATCH(878,'بيانات الحركات'!$G:$G,0)),"")</f>
        <v/>
      </c>
      <c r="B879" s="5" t="str">
        <f>IFERROR(INDEX('بيانات الحركات'!B:B,MATCH(878,'بيانات الحركات'!$G:$G,0)),"")</f>
        <v/>
      </c>
      <c r="C879" s="3" t="str">
        <f>IFERROR(INDEX('بيانات الحركات'!C:C,MATCH(878,'بيانات الحركات'!$G:$G,0)),"")</f>
        <v/>
      </c>
      <c r="D879" s="3" t="str">
        <f>IFERROR(INDEX('بيانات الحركات'!D:D,MATCH(878,'بيانات الحركات'!$G:$G,0)),"")</f>
        <v/>
      </c>
      <c r="E879" s="21" t="str">
        <f>IF($B879="إنتاج طبخة","",IFERROR(INDEX('بيانات الحركات'!E:E,MATCH(878,'بيانات الحركات'!$G:$G,0)),""))</f>
        <v/>
      </c>
      <c r="F879" s="3" t="str">
        <f>IFERROR(INDEX('بيانات الحركات'!F:F,MATCH(878,'بيانات الحركات'!$G:$G,0)),"")</f>
        <v/>
      </c>
    </row>
    <row r="880" spans="1:6" ht="21.95" customHeight="1">
      <c r="A880" s="8" t="str">
        <f>IFERROR(INDEX('بيانات الحركات'!A:A,MATCH(879,'بيانات الحركات'!$G:$G,0)),"")</f>
        <v/>
      </c>
      <c r="B880" s="5" t="str">
        <f>IFERROR(INDEX('بيانات الحركات'!B:B,MATCH(879,'بيانات الحركات'!$G:$G,0)),"")</f>
        <v/>
      </c>
      <c r="C880" s="3" t="str">
        <f>IFERROR(INDEX('بيانات الحركات'!C:C,MATCH(879,'بيانات الحركات'!$G:$G,0)),"")</f>
        <v/>
      </c>
      <c r="D880" s="3" t="str">
        <f>IFERROR(INDEX('بيانات الحركات'!D:D,MATCH(879,'بيانات الحركات'!$G:$G,0)),"")</f>
        <v/>
      </c>
      <c r="E880" s="21" t="str">
        <f>IF($B880="إنتاج طبخة","",IFERROR(INDEX('بيانات الحركات'!E:E,MATCH(879,'بيانات الحركات'!$G:$G,0)),""))</f>
        <v/>
      </c>
      <c r="F880" s="3" t="str">
        <f>IFERROR(INDEX('بيانات الحركات'!F:F,MATCH(879,'بيانات الحركات'!$G:$G,0)),"")</f>
        <v/>
      </c>
    </row>
    <row r="881" spans="1:6" ht="21.95" customHeight="1">
      <c r="A881" s="8" t="str">
        <f>IFERROR(INDEX('بيانات الحركات'!A:A,MATCH(880,'بيانات الحركات'!$G:$G,0)),"")</f>
        <v/>
      </c>
      <c r="B881" s="5" t="str">
        <f>IFERROR(INDEX('بيانات الحركات'!B:B,MATCH(880,'بيانات الحركات'!$G:$G,0)),"")</f>
        <v/>
      </c>
      <c r="C881" s="3" t="str">
        <f>IFERROR(INDEX('بيانات الحركات'!C:C,MATCH(880,'بيانات الحركات'!$G:$G,0)),"")</f>
        <v/>
      </c>
      <c r="D881" s="3" t="str">
        <f>IFERROR(INDEX('بيانات الحركات'!D:D,MATCH(880,'بيانات الحركات'!$G:$G,0)),"")</f>
        <v/>
      </c>
      <c r="E881" s="21" t="str">
        <f>IF($B881="إنتاج طبخة","",IFERROR(INDEX('بيانات الحركات'!E:E,MATCH(880,'بيانات الحركات'!$G:$G,0)),""))</f>
        <v/>
      </c>
      <c r="F881" s="3" t="str">
        <f>IFERROR(INDEX('بيانات الحركات'!F:F,MATCH(880,'بيانات الحركات'!$G:$G,0)),"")</f>
        <v/>
      </c>
    </row>
    <row r="882" spans="1:6" ht="21.95" customHeight="1">
      <c r="A882" s="8" t="str">
        <f>IFERROR(INDEX('بيانات الحركات'!A:A,MATCH(881,'بيانات الحركات'!$G:$G,0)),"")</f>
        <v/>
      </c>
      <c r="B882" s="5" t="str">
        <f>IFERROR(INDEX('بيانات الحركات'!B:B,MATCH(881,'بيانات الحركات'!$G:$G,0)),"")</f>
        <v/>
      </c>
      <c r="C882" s="3" t="str">
        <f>IFERROR(INDEX('بيانات الحركات'!C:C,MATCH(881,'بيانات الحركات'!$G:$G,0)),"")</f>
        <v/>
      </c>
      <c r="D882" s="3" t="str">
        <f>IFERROR(INDEX('بيانات الحركات'!D:D,MATCH(881,'بيانات الحركات'!$G:$G,0)),"")</f>
        <v/>
      </c>
      <c r="E882" s="21" t="str">
        <f>IF($B882="إنتاج طبخة","",IFERROR(INDEX('بيانات الحركات'!E:E,MATCH(881,'بيانات الحركات'!$G:$G,0)),""))</f>
        <v/>
      </c>
      <c r="F882" s="3" t="str">
        <f>IFERROR(INDEX('بيانات الحركات'!F:F,MATCH(881,'بيانات الحركات'!$G:$G,0)),"")</f>
        <v/>
      </c>
    </row>
    <row r="883" spans="1:6" ht="21.95" customHeight="1">
      <c r="A883" s="8" t="str">
        <f>IFERROR(INDEX('بيانات الحركات'!A:A,MATCH(882,'بيانات الحركات'!$G:$G,0)),"")</f>
        <v/>
      </c>
      <c r="B883" s="5" t="str">
        <f>IFERROR(INDEX('بيانات الحركات'!B:B,MATCH(882,'بيانات الحركات'!$G:$G,0)),"")</f>
        <v/>
      </c>
      <c r="C883" s="3" t="str">
        <f>IFERROR(INDEX('بيانات الحركات'!C:C,MATCH(882,'بيانات الحركات'!$G:$G,0)),"")</f>
        <v/>
      </c>
      <c r="D883" s="3" t="str">
        <f>IFERROR(INDEX('بيانات الحركات'!D:D,MATCH(882,'بيانات الحركات'!$G:$G,0)),"")</f>
        <v/>
      </c>
      <c r="E883" s="21" t="str">
        <f>IF($B883="إنتاج طبخة","",IFERROR(INDEX('بيانات الحركات'!E:E,MATCH(882,'بيانات الحركات'!$G:$G,0)),""))</f>
        <v/>
      </c>
      <c r="F883" s="3" t="str">
        <f>IFERROR(INDEX('بيانات الحركات'!F:F,MATCH(882,'بيانات الحركات'!$G:$G,0)),"")</f>
        <v/>
      </c>
    </row>
    <row r="884" spans="1:6" ht="21.95" customHeight="1">
      <c r="A884" s="8" t="str">
        <f>IFERROR(INDEX('بيانات الحركات'!A:A,MATCH(883,'بيانات الحركات'!$G:$G,0)),"")</f>
        <v/>
      </c>
      <c r="B884" s="5" t="str">
        <f>IFERROR(INDEX('بيانات الحركات'!B:B,MATCH(883,'بيانات الحركات'!$G:$G,0)),"")</f>
        <v/>
      </c>
      <c r="C884" s="3" t="str">
        <f>IFERROR(INDEX('بيانات الحركات'!C:C,MATCH(883,'بيانات الحركات'!$G:$G,0)),"")</f>
        <v/>
      </c>
      <c r="D884" s="3" t="str">
        <f>IFERROR(INDEX('بيانات الحركات'!D:D,MATCH(883,'بيانات الحركات'!$G:$G,0)),"")</f>
        <v/>
      </c>
      <c r="E884" s="21" t="str">
        <f>IF($B884="إنتاج طبخة","",IFERROR(INDEX('بيانات الحركات'!E:E,MATCH(883,'بيانات الحركات'!$G:$G,0)),""))</f>
        <v/>
      </c>
      <c r="F884" s="3" t="str">
        <f>IFERROR(INDEX('بيانات الحركات'!F:F,MATCH(883,'بيانات الحركات'!$G:$G,0)),"")</f>
        <v/>
      </c>
    </row>
    <row r="885" spans="1:6" ht="21.95" customHeight="1">
      <c r="A885" s="8" t="str">
        <f>IFERROR(INDEX('بيانات الحركات'!A:A,MATCH(884,'بيانات الحركات'!$G:$G,0)),"")</f>
        <v/>
      </c>
      <c r="B885" s="5" t="str">
        <f>IFERROR(INDEX('بيانات الحركات'!B:B,MATCH(884,'بيانات الحركات'!$G:$G,0)),"")</f>
        <v/>
      </c>
      <c r="C885" s="3" t="str">
        <f>IFERROR(INDEX('بيانات الحركات'!C:C,MATCH(884,'بيانات الحركات'!$G:$G,0)),"")</f>
        <v/>
      </c>
      <c r="D885" s="3" t="str">
        <f>IFERROR(INDEX('بيانات الحركات'!D:D,MATCH(884,'بيانات الحركات'!$G:$G,0)),"")</f>
        <v/>
      </c>
      <c r="E885" s="21" t="str">
        <f>IF($B885="إنتاج طبخة","",IFERROR(INDEX('بيانات الحركات'!E:E,MATCH(884,'بيانات الحركات'!$G:$G,0)),""))</f>
        <v/>
      </c>
      <c r="F885" s="3" t="str">
        <f>IFERROR(INDEX('بيانات الحركات'!F:F,MATCH(884,'بيانات الحركات'!$G:$G,0)),"")</f>
        <v/>
      </c>
    </row>
    <row r="886" spans="1:6" ht="21.95" customHeight="1">
      <c r="A886" s="8" t="str">
        <f>IFERROR(INDEX('بيانات الحركات'!A:A,MATCH(885,'بيانات الحركات'!$G:$G,0)),"")</f>
        <v/>
      </c>
      <c r="B886" s="5" t="str">
        <f>IFERROR(INDEX('بيانات الحركات'!B:B,MATCH(885,'بيانات الحركات'!$G:$G,0)),"")</f>
        <v/>
      </c>
      <c r="C886" s="3" t="str">
        <f>IFERROR(INDEX('بيانات الحركات'!C:C,MATCH(885,'بيانات الحركات'!$G:$G,0)),"")</f>
        <v/>
      </c>
      <c r="D886" s="3" t="str">
        <f>IFERROR(INDEX('بيانات الحركات'!D:D,MATCH(885,'بيانات الحركات'!$G:$G,0)),"")</f>
        <v/>
      </c>
      <c r="E886" s="21" t="str">
        <f>IF($B886="إنتاج طبخة","",IFERROR(INDEX('بيانات الحركات'!E:E,MATCH(885,'بيانات الحركات'!$G:$G,0)),""))</f>
        <v/>
      </c>
      <c r="F886" s="3" t="str">
        <f>IFERROR(INDEX('بيانات الحركات'!F:F,MATCH(885,'بيانات الحركات'!$G:$G,0)),"")</f>
        <v/>
      </c>
    </row>
    <row r="887" spans="1:6" ht="21.95" customHeight="1">
      <c r="A887" s="8" t="str">
        <f>IFERROR(INDEX('بيانات الحركات'!A:A,MATCH(886,'بيانات الحركات'!$G:$G,0)),"")</f>
        <v/>
      </c>
      <c r="B887" s="5" t="str">
        <f>IFERROR(INDEX('بيانات الحركات'!B:B,MATCH(886,'بيانات الحركات'!$G:$G,0)),"")</f>
        <v/>
      </c>
      <c r="C887" s="3" t="str">
        <f>IFERROR(INDEX('بيانات الحركات'!C:C,MATCH(886,'بيانات الحركات'!$G:$G,0)),"")</f>
        <v/>
      </c>
      <c r="D887" s="3" t="str">
        <f>IFERROR(INDEX('بيانات الحركات'!D:D,MATCH(886,'بيانات الحركات'!$G:$G,0)),"")</f>
        <v/>
      </c>
      <c r="E887" s="21" t="str">
        <f>IF($B887="إنتاج طبخة","",IFERROR(INDEX('بيانات الحركات'!E:E,MATCH(886,'بيانات الحركات'!$G:$G,0)),""))</f>
        <v/>
      </c>
      <c r="F887" s="3" t="str">
        <f>IFERROR(INDEX('بيانات الحركات'!F:F,MATCH(886,'بيانات الحركات'!$G:$G,0)),"")</f>
        <v/>
      </c>
    </row>
    <row r="888" spans="1:6" ht="21.95" customHeight="1">
      <c r="A888" s="8" t="str">
        <f>IFERROR(INDEX('بيانات الحركات'!A:A,MATCH(887,'بيانات الحركات'!$G:$G,0)),"")</f>
        <v/>
      </c>
      <c r="B888" s="5" t="str">
        <f>IFERROR(INDEX('بيانات الحركات'!B:B,MATCH(887,'بيانات الحركات'!$G:$G,0)),"")</f>
        <v/>
      </c>
      <c r="C888" s="3" t="str">
        <f>IFERROR(INDEX('بيانات الحركات'!C:C,MATCH(887,'بيانات الحركات'!$G:$G,0)),"")</f>
        <v/>
      </c>
      <c r="D888" s="3" t="str">
        <f>IFERROR(INDEX('بيانات الحركات'!D:D,MATCH(887,'بيانات الحركات'!$G:$G,0)),"")</f>
        <v/>
      </c>
      <c r="E888" s="21" t="str">
        <f>IF($B888="إنتاج طبخة","",IFERROR(INDEX('بيانات الحركات'!E:E,MATCH(887,'بيانات الحركات'!$G:$G,0)),""))</f>
        <v/>
      </c>
      <c r="F888" s="3" t="str">
        <f>IFERROR(INDEX('بيانات الحركات'!F:F,MATCH(887,'بيانات الحركات'!$G:$G,0)),"")</f>
        <v/>
      </c>
    </row>
    <row r="889" spans="1:6" ht="21.95" customHeight="1">
      <c r="A889" s="8" t="str">
        <f>IFERROR(INDEX('بيانات الحركات'!A:A,MATCH(888,'بيانات الحركات'!$G:$G,0)),"")</f>
        <v/>
      </c>
      <c r="B889" s="5" t="str">
        <f>IFERROR(INDEX('بيانات الحركات'!B:B,MATCH(888,'بيانات الحركات'!$G:$G,0)),"")</f>
        <v/>
      </c>
      <c r="C889" s="3" t="str">
        <f>IFERROR(INDEX('بيانات الحركات'!C:C,MATCH(888,'بيانات الحركات'!$G:$G,0)),"")</f>
        <v/>
      </c>
      <c r="D889" s="3" t="str">
        <f>IFERROR(INDEX('بيانات الحركات'!D:D,MATCH(888,'بيانات الحركات'!$G:$G,0)),"")</f>
        <v/>
      </c>
      <c r="E889" s="21" t="str">
        <f>IF($B889="إنتاج طبخة","",IFERROR(INDEX('بيانات الحركات'!E:E,MATCH(888,'بيانات الحركات'!$G:$G,0)),""))</f>
        <v/>
      </c>
      <c r="F889" s="3" t="str">
        <f>IFERROR(INDEX('بيانات الحركات'!F:F,MATCH(888,'بيانات الحركات'!$G:$G,0)),"")</f>
        <v/>
      </c>
    </row>
    <row r="890" spans="1:6" ht="21.95" customHeight="1">
      <c r="A890" s="8" t="str">
        <f>IFERROR(INDEX('بيانات الحركات'!A:A,MATCH(889,'بيانات الحركات'!$G:$G,0)),"")</f>
        <v/>
      </c>
      <c r="B890" s="5" t="str">
        <f>IFERROR(INDEX('بيانات الحركات'!B:B,MATCH(889,'بيانات الحركات'!$G:$G,0)),"")</f>
        <v/>
      </c>
      <c r="C890" s="3" t="str">
        <f>IFERROR(INDEX('بيانات الحركات'!C:C,MATCH(889,'بيانات الحركات'!$G:$G,0)),"")</f>
        <v/>
      </c>
      <c r="D890" s="3" t="str">
        <f>IFERROR(INDEX('بيانات الحركات'!D:D,MATCH(889,'بيانات الحركات'!$G:$G,0)),"")</f>
        <v/>
      </c>
      <c r="E890" s="21" t="str">
        <f>IF($B890="إنتاج طبخة","",IFERROR(INDEX('بيانات الحركات'!E:E,MATCH(889,'بيانات الحركات'!$G:$G,0)),""))</f>
        <v/>
      </c>
      <c r="F890" s="3" t="str">
        <f>IFERROR(INDEX('بيانات الحركات'!F:F,MATCH(889,'بيانات الحركات'!$G:$G,0)),"")</f>
        <v/>
      </c>
    </row>
    <row r="891" spans="1:6" ht="21.95" customHeight="1">
      <c r="A891" s="8" t="str">
        <f>IFERROR(INDEX('بيانات الحركات'!A:A,MATCH(890,'بيانات الحركات'!$G:$G,0)),"")</f>
        <v/>
      </c>
      <c r="B891" s="5" t="str">
        <f>IFERROR(INDEX('بيانات الحركات'!B:B,MATCH(890,'بيانات الحركات'!$G:$G,0)),"")</f>
        <v/>
      </c>
      <c r="C891" s="3" t="str">
        <f>IFERROR(INDEX('بيانات الحركات'!C:C,MATCH(890,'بيانات الحركات'!$G:$G,0)),"")</f>
        <v/>
      </c>
      <c r="D891" s="3" t="str">
        <f>IFERROR(INDEX('بيانات الحركات'!D:D,MATCH(890,'بيانات الحركات'!$G:$G,0)),"")</f>
        <v/>
      </c>
      <c r="E891" s="21" t="str">
        <f>IF($B891="إنتاج طبخة","",IFERROR(INDEX('بيانات الحركات'!E:E,MATCH(890,'بيانات الحركات'!$G:$G,0)),""))</f>
        <v/>
      </c>
      <c r="F891" s="3" t="str">
        <f>IFERROR(INDEX('بيانات الحركات'!F:F,MATCH(890,'بيانات الحركات'!$G:$G,0)),"")</f>
        <v/>
      </c>
    </row>
    <row r="892" spans="1:6" ht="21.95" customHeight="1">
      <c r="A892" s="8" t="str">
        <f>IFERROR(INDEX('بيانات الحركات'!A:A,MATCH(891,'بيانات الحركات'!$G:$G,0)),"")</f>
        <v/>
      </c>
      <c r="B892" s="5" t="str">
        <f>IFERROR(INDEX('بيانات الحركات'!B:B,MATCH(891,'بيانات الحركات'!$G:$G,0)),"")</f>
        <v/>
      </c>
      <c r="C892" s="3" t="str">
        <f>IFERROR(INDEX('بيانات الحركات'!C:C,MATCH(891,'بيانات الحركات'!$G:$G,0)),"")</f>
        <v/>
      </c>
      <c r="D892" s="3" t="str">
        <f>IFERROR(INDEX('بيانات الحركات'!D:D,MATCH(891,'بيانات الحركات'!$G:$G,0)),"")</f>
        <v/>
      </c>
      <c r="E892" s="21" t="str">
        <f>IF($B892="إنتاج طبخة","",IFERROR(INDEX('بيانات الحركات'!E:E,MATCH(891,'بيانات الحركات'!$G:$G,0)),""))</f>
        <v/>
      </c>
      <c r="F892" s="3" t="str">
        <f>IFERROR(INDEX('بيانات الحركات'!F:F,MATCH(891,'بيانات الحركات'!$G:$G,0)),"")</f>
        <v/>
      </c>
    </row>
    <row r="893" spans="1:6" ht="21.95" customHeight="1">
      <c r="A893" s="8" t="str">
        <f>IFERROR(INDEX('بيانات الحركات'!A:A,MATCH(892,'بيانات الحركات'!$G:$G,0)),"")</f>
        <v/>
      </c>
      <c r="B893" s="5" t="str">
        <f>IFERROR(INDEX('بيانات الحركات'!B:B,MATCH(892,'بيانات الحركات'!$G:$G,0)),"")</f>
        <v/>
      </c>
      <c r="C893" s="3" t="str">
        <f>IFERROR(INDEX('بيانات الحركات'!C:C,MATCH(892,'بيانات الحركات'!$G:$G,0)),"")</f>
        <v/>
      </c>
      <c r="D893" s="3" t="str">
        <f>IFERROR(INDEX('بيانات الحركات'!D:D,MATCH(892,'بيانات الحركات'!$G:$G,0)),"")</f>
        <v/>
      </c>
      <c r="E893" s="21" t="str">
        <f>IF($B893="إنتاج طبخة","",IFERROR(INDEX('بيانات الحركات'!E:E,MATCH(892,'بيانات الحركات'!$G:$G,0)),""))</f>
        <v/>
      </c>
      <c r="F893" s="3" t="str">
        <f>IFERROR(INDEX('بيانات الحركات'!F:F,MATCH(892,'بيانات الحركات'!$G:$G,0)),"")</f>
        <v/>
      </c>
    </row>
    <row r="894" spans="1:6" ht="21.95" customHeight="1">
      <c r="A894" s="8" t="str">
        <f>IFERROR(INDEX('بيانات الحركات'!A:A,MATCH(893,'بيانات الحركات'!$G:$G,0)),"")</f>
        <v/>
      </c>
      <c r="B894" s="5" t="str">
        <f>IFERROR(INDEX('بيانات الحركات'!B:B,MATCH(893,'بيانات الحركات'!$G:$G,0)),"")</f>
        <v/>
      </c>
      <c r="C894" s="3" t="str">
        <f>IFERROR(INDEX('بيانات الحركات'!C:C,MATCH(893,'بيانات الحركات'!$G:$G,0)),"")</f>
        <v/>
      </c>
      <c r="D894" s="3" t="str">
        <f>IFERROR(INDEX('بيانات الحركات'!D:D,MATCH(893,'بيانات الحركات'!$G:$G,0)),"")</f>
        <v/>
      </c>
      <c r="E894" s="21" t="str">
        <f>IF($B894="إنتاج طبخة","",IFERROR(INDEX('بيانات الحركات'!E:E,MATCH(893,'بيانات الحركات'!$G:$G,0)),""))</f>
        <v/>
      </c>
      <c r="F894" s="3" t="str">
        <f>IFERROR(INDEX('بيانات الحركات'!F:F,MATCH(893,'بيانات الحركات'!$G:$G,0)),"")</f>
        <v/>
      </c>
    </row>
    <row r="895" spans="1:6" ht="21.95" customHeight="1">
      <c r="A895" s="8" t="str">
        <f>IFERROR(INDEX('بيانات الحركات'!A:A,MATCH(894,'بيانات الحركات'!$G:$G,0)),"")</f>
        <v/>
      </c>
      <c r="B895" s="5" t="str">
        <f>IFERROR(INDEX('بيانات الحركات'!B:B,MATCH(894,'بيانات الحركات'!$G:$G,0)),"")</f>
        <v/>
      </c>
      <c r="C895" s="3" t="str">
        <f>IFERROR(INDEX('بيانات الحركات'!C:C,MATCH(894,'بيانات الحركات'!$G:$G,0)),"")</f>
        <v/>
      </c>
      <c r="D895" s="3" t="str">
        <f>IFERROR(INDEX('بيانات الحركات'!D:D,MATCH(894,'بيانات الحركات'!$G:$G,0)),"")</f>
        <v/>
      </c>
      <c r="E895" s="21" t="str">
        <f>IF($B895="إنتاج طبخة","",IFERROR(INDEX('بيانات الحركات'!E:E,MATCH(894,'بيانات الحركات'!$G:$G,0)),""))</f>
        <v/>
      </c>
      <c r="F895" s="3" t="str">
        <f>IFERROR(INDEX('بيانات الحركات'!F:F,MATCH(894,'بيانات الحركات'!$G:$G,0)),"")</f>
        <v/>
      </c>
    </row>
    <row r="896" spans="1:6" ht="21.95" customHeight="1">
      <c r="A896" s="8" t="str">
        <f>IFERROR(INDEX('بيانات الحركات'!A:A,MATCH(895,'بيانات الحركات'!$G:$G,0)),"")</f>
        <v/>
      </c>
      <c r="B896" s="5" t="str">
        <f>IFERROR(INDEX('بيانات الحركات'!B:B,MATCH(895,'بيانات الحركات'!$G:$G,0)),"")</f>
        <v/>
      </c>
      <c r="C896" s="3" t="str">
        <f>IFERROR(INDEX('بيانات الحركات'!C:C,MATCH(895,'بيانات الحركات'!$G:$G,0)),"")</f>
        <v/>
      </c>
      <c r="D896" s="3" t="str">
        <f>IFERROR(INDEX('بيانات الحركات'!D:D,MATCH(895,'بيانات الحركات'!$G:$G,0)),"")</f>
        <v/>
      </c>
      <c r="E896" s="21" t="str">
        <f>IF($B896="إنتاج طبخة","",IFERROR(INDEX('بيانات الحركات'!E:E,MATCH(895,'بيانات الحركات'!$G:$G,0)),""))</f>
        <v/>
      </c>
      <c r="F896" s="3" t="str">
        <f>IFERROR(INDEX('بيانات الحركات'!F:F,MATCH(895,'بيانات الحركات'!$G:$G,0)),"")</f>
        <v/>
      </c>
    </row>
    <row r="897" spans="1:6" ht="21.95" customHeight="1">
      <c r="A897" s="8" t="str">
        <f>IFERROR(INDEX('بيانات الحركات'!A:A,MATCH(896,'بيانات الحركات'!$G:$G,0)),"")</f>
        <v/>
      </c>
      <c r="B897" s="5" t="str">
        <f>IFERROR(INDEX('بيانات الحركات'!B:B,MATCH(896,'بيانات الحركات'!$G:$G,0)),"")</f>
        <v/>
      </c>
      <c r="C897" s="3" t="str">
        <f>IFERROR(INDEX('بيانات الحركات'!C:C,MATCH(896,'بيانات الحركات'!$G:$G,0)),"")</f>
        <v/>
      </c>
      <c r="D897" s="3" t="str">
        <f>IFERROR(INDEX('بيانات الحركات'!D:D,MATCH(896,'بيانات الحركات'!$G:$G,0)),"")</f>
        <v/>
      </c>
      <c r="E897" s="21" t="str">
        <f>IF($B897="إنتاج طبخة","",IFERROR(INDEX('بيانات الحركات'!E:E,MATCH(896,'بيانات الحركات'!$G:$G,0)),""))</f>
        <v/>
      </c>
      <c r="F897" s="3" t="str">
        <f>IFERROR(INDEX('بيانات الحركات'!F:F,MATCH(896,'بيانات الحركات'!$G:$G,0)),"")</f>
        <v/>
      </c>
    </row>
    <row r="898" spans="1:6" ht="21.95" customHeight="1">
      <c r="A898" s="8" t="str">
        <f>IFERROR(INDEX('بيانات الحركات'!A:A,MATCH(897,'بيانات الحركات'!$G:$G,0)),"")</f>
        <v/>
      </c>
      <c r="B898" s="5" t="str">
        <f>IFERROR(INDEX('بيانات الحركات'!B:B,MATCH(897,'بيانات الحركات'!$G:$G,0)),"")</f>
        <v/>
      </c>
      <c r="C898" s="3" t="str">
        <f>IFERROR(INDEX('بيانات الحركات'!C:C,MATCH(897,'بيانات الحركات'!$G:$G,0)),"")</f>
        <v/>
      </c>
      <c r="D898" s="3" t="str">
        <f>IFERROR(INDEX('بيانات الحركات'!D:D,MATCH(897,'بيانات الحركات'!$G:$G,0)),"")</f>
        <v/>
      </c>
      <c r="E898" s="21" t="str">
        <f>IF($B898="إنتاج طبخة","",IFERROR(INDEX('بيانات الحركات'!E:E,MATCH(897,'بيانات الحركات'!$G:$G,0)),""))</f>
        <v/>
      </c>
      <c r="F898" s="3" t="str">
        <f>IFERROR(INDEX('بيانات الحركات'!F:F,MATCH(897,'بيانات الحركات'!$G:$G,0)),"")</f>
        <v/>
      </c>
    </row>
    <row r="899" spans="1:6" ht="21.95" customHeight="1">
      <c r="A899" s="8" t="str">
        <f>IFERROR(INDEX('بيانات الحركات'!A:A,MATCH(898,'بيانات الحركات'!$G:$G,0)),"")</f>
        <v/>
      </c>
      <c r="B899" s="5" t="str">
        <f>IFERROR(INDEX('بيانات الحركات'!B:B,MATCH(898,'بيانات الحركات'!$G:$G,0)),"")</f>
        <v/>
      </c>
      <c r="C899" s="3" t="str">
        <f>IFERROR(INDEX('بيانات الحركات'!C:C,MATCH(898,'بيانات الحركات'!$G:$G,0)),"")</f>
        <v/>
      </c>
      <c r="D899" s="3" t="str">
        <f>IFERROR(INDEX('بيانات الحركات'!D:D,MATCH(898,'بيانات الحركات'!$G:$G,0)),"")</f>
        <v/>
      </c>
      <c r="E899" s="21" t="str">
        <f>IF($B899="إنتاج طبخة","",IFERROR(INDEX('بيانات الحركات'!E:E,MATCH(898,'بيانات الحركات'!$G:$G,0)),""))</f>
        <v/>
      </c>
      <c r="F899" s="3" t="str">
        <f>IFERROR(INDEX('بيانات الحركات'!F:F,MATCH(898,'بيانات الحركات'!$G:$G,0)),"")</f>
        <v/>
      </c>
    </row>
    <row r="900" spans="1:6" ht="21.95" customHeight="1">
      <c r="A900" s="8" t="str">
        <f>IFERROR(INDEX('بيانات الحركات'!A:A,MATCH(899,'بيانات الحركات'!$G:$G,0)),"")</f>
        <v/>
      </c>
      <c r="B900" s="5" t="str">
        <f>IFERROR(INDEX('بيانات الحركات'!B:B,MATCH(899,'بيانات الحركات'!$G:$G,0)),"")</f>
        <v/>
      </c>
      <c r="C900" s="3" t="str">
        <f>IFERROR(INDEX('بيانات الحركات'!C:C,MATCH(899,'بيانات الحركات'!$G:$G,0)),"")</f>
        <v/>
      </c>
      <c r="D900" s="3" t="str">
        <f>IFERROR(INDEX('بيانات الحركات'!D:D,MATCH(899,'بيانات الحركات'!$G:$G,0)),"")</f>
        <v/>
      </c>
      <c r="E900" s="21" t="str">
        <f>IF($B900="إنتاج طبخة","",IFERROR(INDEX('بيانات الحركات'!E:E,MATCH(899,'بيانات الحركات'!$G:$G,0)),""))</f>
        <v/>
      </c>
      <c r="F900" s="3" t="str">
        <f>IFERROR(INDEX('بيانات الحركات'!F:F,MATCH(899,'بيانات الحركات'!$G:$G,0)),"")</f>
        <v/>
      </c>
    </row>
    <row r="901" spans="1:6" ht="21.95" customHeight="1">
      <c r="A901" s="8" t="str">
        <f>IFERROR(INDEX('بيانات الحركات'!A:A,MATCH(900,'بيانات الحركات'!$G:$G,0)),"")</f>
        <v/>
      </c>
      <c r="B901" s="5" t="str">
        <f>IFERROR(INDEX('بيانات الحركات'!B:B,MATCH(900,'بيانات الحركات'!$G:$G,0)),"")</f>
        <v/>
      </c>
      <c r="C901" s="3" t="str">
        <f>IFERROR(INDEX('بيانات الحركات'!C:C,MATCH(900,'بيانات الحركات'!$G:$G,0)),"")</f>
        <v/>
      </c>
      <c r="D901" s="3" t="str">
        <f>IFERROR(INDEX('بيانات الحركات'!D:D,MATCH(900,'بيانات الحركات'!$G:$G,0)),"")</f>
        <v/>
      </c>
      <c r="E901" s="21" t="str">
        <f>IF($B901="إنتاج طبخة","",IFERROR(INDEX('بيانات الحركات'!E:E,MATCH(900,'بيانات الحركات'!$G:$G,0)),""))</f>
        <v/>
      </c>
      <c r="F901" s="3" t="str">
        <f>IFERROR(INDEX('بيانات الحركات'!F:F,MATCH(900,'بيانات الحركات'!$G:$G,0)),"")</f>
        <v/>
      </c>
    </row>
    <row r="902" spans="1:6" ht="21.95" customHeight="1">
      <c r="A902" s="8" t="str">
        <f>IFERROR(INDEX('بيانات الحركات'!A:A,MATCH(901,'بيانات الحركات'!$G:$G,0)),"")</f>
        <v/>
      </c>
      <c r="B902" s="5" t="str">
        <f>IFERROR(INDEX('بيانات الحركات'!B:B,MATCH(901,'بيانات الحركات'!$G:$G,0)),"")</f>
        <v/>
      </c>
      <c r="C902" s="3" t="str">
        <f>IFERROR(INDEX('بيانات الحركات'!C:C,MATCH(901,'بيانات الحركات'!$G:$G,0)),"")</f>
        <v/>
      </c>
      <c r="D902" s="3" t="str">
        <f>IFERROR(INDEX('بيانات الحركات'!D:D,MATCH(901,'بيانات الحركات'!$G:$G,0)),"")</f>
        <v/>
      </c>
      <c r="E902" s="21" t="str">
        <f>IF($B902="إنتاج طبخة","",IFERROR(INDEX('بيانات الحركات'!E:E,MATCH(901,'بيانات الحركات'!$G:$G,0)),""))</f>
        <v/>
      </c>
      <c r="F902" s="3" t="str">
        <f>IFERROR(INDEX('بيانات الحركات'!F:F,MATCH(901,'بيانات الحركات'!$G:$G,0)),"")</f>
        <v/>
      </c>
    </row>
    <row r="903" spans="1:6" ht="21.95" customHeight="1">
      <c r="A903" s="8" t="str">
        <f>IFERROR(INDEX('بيانات الحركات'!A:A,MATCH(902,'بيانات الحركات'!$G:$G,0)),"")</f>
        <v/>
      </c>
      <c r="B903" s="5" t="str">
        <f>IFERROR(INDEX('بيانات الحركات'!B:B,MATCH(902,'بيانات الحركات'!$G:$G,0)),"")</f>
        <v/>
      </c>
      <c r="C903" s="3" t="str">
        <f>IFERROR(INDEX('بيانات الحركات'!C:C,MATCH(902,'بيانات الحركات'!$G:$G,0)),"")</f>
        <v/>
      </c>
      <c r="D903" s="3" t="str">
        <f>IFERROR(INDEX('بيانات الحركات'!D:D,MATCH(902,'بيانات الحركات'!$G:$G,0)),"")</f>
        <v/>
      </c>
      <c r="E903" s="21" t="str">
        <f>IF($B903="إنتاج طبخة","",IFERROR(INDEX('بيانات الحركات'!E:E,MATCH(902,'بيانات الحركات'!$G:$G,0)),""))</f>
        <v/>
      </c>
      <c r="F903" s="3" t="str">
        <f>IFERROR(INDEX('بيانات الحركات'!F:F,MATCH(902,'بيانات الحركات'!$G:$G,0)),"")</f>
        <v/>
      </c>
    </row>
    <row r="904" spans="1:6" ht="21.95" customHeight="1">
      <c r="A904" s="8" t="str">
        <f>IFERROR(INDEX('بيانات الحركات'!A:A,MATCH(903,'بيانات الحركات'!$G:$G,0)),"")</f>
        <v/>
      </c>
      <c r="B904" s="5" t="str">
        <f>IFERROR(INDEX('بيانات الحركات'!B:B,MATCH(903,'بيانات الحركات'!$G:$G,0)),"")</f>
        <v/>
      </c>
      <c r="C904" s="3" t="str">
        <f>IFERROR(INDEX('بيانات الحركات'!C:C,MATCH(903,'بيانات الحركات'!$G:$G,0)),"")</f>
        <v/>
      </c>
      <c r="D904" s="3" t="str">
        <f>IFERROR(INDEX('بيانات الحركات'!D:D,MATCH(903,'بيانات الحركات'!$G:$G,0)),"")</f>
        <v/>
      </c>
      <c r="E904" s="21" t="str">
        <f>IF($B904="إنتاج طبخة","",IFERROR(INDEX('بيانات الحركات'!E:E,MATCH(903,'بيانات الحركات'!$G:$G,0)),""))</f>
        <v/>
      </c>
      <c r="F904" s="3" t="str">
        <f>IFERROR(INDEX('بيانات الحركات'!F:F,MATCH(903,'بيانات الحركات'!$G:$G,0)),"")</f>
        <v/>
      </c>
    </row>
    <row r="905" spans="1:6" ht="21.95" customHeight="1">
      <c r="A905" s="8" t="str">
        <f>IFERROR(INDEX('بيانات الحركات'!A:A,MATCH(904,'بيانات الحركات'!$G:$G,0)),"")</f>
        <v/>
      </c>
      <c r="B905" s="5" t="str">
        <f>IFERROR(INDEX('بيانات الحركات'!B:B,MATCH(904,'بيانات الحركات'!$G:$G,0)),"")</f>
        <v/>
      </c>
      <c r="C905" s="3" t="str">
        <f>IFERROR(INDEX('بيانات الحركات'!C:C,MATCH(904,'بيانات الحركات'!$G:$G,0)),"")</f>
        <v/>
      </c>
      <c r="D905" s="3" t="str">
        <f>IFERROR(INDEX('بيانات الحركات'!D:D,MATCH(904,'بيانات الحركات'!$G:$G,0)),"")</f>
        <v/>
      </c>
      <c r="E905" s="21" t="str">
        <f>IF($B905="إنتاج طبخة","",IFERROR(INDEX('بيانات الحركات'!E:E,MATCH(904,'بيانات الحركات'!$G:$G,0)),""))</f>
        <v/>
      </c>
      <c r="F905" s="3" t="str">
        <f>IFERROR(INDEX('بيانات الحركات'!F:F,MATCH(904,'بيانات الحركات'!$G:$G,0)),"")</f>
        <v/>
      </c>
    </row>
    <row r="906" spans="1:6" ht="21.95" customHeight="1">
      <c r="A906" s="8" t="str">
        <f>IFERROR(INDEX('بيانات الحركات'!A:A,MATCH(905,'بيانات الحركات'!$G:$G,0)),"")</f>
        <v/>
      </c>
      <c r="B906" s="5" t="str">
        <f>IFERROR(INDEX('بيانات الحركات'!B:B,MATCH(905,'بيانات الحركات'!$G:$G,0)),"")</f>
        <v/>
      </c>
      <c r="C906" s="3" t="str">
        <f>IFERROR(INDEX('بيانات الحركات'!C:C,MATCH(905,'بيانات الحركات'!$G:$G,0)),"")</f>
        <v/>
      </c>
      <c r="D906" s="3" t="str">
        <f>IFERROR(INDEX('بيانات الحركات'!D:D,MATCH(905,'بيانات الحركات'!$G:$G,0)),"")</f>
        <v/>
      </c>
      <c r="E906" s="21" t="str">
        <f>IF($B906="إنتاج طبخة","",IFERROR(INDEX('بيانات الحركات'!E:E,MATCH(905,'بيانات الحركات'!$G:$G,0)),""))</f>
        <v/>
      </c>
      <c r="F906" s="3" t="str">
        <f>IFERROR(INDEX('بيانات الحركات'!F:F,MATCH(905,'بيانات الحركات'!$G:$G,0)),"")</f>
        <v/>
      </c>
    </row>
    <row r="907" spans="1:6" ht="21.95" customHeight="1">
      <c r="A907" s="8" t="str">
        <f>IFERROR(INDEX('بيانات الحركات'!A:A,MATCH(906,'بيانات الحركات'!$G:$G,0)),"")</f>
        <v/>
      </c>
      <c r="B907" s="5" t="str">
        <f>IFERROR(INDEX('بيانات الحركات'!B:B,MATCH(906,'بيانات الحركات'!$G:$G,0)),"")</f>
        <v/>
      </c>
      <c r="C907" s="3" t="str">
        <f>IFERROR(INDEX('بيانات الحركات'!C:C,MATCH(906,'بيانات الحركات'!$G:$G,0)),"")</f>
        <v/>
      </c>
      <c r="D907" s="3" t="str">
        <f>IFERROR(INDEX('بيانات الحركات'!D:D,MATCH(906,'بيانات الحركات'!$G:$G,0)),"")</f>
        <v/>
      </c>
      <c r="E907" s="21" t="str">
        <f>IF($B907="إنتاج طبخة","",IFERROR(INDEX('بيانات الحركات'!E:E,MATCH(906,'بيانات الحركات'!$G:$G,0)),""))</f>
        <v/>
      </c>
      <c r="F907" s="3" t="str">
        <f>IFERROR(INDEX('بيانات الحركات'!F:F,MATCH(906,'بيانات الحركات'!$G:$G,0)),"")</f>
        <v/>
      </c>
    </row>
    <row r="908" spans="1:6" ht="21.95" customHeight="1">
      <c r="A908" s="8" t="str">
        <f>IFERROR(INDEX('بيانات الحركات'!A:A,MATCH(907,'بيانات الحركات'!$G:$G,0)),"")</f>
        <v/>
      </c>
      <c r="B908" s="5" t="str">
        <f>IFERROR(INDEX('بيانات الحركات'!B:B,MATCH(907,'بيانات الحركات'!$G:$G,0)),"")</f>
        <v/>
      </c>
      <c r="C908" s="3" t="str">
        <f>IFERROR(INDEX('بيانات الحركات'!C:C,MATCH(907,'بيانات الحركات'!$G:$G,0)),"")</f>
        <v/>
      </c>
      <c r="D908" s="3" t="str">
        <f>IFERROR(INDEX('بيانات الحركات'!D:D,MATCH(907,'بيانات الحركات'!$G:$G,0)),"")</f>
        <v/>
      </c>
      <c r="E908" s="21" t="str">
        <f>IF($B908="إنتاج طبخة","",IFERROR(INDEX('بيانات الحركات'!E:E,MATCH(907,'بيانات الحركات'!$G:$G,0)),""))</f>
        <v/>
      </c>
      <c r="F908" s="3" t="str">
        <f>IFERROR(INDEX('بيانات الحركات'!F:F,MATCH(907,'بيانات الحركات'!$G:$G,0)),"")</f>
        <v/>
      </c>
    </row>
    <row r="909" spans="1:6" ht="21.95" customHeight="1">
      <c r="A909" s="8" t="str">
        <f>IFERROR(INDEX('بيانات الحركات'!A:A,MATCH(908,'بيانات الحركات'!$G:$G,0)),"")</f>
        <v/>
      </c>
      <c r="B909" s="5" t="str">
        <f>IFERROR(INDEX('بيانات الحركات'!B:B,MATCH(908,'بيانات الحركات'!$G:$G,0)),"")</f>
        <v/>
      </c>
      <c r="C909" s="3" t="str">
        <f>IFERROR(INDEX('بيانات الحركات'!C:C,MATCH(908,'بيانات الحركات'!$G:$G,0)),"")</f>
        <v/>
      </c>
      <c r="D909" s="3" t="str">
        <f>IFERROR(INDEX('بيانات الحركات'!D:D,MATCH(908,'بيانات الحركات'!$G:$G,0)),"")</f>
        <v/>
      </c>
      <c r="E909" s="21" t="str">
        <f>IF($B909="إنتاج طبخة","",IFERROR(INDEX('بيانات الحركات'!E:E,MATCH(908,'بيانات الحركات'!$G:$G,0)),""))</f>
        <v/>
      </c>
      <c r="F909" s="3" t="str">
        <f>IFERROR(INDEX('بيانات الحركات'!F:F,MATCH(908,'بيانات الحركات'!$G:$G,0)),"")</f>
        <v/>
      </c>
    </row>
    <row r="910" spans="1:6" ht="21.95" customHeight="1">
      <c r="A910" s="8" t="str">
        <f>IFERROR(INDEX('بيانات الحركات'!A:A,MATCH(909,'بيانات الحركات'!$G:$G,0)),"")</f>
        <v/>
      </c>
      <c r="B910" s="5" t="str">
        <f>IFERROR(INDEX('بيانات الحركات'!B:B,MATCH(909,'بيانات الحركات'!$G:$G,0)),"")</f>
        <v/>
      </c>
      <c r="C910" s="3" t="str">
        <f>IFERROR(INDEX('بيانات الحركات'!C:C,MATCH(909,'بيانات الحركات'!$G:$G,0)),"")</f>
        <v/>
      </c>
      <c r="D910" s="3" t="str">
        <f>IFERROR(INDEX('بيانات الحركات'!D:D,MATCH(909,'بيانات الحركات'!$G:$G,0)),"")</f>
        <v/>
      </c>
      <c r="E910" s="21" t="str">
        <f>IF($B910="إنتاج طبخة","",IFERROR(INDEX('بيانات الحركات'!E:E,MATCH(909,'بيانات الحركات'!$G:$G,0)),""))</f>
        <v/>
      </c>
      <c r="F910" s="3" t="str">
        <f>IFERROR(INDEX('بيانات الحركات'!F:F,MATCH(909,'بيانات الحركات'!$G:$G,0)),"")</f>
        <v/>
      </c>
    </row>
    <row r="911" spans="1:6" ht="21.95" customHeight="1">
      <c r="A911" s="8" t="str">
        <f>IFERROR(INDEX('بيانات الحركات'!A:A,MATCH(910,'بيانات الحركات'!$G:$G,0)),"")</f>
        <v/>
      </c>
      <c r="B911" s="5" t="str">
        <f>IFERROR(INDEX('بيانات الحركات'!B:B,MATCH(910,'بيانات الحركات'!$G:$G,0)),"")</f>
        <v/>
      </c>
      <c r="C911" s="3" t="str">
        <f>IFERROR(INDEX('بيانات الحركات'!C:C,MATCH(910,'بيانات الحركات'!$G:$G,0)),"")</f>
        <v/>
      </c>
      <c r="D911" s="3" t="str">
        <f>IFERROR(INDEX('بيانات الحركات'!D:D,MATCH(910,'بيانات الحركات'!$G:$G,0)),"")</f>
        <v/>
      </c>
      <c r="E911" s="21" t="str">
        <f>IF($B911="إنتاج طبخة","",IFERROR(INDEX('بيانات الحركات'!E:E,MATCH(910,'بيانات الحركات'!$G:$G,0)),""))</f>
        <v/>
      </c>
      <c r="F911" s="3" t="str">
        <f>IFERROR(INDEX('بيانات الحركات'!F:F,MATCH(910,'بيانات الحركات'!$G:$G,0)),"")</f>
        <v/>
      </c>
    </row>
    <row r="912" spans="1:6" ht="21.95" customHeight="1">
      <c r="A912" s="8" t="str">
        <f>IFERROR(INDEX('بيانات الحركات'!A:A,MATCH(911,'بيانات الحركات'!$G:$G,0)),"")</f>
        <v/>
      </c>
      <c r="B912" s="5" t="str">
        <f>IFERROR(INDEX('بيانات الحركات'!B:B,MATCH(911,'بيانات الحركات'!$G:$G,0)),"")</f>
        <v/>
      </c>
      <c r="C912" s="3" t="str">
        <f>IFERROR(INDEX('بيانات الحركات'!C:C,MATCH(911,'بيانات الحركات'!$G:$G,0)),"")</f>
        <v/>
      </c>
      <c r="D912" s="3" t="str">
        <f>IFERROR(INDEX('بيانات الحركات'!D:D,MATCH(911,'بيانات الحركات'!$G:$G,0)),"")</f>
        <v/>
      </c>
      <c r="E912" s="21" t="str">
        <f>IF($B912="إنتاج طبخة","",IFERROR(INDEX('بيانات الحركات'!E:E,MATCH(911,'بيانات الحركات'!$G:$G,0)),""))</f>
        <v/>
      </c>
      <c r="F912" s="3" t="str">
        <f>IFERROR(INDEX('بيانات الحركات'!F:F,MATCH(911,'بيانات الحركات'!$G:$G,0)),"")</f>
        <v/>
      </c>
    </row>
    <row r="913" spans="1:6" ht="21.95" customHeight="1">
      <c r="A913" s="8" t="str">
        <f>IFERROR(INDEX('بيانات الحركات'!A:A,MATCH(912,'بيانات الحركات'!$G:$G,0)),"")</f>
        <v/>
      </c>
      <c r="B913" s="5" t="str">
        <f>IFERROR(INDEX('بيانات الحركات'!B:B,MATCH(912,'بيانات الحركات'!$G:$G,0)),"")</f>
        <v/>
      </c>
      <c r="C913" s="3" t="str">
        <f>IFERROR(INDEX('بيانات الحركات'!C:C,MATCH(912,'بيانات الحركات'!$G:$G,0)),"")</f>
        <v/>
      </c>
      <c r="D913" s="3" t="str">
        <f>IFERROR(INDEX('بيانات الحركات'!D:D,MATCH(912,'بيانات الحركات'!$G:$G,0)),"")</f>
        <v/>
      </c>
      <c r="E913" s="21" t="str">
        <f>IF($B913="إنتاج طبخة","",IFERROR(INDEX('بيانات الحركات'!E:E,MATCH(912,'بيانات الحركات'!$G:$G,0)),""))</f>
        <v/>
      </c>
      <c r="F913" s="3" t="str">
        <f>IFERROR(INDEX('بيانات الحركات'!F:F,MATCH(912,'بيانات الحركات'!$G:$G,0)),"")</f>
        <v/>
      </c>
    </row>
    <row r="914" spans="1:6" ht="21.95" customHeight="1">
      <c r="A914" s="8" t="str">
        <f>IFERROR(INDEX('بيانات الحركات'!A:A,MATCH(913,'بيانات الحركات'!$G:$G,0)),"")</f>
        <v/>
      </c>
      <c r="B914" s="5" t="str">
        <f>IFERROR(INDEX('بيانات الحركات'!B:B,MATCH(913,'بيانات الحركات'!$G:$G,0)),"")</f>
        <v/>
      </c>
      <c r="C914" s="3" t="str">
        <f>IFERROR(INDEX('بيانات الحركات'!C:C,MATCH(913,'بيانات الحركات'!$G:$G,0)),"")</f>
        <v/>
      </c>
      <c r="D914" s="3" t="str">
        <f>IFERROR(INDEX('بيانات الحركات'!D:D,MATCH(913,'بيانات الحركات'!$G:$G,0)),"")</f>
        <v/>
      </c>
      <c r="E914" s="21" t="str">
        <f>IF($B914="إنتاج طبخة","",IFERROR(INDEX('بيانات الحركات'!E:E,MATCH(913,'بيانات الحركات'!$G:$G,0)),""))</f>
        <v/>
      </c>
      <c r="F914" s="3" t="str">
        <f>IFERROR(INDEX('بيانات الحركات'!F:F,MATCH(913,'بيانات الحركات'!$G:$G,0)),"")</f>
        <v/>
      </c>
    </row>
    <row r="915" spans="1:6" ht="21.95" customHeight="1">
      <c r="A915" s="8" t="str">
        <f>IFERROR(INDEX('بيانات الحركات'!A:A,MATCH(914,'بيانات الحركات'!$G:$G,0)),"")</f>
        <v/>
      </c>
      <c r="B915" s="5" t="str">
        <f>IFERROR(INDEX('بيانات الحركات'!B:B,MATCH(914,'بيانات الحركات'!$G:$G,0)),"")</f>
        <v/>
      </c>
      <c r="C915" s="3" t="str">
        <f>IFERROR(INDEX('بيانات الحركات'!C:C,MATCH(914,'بيانات الحركات'!$G:$G,0)),"")</f>
        <v/>
      </c>
      <c r="D915" s="3" t="str">
        <f>IFERROR(INDEX('بيانات الحركات'!D:D,MATCH(914,'بيانات الحركات'!$G:$G,0)),"")</f>
        <v/>
      </c>
      <c r="E915" s="21" t="str">
        <f>IF($B915="إنتاج طبخة","",IFERROR(INDEX('بيانات الحركات'!E:E,MATCH(914,'بيانات الحركات'!$G:$G,0)),""))</f>
        <v/>
      </c>
      <c r="F915" s="3" t="str">
        <f>IFERROR(INDEX('بيانات الحركات'!F:F,MATCH(914,'بيانات الحركات'!$G:$G,0)),"")</f>
        <v/>
      </c>
    </row>
    <row r="916" spans="1:6" ht="21.95" customHeight="1">
      <c r="A916" s="8" t="str">
        <f>IFERROR(INDEX('بيانات الحركات'!A:A,MATCH(915,'بيانات الحركات'!$G:$G,0)),"")</f>
        <v/>
      </c>
      <c r="B916" s="5" t="str">
        <f>IFERROR(INDEX('بيانات الحركات'!B:B,MATCH(915,'بيانات الحركات'!$G:$G,0)),"")</f>
        <v/>
      </c>
      <c r="C916" s="3" t="str">
        <f>IFERROR(INDEX('بيانات الحركات'!C:C,MATCH(915,'بيانات الحركات'!$G:$G,0)),"")</f>
        <v/>
      </c>
      <c r="D916" s="3" t="str">
        <f>IFERROR(INDEX('بيانات الحركات'!D:D,MATCH(915,'بيانات الحركات'!$G:$G,0)),"")</f>
        <v/>
      </c>
      <c r="E916" s="21" t="str">
        <f>IF($B916="إنتاج طبخة","",IFERROR(INDEX('بيانات الحركات'!E:E,MATCH(915,'بيانات الحركات'!$G:$G,0)),""))</f>
        <v/>
      </c>
      <c r="F916" s="3" t="str">
        <f>IFERROR(INDEX('بيانات الحركات'!F:F,MATCH(915,'بيانات الحركات'!$G:$G,0)),"")</f>
        <v/>
      </c>
    </row>
    <row r="917" spans="1:6" ht="21.95" customHeight="1">
      <c r="A917" s="8" t="str">
        <f>IFERROR(INDEX('بيانات الحركات'!A:A,MATCH(916,'بيانات الحركات'!$G:$G,0)),"")</f>
        <v/>
      </c>
      <c r="B917" s="5" t="str">
        <f>IFERROR(INDEX('بيانات الحركات'!B:B,MATCH(916,'بيانات الحركات'!$G:$G,0)),"")</f>
        <v/>
      </c>
      <c r="C917" s="3" t="str">
        <f>IFERROR(INDEX('بيانات الحركات'!C:C,MATCH(916,'بيانات الحركات'!$G:$G,0)),"")</f>
        <v/>
      </c>
      <c r="D917" s="3" t="str">
        <f>IFERROR(INDEX('بيانات الحركات'!D:D,MATCH(916,'بيانات الحركات'!$G:$G,0)),"")</f>
        <v/>
      </c>
      <c r="E917" s="21" t="str">
        <f>IF($B917="إنتاج طبخة","",IFERROR(INDEX('بيانات الحركات'!E:E,MATCH(916,'بيانات الحركات'!$G:$G,0)),""))</f>
        <v/>
      </c>
      <c r="F917" s="3" t="str">
        <f>IFERROR(INDEX('بيانات الحركات'!F:F,MATCH(916,'بيانات الحركات'!$G:$G,0)),"")</f>
        <v/>
      </c>
    </row>
    <row r="918" spans="1:6" ht="21.95" customHeight="1">
      <c r="A918" s="8" t="str">
        <f>IFERROR(INDEX('بيانات الحركات'!A:A,MATCH(917,'بيانات الحركات'!$G:$G,0)),"")</f>
        <v/>
      </c>
      <c r="B918" s="5" t="str">
        <f>IFERROR(INDEX('بيانات الحركات'!B:B,MATCH(917,'بيانات الحركات'!$G:$G,0)),"")</f>
        <v/>
      </c>
      <c r="C918" s="3" t="str">
        <f>IFERROR(INDEX('بيانات الحركات'!C:C,MATCH(917,'بيانات الحركات'!$G:$G,0)),"")</f>
        <v/>
      </c>
      <c r="D918" s="3" t="str">
        <f>IFERROR(INDEX('بيانات الحركات'!D:D,MATCH(917,'بيانات الحركات'!$G:$G,0)),"")</f>
        <v/>
      </c>
      <c r="E918" s="21" t="str">
        <f>IF($B918="إنتاج طبخة","",IFERROR(INDEX('بيانات الحركات'!E:E,MATCH(917,'بيانات الحركات'!$G:$G,0)),""))</f>
        <v/>
      </c>
      <c r="F918" s="3" t="str">
        <f>IFERROR(INDEX('بيانات الحركات'!F:F,MATCH(917,'بيانات الحركات'!$G:$G,0)),"")</f>
        <v/>
      </c>
    </row>
    <row r="919" spans="1:6" ht="21.95" customHeight="1">
      <c r="A919" s="8" t="str">
        <f>IFERROR(INDEX('بيانات الحركات'!A:A,MATCH(918,'بيانات الحركات'!$G:$G,0)),"")</f>
        <v/>
      </c>
      <c r="B919" s="5" t="str">
        <f>IFERROR(INDEX('بيانات الحركات'!B:B,MATCH(918,'بيانات الحركات'!$G:$G,0)),"")</f>
        <v/>
      </c>
      <c r="C919" s="3" t="str">
        <f>IFERROR(INDEX('بيانات الحركات'!C:C,MATCH(918,'بيانات الحركات'!$G:$G,0)),"")</f>
        <v/>
      </c>
      <c r="D919" s="3" t="str">
        <f>IFERROR(INDEX('بيانات الحركات'!D:D,MATCH(918,'بيانات الحركات'!$G:$G,0)),"")</f>
        <v/>
      </c>
      <c r="E919" s="21" t="str">
        <f>IF($B919="إنتاج طبخة","",IFERROR(INDEX('بيانات الحركات'!E:E,MATCH(918,'بيانات الحركات'!$G:$G,0)),""))</f>
        <v/>
      </c>
      <c r="F919" s="3" t="str">
        <f>IFERROR(INDEX('بيانات الحركات'!F:F,MATCH(918,'بيانات الحركات'!$G:$G,0)),"")</f>
        <v/>
      </c>
    </row>
    <row r="920" spans="1:6" ht="21.95" customHeight="1">
      <c r="A920" s="8" t="str">
        <f>IFERROR(INDEX('بيانات الحركات'!A:A,MATCH(919,'بيانات الحركات'!$G:$G,0)),"")</f>
        <v/>
      </c>
      <c r="B920" s="5" t="str">
        <f>IFERROR(INDEX('بيانات الحركات'!B:B,MATCH(919,'بيانات الحركات'!$G:$G,0)),"")</f>
        <v/>
      </c>
      <c r="C920" s="3" t="str">
        <f>IFERROR(INDEX('بيانات الحركات'!C:C,MATCH(919,'بيانات الحركات'!$G:$G,0)),"")</f>
        <v/>
      </c>
      <c r="D920" s="3" t="str">
        <f>IFERROR(INDEX('بيانات الحركات'!D:D,MATCH(919,'بيانات الحركات'!$G:$G,0)),"")</f>
        <v/>
      </c>
      <c r="E920" s="21" t="str">
        <f>IF($B920="إنتاج طبخة","",IFERROR(INDEX('بيانات الحركات'!E:E,MATCH(919,'بيانات الحركات'!$G:$G,0)),""))</f>
        <v/>
      </c>
      <c r="F920" s="3" t="str">
        <f>IFERROR(INDEX('بيانات الحركات'!F:F,MATCH(919,'بيانات الحركات'!$G:$G,0)),"")</f>
        <v/>
      </c>
    </row>
    <row r="921" spans="1:6" ht="21.95" customHeight="1">
      <c r="A921" s="8" t="str">
        <f>IFERROR(INDEX('بيانات الحركات'!A:A,MATCH(920,'بيانات الحركات'!$G:$G,0)),"")</f>
        <v/>
      </c>
      <c r="B921" s="5" t="str">
        <f>IFERROR(INDEX('بيانات الحركات'!B:B,MATCH(920,'بيانات الحركات'!$G:$G,0)),"")</f>
        <v/>
      </c>
      <c r="C921" s="3" t="str">
        <f>IFERROR(INDEX('بيانات الحركات'!C:C,MATCH(920,'بيانات الحركات'!$G:$G,0)),"")</f>
        <v/>
      </c>
      <c r="D921" s="3" t="str">
        <f>IFERROR(INDEX('بيانات الحركات'!D:D,MATCH(920,'بيانات الحركات'!$G:$G,0)),"")</f>
        <v/>
      </c>
      <c r="E921" s="21" t="str">
        <f>IF($B921="إنتاج طبخة","",IFERROR(INDEX('بيانات الحركات'!E:E,MATCH(920,'بيانات الحركات'!$G:$G,0)),""))</f>
        <v/>
      </c>
      <c r="F921" s="3" t="str">
        <f>IFERROR(INDEX('بيانات الحركات'!F:F,MATCH(920,'بيانات الحركات'!$G:$G,0)),"")</f>
        <v/>
      </c>
    </row>
    <row r="922" spans="1:6" ht="21.95" customHeight="1">
      <c r="A922" s="8" t="str">
        <f>IFERROR(INDEX('بيانات الحركات'!A:A,MATCH(921,'بيانات الحركات'!$G:$G,0)),"")</f>
        <v/>
      </c>
      <c r="B922" s="5" t="str">
        <f>IFERROR(INDEX('بيانات الحركات'!B:B,MATCH(921,'بيانات الحركات'!$G:$G,0)),"")</f>
        <v/>
      </c>
      <c r="C922" s="3" t="str">
        <f>IFERROR(INDEX('بيانات الحركات'!C:C,MATCH(921,'بيانات الحركات'!$G:$G,0)),"")</f>
        <v/>
      </c>
      <c r="D922" s="3" t="str">
        <f>IFERROR(INDEX('بيانات الحركات'!D:D,MATCH(921,'بيانات الحركات'!$G:$G,0)),"")</f>
        <v/>
      </c>
      <c r="E922" s="21" t="str">
        <f>IF($B922="إنتاج طبخة","",IFERROR(INDEX('بيانات الحركات'!E:E,MATCH(921,'بيانات الحركات'!$G:$G,0)),""))</f>
        <v/>
      </c>
      <c r="F922" s="3" t="str">
        <f>IFERROR(INDEX('بيانات الحركات'!F:F,MATCH(921,'بيانات الحركات'!$G:$G,0)),"")</f>
        <v/>
      </c>
    </row>
    <row r="923" spans="1:6" ht="21.95" customHeight="1">
      <c r="A923" s="8" t="str">
        <f>IFERROR(INDEX('بيانات الحركات'!A:A,MATCH(922,'بيانات الحركات'!$G:$G,0)),"")</f>
        <v/>
      </c>
      <c r="B923" s="5" t="str">
        <f>IFERROR(INDEX('بيانات الحركات'!B:B,MATCH(922,'بيانات الحركات'!$G:$G,0)),"")</f>
        <v/>
      </c>
      <c r="C923" s="3" t="str">
        <f>IFERROR(INDEX('بيانات الحركات'!C:C,MATCH(922,'بيانات الحركات'!$G:$G,0)),"")</f>
        <v/>
      </c>
      <c r="D923" s="3" t="str">
        <f>IFERROR(INDEX('بيانات الحركات'!D:D,MATCH(922,'بيانات الحركات'!$G:$G,0)),"")</f>
        <v/>
      </c>
      <c r="E923" s="21" t="str">
        <f>IF($B923="إنتاج طبخة","",IFERROR(INDEX('بيانات الحركات'!E:E,MATCH(922,'بيانات الحركات'!$G:$G,0)),""))</f>
        <v/>
      </c>
      <c r="F923" s="3" t="str">
        <f>IFERROR(INDEX('بيانات الحركات'!F:F,MATCH(922,'بيانات الحركات'!$G:$G,0)),"")</f>
        <v/>
      </c>
    </row>
    <row r="924" spans="1:6" ht="21.95" customHeight="1">
      <c r="A924" s="8" t="str">
        <f>IFERROR(INDEX('بيانات الحركات'!A:A,MATCH(923,'بيانات الحركات'!$G:$G,0)),"")</f>
        <v/>
      </c>
      <c r="B924" s="5" t="str">
        <f>IFERROR(INDEX('بيانات الحركات'!B:B,MATCH(923,'بيانات الحركات'!$G:$G,0)),"")</f>
        <v/>
      </c>
      <c r="C924" s="3" t="str">
        <f>IFERROR(INDEX('بيانات الحركات'!C:C,MATCH(923,'بيانات الحركات'!$G:$G,0)),"")</f>
        <v/>
      </c>
      <c r="D924" s="3" t="str">
        <f>IFERROR(INDEX('بيانات الحركات'!D:D,MATCH(923,'بيانات الحركات'!$G:$G,0)),"")</f>
        <v/>
      </c>
      <c r="E924" s="21" t="str">
        <f>IF($B924="إنتاج طبخة","",IFERROR(INDEX('بيانات الحركات'!E:E,MATCH(923,'بيانات الحركات'!$G:$G,0)),""))</f>
        <v/>
      </c>
      <c r="F924" s="3" t="str">
        <f>IFERROR(INDEX('بيانات الحركات'!F:F,MATCH(923,'بيانات الحركات'!$G:$G,0)),"")</f>
        <v/>
      </c>
    </row>
    <row r="925" spans="1:6" ht="21.95" customHeight="1">
      <c r="A925" s="8" t="str">
        <f>IFERROR(INDEX('بيانات الحركات'!A:A,MATCH(924,'بيانات الحركات'!$G:$G,0)),"")</f>
        <v/>
      </c>
      <c r="B925" s="5" t="str">
        <f>IFERROR(INDEX('بيانات الحركات'!B:B,MATCH(924,'بيانات الحركات'!$G:$G,0)),"")</f>
        <v/>
      </c>
      <c r="C925" s="3" t="str">
        <f>IFERROR(INDEX('بيانات الحركات'!C:C,MATCH(924,'بيانات الحركات'!$G:$G,0)),"")</f>
        <v/>
      </c>
      <c r="D925" s="3" t="str">
        <f>IFERROR(INDEX('بيانات الحركات'!D:D,MATCH(924,'بيانات الحركات'!$G:$G,0)),"")</f>
        <v/>
      </c>
      <c r="E925" s="21" t="str">
        <f>IF($B925="إنتاج طبخة","",IFERROR(INDEX('بيانات الحركات'!E:E,MATCH(924,'بيانات الحركات'!$G:$G,0)),""))</f>
        <v/>
      </c>
      <c r="F925" s="3" t="str">
        <f>IFERROR(INDEX('بيانات الحركات'!F:F,MATCH(924,'بيانات الحركات'!$G:$G,0)),"")</f>
        <v/>
      </c>
    </row>
    <row r="926" spans="1:6" ht="21.95" customHeight="1">
      <c r="A926" s="8" t="str">
        <f>IFERROR(INDEX('بيانات الحركات'!A:A,MATCH(925,'بيانات الحركات'!$G:$G,0)),"")</f>
        <v/>
      </c>
      <c r="B926" s="5" t="str">
        <f>IFERROR(INDEX('بيانات الحركات'!B:B,MATCH(925,'بيانات الحركات'!$G:$G,0)),"")</f>
        <v/>
      </c>
      <c r="C926" s="3" t="str">
        <f>IFERROR(INDEX('بيانات الحركات'!C:C,MATCH(925,'بيانات الحركات'!$G:$G,0)),"")</f>
        <v/>
      </c>
      <c r="D926" s="3" t="str">
        <f>IFERROR(INDEX('بيانات الحركات'!D:D,MATCH(925,'بيانات الحركات'!$G:$G,0)),"")</f>
        <v/>
      </c>
      <c r="E926" s="21" t="str">
        <f>IF($B926="إنتاج طبخة","",IFERROR(INDEX('بيانات الحركات'!E:E,MATCH(925,'بيانات الحركات'!$G:$G,0)),""))</f>
        <v/>
      </c>
      <c r="F926" s="3" t="str">
        <f>IFERROR(INDEX('بيانات الحركات'!F:F,MATCH(925,'بيانات الحركات'!$G:$G,0)),"")</f>
        <v/>
      </c>
    </row>
    <row r="927" spans="1:6" ht="21.95" customHeight="1">
      <c r="A927" s="8" t="str">
        <f>IFERROR(INDEX('بيانات الحركات'!A:A,MATCH(926,'بيانات الحركات'!$G:$G,0)),"")</f>
        <v/>
      </c>
      <c r="B927" s="5" t="str">
        <f>IFERROR(INDEX('بيانات الحركات'!B:B,MATCH(926,'بيانات الحركات'!$G:$G,0)),"")</f>
        <v/>
      </c>
      <c r="C927" s="3" t="str">
        <f>IFERROR(INDEX('بيانات الحركات'!C:C,MATCH(926,'بيانات الحركات'!$G:$G,0)),"")</f>
        <v/>
      </c>
      <c r="D927" s="3" t="str">
        <f>IFERROR(INDEX('بيانات الحركات'!D:D,MATCH(926,'بيانات الحركات'!$G:$G,0)),"")</f>
        <v/>
      </c>
      <c r="E927" s="21" t="str">
        <f>IF($B927="إنتاج طبخة","",IFERROR(INDEX('بيانات الحركات'!E:E,MATCH(926,'بيانات الحركات'!$G:$G,0)),""))</f>
        <v/>
      </c>
      <c r="F927" s="3" t="str">
        <f>IFERROR(INDEX('بيانات الحركات'!F:F,MATCH(926,'بيانات الحركات'!$G:$G,0)),"")</f>
        <v/>
      </c>
    </row>
    <row r="928" spans="1:6" ht="21.95" customHeight="1">
      <c r="A928" s="8" t="str">
        <f>IFERROR(INDEX('بيانات الحركات'!A:A,MATCH(927,'بيانات الحركات'!$G:$G,0)),"")</f>
        <v/>
      </c>
      <c r="B928" s="5" t="str">
        <f>IFERROR(INDEX('بيانات الحركات'!B:B,MATCH(927,'بيانات الحركات'!$G:$G,0)),"")</f>
        <v/>
      </c>
      <c r="C928" s="3" t="str">
        <f>IFERROR(INDEX('بيانات الحركات'!C:C,MATCH(927,'بيانات الحركات'!$G:$G,0)),"")</f>
        <v/>
      </c>
      <c r="D928" s="3" t="str">
        <f>IFERROR(INDEX('بيانات الحركات'!D:D,MATCH(927,'بيانات الحركات'!$G:$G,0)),"")</f>
        <v/>
      </c>
      <c r="E928" s="21" t="str">
        <f>IF($B928="إنتاج طبخة","",IFERROR(INDEX('بيانات الحركات'!E:E,MATCH(927,'بيانات الحركات'!$G:$G,0)),""))</f>
        <v/>
      </c>
      <c r="F928" s="3" t="str">
        <f>IFERROR(INDEX('بيانات الحركات'!F:F,MATCH(927,'بيانات الحركات'!$G:$G,0)),"")</f>
        <v/>
      </c>
    </row>
    <row r="929" spans="1:6" ht="21.95" customHeight="1">
      <c r="A929" s="8" t="str">
        <f>IFERROR(INDEX('بيانات الحركات'!A:A,MATCH(928,'بيانات الحركات'!$G:$G,0)),"")</f>
        <v/>
      </c>
      <c r="B929" s="5" t="str">
        <f>IFERROR(INDEX('بيانات الحركات'!B:B,MATCH(928,'بيانات الحركات'!$G:$G,0)),"")</f>
        <v/>
      </c>
      <c r="C929" s="3" t="str">
        <f>IFERROR(INDEX('بيانات الحركات'!C:C,MATCH(928,'بيانات الحركات'!$G:$G,0)),"")</f>
        <v/>
      </c>
      <c r="D929" s="3" t="str">
        <f>IFERROR(INDEX('بيانات الحركات'!D:D,MATCH(928,'بيانات الحركات'!$G:$G,0)),"")</f>
        <v/>
      </c>
      <c r="E929" s="21" t="str">
        <f>IF($B929="إنتاج طبخة","",IFERROR(INDEX('بيانات الحركات'!E:E,MATCH(928,'بيانات الحركات'!$G:$G,0)),""))</f>
        <v/>
      </c>
      <c r="F929" s="3" t="str">
        <f>IFERROR(INDEX('بيانات الحركات'!F:F,MATCH(928,'بيانات الحركات'!$G:$G,0)),"")</f>
        <v/>
      </c>
    </row>
    <row r="930" spans="1:6" ht="21.95" customHeight="1">
      <c r="A930" s="8" t="str">
        <f>IFERROR(INDEX('بيانات الحركات'!A:A,MATCH(929,'بيانات الحركات'!$G:$G,0)),"")</f>
        <v/>
      </c>
      <c r="B930" s="5" t="str">
        <f>IFERROR(INDEX('بيانات الحركات'!B:B,MATCH(929,'بيانات الحركات'!$G:$G,0)),"")</f>
        <v/>
      </c>
      <c r="C930" s="3" t="str">
        <f>IFERROR(INDEX('بيانات الحركات'!C:C,MATCH(929,'بيانات الحركات'!$G:$G,0)),"")</f>
        <v/>
      </c>
      <c r="D930" s="3" t="str">
        <f>IFERROR(INDEX('بيانات الحركات'!D:D,MATCH(929,'بيانات الحركات'!$G:$G,0)),"")</f>
        <v/>
      </c>
      <c r="E930" s="21" t="str">
        <f>IF($B930="إنتاج طبخة","",IFERROR(INDEX('بيانات الحركات'!E:E,MATCH(929,'بيانات الحركات'!$G:$G,0)),""))</f>
        <v/>
      </c>
      <c r="F930" s="3" t="str">
        <f>IFERROR(INDEX('بيانات الحركات'!F:F,MATCH(929,'بيانات الحركات'!$G:$G,0)),"")</f>
        <v/>
      </c>
    </row>
    <row r="931" spans="1:6" ht="21.95" customHeight="1">
      <c r="A931" s="8" t="str">
        <f>IFERROR(INDEX('بيانات الحركات'!A:A,MATCH(930,'بيانات الحركات'!$G:$G,0)),"")</f>
        <v/>
      </c>
      <c r="B931" s="5" t="str">
        <f>IFERROR(INDEX('بيانات الحركات'!B:B,MATCH(930,'بيانات الحركات'!$G:$G,0)),"")</f>
        <v/>
      </c>
      <c r="C931" s="3" t="str">
        <f>IFERROR(INDEX('بيانات الحركات'!C:C,MATCH(930,'بيانات الحركات'!$G:$G,0)),"")</f>
        <v/>
      </c>
      <c r="D931" s="3" t="str">
        <f>IFERROR(INDEX('بيانات الحركات'!D:D,MATCH(930,'بيانات الحركات'!$G:$G,0)),"")</f>
        <v/>
      </c>
      <c r="E931" s="21" t="str">
        <f>IF($B931="إنتاج طبخة","",IFERROR(INDEX('بيانات الحركات'!E:E,MATCH(930,'بيانات الحركات'!$G:$G,0)),""))</f>
        <v/>
      </c>
      <c r="F931" s="3" t="str">
        <f>IFERROR(INDEX('بيانات الحركات'!F:F,MATCH(930,'بيانات الحركات'!$G:$G,0)),"")</f>
        <v/>
      </c>
    </row>
    <row r="932" spans="1:6" ht="21.95" customHeight="1">
      <c r="A932" s="8" t="str">
        <f>IFERROR(INDEX('بيانات الحركات'!A:A,MATCH(931,'بيانات الحركات'!$G:$G,0)),"")</f>
        <v/>
      </c>
      <c r="B932" s="5" t="str">
        <f>IFERROR(INDEX('بيانات الحركات'!B:B,MATCH(931,'بيانات الحركات'!$G:$G,0)),"")</f>
        <v/>
      </c>
      <c r="C932" s="3" t="str">
        <f>IFERROR(INDEX('بيانات الحركات'!C:C,MATCH(931,'بيانات الحركات'!$G:$G,0)),"")</f>
        <v/>
      </c>
      <c r="D932" s="3" t="str">
        <f>IFERROR(INDEX('بيانات الحركات'!D:D,MATCH(931,'بيانات الحركات'!$G:$G,0)),"")</f>
        <v/>
      </c>
      <c r="E932" s="21" t="str">
        <f>IF($B932="إنتاج طبخة","",IFERROR(INDEX('بيانات الحركات'!E:E,MATCH(931,'بيانات الحركات'!$G:$G,0)),""))</f>
        <v/>
      </c>
      <c r="F932" s="3" t="str">
        <f>IFERROR(INDEX('بيانات الحركات'!F:F,MATCH(931,'بيانات الحركات'!$G:$G,0)),"")</f>
        <v/>
      </c>
    </row>
    <row r="933" spans="1:6" ht="21.95" customHeight="1">
      <c r="A933" s="8" t="str">
        <f>IFERROR(INDEX('بيانات الحركات'!A:A,MATCH(932,'بيانات الحركات'!$G:$G,0)),"")</f>
        <v/>
      </c>
      <c r="B933" s="5" t="str">
        <f>IFERROR(INDEX('بيانات الحركات'!B:B,MATCH(932,'بيانات الحركات'!$G:$G,0)),"")</f>
        <v/>
      </c>
      <c r="C933" s="3" t="str">
        <f>IFERROR(INDEX('بيانات الحركات'!C:C,MATCH(932,'بيانات الحركات'!$G:$G,0)),"")</f>
        <v/>
      </c>
      <c r="D933" s="3" t="str">
        <f>IFERROR(INDEX('بيانات الحركات'!D:D,MATCH(932,'بيانات الحركات'!$G:$G,0)),"")</f>
        <v/>
      </c>
      <c r="E933" s="21" t="str">
        <f>IF($B933="إنتاج طبخة","",IFERROR(INDEX('بيانات الحركات'!E:E,MATCH(932,'بيانات الحركات'!$G:$G,0)),""))</f>
        <v/>
      </c>
      <c r="F933" s="3" t="str">
        <f>IFERROR(INDEX('بيانات الحركات'!F:F,MATCH(932,'بيانات الحركات'!$G:$G,0)),"")</f>
        <v/>
      </c>
    </row>
    <row r="934" spans="1:6" ht="21.95" customHeight="1">
      <c r="A934" s="8" t="str">
        <f>IFERROR(INDEX('بيانات الحركات'!A:A,MATCH(933,'بيانات الحركات'!$G:$G,0)),"")</f>
        <v/>
      </c>
      <c r="B934" s="5" t="str">
        <f>IFERROR(INDEX('بيانات الحركات'!B:B,MATCH(933,'بيانات الحركات'!$G:$G,0)),"")</f>
        <v/>
      </c>
      <c r="C934" s="3" t="str">
        <f>IFERROR(INDEX('بيانات الحركات'!C:C,MATCH(933,'بيانات الحركات'!$G:$G,0)),"")</f>
        <v/>
      </c>
      <c r="D934" s="3" t="str">
        <f>IFERROR(INDEX('بيانات الحركات'!D:D,MATCH(933,'بيانات الحركات'!$G:$G,0)),"")</f>
        <v/>
      </c>
      <c r="E934" s="21" t="str">
        <f>IF($B934="إنتاج طبخة","",IFERROR(INDEX('بيانات الحركات'!E:E,MATCH(933,'بيانات الحركات'!$G:$G,0)),""))</f>
        <v/>
      </c>
      <c r="F934" s="3" t="str">
        <f>IFERROR(INDEX('بيانات الحركات'!F:F,MATCH(933,'بيانات الحركات'!$G:$G,0)),"")</f>
        <v/>
      </c>
    </row>
    <row r="935" spans="1:6" ht="21.95" customHeight="1">
      <c r="A935" s="8" t="str">
        <f>IFERROR(INDEX('بيانات الحركات'!A:A,MATCH(934,'بيانات الحركات'!$G:$G,0)),"")</f>
        <v/>
      </c>
      <c r="B935" s="5" t="str">
        <f>IFERROR(INDEX('بيانات الحركات'!B:B,MATCH(934,'بيانات الحركات'!$G:$G,0)),"")</f>
        <v/>
      </c>
      <c r="C935" s="3" t="str">
        <f>IFERROR(INDEX('بيانات الحركات'!C:C,MATCH(934,'بيانات الحركات'!$G:$G,0)),"")</f>
        <v/>
      </c>
      <c r="D935" s="3" t="str">
        <f>IFERROR(INDEX('بيانات الحركات'!D:D,MATCH(934,'بيانات الحركات'!$G:$G,0)),"")</f>
        <v/>
      </c>
      <c r="E935" s="21" t="str">
        <f>IF($B935="إنتاج طبخة","",IFERROR(INDEX('بيانات الحركات'!E:E,MATCH(934,'بيانات الحركات'!$G:$G,0)),""))</f>
        <v/>
      </c>
      <c r="F935" s="3" t="str">
        <f>IFERROR(INDEX('بيانات الحركات'!F:F,MATCH(934,'بيانات الحركات'!$G:$G,0)),"")</f>
        <v/>
      </c>
    </row>
    <row r="936" spans="1:6" ht="21.95" customHeight="1">
      <c r="A936" s="8" t="str">
        <f>IFERROR(INDEX('بيانات الحركات'!A:A,MATCH(935,'بيانات الحركات'!$G:$G,0)),"")</f>
        <v/>
      </c>
      <c r="B936" s="5" t="str">
        <f>IFERROR(INDEX('بيانات الحركات'!B:B,MATCH(935,'بيانات الحركات'!$G:$G,0)),"")</f>
        <v/>
      </c>
      <c r="C936" s="3" t="str">
        <f>IFERROR(INDEX('بيانات الحركات'!C:C,MATCH(935,'بيانات الحركات'!$G:$G,0)),"")</f>
        <v/>
      </c>
      <c r="D936" s="3" t="str">
        <f>IFERROR(INDEX('بيانات الحركات'!D:D,MATCH(935,'بيانات الحركات'!$G:$G,0)),"")</f>
        <v/>
      </c>
      <c r="E936" s="21" t="str">
        <f>IF($B936="إنتاج طبخة","",IFERROR(INDEX('بيانات الحركات'!E:E,MATCH(935,'بيانات الحركات'!$G:$G,0)),""))</f>
        <v/>
      </c>
      <c r="F936" s="3" t="str">
        <f>IFERROR(INDEX('بيانات الحركات'!F:F,MATCH(935,'بيانات الحركات'!$G:$G,0)),"")</f>
        <v/>
      </c>
    </row>
    <row r="937" spans="1:6" ht="21.95" customHeight="1">
      <c r="A937" s="8" t="str">
        <f>IFERROR(INDEX('بيانات الحركات'!A:A,MATCH(936,'بيانات الحركات'!$G:$G,0)),"")</f>
        <v/>
      </c>
      <c r="B937" s="5" t="str">
        <f>IFERROR(INDEX('بيانات الحركات'!B:B,MATCH(936,'بيانات الحركات'!$G:$G,0)),"")</f>
        <v/>
      </c>
      <c r="C937" s="3" t="str">
        <f>IFERROR(INDEX('بيانات الحركات'!C:C,MATCH(936,'بيانات الحركات'!$G:$G,0)),"")</f>
        <v/>
      </c>
      <c r="D937" s="3" t="str">
        <f>IFERROR(INDEX('بيانات الحركات'!D:D,MATCH(936,'بيانات الحركات'!$G:$G,0)),"")</f>
        <v/>
      </c>
      <c r="E937" s="21" t="str">
        <f>IF($B937="إنتاج طبخة","",IFERROR(INDEX('بيانات الحركات'!E:E,MATCH(936,'بيانات الحركات'!$G:$G,0)),""))</f>
        <v/>
      </c>
      <c r="F937" s="3" t="str">
        <f>IFERROR(INDEX('بيانات الحركات'!F:F,MATCH(936,'بيانات الحركات'!$G:$G,0)),"")</f>
        <v/>
      </c>
    </row>
    <row r="938" spans="1:6" ht="21.95" customHeight="1">
      <c r="A938" s="8" t="str">
        <f>IFERROR(INDEX('بيانات الحركات'!A:A,MATCH(937,'بيانات الحركات'!$G:$G,0)),"")</f>
        <v/>
      </c>
      <c r="B938" s="5" t="str">
        <f>IFERROR(INDEX('بيانات الحركات'!B:B,MATCH(937,'بيانات الحركات'!$G:$G,0)),"")</f>
        <v/>
      </c>
      <c r="C938" s="3" t="str">
        <f>IFERROR(INDEX('بيانات الحركات'!C:C,MATCH(937,'بيانات الحركات'!$G:$G,0)),"")</f>
        <v/>
      </c>
      <c r="D938" s="3" t="str">
        <f>IFERROR(INDEX('بيانات الحركات'!D:D,MATCH(937,'بيانات الحركات'!$G:$G,0)),"")</f>
        <v/>
      </c>
      <c r="E938" s="21" t="str">
        <f>IF($B938="إنتاج طبخة","",IFERROR(INDEX('بيانات الحركات'!E:E,MATCH(937,'بيانات الحركات'!$G:$G,0)),""))</f>
        <v/>
      </c>
      <c r="F938" s="3" t="str">
        <f>IFERROR(INDEX('بيانات الحركات'!F:F,MATCH(937,'بيانات الحركات'!$G:$G,0)),"")</f>
        <v/>
      </c>
    </row>
    <row r="939" spans="1:6" ht="21.95" customHeight="1">
      <c r="A939" s="8" t="str">
        <f>IFERROR(INDEX('بيانات الحركات'!A:A,MATCH(938,'بيانات الحركات'!$G:$G,0)),"")</f>
        <v/>
      </c>
      <c r="B939" s="5" t="str">
        <f>IFERROR(INDEX('بيانات الحركات'!B:B,MATCH(938,'بيانات الحركات'!$G:$G,0)),"")</f>
        <v/>
      </c>
      <c r="C939" s="3" t="str">
        <f>IFERROR(INDEX('بيانات الحركات'!C:C,MATCH(938,'بيانات الحركات'!$G:$G,0)),"")</f>
        <v/>
      </c>
      <c r="D939" s="3" t="str">
        <f>IFERROR(INDEX('بيانات الحركات'!D:D,MATCH(938,'بيانات الحركات'!$G:$G,0)),"")</f>
        <v/>
      </c>
      <c r="E939" s="21" t="str">
        <f>IF($B939="إنتاج طبخة","",IFERROR(INDEX('بيانات الحركات'!E:E,MATCH(938,'بيانات الحركات'!$G:$G,0)),""))</f>
        <v/>
      </c>
      <c r="F939" s="3" t="str">
        <f>IFERROR(INDEX('بيانات الحركات'!F:F,MATCH(938,'بيانات الحركات'!$G:$G,0)),"")</f>
        <v/>
      </c>
    </row>
    <row r="940" spans="1:6" ht="21.95" customHeight="1">
      <c r="A940" s="8" t="str">
        <f>IFERROR(INDEX('بيانات الحركات'!A:A,MATCH(939,'بيانات الحركات'!$G:$G,0)),"")</f>
        <v/>
      </c>
      <c r="B940" s="5" t="str">
        <f>IFERROR(INDEX('بيانات الحركات'!B:B,MATCH(939,'بيانات الحركات'!$G:$G,0)),"")</f>
        <v/>
      </c>
      <c r="C940" s="3" t="str">
        <f>IFERROR(INDEX('بيانات الحركات'!C:C,MATCH(939,'بيانات الحركات'!$G:$G,0)),"")</f>
        <v/>
      </c>
      <c r="D940" s="3" t="str">
        <f>IFERROR(INDEX('بيانات الحركات'!D:D,MATCH(939,'بيانات الحركات'!$G:$G,0)),"")</f>
        <v/>
      </c>
      <c r="E940" s="21" t="str">
        <f>IF($B940="إنتاج طبخة","",IFERROR(INDEX('بيانات الحركات'!E:E,MATCH(939,'بيانات الحركات'!$G:$G,0)),""))</f>
        <v/>
      </c>
      <c r="F940" s="3" t="str">
        <f>IFERROR(INDEX('بيانات الحركات'!F:F,MATCH(939,'بيانات الحركات'!$G:$G,0)),"")</f>
        <v/>
      </c>
    </row>
    <row r="941" spans="1:6" ht="21.95" customHeight="1">
      <c r="A941" s="8" t="str">
        <f>IFERROR(INDEX('بيانات الحركات'!A:A,MATCH(940,'بيانات الحركات'!$G:$G,0)),"")</f>
        <v/>
      </c>
      <c r="B941" s="5" t="str">
        <f>IFERROR(INDEX('بيانات الحركات'!B:B,MATCH(940,'بيانات الحركات'!$G:$G,0)),"")</f>
        <v/>
      </c>
      <c r="C941" s="3" t="str">
        <f>IFERROR(INDEX('بيانات الحركات'!C:C,MATCH(940,'بيانات الحركات'!$G:$G,0)),"")</f>
        <v/>
      </c>
      <c r="D941" s="3" t="str">
        <f>IFERROR(INDEX('بيانات الحركات'!D:D,MATCH(940,'بيانات الحركات'!$G:$G,0)),"")</f>
        <v/>
      </c>
      <c r="E941" s="21" t="str">
        <f>IF($B941="إنتاج طبخة","",IFERROR(INDEX('بيانات الحركات'!E:E,MATCH(940,'بيانات الحركات'!$G:$G,0)),""))</f>
        <v/>
      </c>
      <c r="F941" s="3" t="str">
        <f>IFERROR(INDEX('بيانات الحركات'!F:F,MATCH(940,'بيانات الحركات'!$G:$G,0)),"")</f>
        <v/>
      </c>
    </row>
    <row r="942" spans="1:6" ht="21.95" customHeight="1">
      <c r="A942" s="8" t="str">
        <f>IFERROR(INDEX('بيانات الحركات'!A:A,MATCH(941,'بيانات الحركات'!$G:$G,0)),"")</f>
        <v/>
      </c>
      <c r="B942" s="5" t="str">
        <f>IFERROR(INDEX('بيانات الحركات'!B:B,MATCH(941,'بيانات الحركات'!$G:$G,0)),"")</f>
        <v/>
      </c>
      <c r="C942" s="3" t="str">
        <f>IFERROR(INDEX('بيانات الحركات'!C:C,MATCH(941,'بيانات الحركات'!$G:$G,0)),"")</f>
        <v/>
      </c>
      <c r="D942" s="3" t="str">
        <f>IFERROR(INDEX('بيانات الحركات'!D:D,MATCH(941,'بيانات الحركات'!$G:$G,0)),"")</f>
        <v/>
      </c>
      <c r="E942" s="21" t="str">
        <f>IF($B942="إنتاج طبخة","",IFERROR(INDEX('بيانات الحركات'!E:E,MATCH(941,'بيانات الحركات'!$G:$G,0)),""))</f>
        <v/>
      </c>
      <c r="F942" s="3" t="str">
        <f>IFERROR(INDEX('بيانات الحركات'!F:F,MATCH(941,'بيانات الحركات'!$G:$G,0)),"")</f>
        <v/>
      </c>
    </row>
    <row r="943" spans="1:6" ht="21.95" customHeight="1">
      <c r="A943" s="8" t="str">
        <f>IFERROR(INDEX('بيانات الحركات'!A:A,MATCH(942,'بيانات الحركات'!$G:$G,0)),"")</f>
        <v/>
      </c>
      <c r="B943" s="5" t="str">
        <f>IFERROR(INDEX('بيانات الحركات'!B:B,MATCH(942,'بيانات الحركات'!$G:$G,0)),"")</f>
        <v/>
      </c>
      <c r="C943" s="3" t="str">
        <f>IFERROR(INDEX('بيانات الحركات'!C:C,MATCH(942,'بيانات الحركات'!$G:$G,0)),"")</f>
        <v/>
      </c>
      <c r="D943" s="3" t="str">
        <f>IFERROR(INDEX('بيانات الحركات'!D:D,MATCH(942,'بيانات الحركات'!$G:$G,0)),"")</f>
        <v/>
      </c>
      <c r="E943" s="21" t="str">
        <f>IF($B943="إنتاج طبخة","",IFERROR(INDEX('بيانات الحركات'!E:E,MATCH(942,'بيانات الحركات'!$G:$G,0)),""))</f>
        <v/>
      </c>
      <c r="F943" s="3" t="str">
        <f>IFERROR(INDEX('بيانات الحركات'!F:F,MATCH(942,'بيانات الحركات'!$G:$G,0)),"")</f>
        <v/>
      </c>
    </row>
    <row r="944" spans="1:6" ht="21.95" customHeight="1">
      <c r="A944" s="8" t="str">
        <f>IFERROR(INDEX('بيانات الحركات'!A:A,MATCH(943,'بيانات الحركات'!$G:$G,0)),"")</f>
        <v/>
      </c>
      <c r="B944" s="5" t="str">
        <f>IFERROR(INDEX('بيانات الحركات'!B:B,MATCH(943,'بيانات الحركات'!$G:$G,0)),"")</f>
        <v/>
      </c>
      <c r="C944" s="3" t="str">
        <f>IFERROR(INDEX('بيانات الحركات'!C:C,MATCH(943,'بيانات الحركات'!$G:$G,0)),"")</f>
        <v/>
      </c>
      <c r="D944" s="3" t="str">
        <f>IFERROR(INDEX('بيانات الحركات'!D:D,MATCH(943,'بيانات الحركات'!$G:$G,0)),"")</f>
        <v/>
      </c>
      <c r="E944" s="21" t="str">
        <f>IF($B944="إنتاج طبخة","",IFERROR(INDEX('بيانات الحركات'!E:E,MATCH(943,'بيانات الحركات'!$G:$G,0)),""))</f>
        <v/>
      </c>
      <c r="F944" s="3" t="str">
        <f>IFERROR(INDEX('بيانات الحركات'!F:F,MATCH(943,'بيانات الحركات'!$G:$G,0)),"")</f>
        <v/>
      </c>
    </row>
    <row r="945" spans="1:6" ht="21.95" customHeight="1">
      <c r="A945" s="8" t="str">
        <f>IFERROR(INDEX('بيانات الحركات'!A:A,MATCH(944,'بيانات الحركات'!$G:$G,0)),"")</f>
        <v/>
      </c>
      <c r="B945" s="5" t="str">
        <f>IFERROR(INDEX('بيانات الحركات'!B:B,MATCH(944,'بيانات الحركات'!$G:$G,0)),"")</f>
        <v/>
      </c>
      <c r="C945" s="3" t="str">
        <f>IFERROR(INDEX('بيانات الحركات'!C:C,MATCH(944,'بيانات الحركات'!$G:$G,0)),"")</f>
        <v/>
      </c>
      <c r="D945" s="3" t="str">
        <f>IFERROR(INDEX('بيانات الحركات'!D:D,MATCH(944,'بيانات الحركات'!$G:$G,0)),"")</f>
        <v/>
      </c>
      <c r="E945" s="21" t="str">
        <f>IF($B945="إنتاج طبخة","",IFERROR(INDEX('بيانات الحركات'!E:E,MATCH(944,'بيانات الحركات'!$G:$G,0)),""))</f>
        <v/>
      </c>
      <c r="F945" s="3" t="str">
        <f>IFERROR(INDEX('بيانات الحركات'!F:F,MATCH(944,'بيانات الحركات'!$G:$G,0)),"")</f>
        <v/>
      </c>
    </row>
    <row r="946" spans="1:6" ht="21.95" customHeight="1">
      <c r="A946" s="8" t="str">
        <f>IFERROR(INDEX('بيانات الحركات'!A:A,MATCH(945,'بيانات الحركات'!$G:$G,0)),"")</f>
        <v/>
      </c>
      <c r="B946" s="5" t="str">
        <f>IFERROR(INDEX('بيانات الحركات'!B:B,MATCH(945,'بيانات الحركات'!$G:$G,0)),"")</f>
        <v/>
      </c>
      <c r="C946" s="3" t="str">
        <f>IFERROR(INDEX('بيانات الحركات'!C:C,MATCH(945,'بيانات الحركات'!$G:$G,0)),"")</f>
        <v/>
      </c>
      <c r="D946" s="3" t="str">
        <f>IFERROR(INDEX('بيانات الحركات'!D:D,MATCH(945,'بيانات الحركات'!$G:$G,0)),"")</f>
        <v/>
      </c>
      <c r="E946" s="21" t="str">
        <f>IF($B946="إنتاج طبخة","",IFERROR(INDEX('بيانات الحركات'!E:E,MATCH(945,'بيانات الحركات'!$G:$G,0)),""))</f>
        <v/>
      </c>
      <c r="F946" s="3" t="str">
        <f>IFERROR(INDEX('بيانات الحركات'!F:F,MATCH(945,'بيانات الحركات'!$G:$G,0)),"")</f>
        <v/>
      </c>
    </row>
    <row r="947" spans="1:6" ht="21.95" customHeight="1">
      <c r="A947" s="8" t="str">
        <f>IFERROR(INDEX('بيانات الحركات'!A:A,MATCH(946,'بيانات الحركات'!$G:$G,0)),"")</f>
        <v/>
      </c>
      <c r="B947" s="5" t="str">
        <f>IFERROR(INDEX('بيانات الحركات'!B:B,MATCH(946,'بيانات الحركات'!$G:$G,0)),"")</f>
        <v/>
      </c>
      <c r="C947" s="3" t="str">
        <f>IFERROR(INDEX('بيانات الحركات'!C:C,MATCH(946,'بيانات الحركات'!$G:$G,0)),"")</f>
        <v/>
      </c>
      <c r="D947" s="3" t="str">
        <f>IFERROR(INDEX('بيانات الحركات'!D:D,MATCH(946,'بيانات الحركات'!$G:$G,0)),"")</f>
        <v/>
      </c>
      <c r="E947" s="21" t="str">
        <f>IF($B947="إنتاج طبخة","",IFERROR(INDEX('بيانات الحركات'!E:E,MATCH(946,'بيانات الحركات'!$G:$G,0)),""))</f>
        <v/>
      </c>
      <c r="F947" s="3" t="str">
        <f>IFERROR(INDEX('بيانات الحركات'!F:F,MATCH(946,'بيانات الحركات'!$G:$G,0)),"")</f>
        <v/>
      </c>
    </row>
    <row r="948" spans="1:6" ht="21.95" customHeight="1">
      <c r="A948" s="8" t="str">
        <f>IFERROR(INDEX('بيانات الحركات'!A:A,MATCH(947,'بيانات الحركات'!$G:$G,0)),"")</f>
        <v/>
      </c>
      <c r="B948" s="5" t="str">
        <f>IFERROR(INDEX('بيانات الحركات'!B:B,MATCH(947,'بيانات الحركات'!$G:$G,0)),"")</f>
        <v/>
      </c>
      <c r="C948" s="3" t="str">
        <f>IFERROR(INDEX('بيانات الحركات'!C:C,MATCH(947,'بيانات الحركات'!$G:$G,0)),"")</f>
        <v/>
      </c>
      <c r="D948" s="3" t="str">
        <f>IFERROR(INDEX('بيانات الحركات'!D:D,MATCH(947,'بيانات الحركات'!$G:$G,0)),"")</f>
        <v/>
      </c>
      <c r="E948" s="21" t="str">
        <f>IF($B948="إنتاج طبخة","",IFERROR(INDEX('بيانات الحركات'!E:E,MATCH(947,'بيانات الحركات'!$G:$G,0)),""))</f>
        <v/>
      </c>
      <c r="F948" s="3" t="str">
        <f>IFERROR(INDEX('بيانات الحركات'!F:F,MATCH(947,'بيانات الحركات'!$G:$G,0)),"")</f>
        <v/>
      </c>
    </row>
    <row r="949" spans="1:6" ht="21.95" customHeight="1">
      <c r="A949" s="8" t="str">
        <f>IFERROR(INDEX('بيانات الحركات'!A:A,MATCH(948,'بيانات الحركات'!$G:$G,0)),"")</f>
        <v/>
      </c>
      <c r="B949" s="5" t="str">
        <f>IFERROR(INDEX('بيانات الحركات'!B:B,MATCH(948,'بيانات الحركات'!$G:$G,0)),"")</f>
        <v/>
      </c>
      <c r="C949" s="3" t="str">
        <f>IFERROR(INDEX('بيانات الحركات'!C:C,MATCH(948,'بيانات الحركات'!$G:$G,0)),"")</f>
        <v/>
      </c>
      <c r="D949" s="3" t="str">
        <f>IFERROR(INDEX('بيانات الحركات'!D:D,MATCH(948,'بيانات الحركات'!$G:$G,0)),"")</f>
        <v/>
      </c>
      <c r="E949" s="21" t="str">
        <f>IF($B949="إنتاج طبخة","",IFERROR(INDEX('بيانات الحركات'!E:E,MATCH(948,'بيانات الحركات'!$G:$G,0)),""))</f>
        <v/>
      </c>
      <c r="F949" s="3" t="str">
        <f>IFERROR(INDEX('بيانات الحركات'!F:F,MATCH(948,'بيانات الحركات'!$G:$G,0)),"")</f>
        <v/>
      </c>
    </row>
    <row r="950" spans="1:6" ht="21.95" customHeight="1">
      <c r="A950" s="8" t="str">
        <f>IFERROR(INDEX('بيانات الحركات'!A:A,MATCH(949,'بيانات الحركات'!$G:$G,0)),"")</f>
        <v/>
      </c>
      <c r="B950" s="5" t="str">
        <f>IFERROR(INDEX('بيانات الحركات'!B:B,MATCH(949,'بيانات الحركات'!$G:$G,0)),"")</f>
        <v/>
      </c>
      <c r="C950" s="3" t="str">
        <f>IFERROR(INDEX('بيانات الحركات'!C:C,MATCH(949,'بيانات الحركات'!$G:$G,0)),"")</f>
        <v/>
      </c>
      <c r="D950" s="3" t="str">
        <f>IFERROR(INDEX('بيانات الحركات'!D:D,MATCH(949,'بيانات الحركات'!$G:$G,0)),"")</f>
        <v/>
      </c>
      <c r="E950" s="21" t="str">
        <f>IF($B950="إنتاج طبخة","",IFERROR(INDEX('بيانات الحركات'!E:E,MATCH(949,'بيانات الحركات'!$G:$G,0)),""))</f>
        <v/>
      </c>
      <c r="F950" s="3" t="str">
        <f>IFERROR(INDEX('بيانات الحركات'!F:F,MATCH(949,'بيانات الحركات'!$G:$G,0)),"")</f>
        <v/>
      </c>
    </row>
    <row r="951" spans="1:6" ht="21.95" customHeight="1">
      <c r="A951" s="8" t="str">
        <f>IFERROR(INDEX('بيانات الحركات'!A:A,MATCH(950,'بيانات الحركات'!$G:$G,0)),"")</f>
        <v/>
      </c>
      <c r="B951" s="5" t="str">
        <f>IFERROR(INDEX('بيانات الحركات'!B:B,MATCH(950,'بيانات الحركات'!$G:$G,0)),"")</f>
        <v/>
      </c>
      <c r="C951" s="3" t="str">
        <f>IFERROR(INDEX('بيانات الحركات'!C:C,MATCH(950,'بيانات الحركات'!$G:$G,0)),"")</f>
        <v/>
      </c>
      <c r="D951" s="3" t="str">
        <f>IFERROR(INDEX('بيانات الحركات'!D:D,MATCH(950,'بيانات الحركات'!$G:$G,0)),"")</f>
        <v/>
      </c>
      <c r="E951" s="21" t="str">
        <f>IF($B951="إنتاج طبخة","",IFERROR(INDEX('بيانات الحركات'!E:E,MATCH(950,'بيانات الحركات'!$G:$G,0)),""))</f>
        <v/>
      </c>
      <c r="F951" s="3" t="str">
        <f>IFERROR(INDEX('بيانات الحركات'!F:F,MATCH(950,'بيانات الحركات'!$G:$G,0)),"")</f>
        <v/>
      </c>
    </row>
    <row r="952" spans="1:6" ht="21.95" customHeight="1">
      <c r="A952" s="8" t="str">
        <f>IFERROR(INDEX('بيانات الحركات'!A:A,MATCH(951,'بيانات الحركات'!$G:$G,0)),"")</f>
        <v/>
      </c>
      <c r="B952" s="5" t="str">
        <f>IFERROR(INDEX('بيانات الحركات'!B:B,MATCH(951,'بيانات الحركات'!$G:$G,0)),"")</f>
        <v/>
      </c>
      <c r="C952" s="3" t="str">
        <f>IFERROR(INDEX('بيانات الحركات'!C:C,MATCH(951,'بيانات الحركات'!$G:$G,0)),"")</f>
        <v/>
      </c>
      <c r="D952" s="3" t="str">
        <f>IFERROR(INDEX('بيانات الحركات'!D:D,MATCH(951,'بيانات الحركات'!$G:$G,0)),"")</f>
        <v/>
      </c>
      <c r="E952" s="21" t="str">
        <f>IF($B952="إنتاج طبخة","",IFERROR(INDEX('بيانات الحركات'!E:E,MATCH(951,'بيانات الحركات'!$G:$G,0)),""))</f>
        <v/>
      </c>
      <c r="F952" s="3" t="str">
        <f>IFERROR(INDEX('بيانات الحركات'!F:F,MATCH(951,'بيانات الحركات'!$G:$G,0)),"")</f>
        <v/>
      </c>
    </row>
    <row r="953" spans="1:6" ht="21.95" customHeight="1">
      <c r="A953" s="8" t="str">
        <f>IFERROR(INDEX('بيانات الحركات'!A:A,MATCH(952,'بيانات الحركات'!$G:$G,0)),"")</f>
        <v/>
      </c>
      <c r="B953" s="5" t="str">
        <f>IFERROR(INDEX('بيانات الحركات'!B:B,MATCH(952,'بيانات الحركات'!$G:$G,0)),"")</f>
        <v/>
      </c>
      <c r="C953" s="3" t="str">
        <f>IFERROR(INDEX('بيانات الحركات'!C:C,MATCH(952,'بيانات الحركات'!$G:$G,0)),"")</f>
        <v/>
      </c>
      <c r="D953" s="3" t="str">
        <f>IFERROR(INDEX('بيانات الحركات'!D:D,MATCH(952,'بيانات الحركات'!$G:$G,0)),"")</f>
        <v/>
      </c>
      <c r="E953" s="21" t="str">
        <f>IF($B953="إنتاج طبخة","",IFERROR(INDEX('بيانات الحركات'!E:E,MATCH(952,'بيانات الحركات'!$G:$G,0)),""))</f>
        <v/>
      </c>
      <c r="F953" s="3" t="str">
        <f>IFERROR(INDEX('بيانات الحركات'!F:F,MATCH(952,'بيانات الحركات'!$G:$G,0)),"")</f>
        <v/>
      </c>
    </row>
    <row r="954" spans="1:6" ht="21.95" customHeight="1">
      <c r="A954" s="8" t="str">
        <f>IFERROR(INDEX('بيانات الحركات'!A:A,MATCH(953,'بيانات الحركات'!$G:$G,0)),"")</f>
        <v/>
      </c>
      <c r="B954" s="5" t="str">
        <f>IFERROR(INDEX('بيانات الحركات'!B:B,MATCH(953,'بيانات الحركات'!$G:$G,0)),"")</f>
        <v/>
      </c>
      <c r="C954" s="3" t="str">
        <f>IFERROR(INDEX('بيانات الحركات'!C:C,MATCH(953,'بيانات الحركات'!$G:$G,0)),"")</f>
        <v/>
      </c>
      <c r="D954" s="3" t="str">
        <f>IFERROR(INDEX('بيانات الحركات'!D:D,MATCH(953,'بيانات الحركات'!$G:$G,0)),"")</f>
        <v/>
      </c>
      <c r="E954" s="21" t="str">
        <f>IF($B954="إنتاج طبخة","",IFERROR(INDEX('بيانات الحركات'!E:E,MATCH(953,'بيانات الحركات'!$G:$G,0)),""))</f>
        <v/>
      </c>
      <c r="F954" s="3" t="str">
        <f>IFERROR(INDEX('بيانات الحركات'!F:F,MATCH(953,'بيانات الحركات'!$G:$G,0)),"")</f>
        <v/>
      </c>
    </row>
    <row r="955" spans="1:6" ht="21.95" customHeight="1">
      <c r="A955" s="8" t="str">
        <f>IFERROR(INDEX('بيانات الحركات'!A:A,MATCH(954,'بيانات الحركات'!$G:$G,0)),"")</f>
        <v/>
      </c>
      <c r="B955" s="5" t="str">
        <f>IFERROR(INDEX('بيانات الحركات'!B:B,MATCH(954,'بيانات الحركات'!$G:$G,0)),"")</f>
        <v/>
      </c>
      <c r="C955" s="3" t="str">
        <f>IFERROR(INDEX('بيانات الحركات'!C:C,MATCH(954,'بيانات الحركات'!$G:$G,0)),"")</f>
        <v/>
      </c>
      <c r="D955" s="3" t="str">
        <f>IFERROR(INDEX('بيانات الحركات'!D:D,MATCH(954,'بيانات الحركات'!$G:$G,0)),"")</f>
        <v/>
      </c>
      <c r="E955" s="21" t="str">
        <f>IF($B955="إنتاج طبخة","",IFERROR(INDEX('بيانات الحركات'!E:E,MATCH(954,'بيانات الحركات'!$G:$G,0)),""))</f>
        <v/>
      </c>
      <c r="F955" s="3" t="str">
        <f>IFERROR(INDEX('بيانات الحركات'!F:F,MATCH(954,'بيانات الحركات'!$G:$G,0)),"")</f>
        <v/>
      </c>
    </row>
    <row r="956" spans="1:6" ht="21.95" customHeight="1">
      <c r="A956" s="8" t="str">
        <f>IFERROR(INDEX('بيانات الحركات'!A:A,MATCH(955,'بيانات الحركات'!$G:$G,0)),"")</f>
        <v/>
      </c>
      <c r="B956" s="5" t="str">
        <f>IFERROR(INDEX('بيانات الحركات'!B:B,MATCH(955,'بيانات الحركات'!$G:$G,0)),"")</f>
        <v/>
      </c>
      <c r="C956" s="3" t="str">
        <f>IFERROR(INDEX('بيانات الحركات'!C:C,MATCH(955,'بيانات الحركات'!$G:$G,0)),"")</f>
        <v/>
      </c>
      <c r="D956" s="3" t="str">
        <f>IFERROR(INDEX('بيانات الحركات'!D:D,MATCH(955,'بيانات الحركات'!$G:$G,0)),"")</f>
        <v/>
      </c>
      <c r="E956" s="21" t="str">
        <f>IF($B956="إنتاج طبخة","",IFERROR(INDEX('بيانات الحركات'!E:E,MATCH(955,'بيانات الحركات'!$G:$G,0)),""))</f>
        <v/>
      </c>
      <c r="F956" s="3" t="str">
        <f>IFERROR(INDEX('بيانات الحركات'!F:F,MATCH(955,'بيانات الحركات'!$G:$G,0)),"")</f>
        <v/>
      </c>
    </row>
    <row r="957" spans="1:6" ht="21.95" customHeight="1">
      <c r="A957" s="8" t="str">
        <f>IFERROR(INDEX('بيانات الحركات'!A:A,MATCH(956,'بيانات الحركات'!$G:$G,0)),"")</f>
        <v/>
      </c>
      <c r="B957" s="5" t="str">
        <f>IFERROR(INDEX('بيانات الحركات'!B:B,MATCH(956,'بيانات الحركات'!$G:$G,0)),"")</f>
        <v/>
      </c>
      <c r="C957" s="3" t="str">
        <f>IFERROR(INDEX('بيانات الحركات'!C:C,MATCH(956,'بيانات الحركات'!$G:$G,0)),"")</f>
        <v/>
      </c>
      <c r="D957" s="3" t="str">
        <f>IFERROR(INDEX('بيانات الحركات'!D:D,MATCH(956,'بيانات الحركات'!$G:$G,0)),"")</f>
        <v/>
      </c>
      <c r="E957" s="21" t="str">
        <f>IF($B957="إنتاج طبخة","",IFERROR(INDEX('بيانات الحركات'!E:E,MATCH(956,'بيانات الحركات'!$G:$G,0)),""))</f>
        <v/>
      </c>
      <c r="F957" s="3" t="str">
        <f>IFERROR(INDEX('بيانات الحركات'!F:F,MATCH(956,'بيانات الحركات'!$G:$G,0)),"")</f>
        <v/>
      </c>
    </row>
    <row r="958" spans="1:6" ht="21.95" customHeight="1">
      <c r="A958" s="8" t="str">
        <f>IFERROR(INDEX('بيانات الحركات'!A:A,MATCH(957,'بيانات الحركات'!$G:$G,0)),"")</f>
        <v/>
      </c>
      <c r="B958" s="5" t="str">
        <f>IFERROR(INDEX('بيانات الحركات'!B:B,MATCH(957,'بيانات الحركات'!$G:$G,0)),"")</f>
        <v/>
      </c>
      <c r="C958" s="3" t="str">
        <f>IFERROR(INDEX('بيانات الحركات'!C:C,MATCH(957,'بيانات الحركات'!$G:$G,0)),"")</f>
        <v/>
      </c>
      <c r="D958" s="3" t="str">
        <f>IFERROR(INDEX('بيانات الحركات'!D:D,MATCH(957,'بيانات الحركات'!$G:$G,0)),"")</f>
        <v/>
      </c>
      <c r="E958" s="21" t="str">
        <f>IF($B958="إنتاج طبخة","",IFERROR(INDEX('بيانات الحركات'!E:E,MATCH(957,'بيانات الحركات'!$G:$G,0)),""))</f>
        <v/>
      </c>
      <c r="F958" s="3" t="str">
        <f>IFERROR(INDEX('بيانات الحركات'!F:F,MATCH(957,'بيانات الحركات'!$G:$G,0)),"")</f>
        <v/>
      </c>
    </row>
    <row r="959" spans="1:6" ht="21.95" customHeight="1">
      <c r="A959" s="8" t="str">
        <f>IFERROR(INDEX('بيانات الحركات'!A:A,MATCH(958,'بيانات الحركات'!$G:$G,0)),"")</f>
        <v/>
      </c>
      <c r="B959" s="5" t="str">
        <f>IFERROR(INDEX('بيانات الحركات'!B:B,MATCH(958,'بيانات الحركات'!$G:$G,0)),"")</f>
        <v/>
      </c>
      <c r="C959" s="3" t="str">
        <f>IFERROR(INDEX('بيانات الحركات'!C:C,MATCH(958,'بيانات الحركات'!$G:$G,0)),"")</f>
        <v/>
      </c>
      <c r="D959" s="3" t="str">
        <f>IFERROR(INDEX('بيانات الحركات'!D:D,MATCH(958,'بيانات الحركات'!$G:$G,0)),"")</f>
        <v/>
      </c>
      <c r="E959" s="21" t="str">
        <f>IF($B959="إنتاج طبخة","",IFERROR(INDEX('بيانات الحركات'!E:E,MATCH(958,'بيانات الحركات'!$G:$G,0)),""))</f>
        <v/>
      </c>
      <c r="F959" s="3" t="str">
        <f>IFERROR(INDEX('بيانات الحركات'!F:F,MATCH(958,'بيانات الحركات'!$G:$G,0)),"")</f>
        <v/>
      </c>
    </row>
    <row r="960" spans="1:6" ht="21.95" customHeight="1">
      <c r="A960" s="8" t="str">
        <f>IFERROR(INDEX('بيانات الحركات'!A:A,MATCH(959,'بيانات الحركات'!$G:$G,0)),"")</f>
        <v/>
      </c>
      <c r="B960" s="5" t="str">
        <f>IFERROR(INDEX('بيانات الحركات'!B:B,MATCH(959,'بيانات الحركات'!$G:$G,0)),"")</f>
        <v/>
      </c>
      <c r="C960" s="3" t="str">
        <f>IFERROR(INDEX('بيانات الحركات'!C:C,MATCH(959,'بيانات الحركات'!$G:$G,0)),"")</f>
        <v/>
      </c>
      <c r="D960" s="3" t="str">
        <f>IFERROR(INDEX('بيانات الحركات'!D:D,MATCH(959,'بيانات الحركات'!$G:$G,0)),"")</f>
        <v/>
      </c>
      <c r="E960" s="21" t="str">
        <f>IF($B960="إنتاج طبخة","",IFERROR(INDEX('بيانات الحركات'!E:E,MATCH(959,'بيانات الحركات'!$G:$G,0)),""))</f>
        <v/>
      </c>
      <c r="F960" s="3" t="str">
        <f>IFERROR(INDEX('بيانات الحركات'!F:F,MATCH(959,'بيانات الحركات'!$G:$G,0)),"")</f>
        <v/>
      </c>
    </row>
    <row r="961" spans="1:6" ht="21.95" customHeight="1">
      <c r="A961" s="8" t="str">
        <f>IFERROR(INDEX('بيانات الحركات'!A:A,MATCH(960,'بيانات الحركات'!$G:$G,0)),"")</f>
        <v/>
      </c>
      <c r="B961" s="5" t="str">
        <f>IFERROR(INDEX('بيانات الحركات'!B:B,MATCH(960,'بيانات الحركات'!$G:$G,0)),"")</f>
        <v/>
      </c>
      <c r="C961" s="3" t="str">
        <f>IFERROR(INDEX('بيانات الحركات'!C:C,MATCH(960,'بيانات الحركات'!$G:$G,0)),"")</f>
        <v/>
      </c>
      <c r="D961" s="3" t="str">
        <f>IFERROR(INDEX('بيانات الحركات'!D:D,MATCH(960,'بيانات الحركات'!$G:$G,0)),"")</f>
        <v/>
      </c>
      <c r="E961" s="21" t="str">
        <f>IF($B961="إنتاج طبخة","",IFERROR(INDEX('بيانات الحركات'!E:E,MATCH(960,'بيانات الحركات'!$G:$G,0)),""))</f>
        <v/>
      </c>
      <c r="F961" s="3" t="str">
        <f>IFERROR(INDEX('بيانات الحركات'!F:F,MATCH(960,'بيانات الحركات'!$G:$G,0)),"")</f>
        <v/>
      </c>
    </row>
    <row r="962" spans="1:6" ht="21.95" customHeight="1">
      <c r="A962" s="8" t="str">
        <f>IFERROR(INDEX('بيانات الحركات'!A:A,MATCH(961,'بيانات الحركات'!$G:$G,0)),"")</f>
        <v/>
      </c>
      <c r="B962" s="5" t="str">
        <f>IFERROR(INDEX('بيانات الحركات'!B:B,MATCH(961,'بيانات الحركات'!$G:$G,0)),"")</f>
        <v/>
      </c>
      <c r="C962" s="3" t="str">
        <f>IFERROR(INDEX('بيانات الحركات'!C:C,MATCH(961,'بيانات الحركات'!$G:$G,0)),"")</f>
        <v/>
      </c>
      <c r="D962" s="3" t="str">
        <f>IFERROR(INDEX('بيانات الحركات'!D:D,MATCH(961,'بيانات الحركات'!$G:$G,0)),"")</f>
        <v/>
      </c>
      <c r="E962" s="21" t="str">
        <f>IF($B962="إنتاج طبخة","",IFERROR(INDEX('بيانات الحركات'!E:E,MATCH(961,'بيانات الحركات'!$G:$G,0)),""))</f>
        <v/>
      </c>
      <c r="F962" s="3" t="str">
        <f>IFERROR(INDEX('بيانات الحركات'!F:F,MATCH(961,'بيانات الحركات'!$G:$G,0)),"")</f>
        <v/>
      </c>
    </row>
    <row r="963" spans="1:6" ht="21.95" customHeight="1">
      <c r="A963" s="8" t="str">
        <f>IFERROR(INDEX('بيانات الحركات'!A:A,MATCH(962,'بيانات الحركات'!$G:$G,0)),"")</f>
        <v/>
      </c>
      <c r="B963" s="5" t="str">
        <f>IFERROR(INDEX('بيانات الحركات'!B:B,MATCH(962,'بيانات الحركات'!$G:$G,0)),"")</f>
        <v/>
      </c>
      <c r="C963" s="3" t="str">
        <f>IFERROR(INDEX('بيانات الحركات'!C:C,MATCH(962,'بيانات الحركات'!$G:$G,0)),"")</f>
        <v/>
      </c>
      <c r="D963" s="3" t="str">
        <f>IFERROR(INDEX('بيانات الحركات'!D:D,MATCH(962,'بيانات الحركات'!$G:$G,0)),"")</f>
        <v/>
      </c>
      <c r="E963" s="21" t="str">
        <f>IF($B963="إنتاج طبخة","",IFERROR(INDEX('بيانات الحركات'!E:E,MATCH(962,'بيانات الحركات'!$G:$G,0)),""))</f>
        <v/>
      </c>
      <c r="F963" s="3" t="str">
        <f>IFERROR(INDEX('بيانات الحركات'!F:F,MATCH(962,'بيانات الحركات'!$G:$G,0)),"")</f>
        <v/>
      </c>
    </row>
    <row r="964" spans="1:6" ht="21.95" customHeight="1">
      <c r="A964" s="8" t="str">
        <f>IFERROR(INDEX('بيانات الحركات'!A:A,MATCH(963,'بيانات الحركات'!$G:$G,0)),"")</f>
        <v/>
      </c>
      <c r="B964" s="5" t="str">
        <f>IFERROR(INDEX('بيانات الحركات'!B:B,MATCH(963,'بيانات الحركات'!$G:$G,0)),"")</f>
        <v/>
      </c>
      <c r="C964" s="3" t="str">
        <f>IFERROR(INDEX('بيانات الحركات'!C:C,MATCH(963,'بيانات الحركات'!$G:$G,0)),"")</f>
        <v/>
      </c>
      <c r="D964" s="3" t="str">
        <f>IFERROR(INDEX('بيانات الحركات'!D:D,MATCH(963,'بيانات الحركات'!$G:$G,0)),"")</f>
        <v/>
      </c>
      <c r="E964" s="21" t="str">
        <f>IF($B964="إنتاج طبخة","",IFERROR(INDEX('بيانات الحركات'!E:E,MATCH(963,'بيانات الحركات'!$G:$G,0)),""))</f>
        <v/>
      </c>
      <c r="F964" s="3" t="str">
        <f>IFERROR(INDEX('بيانات الحركات'!F:F,MATCH(963,'بيانات الحركات'!$G:$G,0)),"")</f>
        <v/>
      </c>
    </row>
    <row r="965" spans="1:6" ht="21.95" customHeight="1">
      <c r="A965" s="8" t="str">
        <f>IFERROR(INDEX('بيانات الحركات'!A:A,MATCH(964,'بيانات الحركات'!$G:$G,0)),"")</f>
        <v/>
      </c>
      <c r="B965" s="5" t="str">
        <f>IFERROR(INDEX('بيانات الحركات'!B:B,MATCH(964,'بيانات الحركات'!$G:$G,0)),"")</f>
        <v/>
      </c>
      <c r="C965" s="3" t="str">
        <f>IFERROR(INDEX('بيانات الحركات'!C:C,MATCH(964,'بيانات الحركات'!$G:$G,0)),"")</f>
        <v/>
      </c>
      <c r="D965" s="3" t="str">
        <f>IFERROR(INDEX('بيانات الحركات'!D:D,MATCH(964,'بيانات الحركات'!$G:$G,0)),"")</f>
        <v/>
      </c>
      <c r="E965" s="21" t="str">
        <f>IF($B965="إنتاج طبخة","",IFERROR(INDEX('بيانات الحركات'!E:E,MATCH(964,'بيانات الحركات'!$G:$G,0)),""))</f>
        <v/>
      </c>
      <c r="F965" s="3" t="str">
        <f>IFERROR(INDEX('بيانات الحركات'!F:F,MATCH(964,'بيانات الحركات'!$G:$G,0)),"")</f>
        <v/>
      </c>
    </row>
    <row r="966" spans="1:6" ht="21.95" customHeight="1">
      <c r="A966" s="8" t="str">
        <f>IFERROR(INDEX('بيانات الحركات'!A:A,MATCH(965,'بيانات الحركات'!$G:$G,0)),"")</f>
        <v/>
      </c>
      <c r="B966" s="5" t="str">
        <f>IFERROR(INDEX('بيانات الحركات'!B:B,MATCH(965,'بيانات الحركات'!$G:$G,0)),"")</f>
        <v/>
      </c>
      <c r="C966" s="3" t="str">
        <f>IFERROR(INDEX('بيانات الحركات'!C:C,MATCH(965,'بيانات الحركات'!$G:$G,0)),"")</f>
        <v/>
      </c>
      <c r="D966" s="3" t="str">
        <f>IFERROR(INDEX('بيانات الحركات'!D:D,MATCH(965,'بيانات الحركات'!$G:$G,0)),"")</f>
        <v/>
      </c>
      <c r="E966" s="21" t="str">
        <f>IF($B966="إنتاج طبخة","",IFERROR(INDEX('بيانات الحركات'!E:E,MATCH(965,'بيانات الحركات'!$G:$G,0)),""))</f>
        <v/>
      </c>
      <c r="F966" s="3" t="str">
        <f>IFERROR(INDEX('بيانات الحركات'!F:F,MATCH(965,'بيانات الحركات'!$G:$G,0)),"")</f>
        <v/>
      </c>
    </row>
    <row r="967" spans="1:6" ht="21.95" customHeight="1">
      <c r="A967" s="8" t="str">
        <f>IFERROR(INDEX('بيانات الحركات'!A:A,MATCH(966,'بيانات الحركات'!$G:$G,0)),"")</f>
        <v/>
      </c>
      <c r="B967" s="5" t="str">
        <f>IFERROR(INDEX('بيانات الحركات'!B:B,MATCH(966,'بيانات الحركات'!$G:$G,0)),"")</f>
        <v/>
      </c>
      <c r="C967" s="3" t="str">
        <f>IFERROR(INDEX('بيانات الحركات'!C:C,MATCH(966,'بيانات الحركات'!$G:$G,0)),"")</f>
        <v/>
      </c>
      <c r="D967" s="3" t="str">
        <f>IFERROR(INDEX('بيانات الحركات'!D:D,MATCH(966,'بيانات الحركات'!$G:$G,0)),"")</f>
        <v/>
      </c>
      <c r="E967" s="21" t="str">
        <f>IF($B967="إنتاج طبخة","",IFERROR(INDEX('بيانات الحركات'!E:E,MATCH(966,'بيانات الحركات'!$G:$G,0)),""))</f>
        <v/>
      </c>
      <c r="F967" s="3" t="str">
        <f>IFERROR(INDEX('بيانات الحركات'!F:F,MATCH(966,'بيانات الحركات'!$G:$G,0)),"")</f>
        <v/>
      </c>
    </row>
    <row r="968" spans="1:6" ht="21.95" customHeight="1">
      <c r="A968" s="8" t="str">
        <f>IFERROR(INDEX('بيانات الحركات'!A:A,MATCH(967,'بيانات الحركات'!$G:$G,0)),"")</f>
        <v/>
      </c>
      <c r="B968" s="5" t="str">
        <f>IFERROR(INDEX('بيانات الحركات'!B:B,MATCH(967,'بيانات الحركات'!$G:$G,0)),"")</f>
        <v/>
      </c>
      <c r="C968" s="3" t="str">
        <f>IFERROR(INDEX('بيانات الحركات'!C:C,MATCH(967,'بيانات الحركات'!$G:$G,0)),"")</f>
        <v/>
      </c>
      <c r="D968" s="3" t="str">
        <f>IFERROR(INDEX('بيانات الحركات'!D:D,MATCH(967,'بيانات الحركات'!$G:$G,0)),"")</f>
        <v/>
      </c>
      <c r="E968" s="21" t="str">
        <f>IF($B968="إنتاج طبخة","",IFERROR(INDEX('بيانات الحركات'!E:E,MATCH(967,'بيانات الحركات'!$G:$G,0)),""))</f>
        <v/>
      </c>
      <c r="F968" s="3" t="str">
        <f>IFERROR(INDEX('بيانات الحركات'!F:F,MATCH(967,'بيانات الحركات'!$G:$G,0)),"")</f>
        <v/>
      </c>
    </row>
    <row r="969" spans="1:6" ht="21.95" customHeight="1">
      <c r="A969" s="8" t="str">
        <f>IFERROR(INDEX('بيانات الحركات'!A:A,MATCH(968,'بيانات الحركات'!$G:$G,0)),"")</f>
        <v/>
      </c>
      <c r="B969" s="5" t="str">
        <f>IFERROR(INDEX('بيانات الحركات'!B:B,MATCH(968,'بيانات الحركات'!$G:$G,0)),"")</f>
        <v/>
      </c>
      <c r="C969" s="3" t="str">
        <f>IFERROR(INDEX('بيانات الحركات'!C:C,MATCH(968,'بيانات الحركات'!$G:$G,0)),"")</f>
        <v/>
      </c>
      <c r="D969" s="3" t="str">
        <f>IFERROR(INDEX('بيانات الحركات'!D:D,MATCH(968,'بيانات الحركات'!$G:$G,0)),"")</f>
        <v/>
      </c>
      <c r="E969" s="21" t="str">
        <f>IF($B969="إنتاج طبخة","",IFERROR(INDEX('بيانات الحركات'!E:E,MATCH(968,'بيانات الحركات'!$G:$G,0)),""))</f>
        <v/>
      </c>
      <c r="F969" s="3" t="str">
        <f>IFERROR(INDEX('بيانات الحركات'!F:F,MATCH(968,'بيانات الحركات'!$G:$G,0)),"")</f>
        <v/>
      </c>
    </row>
    <row r="970" spans="1:6" ht="21.95" customHeight="1">
      <c r="A970" s="8" t="str">
        <f>IFERROR(INDEX('بيانات الحركات'!A:A,MATCH(969,'بيانات الحركات'!$G:$G,0)),"")</f>
        <v/>
      </c>
      <c r="B970" s="5" t="str">
        <f>IFERROR(INDEX('بيانات الحركات'!B:B,MATCH(969,'بيانات الحركات'!$G:$G,0)),"")</f>
        <v/>
      </c>
      <c r="C970" s="3" t="str">
        <f>IFERROR(INDEX('بيانات الحركات'!C:C,MATCH(969,'بيانات الحركات'!$G:$G,0)),"")</f>
        <v/>
      </c>
      <c r="D970" s="3" t="str">
        <f>IFERROR(INDEX('بيانات الحركات'!D:D,MATCH(969,'بيانات الحركات'!$G:$G,0)),"")</f>
        <v/>
      </c>
      <c r="E970" s="21" t="str">
        <f>IF($B970="إنتاج طبخة","",IFERROR(INDEX('بيانات الحركات'!E:E,MATCH(969,'بيانات الحركات'!$G:$G,0)),""))</f>
        <v/>
      </c>
      <c r="F970" s="3" t="str">
        <f>IFERROR(INDEX('بيانات الحركات'!F:F,MATCH(969,'بيانات الحركات'!$G:$G,0)),"")</f>
        <v/>
      </c>
    </row>
    <row r="971" spans="1:6" ht="21.95" customHeight="1">
      <c r="A971" s="8" t="str">
        <f>IFERROR(INDEX('بيانات الحركات'!A:A,MATCH(970,'بيانات الحركات'!$G:$G,0)),"")</f>
        <v/>
      </c>
      <c r="B971" s="5" t="str">
        <f>IFERROR(INDEX('بيانات الحركات'!B:B,MATCH(970,'بيانات الحركات'!$G:$G,0)),"")</f>
        <v/>
      </c>
      <c r="C971" s="3" t="str">
        <f>IFERROR(INDEX('بيانات الحركات'!C:C,MATCH(970,'بيانات الحركات'!$G:$G,0)),"")</f>
        <v/>
      </c>
      <c r="D971" s="3" t="str">
        <f>IFERROR(INDEX('بيانات الحركات'!D:D,MATCH(970,'بيانات الحركات'!$G:$G,0)),"")</f>
        <v/>
      </c>
      <c r="E971" s="21" t="str">
        <f>IF($B971="إنتاج طبخة","",IFERROR(INDEX('بيانات الحركات'!E:E,MATCH(970,'بيانات الحركات'!$G:$G,0)),""))</f>
        <v/>
      </c>
      <c r="F971" s="3" t="str">
        <f>IFERROR(INDEX('بيانات الحركات'!F:F,MATCH(970,'بيانات الحركات'!$G:$G,0)),"")</f>
        <v/>
      </c>
    </row>
    <row r="972" spans="1:6" ht="21.95" customHeight="1">
      <c r="A972" s="8" t="str">
        <f>IFERROR(INDEX('بيانات الحركات'!A:A,MATCH(971,'بيانات الحركات'!$G:$G,0)),"")</f>
        <v/>
      </c>
      <c r="B972" s="5" t="str">
        <f>IFERROR(INDEX('بيانات الحركات'!B:B,MATCH(971,'بيانات الحركات'!$G:$G,0)),"")</f>
        <v/>
      </c>
      <c r="C972" s="3" t="str">
        <f>IFERROR(INDEX('بيانات الحركات'!C:C,MATCH(971,'بيانات الحركات'!$G:$G,0)),"")</f>
        <v/>
      </c>
      <c r="D972" s="3" t="str">
        <f>IFERROR(INDEX('بيانات الحركات'!D:D,MATCH(971,'بيانات الحركات'!$G:$G,0)),"")</f>
        <v/>
      </c>
      <c r="E972" s="21" t="str">
        <f>IF($B972="إنتاج طبخة","",IFERROR(INDEX('بيانات الحركات'!E:E,MATCH(971,'بيانات الحركات'!$G:$G,0)),""))</f>
        <v/>
      </c>
      <c r="F972" s="3" t="str">
        <f>IFERROR(INDEX('بيانات الحركات'!F:F,MATCH(971,'بيانات الحركات'!$G:$G,0)),"")</f>
        <v/>
      </c>
    </row>
    <row r="973" spans="1:6" ht="21.95" customHeight="1">
      <c r="A973" s="8" t="str">
        <f>IFERROR(INDEX('بيانات الحركات'!A:A,MATCH(972,'بيانات الحركات'!$G:$G,0)),"")</f>
        <v/>
      </c>
      <c r="B973" s="5" t="str">
        <f>IFERROR(INDEX('بيانات الحركات'!B:B,MATCH(972,'بيانات الحركات'!$G:$G,0)),"")</f>
        <v/>
      </c>
      <c r="C973" s="3" t="str">
        <f>IFERROR(INDEX('بيانات الحركات'!C:C,MATCH(972,'بيانات الحركات'!$G:$G,0)),"")</f>
        <v/>
      </c>
      <c r="D973" s="3" t="str">
        <f>IFERROR(INDEX('بيانات الحركات'!D:D,MATCH(972,'بيانات الحركات'!$G:$G,0)),"")</f>
        <v/>
      </c>
      <c r="E973" s="21" t="str">
        <f>IF($B973="إنتاج طبخة","",IFERROR(INDEX('بيانات الحركات'!E:E,MATCH(972,'بيانات الحركات'!$G:$G,0)),""))</f>
        <v/>
      </c>
      <c r="F973" s="3" t="str">
        <f>IFERROR(INDEX('بيانات الحركات'!F:F,MATCH(972,'بيانات الحركات'!$G:$G,0)),"")</f>
        <v/>
      </c>
    </row>
    <row r="974" spans="1:6" ht="21.95" customHeight="1">
      <c r="A974" s="8" t="str">
        <f>IFERROR(INDEX('بيانات الحركات'!A:A,MATCH(973,'بيانات الحركات'!$G:$G,0)),"")</f>
        <v/>
      </c>
      <c r="B974" s="5" t="str">
        <f>IFERROR(INDEX('بيانات الحركات'!B:B,MATCH(973,'بيانات الحركات'!$G:$G,0)),"")</f>
        <v/>
      </c>
      <c r="C974" s="3" t="str">
        <f>IFERROR(INDEX('بيانات الحركات'!C:C,MATCH(973,'بيانات الحركات'!$G:$G,0)),"")</f>
        <v/>
      </c>
      <c r="D974" s="3" t="str">
        <f>IFERROR(INDEX('بيانات الحركات'!D:D,MATCH(973,'بيانات الحركات'!$G:$G,0)),"")</f>
        <v/>
      </c>
      <c r="E974" s="21" t="str">
        <f>IF($B974="إنتاج طبخة","",IFERROR(INDEX('بيانات الحركات'!E:E,MATCH(973,'بيانات الحركات'!$G:$G,0)),""))</f>
        <v/>
      </c>
      <c r="F974" s="3" t="str">
        <f>IFERROR(INDEX('بيانات الحركات'!F:F,MATCH(973,'بيانات الحركات'!$G:$G,0)),"")</f>
        <v/>
      </c>
    </row>
    <row r="975" spans="1:6" ht="21.95" customHeight="1">
      <c r="A975" s="8" t="str">
        <f>IFERROR(INDEX('بيانات الحركات'!A:A,MATCH(974,'بيانات الحركات'!$G:$G,0)),"")</f>
        <v/>
      </c>
      <c r="B975" s="5" t="str">
        <f>IFERROR(INDEX('بيانات الحركات'!B:B,MATCH(974,'بيانات الحركات'!$G:$G,0)),"")</f>
        <v/>
      </c>
      <c r="C975" s="3" t="str">
        <f>IFERROR(INDEX('بيانات الحركات'!C:C,MATCH(974,'بيانات الحركات'!$G:$G,0)),"")</f>
        <v/>
      </c>
      <c r="D975" s="3" t="str">
        <f>IFERROR(INDEX('بيانات الحركات'!D:D,MATCH(974,'بيانات الحركات'!$G:$G,0)),"")</f>
        <v/>
      </c>
      <c r="E975" s="21" t="str">
        <f>IF($B975="إنتاج طبخة","",IFERROR(INDEX('بيانات الحركات'!E:E,MATCH(974,'بيانات الحركات'!$G:$G,0)),""))</f>
        <v/>
      </c>
      <c r="F975" s="3" t="str">
        <f>IFERROR(INDEX('بيانات الحركات'!F:F,MATCH(974,'بيانات الحركات'!$G:$G,0)),"")</f>
        <v/>
      </c>
    </row>
    <row r="976" spans="1:6" ht="21.95" customHeight="1">
      <c r="A976" s="8" t="str">
        <f>IFERROR(INDEX('بيانات الحركات'!A:A,MATCH(975,'بيانات الحركات'!$G:$G,0)),"")</f>
        <v/>
      </c>
      <c r="B976" s="5" t="str">
        <f>IFERROR(INDEX('بيانات الحركات'!B:B,MATCH(975,'بيانات الحركات'!$G:$G,0)),"")</f>
        <v/>
      </c>
      <c r="C976" s="3" t="str">
        <f>IFERROR(INDEX('بيانات الحركات'!C:C,MATCH(975,'بيانات الحركات'!$G:$G,0)),"")</f>
        <v/>
      </c>
      <c r="D976" s="3" t="str">
        <f>IFERROR(INDEX('بيانات الحركات'!D:D,MATCH(975,'بيانات الحركات'!$G:$G,0)),"")</f>
        <v/>
      </c>
      <c r="E976" s="21" t="str">
        <f>IF($B976="إنتاج طبخة","",IFERROR(INDEX('بيانات الحركات'!E:E,MATCH(975,'بيانات الحركات'!$G:$G,0)),""))</f>
        <v/>
      </c>
      <c r="F976" s="3" t="str">
        <f>IFERROR(INDEX('بيانات الحركات'!F:F,MATCH(975,'بيانات الحركات'!$G:$G,0)),"")</f>
        <v/>
      </c>
    </row>
    <row r="977" spans="1:6" ht="21.95" customHeight="1">
      <c r="A977" s="8" t="str">
        <f>IFERROR(INDEX('بيانات الحركات'!A:A,MATCH(976,'بيانات الحركات'!$G:$G,0)),"")</f>
        <v/>
      </c>
      <c r="B977" s="5" t="str">
        <f>IFERROR(INDEX('بيانات الحركات'!B:B,MATCH(976,'بيانات الحركات'!$G:$G,0)),"")</f>
        <v/>
      </c>
      <c r="C977" s="3" t="str">
        <f>IFERROR(INDEX('بيانات الحركات'!C:C,MATCH(976,'بيانات الحركات'!$G:$G,0)),"")</f>
        <v/>
      </c>
      <c r="D977" s="3" t="str">
        <f>IFERROR(INDEX('بيانات الحركات'!D:D,MATCH(976,'بيانات الحركات'!$G:$G,0)),"")</f>
        <v/>
      </c>
      <c r="E977" s="21" t="str">
        <f>IF($B977="إنتاج طبخة","",IFERROR(INDEX('بيانات الحركات'!E:E,MATCH(976,'بيانات الحركات'!$G:$G,0)),""))</f>
        <v/>
      </c>
      <c r="F977" s="3" t="str">
        <f>IFERROR(INDEX('بيانات الحركات'!F:F,MATCH(976,'بيانات الحركات'!$G:$G,0)),"")</f>
        <v/>
      </c>
    </row>
    <row r="978" spans="1:6" ht="21.95" customHeight="1">
      <c r="A978" s="8" t="str">
        <f>IFERROR(INDEX('بيانات الحركات'!A:A,MATCH(977,'بيانات الحركات'!$G:$G,0)),"")</f>
        <v/>
      </c>
      <c r="B978" s="5" t="str">
        <f>IFERROR(INDEX('بيانات الحركات'!B:B,MATCH(977,'بيانات الحركات'!$G:$G,0)),"")</f>
        <v/>
      </c>
      <c r="C978" s="3" t="str">
        <f>IFERROR(INDEX('بيانات الحركات'!C:C,MATCH(977,'بيانات الحركات'!$G:$G,0)),"")</f>
        <v/>
      </c>
      <c r="D978" s="3" t="str">
        <f>IFERROR(INDEX('بيانات الحركات'!D:D,MATCH(977,'بيانات الحركات'!$G:$G,0)),"")</f>
        <v/>
      </c>
      <c r="E978" s="21" t="str">
        <f>IF($B978="إنتاج طبخة","",IFERROR(INDEX('بيانات الحركات'!E:E,MATCH(977,'بيانات الحركات'!$G:$G,0)),""))</f>
        <v/>
      </c>
      <c r="F978" s="3" t="str">
        <f>IFERROR(INDEX('بيانات الحركات'!F:F,MATCH(977,'بيانات الحركات'!$G:$G,0)),"")</f>
        <v/>
      </c>
    </row>
    <row r="979" spans="1:6" ht="21.95" customHeight="1">
      <c r="A979" s="8" t="str">
        <f>IFERROR(INDEX('بيانات الحركات'!A:A,MATCH(978,'بيانات الحركات'!$G:$G,0)),"")</f>
        <v/>
      </c>
      <c r="B979" s="5" t="str">
        <f>IFERROR(INDEX('بيانات الحركات'!B:B,MATCH(978,'بيانات الحركات'!$G:$G,0)),"")</f>
        <v/>
      </c>
      <c r="C979" s="3" t="str">
        <f>IFERROR(INDEX('بيانات الحركات'!C:C,MATCH(978,'بيانات الحركات'!$G:$G,0)),"")</f>
        <v/>
      </c>
      <c r="D979" s="3" t="str">
        <f>IFERROR(INDEX('بيانات الحركات'!D:D,MATCH(978,'بيانات الحركات'!$G:$G,0)),"")</f>
        <v/>
      </c>
      <c r="E979" s="21" t="str">
        <f>IF($B979="إنتاج طبخة","",IFERROR(INDEX('بيانات الحركات'!E:E,MATCH(978,'بيانات الحركات'!$G:$G,0)),""))</f>
        <v/>
      </c>
      <c r="F979" s="3" t="str">
        <f>IFERROR(INDEX('بيانات الحركات'!F:F,MATCH(978,'بيانات الحركات'!$G:$G,0)),"")</f>
        <v/>
      </c>
    </row>
    <row r="980" spans="1:6" ht="21.95" customHeight="1">
      <c r="A980" s="8" t="str">
        <f>IFERROR(INDEX('بيانات الحركات'!A:A,MATCH(979,'بيانات الحركات'!$G:$G,0)),"")</f>
        <v/>
      </c>
      <c r="B980" s="5" t="str">
        <f>IFERROR(INDEX('بيانات الحركات'!B:B,MATCH(979,'بيانات الحركات'!$G:$G,0)),"")</f>
        <v/>
      </c>
      <c r="C980" s="3" t="str">
        <f>IFERROR(INDEX('بيانات الحركات'!C:C,MATCH(979,'بيانات الحركات'!$G:$G,0)),"")</f>
        <v/>
      </c>
      <c r="D980" s="3" t="str">
        <f>IFERROR(INDEX('بيانات الحركات'!D:D,MATCH(979,'بيانات الحركات'!$G:$G,0)),"")</f>
        <v/>
      </c>
      <c r="E980" s="21" t="str">
        <f>IF($B980="إنتاج طبخة","",IFERROR(INDEX('بيانات الحركات'!E:E,MATCH(979,'بيانات الحركات'!$G:$G,0)),""))</f>
        <v/>
      </c>
      <c r="F980" s="3" t="str">
        <f>IFERROR(INDEX('بيانات الحركات'!F:F,MATCH(979,'بيانات الحركات'!$G:$G,0)),"")</f>
        <v/>
      </c>
    </row>
    <row r="981" spans="1:6" ht="21.95" customHeight="1">
      <c r="A981" s="8" t="str">
        <f>IFERROR(INDEX('بيانات الحركات'!A:A,MATCH(980,'بيانات الحركات'!$G:$G,0)),"")</f>
        <v/>
      </c>
      <c r="B981" s="5" t="str">
        <f>IFERROR(INDEX('بيانات الحركات'!B:B,MATCH(980,'بيانات الحركات'!$G:$G,0)),"")</f>
        <v/>
      </c>
      <c r="C981" s="3" t="str">
        <f>IFERROR(INDEX('بيانات الحركات'!C:C,MATCH(980,'بيانات الحركات'!$G:$G,0)),"")</f>
        <v/>
      </c>
      <c r="D981" s="3" t="str">
        <f>IFERROR(INDEX('بيانات الحركات'!D:D,MATCH(980,'بيانات الحركات'!$G:$G,0)),"")</f>
        <v/>
      </c>
      <c r="E981" s="21" t="str">
        <f>IF($B981="إنتاج طبخة","",IFERROR(INDEX('بيانات الحركات'!E:E,MATCH(980,'بيانات الحركات'!$G:$G,0)),""))</f>
        <v/>
      </c>
      <c r="F981" s="3" t="str">
        <f>IFERROR(INDEX('بيانات الحركات'!F:F,MATCH(980,'بيانات الحركات'!$G:$G,0)),"")</f>
        <v/>
      </c>
    </row>
    <row r="982" spans="1:6" ht="21.95" customHeight="1">
      <c r="A982" s="8" t="str">
        <f>IFERROR(INDEX('بيانات الحركات'!A:A,MATCH(981,'بيانات الحركات'!$G:$G,0)),"")</f>
        <v/>
      </c>
      <c r="B982" s="5" t="str">
        <f>IFERROR(INDEX('بيانات الحركات'!B:B,MATCH(981,'بيانات الحركات'!$G:$G,0)),"")</f>
        <v/>
      </c>
      <c r="C982" s="3" t="str">
        <f>IFERROR(INDEX('بيانات الحركات'!C:C,MATCH(981,'بيانات الحركات'!$G:$G,0)),"")</f>
        <v/>
      </c>
      <c r="D982" s="3" t="str">
        <f>IFERROR(INDEX('بيانات الحركات'!D:D,MATCH(981,'بيانات الحركات'!$G:$G,0)),"")</f>
        <v/>
      </c>
      <c r="E982" s="21" t="str">
        <f>IF($B982="إنتاج طبخة","",IFERROR(INDEX('بيانات الحركات'!E:E,MATCH(981,'بيانات الحركات'!$G:$G,0)),""))</f>
        <v/>
      </c>
      <c r="F982" s="3" t="str">
        <f>IFERROR(INDEX('بيانات الحركات'!F:F,MATCH(981,'بيانات الحركات'!$G:$G,0)),"")</f>
        <v/>
      </c>
    </row>
    <row r="983" spans="1:6" ht="21.95" customHeight="1">
      <c r="A983" s="8" t="str">
        <f>IFERROR(INDEX('بيانات الحركات'!A:A,MATCH(982,'بيانات الحركات'!$G:$G,0)),"")</f>
        <v/>
      </c>
      <c r="B983" s="5" t="str">
        <f>IFERROR(INDEX('بيانات الحركات'!B:B,MATCH(982,'بيانات الحركات'!$G:$G,0)),"")</f>
        <v/>
      </c>
      <c r="C983" s="3" t="str">
        <f>IFERROR(INDEX('بيانات الحركات'!C:C,MATCH(982,'بيانات الحركات'!$G:$G,0)),"")</f>
        <v/>
      </c>
      <c r="D983" s="3" t="str">
        <f>IFERROR(INDEX('بيانات الحركات'!D:D,MATCH(982,'بيانات الحركات'!$G:$G,0)),"")</f>
        <v/>
      </c>
      <c r="E983" s="21" t="str">
        <f>IF($B983="إنتاج طبخة","",IFERROR(INDEX('بيانات الحركات'!E:E,MATCH(982,'بيانات الحركات'!$G:$G,0)),""))</f>
        <v/>
      </c>
      <c r="F983" s="3" t="str">
        <f>IFERROR(INDEX('بيانات الحركات'!F:F,MATCH(982,'بيانات الحركات'!$G:$G,0)),"")</f>
        <v/>
      </c>
    </row>
    <row r="984" spans="1:6" ht="21.95" customHeight="1">
      <c r="A984" s="8" t="str">
        <f>IFERROR(INDEX('بيانات الحركات'!A:A,MATCH(983,'بيانات الحركات'!$G:$G,0)),"")</f>
        <v/>
      </c>
      <c r="B984" s="5" t="str">
        <f>IFERROR(INDEX('بيانات الحركات'!B:B,MATCH(983,'بيانات الحركات'!$G:$G,0)),"")</f>
        <v/>
      </c>
      <c r="C984" s="3" t="str">
        <f>IFERROR(INDEX('بيانات الحركات'!C:C,MATCH(983,'بيانات الحركات'!$G:$G,0)),"")</f>
        <v/>
      </c>
      <c r="D984" s="3" t="str">
        <f>IFERROR(INDEX('بيانات الحركات'!D:D,MATCH(983,'بيانات الحركات'!$G:$G,0)),"")</f>
        <v/>
      </c>
      <c r="E984" s="21" t="str">
        <f>IF($B984="إنتاج طبخة","",IFERROR(INDEX('بيانات الحركات'!E:E,MATCH(983,'بيانات الحركات'!$G:$G,0)),""))</f>
        <v/>
      </c>
      <c r="F984" s="3" t="str">
        <f>IFERROR(INDEX('بيانات الحركات'!F:F,MATCH(983,'بيانات الحركات'!$G:$G,0)),"")</f>
        <v/>
      </c>
    </row>
    <row r="985" spans="1:6" ht="21.95" customHeight="1">
      <c r="A985" s="8" t="str">
        <f>IFERROR(INDEX('بيانات الحركات'!A:A,MATCH(984,'بيانات الحركات'!$G:$G,0)),"")</f>
        <v/>
      </c>
      <c r="B985" s="5" t="str">
        <f>IFERROR(INDEX('بيانات الحركات'!B:B,MATCH(984,'بيانات الحركات'!$G:$G,0)),"")</f>
        <v/>
      </c>
      <c r="C985" s="3" t="str">
        <f>IFERROR(INDEX('بيانات الحركات'!C:C,MATCH(984,'بيانات الحركات'!$G:$G,0)),"")</f>
        <v/>
      </c>
      <c r="D985" s="3" t="str">
        <f>IFERROR(INDEX('بيانات الحركات'!D:D,MATCH(984,'بيانات الحركات'!$G:$G,0)),"")</f>
        <v/>
      </c>
      <c r="E985" s="21" t="str">
        <f>IF($B985="إنتاج طبخة","",IFERROR(INDEX('بيانات الحركات'!E:E,MATCH(984,'بيانات الحركات'!$G:$G,0)),""))</f>
        <v/>
      </c>
      <c r="F985" s="3" t="str">
        <f>IFERROR(INDEX('بيانات الحركات'!F:F,MATCH(984,'بيانات الحركات'!$G:$G,0)),"")</f>
        <v/>
      </c>
    </row>
    <row r="986" spans="1:6" ht="21.95" customHeight="1">
      <c r="A986" s="8" t="str">
        <f>IFERROR(INDEX('بيانات الحركات'!A:A,MATCH(985,'بيانات الحركات'!$G:$G,0)),"")</f>
        <v/>
      </c>
      <c r="B986" s="5" t="str">
        <f>IFERROR(INDEX('بيانات الحركات'!B:B,MATCH(985,'بيانات الحركات'!$G:$G,0)),"")</f>
        <v/>
      </c>
      <c r="C986" s="3" t="str">
        <f>IFERROR(INDEX('بيانات الحركات'!C:C,MATCH(985,'بيانات الحركات'!$G:$G,0)),"")</f>
        <v/>
      </c>
      <c r="D986" s="3" t="str">
        <f>IFERROR(INDEX('بيانات الحركات'!D:D,MATCH(985,'بيانات الحركات'!$G:$G,0)),"")</f>
        <v/>
      </c>
      <c r="E986" s="21" t="str">
        <f>IF($B986="إنتاج طبخة","",IFERROR(INDEX('بيانات الحركات'!E:E,MATCH(985,'بيانات الحركات'!$G:$G,0)),""))</f>
        <v/>
      </c>
      <c r="F986" s="3" t="str">
        <f>IFERROR(INDEX('بيانات الحركات'!F:F,MATCH(985,'بيانات الحركات'!$G:$G,0)),"")</f>
        <v/>
      </c>
    </row>
    <row r="987" spans="1:6" ht="21.95" customHeight="1">
      <c r="A987" s="8" t="str">
        <f>IFERROR(INDEX('بيانات الحركات'!A:A,MATCH(986,'بيانات الحركات'!$G:$G,0)),"")</f>
        <v/>
      </c>
      <c r="B987" s="5" t="str">
        <f>IFERROR(INDEX('بيانات الحركات'!B:B,MATCH(986,'بيانات الحركات'!$G:$G,0)),"")</f>
        <v/>
      </c>
      <c r="C987" s="3" t="str">
        <f>IFERROR(INDEX('بيانات الحركات'!C:C,MATCH(986,'بيانات الحركات'!$G:$G,0)),"")</f>
        <v/>
      </c>
      <c r="D987" s="3" t="str">
        <f>IFERROR(INDEX('بيانات الحركات'!D:D,MATCH(986,'بيانات الحركات'!$G:$G,0)),"")</f>
        <v/>
      </c>
      <c r="E987" s="21" t="str">
        <f>IF($B987="إنتاج طبخة","",IFERROR(INDEX('بيانات الحركات'!E:E,MATCH(986,'بيانات الحركات'!$G:$G,0)),""))</f>
        <v/>
      </c>
      <c r="F987" s="3" t="str">
        <f>IFERROR(INDEX('بيانات الحركات'!F:F,MATCH(986,'بيانات الحركات'!$G:$G,0)),"")</f>
        <v/>
      </c>
    </row>
    <row r="988" spans="1:6" ht="21.95" customHeight="1">
      <c r="A988" s="8" t="str">
        <f>IFERROR(INDEX('بيانات الحركات'!A:A,MATCH(987,'بيانات الحركات'!$G:$G,0)),"")</f>
        <v/>
      </c>
      <c r="B988" s="5" t="str">
        <f>IFERROR(INDEX('بيانات الحركات'!B:B,MATCH(987,'بيانات الحركات'!$G:$G,0)),"")</f>
        <v/>
      </c>
      <c r="C988" s="3" t="str">
        <f>IFERROR(INDEX('بيانات الحركات'!C:C,MATCH(987,'بيانات الحركات'!$G:$G,0)),"")</f>
        <v/>
      </c>
      <c r="D988" s="3" t="str">
        <f>IFERROR(INDEX('بيانات الحركات'!D:D,MATCH(987,'بيانات الحركات'!$G:$G,0)),"")</f>
        <v/>
      </c>
      <c r="E988" s="21" t="str">
        <f>IF($B988="إنتاج طبخة","",IFERROR(INDEX('بيانات الحركات'!E:E,MATCH(987,'بيانات الحركات'!$G:$G,0)),""))</f>
        <v/>
      </c>
      <c r="F988" s="3" t="str">
        <f>IFERROR(INDEX('بيانات الحركات'!F:F,MATCH(987,'بيانات الحركات'!$G:$G,0)),"")</f>
        <v/>
      </c>
    </row>
    <row r="989" spans="1:6" ht="21.95" customHeight="1">
      <c r="A989" s="8" t="str">
        <f>IFERROR(INDEX('بيانات الحركات'!A:A,MATCH(988,'بيانات الحركات'!$G:$G,0)),"")</f>
        <v/>
      </c>
      <c r="B989" s="5" t="str">
        <f>IFERROR(INDEX('بيانات الحركات'!B:B,MATCH(988,'بيانات الحركات'!$G:$G,0)),"")</f>
        <v/>
      </c>
      <c r="C989" s="3" t="str">
        <f>IFERROR(INDEX('بيانات الحركات'!C:C,MATCH(988,'بيانات الحركات'!$G:$G,0)),"")</f>
        <v/>
      </c>
      <c r="D989" s="3" t="str">
        <f>IFERROR(INDEX('بيانات الحركات'!D:D,MATCH(988,'بيانات الحركات'!$G:$G,0)),"")</f>
        <v/>
      </c>
      <c r="E989" s="21" t="str">
        <f>IF($B989="إنتاج طبخة","",IFERROR(INDEX('بيانات الحركات'!E:E,MATCH(988,'بيانات الحركات'!$G:$G,0)),""))</f>
        <v/>
      </c>
      <c r="F989" s="3" t="str">
        <f>IFERROR(INDEX('بيانات الحركات'!F:F,MATCH(988,'بيانات الحركات'!$G:$G,0)),"")</f>
        <v/>
      </c>
    </row>
    <row r="990" spans="1:6" ht="21.95" customHeight="1">
      <c r="A990" s="8" t="str">
        <f>IFERROR(INDEX('بيانات الحركات'!A:A,MATCH(989,'بيانات الحركات'!$G:$G,0)),"")</f>
        <v/>
      </c>
      <c r="B990" s="5" t="str">
        <f>IFERROR(INDEX('بيانات الحركات'!B:B,MATCH(989,'بيانات الحركات'!$G:$G,0)),"")</f>
        <v/>
      </c>
      <c r="C990" s="3" t="str">
        <f>IFERROR(INDEX('بيانات الحركات'!C:C,MATCH(989,'بيانات الحركات'!$G:$G,0)),"")</f>
        <v/>
      </c>
      <c r="D990" s="3" t="str">
        <f>IFERROR(INDEX('بيانات الحركات'!D:D,MATCH(989,'بيانات الحركات'!$G:$G,0)),"")</f>
        <v/>
      </c>
      <c r="E990" s="21" t="str">
        <f>IF($B990="إنتاج طبخة","",IFERROR(INDEX('بيانات الحركات'!E:E,MATCH(989,'بيانات الحركات'!$G:$G,0)),""))</f>
        <v/>
      </c>
      <c r="F990" s="3" t="str">
        <f>IFERROR(INDEX('بيانات الحركات'!F:F,MATCH(989,'بيانات الحركات'!$G:$G,0)),"")</f>
        <v/>
      </c>
    </row>
    <row r="991" spans="1:6" ht="21.95" customHeight="1">
      <c r="A991" s="8" t="str">
        <f>IFERROR(INDEX('بيانات الحركات'!A:A,MATCH(990,'بيانات الحركات'!$G:$G,0)),"")</f>
        <v/>
      </c>
      <c r="B991" s="5" t="str">
        <f>IFERROR(INDEX('بيانات الحركات'!B:B,MATCH(990,'بيانات الحركات'!$G:$G,0)),"")</f>
        <v/>
      </c>
      <c r="C991" s="3" t="str">
        <f>IFERROR(INDEX('بيانات الحركات'!C:C,MATCH(990,'بيانات الحركات'!$G:$G,0)),"")</f>
        <v/>
      </c>
      <c r="D991" s="3" t="str">
        <f>IFERROR(INDEX('بيانات الحركات'!D:D,MATCH(990,'بيانات الحركات'!$G:$G,0)),"")</f>
        <v/>
      </c>
      <c r="E991" s="21" t="str">
        <f>IF($B991="إنتاج طبخة","",IFERROR(INDEX('بيانات الحركات'!E:E,MATCH(990,'بيانات الحركات'!$G:$G,0)),""))</f>
        <v/>
      </c>
      <c r="F991" s="3" t="str">
        <f>IFERROR(INDEX('بيانات الحركات'!F:F,MATCH(990,'بيانات الحركات'!$G:$G,0)),"")</f>
        <v/>
      </c>
    </row>
    <row r="992" spans="1:6" ht="21.95" customHeight="1">
      <c r="A992" s="8" t="str">
        <f>IFERROR(INDEX('بيانات الحركات'!A:A,MATCH(991,'بيانات الحركات'!$G:$G,0)),"")</f>
        <v/>
      </c>
      <c r="B992" s="5" t="str">
        <f>IFERROR(INDEX('بيانات الحركات'!B:B,MATCH(991,'بيانات الحركات'!$G:$G,0)),"")</f>
        <v/>
      </c>
      <c r="C992" s="3" t="str">
        <f>IFERROR(INDEX('بيانات الحركات'!C:C,MATCH(991,'بيانات الحركات'!$G:$G,0)),"")</f>
        <v/>
      </c>
      <c r="D992" s="3" t="str">
        <f>IFERROR(INDEX('بيانات الحركات'!D:D,MATCH(991,'بيانات الحركات'!$G:$G,0)),"")</f>
        <v/>
      </c>
      <c r="E992" s="21" t="str">
        <f>IF($B992="إنتاج طبخة","",IFERROR(INDEX('بيانات الحركات'!E:E,MATCH(991,'بيانات الحركات'!$G:$G,0)),""))</f>
        <v/>
      </c>
      <c r="F992" s="3" t="str">
        <f>IFERROR(INDEX('بيانات الحركات'!F:F,MATCH(991,'بيانات الحركات'!$G:$G,0)),"")</f>
        <v/>
      </c>
    </row>
    <row r="993" spans="1:6" ht="21.95" customHeight="1">
      <c r="A993" s="8" t="str">
        <f>IFERROR(INDEX('بيانات الحركات'!A:A,MATCH(992,'بيانات الحركات'!$G:$G,0)),"")</f>
        <v/>
      </c>
      <c r="B993" s="5" t="str">
        <f>IFERROR(INDEX('بيانات الحركات'!B:B,MATCH(992,'بيانات الحركات'!$G:$G,0)),"")</f>
        <v/>
      </c>
      <c r="C993" s="3" t="str">
        <f>IFERROR(INDEX('بيانات الحركات'!C:C,MATCH(992,'بيانات الحركات'!$G:$G,0)),"")</f>
        <v/>
      </c>
      <c r="D993" s="3" t="str">
        <f>IFERROR(INDEX('بيانات الحركات'!D:D,MATCH(992,'بيانات الحركات'!$G:$G,0)),"")</f>
        <v/>
      </c>
      <c r="E993" s="21" t="str">
        <f>IF($B993="إنتاج طبخة","",IFERROR(INDEX('بيانات الحركات'!E:E,MATCH(992,'بيانات الحركات'!$G:$G,0)),""))</f>
        <v/>
      </c>
      <c r="F993" s="3" t="str">
        <f>IFERROR(INDEX('بيانات الحركات'!F:F,MATCH(992,'بيانات الحركات'!$G:$G,0)),"")</f>
        <v/>
      </c>
    </row>
    <row r="994" spans="1:6" ht="21.95" customHeight="1">
      <c r="A994" s="8" t="str">
        <f>IFERROR(INDEX('بيانات الحركات'!A:A,MATCH(993,'بيانات الحركات'!$G:$G,0)),"")</f>
        <v/>
      </c>
      <c r="B994" s="5" t="str">
        <f>IFERROR(INDEX('بيانات الحركات'!B:B,MATCH(993,'بيانات الحركات'!$G:$G,0)),"")</f>
        <v/>
      </c>
      <c r="C994" s="3" t="str">
        <f>IFERROR(INDEX('بيانات الحركات'!C:C,MATCH(993,'بيانات الحركات'!$G:$G,0)),"")</f>
        <v/>
      </c>
      <c r="D994" s="3" t="str">
        <f>IFERROR(INDEX('بيانات الحركات'!D:D,MATCH(993,'بيانات الحركات'!$G:$G,0)),"")</f>
        <v/>
      </c>
      <c r="E994" s="21" t="str">
        <f>IF($B994="إنتاج طبخة","",IFERROR(INDEX('بيانات الحركات'!E:E,MATCH(993,'بيانات الحركات'!$G:$G,0)),""))</f>
        <v/>
      </c>
      <c r="F994" s="3" t="str">
        <f>IFERROR(INDEX('بيانات الحركات'!F:F,MATCH(993,'بيانات الحركات'!$G:$G,0)),"")</f>
        <v/>
      </c>
    </row>
    <row r="995" spans="1:6" ht="21.95" customHeight="1">
      <c r="A995" s="8" t="str">
        <f>IFERROR(INDEX('بيانات الحركات'!A:A,MATCH(994,'بيانات الحركات'!$G:$G,0)),"")</f>
        <v/>
      </c>
      <c r="B995" s="5" t="str">
        <f>IFERROR(INDEX('بيانات الحركات'!B:B,MATCH(994,'بيانات الحركات'!$G:$G,0)),"")</f>
        <v/>
      </c>
      <c r="C995" s="3" t="str">
        <f>IFERROR(INDEX('بيانات الحركات'!C:C,MATCH(994,'بيانات الحركات'!$G:$G,0)),"")</f>
        <v/>
      </c>
      <c r="D995" s="3" t="str">
        <f>IFERROR(INDEX('بيانات الحركات'!D:D,MATCH(994,'بيانات الحركات'!$G:$G,0)),"")</f>
        <v/>
      </c>
      <c r="E995" s="21" t="str">
        <f>IF($B995="إنتاج طبخة","",IFERROR(INDEX('بيانات الحركات'!E:E,MATCH(994,'بيانات الحركات'!$G:$G,0)),""))</f>
        <v/>
      </c>
      <c r="F995" s="3" t="str">
        <f>IFERROR(INDEX('بيانات الحركات'!F:F,MATCH(994,'بيانات الحركات'!$G:$G,0)),"")</f>
        <v/>
      </c>
    </row>
    <row r="996" spans="1:6" ht="21.95" customHeight="1">
      <c r="A996" s="8" t="str">
        <f>IFERROR(INDEX('بيانات الحركات'!A:A,MATCH(995,'بيانات الحركات'!$G:$G,0)),"")</f>
        <v/>
      </c>
      <c r="B996" s="5" t="str">
        <f>IFERROR(INDEX('بيانات الحركات'!B:B,MATCH(995,'بيانات الحركات'!$G:$G,0)),"")</f>
        <v/>
      </c>
      <c r="C996" s="3" t="str">
        <f>IFERROR(INDEX('بيانات الحركات'!C:C,MATCH(995,'بيانات الحركات'!$G:$G,0)),"")</f>
        <v/>
      </c>
      <c r="D996" s="3" t="str">
        <f>IFERROR(INDEX('بيانات الحركات'!D:D,MATCH(995,'بيانات الحركات'!$G:$G,0)),"")</f>
        <v/>
      </c>
      <c r="E996" s="21" t="str">
        <f>IF($B996="إنتاج طبخة","",IFERROR(INDEX('بيانات الحركات'!E:E,MATCH(995,'بيانات الحركات'!$G:$G,0)),""))</f>
        <v/>
      </c>
      <c r="F996" s="3" t="str">
        <f>IFERROR(INDEX('بيانات الحركات'!F:F,MATCH(995,'بيانات الحركات'!$G:$G,0)),"")</f>
        <v/>
      </c>
    </row>
    <row r="997" spans="1:6" ht="21.95" customHeight="1">
      <c r="A997" s="8" t="str">
        <f>IFERROR(INDEX('بيانات الحركات'!A:A,MATCH(996,'بيانات الحركات'!$G:$G,0)),"")</f>
        <v/>
      </c>
      <c r="B997" s="5" t="str">
        <f>IFERROR(INDEX('بيانات الحركات'!B:B,MATCH(996,'بيانات الحركات'!$G:$G,0)),"")</f>
        <v/>
      </c>
      <c r="C997" s="3" t="str">
        <f>IFERROR(INDEX('بيانات الحركات'!C:C,MATCH(996,'بيانات الحركات'!$G:$G,0)),"")</f>
        <v/>
      </c>
      <c r="D997" s="3" t="str">
        <f>IFERROR(INDEX('بيانات الحركات'!D:D,MATCH(996,'بيانات الحركات'!$G:$G,0)),"")</f>
        <v/>
      </c>
      <c r="E997" s="21" t="str">
        <f>IF($B997="إنتاج طبخة","",IFERROR(INDEX('بيانات الحركات'!E:E,MATCH(996,'بيانات الحركات'!$G:$G,0)),""))</f>
        <v/>
      </c>
      <c r="F997" s="3" t="str">
        <f>IFERROR(INDEX('بيانات الحركات'!F:F,MATCH(996,'بيانات الحركات'!$G:$G,0)),"")</f>
        <v/>
      </c>
    </row>
    <row r="998" spans="1:6" ht="21.95" customHeight="1">
      <c r="A998" s="8" t="str">
        <f>IFERROR(INDEX('بيانات الحركات'!A:A,MATCH(997,'بيانات الحركات'!$G:$G,0)),"")</f>
        <v/>
      </c>
      <c r="B998" s="5" t="str">
        <f>IFERROR(INDEX('بيانات الحركات'!B:B,MATCH(997,'بيانات الحركات'!$G:$G,0)),"")</f>
        <v/>
      </c>
      <c r="C998" s="3" t="str">
        <f>IFERROR(INDEX('بيانات الحركات'!C:C,MATCH(997,'بيانات الحركات'!$G:$G,0)),"")</f>
        <v/>
      </c>
      <c r="D998" s="3" t="str">
        <f>IFERROR(INDEX('بيانات الحركات'!D:D,MATCH(997,'بيانات الحركات'!$G:$G,0)),"")</f>
        <v/>
      </c>
      <c r="E998" s="21" t="str">
        <f>IF($B998="إنتاج طبخة","",IFERROR(INDEX('بيانات الحركات'!E:E,MATCH(997,'بيانات الحركات'!$G:$G,0)),""))</f>
        <v/>
      </c>
      <c r="F998" s="3" t="str">
        <f>IFERROR(INDEX('بيانات الحركات'!F:F,MATCH(997,'بيانات الحركات'!$G:$G,0)),"")</f>
        <v/>
      </c>
    </row>
    <row r="999" spans="1:6" ht="21.95" customHeight="1">
      <c r="A999" s="8" t="str">
        <f>IFERROR(INDEX('بيانات الحركات'!A:A,MATCH(998,'بيانات الحركات'!$G:$G,0)),"")</f>
        <v/>
      </c>
      <c r="B999" s="5" t="str">
        <f>IFERROR(INDEX('بيانات الحركات'!B:B,MATCH(998,'بيانات الحركات'!$G:$G,0)),"")</f>
        <v/>
      </c>
      <c r="C999" s="3" t="str">
        <f>IFERROR(INDEX('بيانات الحركات'!C:C,MATCH(998,'بيانات الحركات'!$G:$G,0)),"")</f>
        <v/>
      </c>
      <c r="D999" s="3" t="str">
        <f>IFERROR(INDEX('بيانات الحركات'!D:D,MATCH(998,'بيانات الحركات'!$G:$G,0)),"")</f>
        <v/>
      </c>
      <c r="E999" s="21" t="str">
        <f>IF($B999="إنتاج طبخة","",IFERROR(INDEX('بيانات الحركات'!E:E,MATCH(998,'بيانات الحركات'!$G:$G,0)),""))</f>
        <v/>
      </c>
      <c r="F999" s="3" t="str">
        <f>IFERROR(INDEX('بيانات الحركات'!F:F,MATCH(998,'بيانات الحركات'!$G:$G,0)),"")</f>
        <v/>
      </c>
    </row>
    <row r="1000" spans="1:6" ht="21.95" customHeight="1">
      <c r="A1000" s="8" t="str">
        <f>IFERROR(INDEX('بيانات الحركات'!A:A,MATCH(999,'بيانات الحركات'!$G:$G,0)),"")</f>
        <v/>
      </c>
      <c r="B1000" s="5" t="str">
        <f>IFERROR(INDEX('بيانات الحركات'!B:B,MATCH(999,'بيانات الحركات'!$G:$G,0)),"")</f>
        <v/>
      </c>
      <c r="C1000" s="3" t="str">
        <f>IFERROR(INDEX('بيانات الحركات'!C:C,MATCH(999,'بيانات الحركات'!$G:$G,0)),"")</f>
        <v/>
      </c>
      <c r="D1000" s="3" t="str">
        <f>IFERROR(INDEX('بيانات الحركات'!D:D,MATCH(999,'بيانات الحركات'!$G:$G,0)),"")</f>
        <v/>
      </c>
      <c r="E1000" s="21" t="str">
        <f>IF($B1000="إنتاج طبخة","",IFERROR(INDEX('بيانات الحركات'!E:E,MATCH(999,'بيانات الحركات'!$G:$G,0)),""))</f>
        <v/>
      </c>
      <c r="F1000" s="3" t="str">
        <f>IFERROR(INDEX('بيانات الحركات'!F:F,MATCH(999,'بيانات الحركات'!$G:$G,0)),"")</f>
        <v/>
      </c>
    </row>
    <row r="1001" spans="1:6" ht="21.95" customHeight="1">
      <c r="A1001" s="8" t="str">
        <f>IFERROR(INDEX('بيانات الحركات'!A:A,MATCH(1000,'بيانات الحركات'!$G:$G,0)),"")</f>
        <v/>
      </c>
      <c r="B1001" s="5" t="str">
        <f>IFERROR(INDEX('بيانات الحركات'!B:B,MATCH(1000,'بيانات الحركات'!$G:$G,0)),"")</f>
        <v/>
      </c>
      <c r="C1001" s="3" t="str">
        <f>IFERROR(INDEX('بيانات الحركات'!C:C,MATCH(1000,'بيانات الحركات'!$G:$G,0)),"")</f>
        <v/>
      </c>
      <c r="D1001" s="3" t="str">
        <f>IFERROR(INDEX('بيانات الحركات'!D:D,MATCH(1000,'بيانات الحركات'!$G:$G,0)),"")</f>
        <v/>
      </c>
      <c r="E1001" s="21" t="str">
        <f>IF($B1001="إنتاج طبخة","",IFERROR(INDEX('بيانات الحركات'!E:E,MATCH(1000,'بيانات الحركات'!$G:$G,0)),""))</f>
        <v/>
      </c>
      <c r="F1001" s="3" t="str">
        <f>IFERROR(INDEX('بيانات الحركات'!F:F,MATCH(1000,'بيانات الحركات'!$G:$G,0)),"")</f>
        <v/>
      </c>
    </row>
    <row r="1002" spans="1:6" ht="21.95" customHeight="1">
      <c r="A1002" s="8" t="str">
        <f>IFERROR(INDEX('بيانات الحركات'!A:A,MATCH(1001,'بيانات الحركات'!$G:$G,0)),"")</f>
        <v/>
      </c>
      <c r="B1002" s="5" t="str">
        <f>IFERROR(INDEX('بيانات الحركات'!B:B,MATCH(1001,'بيانات الحركات'!$G:$G,0)),"")</f>
        <v/>
      </c>
      <c r="C1002" s="3" t="str">
        <f>IFERROR(INDEX('بيانات الحركات'!C:C,MATCH(1001,'بيانات الحركات'!$G:$G,0)),"")</f>
        <v/>
      </c>
      <c r="D1002" s="3" t="str">
        <f>IFERROR(INDEX('بيانات الحركات'!D:D,MATCH(1001,'بيانات الحركات'!$G:$G,0)),"")</f>
        <v/>
      </c>
      <c r="E1002" s="21" t="str">
        <f>IF($B1002="إنتاج طبخة","",IFERROR(INDEX('بيانات الحركات'!E:E,MATCH(1001,'بيانات الحركات'!$G:$G,0)),""))</f>
        <v/>
      </c>
      <c r="F1002" s="3" t="str">
        <f>IFERROR(INDEX('بيانات الحركات'!F:F,MATCH(1001,'بيانات الحركات'!$G:$G,0)),"")</f>
        <v/>
      </c>
    </row>
    <row r="1003" spans="1:6" ht="21.95" customHeight="1">
      <c r="A1003" s="8" t="str">
        <f>IFERROR(INDEX('بيانات الحركات'!A:A,MATCH(1002,'بيانات الحركات'!$G:$G,0)),"")</f>
        <v/>
      </c>
      <c r="B1003" s="5" t="str">
        <f>IFERROR(INDEX('بيانات الحركات'!B:B,MATCH(1002,'بيانات الحركات'!$G:$G,0)),"")</f>
        <v/>
      </c>
      <c r="C1003" s="3" t="str">
        <f>IFERROR(INDEX('بيانات الحركات'!C:C,MATCH(1002,'بيانات الحركات'!$G:$G,0)),"")</f>
        <v/>
      </c>
      <c r="D1003" s="3" t="str">
        <f>IFERROR(INDEX('بيانات الحركات'!D:D,MATCH(1002,'بيانات الحركات'!$G:$G,0)),"")</f>
        <v/>
      </c>
      <c r="E1003" s="21" t="str">
        <f>IF($B1003="إنتاج طبخة","",IFERROR(INDEX('بيانات الحركات'!E:E,MATCH(1002,'بيانات الحركات'!$G:$G,0)),""))</f>
        <v/>
      </c>
      <c r="F1003" s="3" t="str">
        <f>IFERROR(INDEX('بيانات الحركات'!F:F,MATCH(1002,'بيانات الحركات'!$G:$G,0)),"")</f>
        <v/>
      </c>
    </row>
    <row r="1004" spans="1:6" ht="21.95" customHeight="1">
      <c r="A1004" s="8" t="str">
        <f>IFERROR(INDEX('بيانات الحركات'!A:A,MATCH(1003,'بيانات الحركات'!$G:$G,0)),"")</f>
        <v/>
      </c>
      <c r="B1004" s="5" t="str">
        <f>IFERROR(INDEX('بيانات الحركات'!B:B,MATCH(1003,'بيانات الحركات'!$G:$G,0)),"")</f>
        <v/>
      </c>
      <c r="C1004" s="3" t="str">
        <f>IFERROR(INDEX('بيانات الحركات'!C:C,MATCH(1003,'بيانات الحركات'!$G:$G,0)),"")</f>
        <v/>
      </c>
      <c r="D1004" s="3" t="str">
        <f>IFERROR(INDEX('بيانات الحركات'!D:D,MATCH(1003,'بيانات الحركات'!$G:$G,0)),"")</f>
        <v/>
      </c>
      <c r="E1004" s="21" t="str">
        <f>IF($B1004="إنتاج طبخة","",IFERROR(INDEX('بيانات الحركات'!E:E,MATCH(1003,'بيانات الحركات'!$G:$G,0)),""))</f>
        <v/>
      </c>
      <c r="F1004" s="3" t="str">
        <f>IFERROR(INDEX('بيانات الحركات'!F:F,MATCH(1003,'بيانات الحركات'!$G:$G,0)),"")</f>
        <v/>
      </c>
    </row>
    <row r="1005" spans="1:6" ht="21.95" customHeight="1">
      <c r="A1005" s="8" t="str">
        <f>IFERROR(INDEX('بيانات الحركات'!A:A,MATCH(1004,'بيانات الحركات'!$G:$G,0)),"")</f>
        <v/>
      </c>
      <c r="B1005" s="5" t="str">
        <f>IFERROR(INDEX('بيانات الحركات'!B:B,MATCH(1004,'بيانات الحركات'!$G:$G,0)),"")</f>
        <v/>
      </c>
      <c r="C1005" s="3" t="str">
        <f>IFERROR(INDEX('بيانات الحركات'!C:C,MATCH(1004,'بيانات الحركات'!$G:$G,0)),"")</f>
        <v/>
      </c>
      <c r="D1005" s="3" t="str">
        <f>IFERROR(INDEX('بيانات الحركات'!D:D,MATCH(1004,'بيانات الحركات'!$G:$G,0)),"")</f>
        <v/>
      </c>
      <c r="E1005" s="21" t="str">
        <f>IF($B1005="إنتاج طبخة","",IFERROR(INDEX('بيانات الحركات'!E:E,MATCH(1004,'بيانات الحركات'!$G:$G,0)),""))</f>
        <v/>
      </c>
      <c r="F1005" s="3" t="str">
        <f>IFERROR(INDEX('بيانات الحركات'!F:F,MATCH(1004,'بيانات الحركات'!$G:$G,0)),"")</f>
        <v/>
      </c>
    </row>
    <row r="1006" spans="1:6" ht="21.95" customHeight="1">
      <c r="A1006" s="8" t="str">
        <f>IFERROR(INDEX('بيانات الحركات'!A:A,MATCH(1005,'بيانات الحركات'!$G:$G,0)),"")</f>
        <v/>
      </c>
      <c r="B1006" s="5" t="str">
        <f>IFERROR(INDEX('بيانات الحركات'!B:B,MATCH(1005,'بيانات الحركات'!$G:$G,0)),"")</f>
        <v/>
      </c>
      <c r="C1006" s="3" t="str">
        <f>IFERROR(INDEX('بيانات الحركات'!C:C,MATCH(1005,'بيانات الحركات'!$G:$G,0)),"")</f>
        <v/>
      </c>
      <c r="D1006" s="3" t="str">
        <f>IFERROR(INDEX('بيانات الحركات'!D:D,MATCH(1005,'بيانات الحركات'!$G:$G,0)),"")</f>
        <v/>
      </c>
      <c r="E1006" s="21" t="str">
        <f>IF($B1006="إنتاج طبخة","",IFERROR(INDEX('بيانات الحركات'!E:E,MATCH(1005,'بيانات الحركات'!$G:$G,0)),""))</f>
        <v/>
      </c>
      <c r="F1006" s="3" t="str">
        <f>IFERROR(INDEX('بيانات الحركات'!F:F,MATCH(1005,'بيانات الحركات'!$G:$G,0)),"")</f>
        <v/>
      </c>
    </row>
    <row r="1007" spans="1:6" ht="21.95" customHeight="1">
      <c r="A1007" s="8" t="str">
        <f>IFERROR(INDEX('بيانات الحركات'!A:A,MATCH(1006,'بيانات الحركات'!$G:$G,0)),"")</f>
        <v/>
      </c>
      <c r="B1007" s="5" t="str">
        <f>IFERROR(INDEX('بيانات الحركات'!B:B,MATCH(1006,'بيانات الحركات'!$G:$G,0)),"")</f>
        <v/>
      </c>
      <c r="C1007" s="3" t="str">
        <f>IFERROR(INDEX('بيانات الحركات'!C:C,MATCH(1006,'بيانات الحركات'!$G:$G,0)),"")</f>
        <v/>
      </c>
      <c r="D1007" s="3" t="str">
        <f>IFERROR(INDEX('بيانات الحركات'!D:D,MATCH(1006,'بيانات الحركات'!$G:$G,0)),"")</f>
        <v/>
      </c>
      <c r="E1007" s="21" t="str">
        <f>IF($B1007="إنتاج طبخة","",IFERROR(INDEX('بيانات الحركات'!E:E,MATCH(1006,'بيانات الحركات'!$G:$G,0)),""))</f>
        <v/>
      </c>
      <c r="F1007" s="3" t="str">
        <f>IFERROR(INDEX('بيانات الحركات'!F:F,MATCH(1006,'بيانات الحركات'!$G:$G,0)),"")</f>
        <v/>
      </c>
    </row>
    <row r="1008" spans="1:6" ht="21.95" customHeight="1">
      <c r="A1008" s="8" t="str">
        <f>IFERROR(INDEX('بيانات الحركات'!A:A,MATCH(1007,'بيانات الحركات'!$G:$G,0)),"")</f>
        <v/>
      </c>
      <c r="B1008" s="5" t="str">
        <f>IFERROR(INDEX('بيانات الحركات'!B:B,MATCH(1007,'بيانات الحركات'!$G:$G,0)),"")</f>
        <v/>
      </c>
      <c r="C1008" s="3" t="str">
        <f>IFERROR(INDEX('بيانات الحركات'!C:C,MATCH(1007,'بيانات الحركات'!$G:$G,0)),"")</f>
        <v/>
      </c>
      <c r="D1008" s="3" t="str">
        <f>IFERROR(INDEX('بيانات الحركات'!D:D,MATCH(1007,'بيانات الحركات'!$G:$G,0)),"")</f>
        <v/>
      </c>
      <c r="E1008" s="21" t="str">
        <f>IF($B1008="إنتاج طبخة","",IFERROR(INDEX('بيانات الحركات'!E:E,MATCH(1007,'بيانات الحركات'!$G:$G,0)),""))</f>
        <v/>
      </c>
      <c r="F1008" s="3" t="str">
        <f>IFERROR(INDEX('بيانات الحركات'!F:F,MATCH(1007,'بيانات الحركات'!$G:$G,0)),"")</f>
        <v/>
      </c>
    </row>
    <row r="1009" spans="1:6" ht="21.95" customHeight="1">
      <c r="A1009" s="8" t="str">
        <f>IFERROR(INDEX('بيانات الحركات'!A:A,MATCH(1008,'بيانات الحركات'!$G:$G,0)),"")</f>
        <v/>
      </c>
      <c r="B1009" s="5" t="str">
        <f>IFERROR(INDEX('بيانات الحركات'!B:B,MATCH(1008,'بيانات الحركات'!$G:$G,0)),"")</f>
        <v/>
      </c>
      <c r="C1009" s="3" t="str">
        <f>IFERROR(INDEX('بيانات الحركات'!C:C,MATCH(1008,'بيانات الحركات'!$G:$G,0)),"")</f>
        <v/>
      </c>
      <c r="D1009" s="3" t="str">
        <f>IFERROR(INDEX('بيانات الحركات'!D:D,MATCH(1008,'بيانات الحركات'!$G:$G,0)),"")</f>
        <v/>
      </c>
      <c r="E1009" s="21" t="str">
        <f>IF($B1009="إنتاج طبخة","",IFERROR(INDEX('بيانات الحركات'!E:E,MATCH(1008,'بيانات الحركات'!$G:$G,0)),""))</f>
        <v/>
      </c>
      <c r="F1009" s="3" t="str">
        <f>IFERROR(INDEX('بيانات الحركات'!F:F,MATCH(1008,'بيانات الحركات'!$G:$G,0)),"")</f>
        <v/>
      </c>
    </row>
    <row r="1010" spans="1:6" ht="21.95" customHeight="1">
      <c r="A1010" s="8" t="str">
        <f>IFERROR(INDEX('بيانات الحركات'!A:A,MATCH(1009,'بيانات الحركات'!$G:$G,0)),"")</f>
        <v/>
      </c>
      <c r="B1010" s="5" t="str">
        <f>IFERROR(INDEX('بيانات الحركات'!B:B,MATCH(1009,'بيانات الحركات'!$G:$G,0)),"")</f>
        <v/>
      </c>
      <c r="C1010" s="3" t="str">
        <f>IFERROR(INDEX('بيانات الحركات'!C:C,MATCH(1009,'بيانات الحركات'!$G:$G,0)),"")</f>
        <v/>
      </c>
      <c r="D1010" s="3" t="str">
        <f>IFERROR(INDEX('بيانات الحركات'!D:D,MATCH(1009,'بيانات الحركات'!$G:$G,0)),"")</f>
        <v/>
      </c>
      <c r="E1010" s="21" t="str">
        <f>IF($B1010="إنتاج طبخة","",IFERROR(INDEX('بيانات الحركات'!E:E,MATCH(1009,'بيانات الحركات'!$G:$G,0)),""))</f>
        <v/>
      </c>
      <c r="F1010" s="3" t="str">
        <f>IFERROR(INDEX('بيانات الحركات'!F:F,MATCH(1009,'بيانات الحركات'!$G:$G,0)),"")</f>
        <v/>
      </c>
    </row>
    <row r="1011" spans="1:6" ht="21.95" customHeight="1">
      <c r="A1011" s="8" t="str">
        <f>IFERROR(INDEX('بيانات الحركات'!A:A,MATCH(1010,'بيانات الحركات'!$G:$G,0)),"")</f>
        <v/>
      </c>
      <c r="B1011" s="5" t="str">
        <f>IFERROR(INDEX('بيانات الحركات'!B:B,MATCH(1010,'بيانات الحركات'!$G:$G,0)),"")</f>
        <v/>
      </c>
      <c r="C1011" s="3" t="str">
        <f>IFERROR(INDEX('بيانات الحركات'!C:C,MATCH(1010,'بيانات الحركات'!$G:$G,0)),"")</f>
        <v/>
      </c>
      <c r="D1011" s="3" t="str">
        <f>IFERROR(INDEX('بيانات الحركات'!D:D,MATCH(1010,'بيانات الحركات'!$G:$G,0)),"")</f>
        <v/>
      </c>
      <c r="E1011" s="21" t="str">
        <f>IF($B1011="إنتاج طبخة","",IFERROR(INDEX('بيانات الحركات'!E:E,MATCH(1010,'بيانات الحركات'!$G:$G,0)),""))</f>
        <v/>
      </c>
      <c r="F1011" s="3" t="str">
        <f>IFERROR(INDEX('بيانات الحركات'!F:F,MATCH(1010,'بيانات الحركات'!$G:$G,0)),"")</f>
        <v/>
      </c>
    </row>
    <row r="1012" spans="1:6" ht="21.95" customHeight="1">
      <c r="A1012" s="8" t="str">
        <f>IFERROR(INDEX('بيانات الحركات'!A:A,MATCH(1011,'بيانات الحركات'!$G:$G,0)),"")</f>
        <v/>
      </c>
      <c r="B1012" s="5" t="str">
        <f>IFERROR(INDEX('بيانات الحركات'!B:B,MATCH(1011,'بيانات الحركات'!$G:$G,0)),"")</f>
        <v/>
      </c>
      <c r="C1012" s="3" t="str">
        <f>IFERROR(INDEX('بيانات الحركات'!C:C,MATCH(1011,'بيانات الحركات'!$G:$G,0)),"")</f>
        <v/>
      </c>
      <c r="D1012" s="3" t="str">
        <f>IFERROR(INDEX('بيانات الحركات'!D:D,MATCH(1011,'بيانات الحركات'!$G:$G,0)),"")</f>
        <v/>
      </c>
      <c r="E1012" s="21" t="str">
        <f>IF($B1012="إنتاج طبخة","",IFERROR(INDEX('بيانات الحركات'!E:E,MATCH(1011,'بيانات الحركات'!$G:$G,0)),""))</f>
        <v/>
      </c>
      <c r="F1012" s="3" t="str">
        <f>IFERROR(INDEX('بيانات الحركات'!F:F,MATCH(1011,'بيانات الحركات'!$G:$G,0)),"")</f>
        <v/>
      </c>
    </row>
    <row r="1013" spans="1:6" ht="21.95" customHeight="1">
      <c r="A1013" s="8" t="str">
        <f>IFERROR(INDEX('بيانات الحركات'!A:A,MATCH(1012,'بيانات الحركات'!$G:$G,0)),"")</f>
        <v/>
      </c>
      <c r="B1013" s="5" t="str">
        <f>IFERROR(INDEX('بيانات الحركات'!B:B,MATCH(1012,'بيانات الحركات'!$G:$G,0)),"")</f>
        <v/>
      </c>
      <c r="C1013" s="3" t="str">
        <f>IFERROR(INDEX('بيانات الحركات'!C:C,MATCH(1012,'بيانات الحركات'!$G:$G,0)),"")</f>
        <v/>
      </c>
      <c r="D1013" s="3" t="str">
        <f>IFERROR(INDEX('بيانات الحركات'!D:D,MATCH(1012,'بيانات الحركات'!$G:$G,0)),"")</f>
        <v/>
      </c>
      <c r="E1013" s="21" t="str">
        <f>IF($B1013="إنتاج طبخة","",IFERROR(INDEX('بيانات الحركات'!E:E,MATCH(1012,'بيانات الحركات'!$G:$G,0)),""))</f>
        <v/>
      </c>
      <c r="F1013" s="3" t="str">
        <f>IFERROR(INDEX('بيانات الحركات'!F:F,MATCH(1012,'بيانات الحركات'!$G:$G,0)),"")</f>
        <v/>
      </c>
    </row>
    <row r="1014" spans="1:6" ht="21.95" customHeight="1">
      <c r="A1014" s="8" t="str">
        <f>IFERROR(INDEX('بيانات الحركات'!A:A,MATCH(1013,'بيانات الحركات'!$G:$G,0)),"")</f>
        <v/>
      </c>
      <c r="B1014" s="5" t="str">
        <f>IFERROR(INDEX('بيانات الحركات'!B:B,MATCH(1013,'بيانات الحركات'!$G:$G,0)),"")</f>
        <v/>
      </c>
      <c r="C1014" s="3" t="str">
        <f>IFERROR(INDEX('بيانات الحركات'!C:C,MATCH(1013,'بيانات الحركات'!$G:$G,0)),"")</f>
        <v/>
      </c>
      <c r="D1014" s="3" t="str">
        <f>IFERROR(INDEX('بيانات الحركات'!D:D,MATCH(1013,'بيانات الحركات'!$G:$G,0)),"")</f>
        <v/>
      </c>
      <c r="E1014" s="21" t="str">
        <f>IF($B1014="إنتاج طبخة","",IFERROR(INDEX('بيانات الحركات'!E:E,MATCH(1013,'بيانات الحركات'!$G:$G,0)),""))</f>
        <v/>
      </c>
      <c r="F1014" s="3" t="str">
        <f>IFERROR(INDEX('بيانات الحركات'!F:F,MATCH(1013,'بيانات الحركات'!$G:$G,0)),"")</f>
        <v/>
      </c>
    </row>
    <row r="1015" spans="1:6" ht="21.95" customHeight="1">
      <c r="A1015" s="8" t="str">
        <f>IFERROR(INDEX('بيانات الحركات'!A:A,MATCH(1014,'بيانات الحركات'!$G:$G,0)),"")</f>
        <v/>
      </c>
      <c r="B1015" s="5" t="str">
        <f>IFERROR(INDEX('بيانات الحركات'!B:B,MATCH(1014,'بيانات الحركات'!$G:$G,0)),"")</f>
        <v/>
      </c>
      <c r="C1015" s="3" t="str">
        <f>IFERROR(INDEX('بيانات الحركات'!C:C,MATCH(1014,'بيانات الحركات'!$G:$G,0)),"")</f>
        <v/>
      </c>
      <c r="D1015" s="3" t="str">
        <f>IFERROR(INDEX('بيانات الحركات'!D:D,MATCH(1014,'بيانات الحركات'!$G:$G,0)),"")</f>
        <v/>
      </c>
      <c r="E1015" s="21" t="str">
        <f>IF($B1015="إنتاج طبخة","",IFERROR(INDEX('بيانات الحركات'!E:E,MATCH(1014,'بيانات الحركات'!$G:$G,0)),""))</f>
        <v/>
      </c>
      <c r="F1015" s="3" t="str">
        <f>IFERROR(INDEX('بيانات الحركات'!F:F,MATCH(1014,'بيانات الحركات'!$G:$G,0)),"")</f>
        <v/>
      </c>
    </row>
    <row r="1016" spans="1:6" ht="21.95" customHeight="1">
      <c r="A1016" s="8" t="str">
        <f>IFERROR(INDEX('بيانات الحركات'!A:A,MATCH(1015,'بيانات الحركات'!$G:$G,0)),"")</f>
        <v/>
      </c>
      <c r="B1016" s="5" t="str">
        <f>IFERROR(INDEX('بيانات الحركات'!B:B,MATCH(1015,'بيانات الحركات'!$G:$G,0)),"")</f>
        <v/>
      </c>
      <c r="C1016" s="3" t="str">
        <f>IFERROR(INDEX('بيانات الحركات'!C:C,MATCH(1015,'بيانات الحركات'!$G:$G,0)),"")</f>
        <v/>
      </c>
      <c r="D1016" s="3" t="str">
        <f>IFERROR(INDEX('بيانات الحركات'!D:D,MATCH(1015,'بيانات الحركات'!$G:$G,0)),"")</f>
        <v/>
      </c>
      <c r="E1016" s="21" t="str">
        <f>IF($B1016="إنتاج طبخة","",IFERROR(INDEX('بيانات الحركات'!E:E,MATCH(1015,'بيانات الحركات'!$G:$G,0)),""))</f>
        <v/>
      </c>
      <c r="F1016" s="3" t="str">
        <f>IFERROR(INDEX('بيانات الحركات'!F:F,MATCH(1015,'بيانات الحركات'!$G:$G,0)),"")</f>
        <v/>
      </c>
    </row>
    <row r="1017" spans="1:6" ht="21.95" customHeight="1">
      <c r="A1017" s="8" t="str">
        <f>IFERROR(INDEX('بيانات الحركات'!A:A,MATCH(1016,'بيانات الحركات'!$G:$G,0)),"")</f>
        <v/>
      </c>
      <c r="B1017" s="5" t="str">
        <f>IFERROR(INDEX('بيانات الحركات'!B:B,MATCH(1016,'بيانات الحركات'!$G:$G,0)),"")</f>
        <v/>
      </c>
      <c r="C1017" s="3" t="str">
        <f>IFERROR(INDEX('بيانات الحركات'!C:C,MATCH(1016,'بيانات الحركات'!$G:$G,0)),"")</f>
        <v/>
      </c>
      <c r="D1017" s="3" t="str">
        <f>IFERROR(INDEX('بيانات الحركات'!D:D,MATCH(1016,'بيانات الحركات'!$G:$G,0)),"")</f>
        <v/>
      </c>
      <c r="E1017" s="21" t="str">
        <f>IF($B1017="إنتاج طبخة","",IFERROR(INDEX('بيانات الحركات'!E:E,MATCH(1016,'بيانات الحركات'!$G:$G,0)),""))</f>
        <v/>
      </c>
      <c r="F1017" s="3" t="str">
        <f>IFERROR(INDEX('بيانات الحركات'!F:F,MATCH(1016,'بيانات الحركات'!$G:$G,0)),"")</f>
        <v/>
      </c>
    </row>
    <row r="1018" spans="1:6" ht="21.95" customHeight="1">
      <c r="A1018" s="8" t="str">
        <f>IFERROR(INDEX('بيانات الحركات'!A:A,MATCH(1017,'بيانات الحركات'!$G:$G,0)),"")</f>
        <v/>
      </c>
      <c r="B1018" s="5" t="str">
        <f>IFERROR(INDEX('بيانات الحركات'!B:B,MATCH(1017,'بيانات الحركات'!$G:$G,0)),"")</f>
        <v/>
      </c>
      <c r="C1018" s="3" t="str">
        <f>IFERROR(INDEX('بيانات الحركات'!C:C,MATCH(1017,'بيانات الحركات'!$G:$G,0)),"")</f>
        <v/>
      </c>
      <c r="D1018" s="3" t="str">
        <f>IFERROR(INDEX('بيانات الحركات'!D:D,MATCH(1017,'بيانات الحركات'!$G:$G,0)),"")</f>
        <v/>
      </c>
      <c r="E1018" s="21" t="str">
        <f>IF($B1018="إنتاج طبخة","",IFERROR(INDEX('بيانات الحركات'!E:E,MATCH(1017,'بيانات الحركات'!$G:$G,0)),""))</f>
        <v/>
      </c>
      <c r="F1018" s="3" t="str">
        <f>IFERROR(INDEX('بيانات الحركات'!F:F,MATCH(1017,'بيانات الحركات'!$G:$G,0)),"")</f>
        <v/>
      </c>
    </row>
    <row r="1019" spans="1:6" ht="21.95" customHeight="1">
      <c r="A1019" s="8" t="str">
        <f>IFERROR(INDEX('بيانات الحركات'!A:A,MATCH(1018,'بيانات الحركات'!$G:$G,0)),"")</f>
        <v/>
      </c>
      <c r="B1019" s="5" t="str">
        <f>IFERROR(INDEX('بيانات الحركات'!B:B,MATCH(1018,'بيانات الحركات'!$G:$G,0)),"")</f>
        <v/>
      </c>
      <c r="C1019" s="3" t="str">
        <f>IFERROR(INDEX('بيانات الحركات'!C:C,MATCH(1018,'بيانات الحركات'!$G:$G,0)),"")</f>
        <v/>
      </c>
      <c r="D1019" s="3" t="str">
        <f>IFERROR(INDEX('بيانات الحركات'!D:D,MATCH(1018,'بيانات الحركات'!$G:$G,0)),"")</f>
        <v/>
      </c>
      <c r="E1019" s="21" t="str">
        <f>IF($B1019="إنتاج طبخة","",IFERROR(INDEX('بيانات الحركات'!E:E,MATCH(1018,'بيانات الحركات'!$G:$G,0)),""))</f>
        <v/>
      </c>
      <c r="F1019" s="3" t="str">
        <f>IFERROR(INDEX('بيانات الحركات'!F:F,MATCH(1018,'بيانات الحركات'!$G:$G,0)),"")</f>
        <v/>
      </c>
    </row>
    <row r="1020" spans="1:6" ht="21.95" customHeight="1">
      <c r="A1020" s="8" t="str">
        <f>IFERROR(INDEX('بيانات الحركات'!A:A,MATCH(1019,'بيانات الحركات'!$G:$G,0)),"")</f>
        <v/>
      </c>
      <c r="B1020" s="5" t="str">
        <f>IFERROR(INDEX('بيانات الحركات'!B:B,MATCH(1019,'بيانات الحركات'!$G:$G,0)),"")</f>
        <v/>
      </c>
      <c r="C1020" s="3" t="str">
        <f>IFERROR(INDEX('بيانات الحركات'!C:C,MATCH(1019,'بيانات الحركات'!$G:$G,0)),"")</f>
        <v/>
      </c>
      <c r="D1020" s="3" t="str">
        <f>IFERROR(INDEX('بيانات الحركات'!D:D,MATCH(1019,'بيانات الحركات'!$G:$G,0)),"")</f>
        <v/>
      </c>
      <c r="E1020" s="21" t="str">
        <f>IF($B1020="إنتاج طبخة","",IFERROR(INDEX('بيانات الحركات'!E:E,MATCH(1019,'بيانات الحركات'!$G:$G,0)),""))</f>
        <v/>
      </c>
      <c r="F1020" s="3" t="str">
        <f>IFERROR(INDEX('بيانات الحركات'!F:F,MATCH(1019,'بيانات الحركات'!$G:$G,0)),"")</f>
        <v/>
      </c>
    </row>
    <row r="1021" spans="1:6" ht="21.95" customHeight="1">
      <c r="A1021" s="8" t="str">
        <f>IFERROR(INDEX('بيانات الحركات'!A:A,MATCH(1020,'بيانات الحركات'!$G:$G,0)),"")</f>
        <v/>
      </c>
      <c r="B1021" s="5" t="str">
        <f>IFERROR(INDEX('بيانات الحركات'!B:B,MATCH(1020,'بيانات الحركات'!$G:$G,0)),"")</f>
        <v/>
      </c>
      <c r="C1021" s="3" t="str">
        <f>IFERROR(INDEX('بيانات الحركات'!C:C,MATCH(1020,'بيانات الحركات'!$G:$G,0)),"")</f>
        <v/>
      </c>
      <c r="D1021" s="3" t="str">
        <f>IFERROR(INDEX('بيانات الحركات'!D:D,MATCH(1020,'بيانات الحركات'!$G:$G,0)),"")</f>
        <v/>
      </c>
      <c r="E1021" s="21" t="str">
        <f>IF($B1021="إنتاج طبخة","",IFERROR(INDEX('بيانات الحركات'!E:E,MATCH(1020,'بيانات الحركات'!$G:$G,0)),""))</f>
        <v/>
      </c>
      <c r="F1021" s="3" t="str">
        <f>IFERROR(INDEX('بيانات الحركات'!F:F,MATCH(1020,'بيانات الحركات'!$G:$G,0)),"")</f>
        <v/>
      </c>
    </row>
    <row r="1022" spans="1:6" ht="21.95" customHeight="1">
      <c r="A1022" s="8" t="str">
        <f>IFERROR(INDEX('بيانات الحركات'!A:A,MATCH(1021,'بيانات الحركات'!$G:$G,0)),"")</f>
        <v/>
      </c>
      <c r="B1022" s="5" t="str">
        <f>IFERROR(INDEX('بيانات الحركات'!B:B,MATCH(1021,'بيانات الحركات'!$G:$G,0)),"")</f>
        <v/>
      </c>
      <c r="C1022" s="3" t="str">
        <f>IFERROR(INDEX('بيانات الحركات'!C:C,MATCH(1021,'بيانات الحركات'!$G:$G,0)),"")</f>
        <v/>
      </c>
      <c r="D1022" s="3" t="str">
        <f>IFERROR(INDEX('بيانات الحركات'!D:D,MATCH(1021,'بيانات الحركات'!$G:$G,0)),"")</f>
        <v/>
      </c>
      <c r="E1022" s="21" t="str">
        <f>IF($B1022="إنتاج طبخة","",IFERROR(INDEX('بيانات الحركات'!E:E,MATCH(1021,'بيانات الحركات'!$G:$G,0)),""))</f>
        <v/>
      </c>
      <c r="F1022" s="3" t="str">
        <f>IFERROR(INDEX('بيانات الحركات'!F:F,MATCH(1021,'بيانات الحركات'!$G:$G,0)),"")</f>
        <v/>
      </c>
    </row>
    <row r="1023" spans="1:6" ht="21.95" customHeight="1">
      <c r="A1023" s="8" t="str">
        <f>IFERROR(INDEX('بيانات الحركات'!A:A,MATCH(1022,'بيانات الحركات'!$G:$G,0)),"")</f>
        <v/>
      </c>
      <c r="B1023" s="5" t="str">
        <f>IFERROR(INDEX('بيانات الحركات'!B:B,MATCH(1022,'بيانات الحركات'!$G:$G,0)),"")</f>
        <v/>
      </c>
      <c r="C1023" s="3" t="str">
        <f>IFERROR(INDEX('بيانات الحركات'!C:C,MATCH(1022,'بيانات الحركات'!$G:$G,0)),"")</f>
        <v/>
      </c>
      <c r="D1023" s="3" t="str">
        <f>IFERROR(INDEX('بيانات الحركات'!D:D,MATCH(1022,'بيانات الحركات'!$G:$G,0)),"")</f>
        <v/>
      </c>
      <c r="E1023" s="21" t="str">
        <f>IF($B1023="إنتاج طبخة","",IFERROR(INDEX('بيانات الحركات'!E:E,MATCH(1022,'بيانات الحركات'!$G:$G,0)),""))</f>
        <v/>
      </c>
      <c r="F1023" s="3" t="str">
        <f>IFERROR(INDEX('بيانات الحركات'!F:F,MATCH(1022,'بيانات الحركات'!$G:$G,0)),"")</f>
        <v/>
      </c>
    </row>
    <row r="1024" spans="1:6" ht="21.95" customHeight="1">
      <c r="A1024" s="8" t="str">
        <f>IFERROR(INDEX('بيانات الحركات'!A:A,MATCH(1023,'بيانات الحركات'!$G:$G,0)),"")</f>
        <v/>
      </c>
      <c r="B1024" s="5" t="str">
        <f>IFERROR(INDEX('بيانات الحركات'!B:B,MATCH(1023,'بيانات الحركات'!$G:$G,0)),"")</f>
        <v/>
      </c>
      <c r="C1024" s="3" t="str">
        <f>IFERROR(INDEX('بيانات الحركات'!C:C,MATCH(1023,'بيانات الحركات'!$G:$G,0)),"")</f>
        <v/>
      </c>
      <c r="D1024" s="3" t="str">
        <f>IFERROR(INDEX('بيانات الحركات'!D:D,MATCH(1023,'بيانات الحركات'!$G:$G,0)),"")</f>
        <v/>
      </c>
      <c r="E1024" s="21" t="str">
        <f>IF($B1024="إنتاج طبخة","",IFERROR(INDEX('بيانات الحركات'!E:E,MATCH(1023,'بيانات الحركات'!$G:$G,0)),""))</f>
        <v/>
      </c>
      <c r="F1024" s="3" t="str">
        <f>IFERROR(INDEX('بيانات الحركات'!F:F,MATCH(1023,'بيانات الحركات'!$G:$G,0)),"")</f>
        <v/>
      </c>
    </row>
    <row r="1025" spans="1:6" ht="21.95" customHeight="1">
      <c r="A1025" s="8" t="str">
        <f>IFERROR(INDEX('بيانات الحركات'!A:A,MATCH(1024,'بيانات الحركات'!$G:$G,0)),"")</f>
        <v/>
      </c>
      <c r="B1025" s="5" t="str">
        <f>IFERROR(INDEX('بيانات الحركات'!B:B,MATCH(1024,'بيانات الحركات'!$G:$G,0)),"")</f>
        <v/>
      </c>
      <c r="C1025" s="3" t="str">
        <f>IFERROR(INDEX('بيانات الحركات'!C:C,MATCH(1024,'بيانات الحركات'!$G:$G,0)),"")</f>
        <v/>
      </c>
      <c r="D1025" s="3" t="str">
        <f>IFERROR(INDEX('بيانات الحركات'!D:D,MATCH(1024,'بيانات الحركات'!$G:$G,0)),"")</f>
        <v/>
      </c>
      <c r="E1025" s="21" t="str">
        <f>IF($B1025="إنتاج طبخة","",IFERROR(INDEX('بيانات الحركات'!E:E,MATCH(1024,'بيانات الحركات'!$G:$G,0)),""))</f>
        <v/>
      </c>
      <c r="F1025" s="3" t="str">
        <f>IFERROR(INDEX('بيانات الحركات'!F:F,MATCH(1024,'بيانات الحركات'!$G:$G,0)),"")</f>
        <v/>
      </c>
    </row>
    <row r="1026" spans="1:6" ht="21.95" customHeight="1">
      <c r="A1026" s="8" t="str">
        <f>IFERROR(INDEX('بيانات الحركات'!A:A,MATCH(1025,'بيانات الحركات'!$G:$G,0)),"")</f>
        <v/>
      </c>
      <c r="B1026" s="5" t="str">
        <f>IFERROR(INDEX('بيانات الحركات'!B:B,MATCH(1025,'بيانات الحركات'!$G:$G,0)),"")</f>
        <v/>
      </c>
      <c r="C1026" s="3" t="str">
        <f>IFERROR(INDEX('بيانات الحركات'!C:C,MATCH(1025,'بيانات الحركات'!$G:$G,0)),"")</f>
        <v/>
      </c>
      <c r="D1026" s="3" t="str">
        <f>IFERROR(INDEX('بيانات الحركات'!D:D,MATCH(1025,'بيانات الحركات'!$G:$G,0)),"")</f>
        <v/>
      </c>
      <c r="E1026" s="21" t="str">
        <f>IF($B1026="إنتاج طبخة","",IFERROR(INDEX('بيانات الحركات'!E:E,MATCH(1025,'بيانات الحركات'!$G:$G,0)),""))</f>
        <v/>
      </c>
      <c r="F1026" s="3" t="str">
        <f>IFERROR(INDEX('بيانات الحركات'!F:F,MATCH(1025,'بيانات الحركات'!$G:$G,0)),"")</f>
        <v/>
      </c>
    </row>
    <row r="1027" spans="1:6" ht="21.95" customHeight="1">
      <c r="A1027" s="8" t="str">
        <f>IFERROR(INDEX('بيانات الحركات'!A:A,MATCH(1026,'بيانات الحركات'!$G:$G,0)),"")</f>
        <v/>
      </c>
      <c r="B1027" s="5" t="str">
        <f>IFERROR(INDEX('بيانات الحركات'!B:B,MATCH(1026,'بيانات الحركات'!$G:$G,0)),"")</f>
        <v/>
      </c>
      <c r="C1027" s="3" t="str">
        <f>IFERROR(INDEX('بيانات الحركات'!C:C,MATCH(1026,'بيانات الحركات'!$G:$G,0)),"")</f>
        <v/>
      </c>
      <c r="D1027" s="3" t="str">
        <f>IFERROR(INDEX('بيانات الحركات'!D:D,MATCH(1026,'بيانات الحركات'!$G:$G,0)),"")</f>
        <v/>
      </c>
      <c r="E1027" s="21" t="str">
        <f>IF($B1027="إنتاج طبخة","",IFERROR(INDEX('بيانات الحركات'!E:E,MATCH(1026,'بيانات الحركات'!$G:$G,0)),""))</f>
        <v/>
      </c>
      <c r="F1027" s="3" t="str">
        <f>IFERROR(INDEX('بيانات الحركات'!F:F,MATCH(1026,'بيانات الحركات'!$G:$G,0)),"")</f>
        <v/>
      </c>
    </row>
    <row r="1028" spans="1:6" ht="21.95" customHeight="1">
      <c r="A1028" s="8" t="str">
        <f>IFERROR(INDEX('بيانات الحركات'!A:A,MATCH(1027,'بيانات الحركات'!$G:$G,0)),"")</f>
        <v/>
      </c>
      <c r="B1028" s="5" t="str">
        <f>IFERROR(INDEX('بيانات الحركات'!B:B,MATCH(1027,'بيانات الحركات'!$G:$G,0)),"")</f>
        <v/>
      </c>
      <c r="C1028" s="3" t="str">
        <f>IFERROR(INDEX('بيانات الحركات'!C:C,MATCH(1027,'بيانات الحركات'!$G:$G,0)),"")</f>
        <v/>
      </c>
      <c r="D1028" s="3" t="str">
        <f>IFERROR(INDEX('بيانات الحركات'!D:D,MATCH(1027,'بيانات الحركات'!$G:$G,0)),"")</f>
        <v/>
      </c>
      <c r="E1028" s="21" t="str">
        <f>IF($B1028="إنتاج طبخة","",IFERROR(INDEX('بيانات الحركات'!E:E,MATCH(1027,'بيانات الحركات'!$G:$G,0)),""))</f>
        <v/>
      </c>
      <c r="F1028" s="3" t="str">
        <f>IFERROR(INDEX('بيانات الحركات'!F:F,MATCH(1027,'بيانات الحركات'!$G:$G,0)),"")</f>
        <v/>
      </c>
    </row>
    <row r="1029" spans="1:6" ht="21.95" customHeight="1">
      <c r="A1029" s="8" t="str">
        <f>IFERROR(INDEX('بيانات الحركات'!A:A,MATCH(1028,'بيانات الحركات'!$G:$G,0)),"")</f>
        <v/>
      </c>
      <c r="B1029" s="5" t="str">
        <f>IFERROR(INDEX('بيانات الحركات'!B:B,MATCH(1028,'بيانات الحركات'!$G:$G,0)),"")</f>
        <v/>
      </c>
      <c r="C1029" s="3" t="str">
        <f>IFERROR(INDEX('بيانات الحركات'!C:C,MATCH(1028,'بيانات الحركات'!$G:$G,0)),"")</f>
        <v/>
      </c>
      <c r="D1029" s="3" t="str">
        <f>IFERROR(INDEX('بيانات الحركات'!D:D,MATCH(1028,'بيانات الحركات'!$G:$G,0)),"")</f>
        <v/>
      </c>
      <c r="E1029" s="21" t="str">
        <f>IF($B1029="إنتاج طبخة","",IFERROR(INDEX('بيانات الحركات'!E:E,MATCH(1028,'بيانات الحركات'!$G:$G,0)),""))</f>
        <v/>
      </c>
      <c r="F1029" s="3" t="str">
        <f>IFERROR(INDEX('بيانات الحركات'!F:F,MATCH(1028,'بيانات الحركات'!$G:$G,0)),"")</f>
        <v/>
      </c>
    </row>
    <row r="1030" spans="1:6" ht="21.95" customHeight="1">
      <c r="A1030" s="8" t="str">
        <f>IFERROR(INDEX('بيانات الحركات'!A:A,MATCH(1029,'بيانات الحركات'!$G:$G,0)),"")</f>
        <v/>
      </c>
      <c r="B1030" s="5" t="str">
        <f>IFERROR(INDEX('بيانات الحركات'!B:B,MATCH(1029,'بيانات الحركات'!$G:$G,0)),"")</f>
        <v/>
      </c>
      <c r="C1030" s="3" t="str">
        <f>IFERROR(INDEX('بيانات الحركات'!C:C,MATCH(1029,'بيانات الحركات'!$G:$G,0)),"")</f>
        <v/>
      </c>
      <c r="D1030" s="3" t="str">
        <f>IFERROR(INDEX('بيانات الحركات'!D:D,MATCH(1029,'بيانات الحركات'!$G:$G,0)),"")</f>
        <v/>
      </c>
      <c r="E1030" s="21" t="str">
        <f>IF($B1030="إنتاج طبخة","",IFERROR(INDEX('بيانات الحركات'!E:E,MATCH(1029,'بيانات الحركات'!$G:$G,0)),""))</f>
        <v/>
      </c>
      <c r="F1030" s="3" t="str">
        <f>IFERROR(INDEX('بيانات الحركات'!F:F,MATCH(1029,'بيانات الحركات'!$G:$G,0)),"")</f>
        <v/>
      </c>
    </row>
    <row r="1031" spans="1:6" ht="21.95" customHeight="1">
      <c r="A1031" s="8" t="str">
        <f>IFERROR(INDEX('بيانات الحركات'!A:A,MATCH(1030,'بيانات الحركات'!$G:$G,0)),"")</f>
        <v/>
      </c>
      <c r="B1031" s="5" t="str">
        <f>IFERROR(INDEX('بيانات الحركات'!B:B,MATCH(1030,'بيانات الحركات'!$G:$G,0)),"")</f>
        <v/>
      </c>
      <c r="C1031" s="3" t="str">
        <f>IFERROR(INDEX('بيانات الحركات'!C:C,MATCH(1030,'بيانات الحركات'!$G:$G,0)),"")</f>
        <v/>
      </c>
      <c r="D1031" s="3" t="str">
        <f>IFERROR(INDEX('بيانات الحركات'!D:D,MATCH(1030,'بيانات الحركات'!$G:$G,0)),"")</f>
        <v/>
      </c>
      <c r="E1031" s="21" t="str">
        <f>IF($B1031="إنتاج طبخة","",IFERROR(INDEX('بيانات الحركات'!E:E,MATCH(1030,'بيانات الحركات'!$G:$G,0)),""))</f>
        <v/>
      </c>
      <c r="F1031" s="3" t="str">
        <f>IFERROR(INDEX('بيانات الحركات'!F:F,MATCH(1030,'بيانات الحركات'!$G:$G,0)),"")</f>
        <v/>
      </c>
    </row>
    <row r="1032" spans="1:6" ht="21.95" customHeight="1">
      <c r="A1032" s="8" t="str">
        <f>IFERROR(INDEX('بيانات الحركات'!A:A,MATCH(1031,'بيانات الحركات'!$G:$G,0)),"")</f>
        <v/>
      </c>
      <c r="B1032" s="5" t="str">
        <f>IFERROR(INDEX('بيانات الحركات'!B:B,MATCH(1031,'بيانات الحركات'!$G:$G,0)),"")</f>
        <v/>
      </c>
      <c r="C1032" s="3" t="str">
        <f>IFERROR(INDEX('بيانات الحركات'!C:C,MATCH(1031,'بيانات الحركات'!$G:$G,0)),"")</f>
        <v/>
      </c>
      <c r="D1032" s="3" t="str">
        <f>IFERROR(INDEX('بيانات الحركات'!D:D,MATCH(1031,'بيانات الحركات'!$G:$G,0)),"")</f>
        <v/>
      </c>
      <c r="E1032" s="21" t="str">
        <f>IF($B1032="إنتاج طبخة","",IFERROR(INDEX('بيانات الحركات'!E:E,MATCH(1031,'بيانات الحركات'!$G:$G,0)),""))</f>
        <v/>
      </c>
      <c r="F1032" s="3" t="str">
        <f>IFERROR(INDEX('بيانات الحركات'!F:F,MATCH(1031,'بيانات الحركات'!$G:$G,0)),"")</f>
        <v/>
      </c>
    </row>
    <row r="1033" spans="1:6" ht="21.95" customHeight="1">
      <c r="A1033" s="8" t="str">
        <f>IFERROR(INDEX('بيانات الحركات'!A:A,MATCH(1032,'بيانات الحركات'!$G:$G,0)),"")</f>
        <v/>
      </c>
      <c r="B1033" s="5" t="str">
        <f>IFERROR(INDEX('بيانات الحركات'!B:B,MATCH(1032,'بيانات الحركات'!$G:$G,0)),"")</f>
        <v/>
      </c>
      <c r="C1033" s="3" t="str">
        <f>IFERROR(INDEX('بيانات الحركات'!C:C,MATCH(1032,'بيانات الحركات'!$G:$G,0)),"")</f>
        <v/>
      </c>
      <c r="D1033" s="3" t="str">
        <f>IFERROR(INDEX('بيانات الحركات'!D:D,MATCH(1032,'بيانات الحركات'!$G:$G,0)),"")</f>
        <v/>
      </c>
      <c r="E1033" s="21" t="str">
        <f>IF($B1033="إنتاج طبخة","",IFERROR(INDEX('بيانات الحركات'!E:E,MATCH(1032,'بيانات الحركات'!$G:$G,0)),""))</f>
        <v/>
      </c>
      <c r="F1033" s="3" t="str">
        <f>IFERROR(INDEX('بيانات الحركات'!F:F,MATCH(1032,'بيانات الحركات'!$G:$G,0)),"")</f>
        <v/>
      </c>
    </row>
    <row r="1034" spans="1:6" ht="21.95" customHeight="1">
      <c r="A1034" s="8" t="str">
        <f>IFERROR(INDEX('بيانات الحركات'!A:A,MATCH(1033,'بيانات الحركات'!$G:$G,0)),"")</f>
        <v/>
      </c>
      <c r="B1034" s="5" t="str">
        <f>IFERROR(INDEX('بيانات الحركات'!B:B,MATCH(1033,'بيانات الحركات'!$G:$G,0)),"")</f>
        <v/>
      </c>
      <c r="C1034" s="3" t="str">
        <f>IFERROR(INDEX('بيانات الحركات'!C:C,MATCH(1033,'بيانات الحركات'!$G:$G,0)),"")</f>
        <v/>
      </c>
      <c r="D1034" s="3" t="str">
        <f>IFERROR(INDEX('بيانات الحركات'!D:D,MATCH(1033,'بيانات الحركات'!$G:$G,0)),"")</f>
        <v/>
      </c>
      <c r="E1034" s="21" t="str">
        <f>IF($B1034="إنتاج طبخة","",IFERROR(INDEX('بيانات الحركات'!E:E,MATCH(1033,'بيانات الحركات'!$G:$G,0)),""))</f>
        <v/>
      </c>
      <c r="F1034" s="3" t="str">
        <f>IFERROR(INDEX('بيانات الحركات'!F:F,MATCH(1033,'بيانات الحركات'!$G:$G,0)),"")</f>
        <v/>
      </c>
    </row>
    <row r="1035" spans="1:6" ht="21.95" customHeight="1">
      <c r="A1035" s="8" t="str">
        <f>IFERROR(INDEX('بيانات الحركات'!A:A,MATCH(1034,'بيانات الحركات'!$G:$G,0)),"")</f>
        <v/>
      </c>
      <c r="B1035" s="5" t="str">
        <f>IFERROR(INDEX('بيانات الحركات'!B:B,MATCH(1034,'بيانات الحركات'!$G:$G,0)),"")</f>
        <v/>
      </c>
      <c r="C1035" s="3" t="str">
        <f>IFERROR(INDEX('بيانات الحركات'!C:C,MATCH(1034,'بيانات الحركات'!$G:$G,0)),"")</f>
        <v/>
      </c>
      <c r="D1035" s="3" t="str">
        <f>IFERROR(INDEX('بيانات الحركات'!D:D,MATCH(1034,'بيانات الحركات'!$G:$G,0)),"")</f>
        <v/>
      </c>
      <c r="E1035" s="21" t="str">
        <f>IF($B1035="إنتاج طبخة","",IFERROR(INDEX('بيانات الحركات'!E:E,MATCH(1034,'بيانات الحركات'!$G:$G,0)),""))</f>
        <v/>
      </c>
      <c r="F1035" s="3" t="str">
        <f>IFERROR(INDEX('بيانات الحركات'!F:F,MATCH(1034,'بيانات الحركات'!$G:$G,0)),"")</f>
        <v/>
      </c>
    </row>
    <row r="1036" spans="1:6" ht="21.95" customHeight="1">
      <c r="A1036" s="8" t="str">
        <f>IFERROR(INDEX('بيانات الحركات'!A:A,MATCH(1035,'بيانات الحركات'!$G:$G,0)),"")</f>
        <v/>
      </c>
      <c r="B1036" s="5" t="str">
        <f>IFERROR(INDEX('بيانات الحركات'!B:B,MATCH(1035,'بيانات الحركات'!$G:$G,0)),"")</f>
        <v/>
      </c>
      <c r="C1036" s="3" t="str">
        <f>IFERROR(INDEX('بيانات الحركات'!C:C,MATCH(1035,'بيانات الحركات'!$G:$G,0)),"")</f>
        <v/>
      </c>
      <c r="D1036" s="3" t="str">
        <f>IFERROR(INDEX('بيانات الحركات'!D:D,MATCH(1035,'بيانات الحركات'!$G:$G,0)),"")</f>
        <v/>
      </c>
      <c r="E1036" s="21" t="str">
        <f>IF($B1036="إنتاج طبخة","",IFERROR(INDEX('بيانات الحركات'!E:E,MATCH(1035,'بيانات الحركات'!$G:$G,0)),""))</f>
        <v/>
      </c>
      <c r="F1036" s="3" t="str">
        <f>IFERROR(INDEX('بيانات الحركات'!F:F,MATCH(1035,'بيانات الحركات'!$G:$G,0)),"")</f>
        <v/>
      </c>
    </row>
    <row r="1037" spans="1:6" ht="21.95" customHeight="1">
      <c r="A1037" s="8" t="str">
        <f>IFERROR(INDEX('بيانات الحركات'!A:A,MATCH(1036,'بيانات الحركات'!$G:$G,0)),"")</f>
        <v/>
      </c>
      <c r="B1037" s="5" t="str">
        <f>IFERROR(INDEX('بيانات الحركات'!B:B,MATCH(1036,'بيانات الحركات'!$G:$G,0)),"")</f>
        <v/>
      </c>
      <c r="C1037" s="3" t="str">
        <f>IFERROR(INDEX('بيانات الحركات'!C:C,MATCH(1036,'بيانات الحركات'!$G:$G,0)),"")</f>
        <v/>
      </c>
      <c r="D1037" s="3" t="str">
        <f>IFERROR(INDEX('بيانات الحركات'!D:D,MATCH(1036,'بيانات الحركات'!$G:$G,0)),"")</f>
        <v/>
      </c>
      <c r="E1037" s="21" t="str">
        <f>IF($B1037="إنتاج طبخة","",IFERROR(INDEX('بيانات الحركات'!E:E,MATCH(1036,'بيانات الحركات'!$G:$G,0)),""))</f>
        <v/>
      </c>
      <c r="F1037" s="3" t="str">
        <f>IFERROR(INDEX('بيانات الحركات'!F:F,MATCH(1036,'بيانات الحركات'!$G:$G,0)),"")</f>
        <v/>
      </c>
    </row>
    <row r="1038" spans="1:6" ht="21.95" customHeight="1">
      <c r="A1038" s="8" t="str">
        <f>IFERROR(INDEX('بيانات الحركات'!A:A,MATCH(1037,'بيانات الحركات'!$G:$G,0)),"")</f>
        <v/>
      </c>
      <c r="B1038" s="5" t="str">
        <f>IFERROR(INDEX('بيانات الحركات'!B:B,MATCH(1037,'بيانات الحركات'!$G:$G,0)),"")</f>
        <v/>
      </c>
      <c r="C1038" s="3" t="str">
        <f>IFERROR(INDEX('بيانات الحركات'!C:C,MATCH(1037,'بيانات الحركات'!$G:$G,0)),"")</f>
        <v/>
      </c>
      <c r="D1038" s="3" t="str">
        <f>IFERROR(INDEX('بيانات الحركات'!D:D,MATCH(1037,'بيانات الحركات'!$G:$G,0)),"")</f>
        <v/>
      </c>
      <c r="E1038" s="21" t="str">
        <f>IF($B1038="إنتاج طبخة","",IFERROR(INDEX('بيانات الحركات'!E:E,MATCH(1037,'بيانات الحركات'!$G:$G,0)),""))</f>
        <v/>
      </c>
      <c r="F1038" s="3" t="str">
        <f>IFERROR(INDEX('بيانات الحركات'!F:F,MATCH(1037,'بيانات الحركات'!$G:$G,0)),"")</f>
        <v/>
      </c>
    </row>
    <row r="1039" spans="1:6" ht="21.95" customHeight="1">
      <c r="A1039" s="8" t="str">
        <f>IFERROR(INDEX('بيانات الحركات'!A:A,MATCH(1038,'بيانات الحركات'!$G:$G,0)),"")</f>
        <v/>
      </c>
      <c r="B1039" s="5" t="str">
        <f>IFERROR(INDEX('بيانات الحركات'!B:B,MATCH(1038,'بيانات الحركات'!$G:$G,0)),"")</f>
        <v/>
      </c>
      <c r="C1039" s="3" t="str">
        <f>IFERROR(INDEX('بيانات الحركات'!C:C,MATCH(1038,'بيانات الحركات'!$G:$G,0)),"")</f>
        <v/>
      </c>
      <c r="D1039" s="3" t="str">
        <f>IFERROR(INDEX('بيانات الحركات'!D:D,MATCH(1038,'بيانات الحركات'!$G:$G,0)),"")</f>
        <v/>
      </c>
      <c r="E1039" s="21" t="str">
        <f>IF($B1039="إنتاج طبخة","",IFERROR(INDEX('بيانات الحركات'!E:E,MATCH(1038,'بيانات الحركات'!$G:$G,0)),""))</f>
        <v/>
      </c>
      <c r="F1039" s="3" t="str">
        <f>IFERROR(INDEX('بيانات الحركات'!F:F,MATCH(1038,'بيانات الحركات'!$G:$G,0)),"")</f>
        <v/>
      </c>
    </row>
    <row r="1040" spans="1:6" ht="21.95" customHeight="1">
      <c r="A1040" s="8" t="str">
        <f>IFERROR(INDEX('بيانات الحركات'!A:A,MATCH(1039,'بيانات الحركات'!$G:$G,0)),"")</f>
        <v/>
      </c>
      <c r="B1040" s="5" t="str">
        <f>IFERROR(INDEX('بيانات الحركات'!B:B,MATCH(1039,'بيانات الحركات'!$G:$G,0)),"")</f>
        <v/>
      </c>
      <c r="C1040" s="3" t="str">
        <f>IFERROR(INDEX('بيانات الحركات'!C:C,MATCH(1039,'بيانات الحركات'!$G:$G,0)),"")</f>
        <v/>
      </c>
      <c r="D1040" s="3" t="str">
        <f>IFERROR(INDEX('بيانات الحركات'!D:D,MATCH(1039,'بيانات الحركات'!$G:$G,0)),"")</f>
        <v/>
      </c>
      <c r="E1040" s="21" t="str">
        <f>IF($B1040="إنتاج طبخة","",IFERROR(INDEX('بيانات الحركات'!E:E,MATCH(1039,'بيانات الحركات'!$G:$G,0)),""))</f>
        <v/>
      </c>
      <c r="F1040" s="3" t="str">
        <f>IFERROR(INDEX('بيانات الحركات'!F:F,MATCH(1039,'بيانات الحركات'!$G:$G,0)),"")</f>
        <v/>
      </c>
    </row>
    <row r="1041" spans="1:6" ht="21.95" customHeight="1">
      <c r="A1041" s="8" t="str">
        <f>IFERROR(INDEX('بيانات الحركات'!A:A,MATCH(1040,'بيانات الحركات'!$G:$G,0)),"")</f>
        <v/>
      </c>
      <c r="B1041" s="5" t="str">
        <f>IFERROR(INDEX('بيانات الحركات'!B:B,MATCH(1040,'بيانات الحركات'!$G:$G,0)),"")</f>
        <v/>
      </c>
      <c r="C1041" s="3" t="str">
        <f>IFERROR(INDEX('بيانات الحركات'!C:C,MATCH(1040,'بيانات الحركات'!$G:$G,0)),"")</f>
        <v/>
      </c>
      <c r="D1041" s="3" t="str">
        <f>IFERROR(INDEX('بيانات الحركات'!D:D,MATCH(1040,'بيانات الحركات'!$G:$G,0)),"")</f>
        <v/>
      </c>
      <c r="E1041" s="21" t="str">
        <f>IF($B1041="إنتاج طبخة","",IFERROR(INDEX('بيانات الحركات'!E:E,MATCH(1040,'بيانات الحركات'!$G:$G,0)),""))</f>
        <v/>
      </c>
      <c r="F1041" s="3" t="str">
        <f>IFERROR(INDEX('بيانات الحركات'!F:F,MATCH(1040,'بيانات الحركات'!$G:$G,0)),"")</f>
        <v/>
      </c>
    </row>
    <row r="1042" spans="1:6" ht="21.95" customHeight="1">
      <c r="A1042" s="8" t="str">
        <f>IFERROR(INDEX('بيانات الحركات'!A:A,MATCH(1041,'بيانات الحركات'!$G:$G,0)),"")</f>
        <v/>
      </c>
      <c r="B1042" s="5" t="str">
        <f>IFERROR(INDEX('بيانات الحركات'!B:B,MATCH(1041,'بيانات الحركات'!$G:$G,0)),"")</f>
        <v/>
      </c>
      <c r="C1042" s="3" t="str">
        <f>IFERROR(INDEX('بيانات الحركات'!C:C,MATCH(1041,'بيانات الحركات'!$G:$G,0)),"")</f>
        <v/>
      </c>
      <c r="D1042" s="3" t="str">
        <f>IFERROR(INDEX('بيانات الحركات'!D:D,MATCH(1041,'بيانات الحركات'!$G:$G,0)),"")</f>
        <v/>
      </c>
      <c r="E1042" s="21" t="str">
        <f>IF($B1042="إنتاج طبخة","",IFERROR(INDEX('بيانات الحركات'!E:E,MATCH(1041,'بيانات الحركات'!$G:$G,0)),""))</f>
        <v/>
      </c>
      <c r="F1042" s="3" t="str">
        <f>IFERROR(INDEX('بيانات الحركات'!F:F,MATCH(1041,'بيانات الحركات'!$G:$G,0)),"")</f>
        <v/>
      </c>
    </row>
    <row r="1043" spans="1:6" ht="21.95" customHeight="1">
      <c r="A1043" s="8" t="str">
        <f>IFERROR(INDEX('بيانات الحركات'!A:A,MATCH(1042,'بيانات الحركات'!$G:$G,0)),"")</f>
        <v/>
      </c>
      <c r="B1043" s="5" t="str">
        <f>IFERROR(INDEX('بيانات الحركات'!B:B,MATCH(1042,'بيانات الحركات'!$G:$G,0)),"")</f>
        <v/>
      </c>
      <c r="C1043" s="3" t="str">
        <f>IFERROR(INDEX('بيانات الحركات'!C:C,MATCH(1042,'بيانات الحركات'!$G:$G,0)),"")</f>
        <v/>
      </c>
      <c r="D1043" s="3" t="str">
        <f>IFERROR(INDEX('بيانات الحركات'!D:D,MATCH(1042,'بيانات الحركات'!$G:$G,0)),"")</f>
        <v/>
      </c>
      <c r="E1043" s="21" t="str">
        <f>IF($B1043="إنتاج طبخة","",IFERROR(INDEX('بيانات الحركات'!E:E,MATCH(1042,'بيانات الحركات'!$G:$G,0)),""))</f>
        <v/>
      </c>
      <c r="F1043" s="3" t="str">
        <f>IFERROR(INDEX('بيانات الحركات'!F:F,MATCH(1042,'بيانات الحركات'!$G:$G,0)),"")</f>
        <v/>
      </c>
    </row>
    <row r="1044" spans="1:6" ht="21.95" customHeight="1">
      <c r="A1044" s="8" t="str">
        <f>IFERROR(INDEX('بيانات الحركات'!A:A,MATCH(1043,'بيانات الحركات'!$G:$G,0)),"")</f>
        <v/>
      </c>
      <c r="B1044" s="5" t="str">
        <f>IFERROR(INDEX('بيانات الحركات'!B:B,MATCH(1043,'بيانات الحركات'!$G:$G,0)),"")</f>
        <v/>
      </c>
      <c r="C1044" s="3" t="str">
        <f>IFERROR(INDEX('بيانات الحركات'!C:C,MATCH(1043,'بيانات الحركات'!$G:$G,0)),"")</f>
        <v/>
      </c>
      <c r="D1044" s="3" t="str">
        <f>IFERROR(INDEX('بيانات الحركات'!D:D,MATCH(1043,'بيانات الحركات'!$G:$G,0)),"")</f>
        <v/>
      </c>
      <c r="E1044" s="21" t="str">
        <f>IF($B1044="إنتاج طبخة","",IFERROR(INDEX('بيانات الحركات'!E:E,MATCH(1043,'بيانات الحركات'!$G:$G,0)),""))</f>
        <v/>
      </c>
      <c r="F1044" s="3" t="str">
        <f>IFERROR(INDEX('بيانات الحركات'!F:F,MATCH(1043,'بيانات الحركات'!$G:$G,0)),"")</f>
        <v/>
      </c>
    </row>
    <row r="1045" spans="1:6" ht="21.95" customHeight="1">
      <c r="A1045" s="8" t="str">
        <f>IFERROR(INDEX('بيانات الحركات'!A:A,MATCH(1044,'بيانات الحركات'!$G:$G,0)),"")</f>
        <v/>
      </c>
      <c r="B1045" s="5" t="str">
        <f>IFERROR(INDEX('بيانات الحركات'!B:B,MATCH(1044,'بيانات الحركات'!$G:$G,0)),"")</f>
        <v/>
      </c>
      <c r="C1045" s="3" t="str">
        <f>IFERROR(INDEX('بيانات الحركات'!C:C,MATCH(1044,'بيانات الحركات'!$G:$G,0)),"")</f>
        <v/>
      </c>
      <c r="D1045" s="3" t="str">
        <f>IFERROR(INDEX('بيانات الحركات'!D:D,MATCH(1044,'بيانات الحركات'!$G:$G,0)),"")</f>
        <v/>
      </c>
      <c r="E1045" s="21" t="str">
        <f>IF($B1045="إنتاج طبخة","",IFERROR(INDEX('بيانات الحركات'!E:E,MATCH(1044,'بيانات الحركات'!$G:$G,0)),""))</f>
        <v/>
      </c>
      <c r="F1045" s="3" t="str">
        <f>IFERROR(INDEX('بيانات الحركات'!F:F,MATCH(1044,'بيانات الحركات'!$G:$G,0)),"")</f>
        <v/>
      </c>
    </row>
    <row r="1046" spans="1:6" ht="21.95" customHeight="1">
      <c r="A1046" s="8" t="str">
        <f>IFERROR(INDEX('بيانات الحركات'!A:A,MATCH(1045,'بيانات الحركات'!$G:$G,0)),"")</f>
        <v/>
      </c>
      <c r="B1046" s="5" t="str">
        <f>IFERROR(INDEX('بيانات الحركات'!B:B,MATCH(1045,'بيانات الحركات'!$G:$G,0)),"")</f>
        <v/>
      </c>
      <c r="C1046" s="3" t="str">
        <f>IFERROR(INDEX('بيانات الحركات'!C:C,MATCH(1045,'بيانات الحركات'!$G:$G,0)),"")</f>
        <v/>
      </c>
      <c r="D1046" s="3" t="str">
        <f>IFERROR(INDEX('بيانات الحركات'!D:D,MATCH(1045,'بيانات الحركات'!$G:$G,0)),"")</f>
        <v/>
      </c>
      <c r="E1046" s="21" t="str">
        <f>IF($B1046="إنتاج طبخة","",IFERROR(INDEX('بيانات الحركات'!E:E,MATCH(1045,'بيانات الحركات'!$G:$G,0)),""))</f>
        <v/>
      </c>
      <c r="F1046" s="3" t="str">
        <f>IFERROR(INDEX('بيانات الحركات'!F:F,MATCH(1045,'بيانات الحركات'!$G:$G,0)),"")</f>
        <v/>
      </c>
    </row>
    <row r="1047" spans="1:6" ht="21.95" customHeight="1">
      <c r="A1047" s="8" t="str">
        <f>IFERROR(INDEX('بيانات الحركات'!A:A,MATCH(1046,'بيانات الحركات'!$G:$G,0)),"")</f>
        <v/>
      </c>
      <c r="B1047" s="5" t="str">
        <f>IFERROR(INDEX('بيانات الحركات'!B:B,MATCH(1046,'بيانات الحركات'!$G:$G,0)),"")</f>
        <v/>
      </c>
      <c r="C1047" s="3" t="str">
        <f>IFERROR(INDEX('بيانات الحركات'!C:C,MATCH(1046,'بيانات الحركات'!$G:$G,0)),"")</f>
        <v/>
      </c>
      <c r="D1047" s="3" t="str">
        <f>IFERROR(INDEX('بيانات الحركات'!D:D,MATCH(1046,'بيانات الحركات'!$G:$G,0)),"")</f>
        <v/>
      </c>
      <c r="E1047" s="21" t="str">
        <f>IF($B1047="إنتاج طبخة","",IFERROR(INDEX('بيانات الحركات'!E:E,MATCH(1046,'بيانات الحركات'!$G:$G,0)),""))</f>
        <v/>
      </c>
      <c r="F1047" s="3" t="str">
        <f>IFERROR(INDEX('بيانات الحركات'!F:F,MATCH(1046,'بيانات الحركات'!$G:$G,0)),"")</f>
        <v/>
      </c>
    </row>
    <row r="1048" spans="1:6" ht="21.95" customHeight="1">
      <c r="A1048" s="8" t="str">
        <f>IFERROR(INDEX('بيانات الحركات'!A:A,MATCH(1047,'بيانات الحركات'!$G:$G,0)),"")</f>
        <v/>
      </c>
      <c r="B1048" s="5" t="str">
        <f>IFERROR(INDEX('بيانات الحركات'!B:B,MATCH(1047,'بيانات الحركات'!$G:$G,0)),"")</f>
        <v/>
      </c>
      <c r="C1048" s="3" t="str">
        <f>IFERROR(INDEX('بيانات الحركات'!C:C,MATCH(1047,'بيانات الحركات'!$G:$G,0)),"")</f>
        <v/>
      </c>
      <c r="D1048" s="3" t="str">
        <f>IFERROR(INDEX('بيانات الحركات'!D:D,MATCH(1047,'بيانات الحركات'!$G:$G,0)),"")</f>
        <v/>
      </c>
      <c r="E1048" s="21" t="str">
        <f>IF($B1048="إنتاج طبخة","",IFERROR(INDEX('بيانات الحركات'!E:E,MATCH(1047,'بيانات الحركات'!$G:$G,0)),""))</f>
        <v/>
      </c>
      <c r="F1048" s="3" t="str">
        <f>IFERROR(INDEX('بيانات الحركات'!F:F,MATCH(1047,'بيانات الحركات'!$G:$G,0)),"")</f>
        <v/>
      </c>
    </row>
    <row r="1049" spans="1:6" ht="21.95" customHeight="1">
      <c r="A1049" s="8" t="str">
        <f>IFERROR(INDEX('بيانات الحركات'!A:A,MATCH(1048,'بيانات الحركات'!$G:$G,0)),"")</f>
        <v/>
      </c>
      <c r="B1049" s="5" t="str">
        <f>IFERROR(INDEX('بيانات الحركات'!B:B,MATCH(1048,'بيانات الحركات'!$G:$G,0)),"")</f>
        <v/>
      </c>
      <c r="C1049" s="3" t="str">
        <f>IFERROR(INDEX('بيانات الحركات'!C:C,MATCH(1048,'بيانات الحركات'!$G:$G,0)),"")</f>
        <v/>
      </c>
      <c r="D1049" s="3" t="str">
        <f>IFERROR(INDEX('بيانات الحركات'!D:D,MATCH(1048,'بيانات الحركات'!$G:$G,0)),"")</f>
        <v/>
      </c>
      <c r="E1049" s="21" t="str">
        <f>IF($B1049="إنتاج طبخة","",IFERROR(INDEX('بيانات الحركات'!E:E,MATCH(1048,'بيانات الحركات'!$G:$G,0)),""))</f>
        <v/>
      </c>
      <c r="F1049" s="3" t="str">
        <f>IFERROR(INDEX('بيانات الحركات'!F:F,MATCH(1048,'بيانات الحركات'!$G:$G,0)),"")</f>
        <v/>
      </c>
    </row>
    <row r="1050" spans="1:6" ht="21.95" customHeight="1">
      <c r="A1050" s="8" t="str">
        <f>IFERROR(INDEX('بيانات الحركات'!A:A,MATCH(1049,'بيانات الحركات'!$G:$G,0)),"")</f>
        <v/>
      </c>
      <c r="B1050" s="5" t="str">
        <f>IFERROR(INDEX('بيانات الحركات'!B:B,MATCH(1049,'بيانات الحركات'!$G:$G,0)),"")</f>
        <v/>
      </c>
      <c r="C1050" s="3" t="str">
        <f>IFERROR(INDEX('بيانات الحركات'!C:C,MATCH(1049,'بيانات الحركات'!$G:$G,0)),"")</f>
        <v/>
      </c>
      <c r="D1050" s="3" t="str">
        <f>IFERROR(INDEX('بيانات الحركات'!D:D,MATCH(1049,'بيانات الحركات'!$G:$G,0)),"")</f>
        <v/>
      </c>
      <c r="E1050" s="21" t="str">
        <f>IF($B1050="إنتاج طبخة","",IFERROR(INDEX('بيانات الحركات'!E:E,MATCH(1049,'بيانات الحركات'!$G:$G,0)),""))</f>
        <v/>
      </c>
      <c r="F1050" s="3" t="str">
        <f>IFERROR(INDEX('بيانات الحركات'!F:F,MATCH(1049,'بيانات الحركات'!$G:$G,0)),"")</f>
        <v/>
      </c>
    </row>
    <row r="1051" spans="1:6" ht="21.95" customHeight="1">
      <c r="A1051" s="8" t="str">
        <f>IFERROR(INDEX('بيانات الحركات'!A:A,MATCH(1050,'بيانات الحركات'!$G:$G,0)),"")</f>
        <v/>
      </c>
      <c r="B1051" s="5" t="str">
        <f>IFERROR(INDEX('بيانات الحركات'!B:B,MATCH(1050,'بيانات الحركات'!$G:$G,0)),"")</f>
        <v/>
      </c>
      <c r="C1051" s="3" t="str">
        <f>IFERROR(INDEX('بيانات الحركات'!C:C,MATCH(1050,'بيانات الحركات'!$G:$G,0)),"")</f>
        <v/>
      </c>
      <c r="D1051" s="3" t="str">
        <f>IFERROR(INDEX('بيانات الحركات'!D:D,MATCH(1050,'بيانات الحركات'!$G:$G,0)),"")</f>
        <v/>
      </c>
      <c r="E1051" s="21" t="str">
        <f>IF($B1051="إنتاج طبخة","",IFERROR(INDEX('بيانات الحركات'!E:E,MATCH(1050,'بيانات الحركات'!$G:$G,0)),""))</f>
        <v/>
      </c>
      <c r="F1051" s="3" t="str">
        <f>IFERROR(INDEX('بيانات الحركات'!F:F,MATCH(1050,'بيانات الحركات'!$G:$G,0)),"")</f>
        <v/>
      </c>
    </row>
    <row r="1052" spans="1:6" ht="21.95" customHeight="1">
      <c r="A1052" s="8" t="str">
        <f>IFERROR(INDEX('بيانات الحركات'!A:A,MATCH(1051,'بيانات الحركات'!$G:$G,0)),"")</f>
        <v/>
      </c>
      <c r="B1052" s="5" t="str">
        <f>IFERROR(INDEX('بيانات الحركات'!B:B,MATCH(1051,'بيانات الحركات'!$G:$G,0)),"")</f>
        <v/>
      </c>
      <c r="C1052" s="3" t="str">
        <f>IFERROR(INDEX('بيانات الحركات'!C:C,MATCH(1051,'بيانات الحركات'!$G:$G,0)),"")</f>
        <v/>
      </c>
      <c r="D1052" s="3" t="str">
        <f>IFERROR(INDEX('بيانات الحركات'!D:D,MATCH(1051,'بيانات الحركات'!$G:$G,0)),"")</f>
        <v/>
      </c>
      <c r="E1052" s="21" t="str">
        <f>IF($B1052="إنتاج طبخة","",IFERROR(INDEX('بيانات الحركات'!E:E,MATCH(1051,'بيانات الحركات'!$G:$G,0)),""))</f>
        <v/>
      </c>
      <c r="F1052" s="3" t="str">
        <f>IFERROR(INDEX('بيانات الحركات'!F:F,MATCH(1051,'بيانات الحركات'!$G:$G,0)),"")</f>
        <v/>
      </c>
    </row>
    <row r="1053" spans="1:6" ht="21.95" customHeight="1">
      <c r="A1053" s="8" t="str">
        <f>IFERROR(INDEX('بيانات الحركات'!A:A,MATCH(1052,'بيانات الحركات'!$G:$G,0)),"")</f>
        <v/>
      </c>
      <c r="B1053" s="5" t="str">
        <f>IFERROR(INDEX('بيانات الحركات'!B:B,MATCH(1052,'بيانات الحركات'!$G:$G,0)),"")</f>
        <v/>
      </c>
      <c r="C1053" s="3" t="str">
        <f>IFERROR(INDEX('بيانات الحركات'!C:C,MATCH(1052,'بيانات الحركات'!$G:$G,0)),"")</f>
        <v/>
      </c>
      <c r="D1053" s="3" t="str">
        <f>IFERROR(INDEX('بيانات الحركات'!D:D,MATCH(1052,'بيانات الحركات'!$G:$G,0)),"")</f>
        <v/>
      </c>
      <c r="E1053" s="21" t="str">
        <f>IF($B1053="إنتاج طبخة","",IFERROR(INDEX('بيانات الحركات'!E:E,MATCH(1052,'بيانات الحركات'!$G:$G,0)),""))</f>
        <v/>
      </c>
      <c r="F1053" s="3" t="str">
        <f>IFERROR(INDEX('بيانات الحركات'!F:F,MATCH(1052,'بيانات الحركات'!$G:$G,0)),"")</f>
        <v/>
      </c>
    </row>
    <row r="1054" spans="1:6" ht="21.95" customHeight="1">
      <c r="A1054" s="8" t="str">
        <f>IFERROR(INDEX('بيانات الحركات'!A:A,MATCH(1053,'بيانات الحركات'!$G:$G,0)),"")</f>
        <v/>
      </c>
      <c r="B1054" s="5" t="str">
        <f>IFERROR(INDEX('بيانات الحركات'!B:B,MATCH(1053,'بيانات الحركات'!$G:$G,0)),"")</f>
        <v/>
      </c>
      <c r="C1054" s="3" t="str">
        <f>IFERROR(INDEX('بيانات الحركات'!C:C,MATCH(1053,'بيانات الحركات'!$G:$G,0)),"")</f>
        <v/>
      </c>
      <c r="D1054" s="3" t="str">
        <f>IFERROR(INDEX('بيانات الحركات'!D:D,MATCH(1053,'بيانات الحركات'!$G:$G,0)),"")</f>
        <v/>
      </c>
      <c r="E1054" s="21" t="str">
        <f>IF($B1054="إنتاج طبخة","",IFERROR(INDEX('بيانات الحركات'!E:E,MATCH(1053,'بيانات الحركات'!$G:$G,0)),""))</f>
        <v/>
      </c>
      <c r="F1054" s="3" t="str">
        <f>IFERROR(INDEX('بيانات الحركات'!F:F,MATCH(1053,'بيانات الحركات'!$G:$G,0)),"")</f>
        <v/>
      </c>
    </row>
    <row r="1055" spans="1:6" ht="21.95" customHeight="1">
      <c r="A1055" s="8" t="str">
        <f>IFERROR(INDEX('بيانات الحركات'!A:A,MATCH(1054,'بيانات الحركات'!$G:$G,0)),"")</f>
        <v/>
      </c>
      <c r="B1055" s="5" t="str">
        <f>IFERROR(INDEX('بيانات الحركات'!B:B,MATCH(1054,'بيانات الحركات'!$G:$G,0)),"")</f>
        <v/>
      </c>
      <c r="C1055" s="3" t="str">
        <f>IFERROR(INDEX('بيانات الحركات'!C:C,MATCH(1054,'بيانات الحركات'!$G:$G,0)),"")</f>
        <v/>
      </c>
      <c r="D1055" s="3" t="str">
        <f>IFERROR(INDEX('بيانات الحركات'!D:D,MATCH(1054,'بيانات الحركات'!$G:$G,0)),"")</f>
        <v/>
      </c>
      <c r="E1055" s="21" t="str">
        <f>IF($B1055="إنتاج طبخة","",IFERROR(INDEX('بيانات الحركات'!E:E,MATCH(1054,'بيانات الحركات'!$G:$G,0)),""))</f>
        <v/>
      </c>
      <c r="F1055" s="3" t="str">
        <f>IFERROR(INDEX('بيانات الحركات'!F:F,MATCH(1054,'بيانات الحركات'!$G:$G,0)),"")</f>
        <v/>
      </c>
    </row>
    <row r="1056" spans="1:6" ht="21.95" customHeight="1">
      <c r="A1056" s="8" t="str">
        <f>IFERROR(INDEX('بيانات الحركات'!A:A,MATCH(1055,'بيانات الحركات'!$G:$G,0)),"")</f>
        <v/>
      </c>
      <c r="B1056" s="5" t="str">
        <f>IFERROR(INDEX('بيانات الحركات'!B:B,MATCH(1055,'بيانات الحركات'!$G:$G,0)),"")</f>
        <v/>
      </c>
      <c r="C1056" s="3" t="str">
        <f>IFERROR(INDEX('بيانات الحركات'!C:C,MATCH(1055,'بيانات الحركات'!$G:$G,0)),"")</f>
        <v/>
      </c>
      <c r="D1056" s="3" t="str">
        <f>IFERROR(INDEX('بيانات الحركات'!D:D,MATCH(1055,'بيانات الحركات'!$G:$G,0)),"")</f>
        <v/>
      </c>
      <c r="E1056" s="21" t="str">
        <f>IF($B1056="إنتاج طبخة","",IFERROR(INDEX('بيانات الحركات'!E:E,MATCH(1055,'بيانات الحركات'!$G:$G,0)),""))</f>
        <v/>
      </c>
      <c r="F1056" s="3" t="str">
        <f>IFERROR(INDEX('بيانات الحركات'!F:F,MATCH(1055,'بيانات الحركات'!$G:$G,0)),"")</f>
        <v/>
      </c>
    </row>
    <row r="1057" spans="1:6" ht="21.95" customHeight="1">
      <c r="A1057" s="8" t="str">
        <f>IFERROR(INDEX('بيانات الحركات'!A:A,MATCH(1056,'بيانات الحركات'!$G:$G,0)),"")</f>
        <v/>
      </c>
      <c r="B1057" s="5" t="str">
        <f>IFERROR(INDEX('بيانات الحركات'!B:B,MATCH(1056,'بيانات الحركات'!$G:$G,0)),"")</f>
        <v/>
      </c>
      <c r="C1057" s="3" t="str">
        <f>IFERROR(INDEX('بيانات الحركات'!C:C,MATCH(1056,'بيانات الحركات'!$G:$G,0)),"")</f>
        <v/>
      </c>
      <c r="D1057" s="3" t="str">
        <f>IFERROR(INDEX('بيانات الحركات'!D:D,MATCH(1056,'بيانات الحركات'!$G:$G,0)),"")</f>
        <v/>
      </c>
      <c r="E1057" s="21" t="str">
        <f>IF($B1057="إنتاج طبخة","",IFERROR(INDEX('بيانات الحركات'!E:E,MATCH(1056,'بيانات الحركات'!$G:$G,0)),""))</f>
        <v/>
      </c>
      <c r="F1057" s="3" t="str">
        <f>IFERROR(INDEX('بيانات الحركات'!F:F,MATCH(1056,'بيانات الحركات'!$G:$G,0)),"")</f>
        <v/>
      </c>
    </row>
    <row r="1058" spans="1:6" ht="21.95" customHeight="1">
      <c r="A1058" s="8" t="str">
        <f>IFERROR(INDEX('بيانات الحركات'!A:A,MATCH(1057,'بيانات الحركات'!$G:$G,0)),"")</f>
        <v/>
      </c>
      <c r="B1058" s="5" t="str">
        <f>IFERROR(INDEX('بيانات الحركات'!B:B,MATCH(1057,'بيانات الحركات'!$G:$G,0)),"")</f>
        <v/>
      </c>
      <c r="C1058" s="3" t="str">
        <f>IFERROR(INDEX('بيانات الحركات'!C:C,MATCH(1057,'بيانات الحركات'!$G:$G,0)),"")</f>
        <v/>
      </c>
      <c r="D1058" s="3" t="str">
        <f>IFERROR(INDEX('بيانات الحركات'!D:D,MATCH(1057,'بيانات الحركات'!$G:$G,0)),"")</f>
        <v/>
      </c>
      <c r="E1058" s="21" t="str">
        <f>IF($B1058="إنتاج طبخة","",IFERROR(INDEX('بيانات الحركات'!E:E,MATCH(1057,'بيانات الحركات'!$G:$G,0)),""))</f>
        <v/>
      </c>
      <c r="F1058" s="3" t="str">
        <f>IFERROR(INDEX('بيانات الحركات'!F:F,MATCH(1057,'بيانات الحركات'!$G:$G,0)),"")</f>
        <v/>
      </c>
    </row>
    <row r="1059" spans="1:6" ht="21.95" customHeight="1">
      <c r="A1059" s="8" t="str">
        <f>IFERROR(INDEX('بيانات الحركات'!A:A,MATCH(1058,'بيانات الحركات'!$G:$G,0)),"")</f>
        <v/>
      </c>
      <c r="B1059" s="5" t="str">
        <f>IFERROR(INDEX('بيانات الحركات'!B:B,MATCH(1058,'بيانات الحركات'!$G:$G,0)),"")</f>
        <v/>
      </c>
      <c r="C1059" s="3" t="str">
        <f>IFERROR(INDEX('بيانات الحركات'!C:C,MATCH(1058,'بيانات الحركات'!$G:$G,0)),"")</f>
        <v/>
      </c>
      <c r="D1059" s="3" t="str">
        <f>IFERROR(INDEX('بيانات الحركات'!D:D,MATCH(1058,'بيانات الحركات'!$G:$G,0)),"")</f>
        <v/>
      </c>
      <c r="E1059" s="21" t="str">
        <f>IF($B1059="إنتاج طبخة","",IFERROR(INDEX('بيانات الحركات'!E:E,MATCH(1058,'بيانات الحركات'!$G:$G,0)),""))</f>
        <v/>
      </c>
      <c r="F1059" s="3" t="str">
        <f>IFERROR(INDEX('بيانات الحركات'!F:F,MATCH(1058,'بيانات الحركات'!$G:$G,0)),"")</f>
        <v/>
      </c>
    </row>
    <row r="1060" spans="1:6" ht="21.95" customHeight="1">
      <c r="A1060" s="8" t="str">
        <f>IFERROR(INDEX('بيانات الحركات'!A:A,MATCH(1059,'بيانات الحركات'!$G:$G,0)),"")</f>
        <v/>
      </c>
      <c r="B1060" s="5" t="str">
        <f>IFERROR(INDEX('بيانات الحركات'!B:B,MATCH(1059,'بيانات الحركات'!$G:$G,0)),"")</f>
        <v/>
      </c>
      <c r="C1060" s="3" t="str">
        <f>IFERROR(INDEX('بيانات الحركات'!C:C,MATCH(1059,'بيانات الحركات'!$G:$G,0)),"")</f>
        <v/>
      </c>
      <c r="D1060" s="3" t="str">
        <f>IFERROR(INDEX('بيانات الحركات'!D:D,MATCH(1059,'بيانات الحركات'!$G:$G,0)),"")</f>
        <v/>
      </c>
      <c r="E1060" s="21" t="str">
        <f>IF($B1060="إنتاج طبخة","",IFERROR(INDEX('بيانات الحركات'!E:E,MATCH(1059,'بيانات الحركات'!$G:$G,0)),""))</f>
        <v/>
      </c>
      <c r="F1060" s="3" t="str">
        <f>IFERROR(INDEX('بيانات الحركات'!F:F,MATCH(1059,'بيانات الحركات'!$G:$G,0)),"")</f>
        <v/>
      </c>
    </row>
    <row r="1061" spans="1:6" ht="21.95" customHeight="1">
      <c r="A1061" s="8" t="str">
        <f>IFERROR(INDEX('بيانات الحركات'!A:A,MATCH(1060,'بيانات الحركات'!$G:$G,0)),"")</f>
        <v/>
      </c>
      <c r="B1061" s="5" t="str">
        <f>IFERROR(INDEX('بيانات الحركات'!B:B,MATCH(1060,'بيانات الحركات'!$G:$G,0)),"")</f>
        <v/>
      </c>
      <c r="C1061" s="3" t="str">
        <f>IFERROR(INDEX('بيانات الحركات'!C:C,MATCH(1060,'بيانات الحركات'!$G:$G,0)),"")</f>
        <v/>
      </c>
      <c r="D1061" s="3" t="str">
        <f>IFERROR(INDEX('بيانات الحركات'!D:D,MATCH(1060,'بيانات الحركات'!$G:$G,0)),"")</f>
        <v/>
      </c>
      <c r="E1061" s="21" t="str">
        <f>IF($B1061="إنتاج طبخة","",IFERROR(INDEX('بيانات الحركات'!E:E,MATCH(1060,'بيانات الحركات'!$G:$G,0)),""))</f>
        <v/>
      </c>
      <c r="F1061" s="3" t="str">
        <f>IFERROR(INDEX('بيانات الحركات'!F:F,MATCH(1060,'بيانات الحركات'!$G:$G,0)),"")</f>
        <v/>
      </c>
    </row>
    <row r="1062" spans="1:6" ht="21.95" customHeight="1">
      <c r="A1062" s="8" t="str">
        <f>IFERROR(INDEX('بيانات الحركات'!A:A,MATCH(1061,'بيانات الحركات'!$G:$G,0)),"")</f>
        <v/>
      </c>
      <c r="B1062" s="5" t="str">
        <f>IFERROR(INDEX('بيانات الحركات'!B:B,MATCH(1061,'بيانات الحركات'!$G:$G,0)),"")</f>
        <v/>
      </c>
      <c r="C1062" s="3" t="str">
        <f>IFERROR(INDEX('بيانات الحركات'!C:C,MATCH(1061,'بيانات الحركات'!$G:$G,0)),"")</f>
        <v/>
      </c>
      <c r="D1062" s="3" t="str">
        <f>IFERROR(INDEX('بيانات الحركات'!D:D,MATCH(1061,'بيانات الحركات'!$G:$G,0)),"")</f>
        <v/>
      </c>
      <c r="E1062" s="21" t="str">
        <f>IF($B1062="إنتاج طبخة","",IFERROR(INDEX('بيانات الحركات'!E:E,MATCH(1061,'بيانات الحركات'!$G:$G,0)),""))</f>
        <v/>
      </c>
      <c r="F1062" s="3" t="str">
        <f>IFERROR(INDEX('بيانات الحركات'!F:F,MATCH(1061,'بيانات الحركات'!$G:$G,0)),"")</f>
        <v/>
      </c>
    </row>
    <row r="1063" spans="1:6" ht="21.95" customHeight="1">
      <c r="A1063" s="8" t="str">
        <f>IFERROR(INDEX('بيانات الحركات'!A:A,MATCH(1062,'بيانات الحركات'!$G:$G,0)),"")</f>
        <v/>
      </c>
      <c r="B1063" s="5" t="str">
        <f>IFERROR(INDEX('بيانات الحركات'!B:B,MATCH(1062,'بيانات الحركات'!$G:$G,0)),"")</f>
        <v/>
      </c>
      <c r="C1063" s="3" t="str">
        <f>IFERROR(INDEX('بيانات الحركات'!C:C,MATCH(1062,'بيانات الحركات'!$G:$G,0)),"")</f>
        <v/>
      </c>
      <c r="D1063" s="3" t="str">
        <f>IFERROR(INDEX('بيانات الحركات'!D:D,MATCH(1062,'بيانات الحركات'!$G:$G,0)),"")</f>
        <v/>
      </c>
      <c r="E1063" s="21" t="str">
        <f>IF($B1063="إنتاج طبخة","",IFERROR(INDEX('بيانات الحركات'!E:E,MATCH(1062,'بيانات الحركات'!$G:$G,0)),""))</f>
        <v/>
      </c>
      <c r="F1063" s="3" t="str">
        <f>IFERROR(INDEX('بيانات الحركات'!F:F,MATCH(1062,'بيانات الحركات'!$G:$G,0)),"")</f>
        <v/>
      </c>
    </row>
    <row r="1064" spans="1:6" ht="21.95" customHeight="1">
      <c r="A1064" s="8" t="str">
        <f>IFERROR(INDEX('بيانات الحركات'!A:A,MATCH(1063,'بيانات الحركات'!$G:$G,0)),"")</f>
        <v/>
      </c>
      <c r="B1064" s="5" t="str">
        <f>IFERROR(INDEX('بيانات الحركات'!B:B,MATCH(1063,'بيانات الحركات'!$G:$G,0)),"")</f>
        <v/>
      </c>
      <c r="C1064" s="3" t="str">
        <f>IFERROR(INDEX('بيانات الحركات'!C:C,MATCH(1063,'بيانات الحركات'!$G:$G,0)),"")</f>
        <v/>
      </c>
      <c r="D1064" s="3" t="str">
        <f>IFERROR(INDEX('بيانات الحركات'!D:D,MATCH(1063,'بيانات الحركات'!$G:$G,0)),"")</f>
        <v/>
      </c>
      <c r="E1064" s="21" t="str">
        <f>IF($B1064="إنتاج طبخة","",IFERROR(INDEX('بيانات الحركات'!E:E,MATCH(1063,'بيانات الحركات'!$G:$G,0)),""))</f>
        <v/>
      </c>
      <c r="F1064" s="3" t="str">
        <f>IFERROR(INDEX('بيانات الحركات'!F:F,MATCH(1063,'بيانات الحركات'!$G:$G,0)),"")</f>
        <v/>
      </c>
    </row>
    <row r="1065" spans="1:6" ht="21.95" customHeight="1">
      <c r="A1065" s="8" t="str">
        <f>IFERROR(INDEX('بيانات الحركات'!A:A,MATCH(1064,'بيانات الحركات'!$G:$G,0)),"")</f>
        <v/>
      </c>
      <c r="B1065" s="5" t="str">
        <f>IFERROR(INDEX('بيانات الحركات'!B:B,MATCH(1064,'بيانات الحركات'!$G:$G,0)),"")</f>
        <v/>
      </c>
      <c r="C1065" s="3" t="str">
        <f>IFERROR(INDEX('بيانات الحركات'!C:C,MATCH(1064,'بيانات الحركات'!$G:$G,0)),"")</f>
        <v/>
      </c>
      <c r="D1065" s="3" t="str">
        <f>IFERROR(INDEX('بيانات الحركات'!D:D,MATCH(1064,'بيانات الحركات'!$G:$G,0)),"")</f>
        <v/>
      </c>
      <c r="E1065" s="21" t="str">
        <f>IF($B1065="إنتاج طبخة","",IFERROR(INDEX('بيانات الحركات'!E:E,MATCH(1064,'بيانات الحركات'!$G:$G,0)),""))</f>
        <v/>
      </c>
      <c r="F1065" s="3" t="str">
        <f>IFERROR(INDEX('بيانات الحركات'!F:F,MATCH(1064,'بيانات الحركات'!$G:$G,0)),"")</f>
        <v/>
      </c>
    </row>
    <row r="1066" spans="1:6" ht="21.95" customHeight="1">
      <c r="A1066" s="8" t="str">
        <f>IFERROR(INDEX('بيانات الحركات'!A:A,MATCH(1065,'بيانات الحركات'!$G:$G,0)),"")</f>
        <v/>
      </c>
      <c r="B1066" s="5" t="str">
        <f>IFERROR(INDEX('بيانات الحركات'!B:B,MATCH(1065,'بيانات الحركات'!$G:$G,0)),"")</f>
        <v/>
      </c>
      <c r="C1066" s="3" t="str">
        <f>IFERROR(INDEX('بيانات الحركات'!C:C,MATCH(1065,'بيانات الحركات'!$G:$G,0)),"")</f>
        <v/>
      </c>
      <c r="D1066" s="3" t="str">
        <f>IFERROR(INDEX('بيانات الحركات'!D:D,MATCH(1065,'بيانات الحركات'!$G:$G,0)),"")</f>
        <v/>
      </c>
      <c r="E1066" s="21" t="str">
        <f>IF($B1066="إنتاج طبخة","",IFERROR(INDEX('بيانات الحركات'!E:E,MATCH(1065,'بيانات الحركات'!$G:$G,0)),""))</f>
        <v/>
      </c>
      <c r="F1066" s="3" t="str">
        <f>IFERROR(INDEX('بيانات الحركات'!F:F,MATCH(1065,'بيانات الحركات'!$G:$G,0)),"")</f>
        <v/>
      </c>
    </row>
    <row r="1067" spans="1:6" ht="21.95" customHeight="1">
      <c r="A1067" s="8" t="str">
        <f>IFERROR(INDEX('بيانات الحركات'!A:A,MATCH(1066,'بيانات الحركات'!$G:$G,0)),"")</f>
        <v/>
      </c>
      <c r="B1067" s="5" t="str">
        <f>IFERROR(INDEX('بيانات الحركات'!B:B,MATCH(1066,'بيانات الحركات'!$G:$G,0)),"")</f>
        <v/>
      </c>
      <c r="C1067" s="3" t="str">
        <f>IFERROR(INDEX('بيانات الحركات'!C:C,MATCH(1066,'بيانات الحركات'!$G:$G,0)),"")</f>
        <v/>
      </c>
      <c r="D1067" s="3" t="str">
        <f>IFERROR(INDEX('بيانات الحركات'!D:D,MATCH(1066,'بيانات الحركات'!$G:$G,0)),"")</f>
        <v/>
      </c>
      <c r="E1067" s="21" t="str">
        <f>IF($B1067="إنتاج طبخة","",IFERROR(INDEX('بيانات الحركات'!E:E,MATCH(1066,'بيانات الحركات'!$G:$G,0)),""))</f>
        <v/>
      </c>
      <c r="F1067" s="3" t="str">
        <f>IFERROR(INDEX('بيانات الحركات'!F:F,MATCH(1066,'بيانات الحركات'!$G:$G,0)),"")</f>
        <v/>
      </c>
    </row>
    <row r="1068" spans="1:6" ht="21.95" customHeight="1">
      <c r="A1068" s="8" t="str">
        <f>IFERROR(INDEX('بيانات الحركات'!A:A,MATCH(1067,'بيانات الحركات'!$G:$G,0)),"")</f>
        <v/>
      </c>
      <c r="B1068" s="5" t="str">
        <f>IFERROR(INDEX('بيانات الحركات'!B:B,MATCH(1067,'بيانات الحركات'!$G:$G,0)),"")</f>
        <v/>
      </c>
      <c r="C1068" s="3" t="str">
        <f>IFERROR(INDEX('بيانات الحركات'!C:C,MATCH(1067,'بيانات الحركات'!$G:$G,0)),"")</f>
        <v/>
      </c>
      <c r="D1068" s="3" t="str">
        <f>IFERROR(INDEX('بيانات الحركات'!D:D,MATCH(1067,'بيانات الحركات'!$G:$G,0)),"")</f>
        <v/>
      </c>
      <c r="E1068" s="21" t="str">
        <f>IF($B1068="إنتاج طبخة","",IFERROR(INDEX('بيانات الحركات'!E:E,MATCH(1067,'بيانات الحركات'!$G:$G,0)),""))</f>
        <v/>
      </c>
      <c r="F1068" s="3" t="str">
        <f>IFERROR(INDEX('بيانات الحركات'!F:F,MATCH(1067,'بيانات الحركات'!$G:$G,0)),"")</f>
        <v/>
      </c>
    </row>
    <row r="1069" spans="1:6" ht="21.95" customHeight="1">
      <c r="A1069" s="8" t="str">
        <f>IFERROR(INDEX('بيانات الحركات'!A:A,MATCH(1068,'بيانات الحركات'!$G:$G,0)),"")</f>
        <v/>
      </c>
      <c r="B1069" s="5" t="str">
        <f>IFERROR(INDEX('بيانات الحركات'!B:B,MATCH(1068,'بيانات الحركات'!$G:$G,0)),"")</f>
        <v/>
      </c>
      <c r="C1069" s="3" t="str">
        <f>IFERROR(INDEX('بيانات الحركات'!C:C,MATCH(1068,'بيانات الحركات'!$G:$G,0)),"")</f>
        <v/>
      </c>
      <c r="D1069" s="3" t="str">
        <f>IFERROR(INDEX('بيانات الحركات'!D:D,MATCH(1068,'بيانات الحركات'!$G:$G,0)),"")</f>
        <v/>
      </c>
      <c r="E1069" s="21" t="str">
        <f>IF($B1069="إنتاج طبخة","",IFERROR(INDEX('بيانات الحركات'!E:E,MATCH(1068,'بيانات الحركات'!$G:$G,0)),""))</f>
        <v/>
      </c>
      <c r="F1069" s="3" t="str">
        <f>IFERROR(INDEX('بيانات الحركات'!F:F,MATCH(1068,'بيانات الحركات'!$G:$G,0)),"")</f>
        <v/>
      </c>
    </row>
    <row r="1070" spans="1:6" ht="21.95" customHeight="1">
      <c r="A1070" s="8" t="str">
        <f>IFERROR(INDEX('بيانات الحركات'!A:A,MATCH(1069,'بيانات الحركات'!$G:$G,0)),"")</f>
        <v/>
      </c>
      <c r="B1070" s="5" t="str">
        <f>IFERROR(INDEX('بيانات الحركات'!B:B,MATCH(1069,'بيانات الحركات'!$G:$G,0)),"")</f>
        <v/>
      </c>
      <c r="C1070" s="3" t="str">
        <f>IFERROR(INDEX('بيانات الحركات'!C:C,MATCH(1069,'بيانات الحركات'!$G:$G,0)),"")</f>
        <v/>
      </c>
      <c r="D1070" s="3" t="str">
        <f>IFERROR(INDEX('بيانات الحركات'!D:D,MATCH(1069,'بيانات الحركات'!$G:$G,0)),"")</f>
        <v/>
      </c>
      <c r="E1070" s="21" t="str">
        <f>IF($B1070="إنتاج طبخة","",IFERROR(INDEX('بيانات الحركات'!E:E,MATCH(1069,'بيانات الحركات'!$G:$G,0)),""))</f>
        <v/>
      </c>
      <c r="F1070" s="3" t="str">
        <f>IFERROR(INDEX('بيانات الحركات'!F:F,MATCH(1069,'بيانات الحركات'!$G:$G,0)),"")</f>
        <v/>
      </c>
    </row>
    <row r="1071" spans="1:6" ht="21.95" customHeight="1">
      <c r="A1071" s="8" t="str">
        <f>IFERROR(INDEX('بيانات الحركات'!A:A,MATCH(1070,'بيانات الحركات'!$G:$G,0)),"")</f>
        <v/>
      </c>
      <c r="B1071" s="5" t="str">
        <f>IFERROR(INDEX('بيانات الحركات'!B:B,MATCH(1070,'بيانات الحركات'!$G:$G,0)),"")</f>
        <v/>
      </c>
      <c r="C1071" s="3" t="str">
        <f>IFERROR(INDEX('بيانات الحركات'!C:C,MATCH(1070,'بيانات الحركات'!$G:$G,0)),"")</f>
        <v/>
      </c>
      <c r="D1071" s="3" t="str">
        <f>IFERROR(INDEX('بيانات الحركات'!D:D,MATCH(1070,'بيانات الحركات'!$G:$G,0)),"")</f>
        <v/>
      </c>
      <c r="E1071" s="21" t="str">
        <f>IF($B1071="إنتاج طبخة","",IFERROR(INDEX('بيانات الحركات'!E:E,MATCH(1070,'بيانات الحركات'!$G:$G,0)),""))</f>
        <v/>
      </c>
      <c r="F1071" s="3" t="str">
        <f>IFERROR(INDEX('بيانات الحركات'!F:F,MATCH(1070,'بيانات الحركات'!$G:$G,0)),"")</f>
        <v/>
      </c>
    </row>
    <row r="1072" spans="1:6" ht="21.95" customHeight="1">
      <c r="A1072" s="8" t="str">
        <f>IFERROR(INDEX('بيانات الحركات'!A:A,MATCH(1071,'بيانات الحركات'!$G:$G,0)),"")</f>
        <v/>
      </c>
      <c r="B1072" s="5" t="str">
        <f>IFERROR(INDEX('بيانات الحركات'!B:B,MATCH(1071,'بيانات الحركات'!$G:$G,0)),"")</f>
        <v/>
      </c>
      <c r="C1072" s="3" t="str">
        <f>IFERROR(INDEX('بيانات الحركات'!C:C,MATCH(1071,'بيانات الحركات'!$G:$G,0)),"")</f>
        <v/>
      </c>
      <c r="D1072" s="3" t="str">
        <f>IFERROR(INDEX('بيانات الحركات'!D:D,MATCH(1071,'بيانات الحركات'!$G:$G,0)),"")</f>
        <v/>
      </c>
      <c r="E1072" s="21" t="str">
        <f>IF($B1072="إنتاج طبخة","",IFERROR(INDEX('بيانات الحركات'!E:E,MATCH(1071,'بيانات الحركات'!$G:$G,0)),""))</f>
        <v/>
      </c>
      <c r="F1072" s="3" t="str">
        <f>IFERROR(INDEX('بيانات الحركات'!F:F,MATCH(1071,'بيانات الحركات'!$G:$G,0)),"")</f>
        <v/>
      </c>
    </row>
    <row r="1073" spans="1:6" ht="21.95" customHeight="1">
      <c r="A1073" s="8" t="str">
        <f>IFERROR(INDEX('بيانات الحركات'!A:A,MATCH(1072,'بيانات الحركات'!$G:$G,0)),"")</f>
        <v/>
      </c>
      <c r="B1073" s="5" t="str">
        <f>IFERROR(INDEX('بيانات الحركات'!B:B,MATCH(1072,'بيانات الحركات'!$G:$G,0)),"")</f>
        <v/>
      </c>
      <c r="C1073" s="3" t="str">
        <f>IFERROR(INDEX('بيانات الحركات'!C:C,MATCH(1072,'بيانات الحركات'!$G:$G,0)),"")</f>
        <v/>
      </c>
      <c r="D1073" s="3" t="str">
        <f>IFERROR(INDEX('بيانات الحركات'!D:D,MATCH(1072,'بيانات الحركات'!$G:$G,0)),"")</f>
        <v/>
      </c>
      <c r="E1073" s="21" t="str">
        <f>IF($B1073="إنتاج طبخة","",IFERROR(INDEX('بيانات الحركات'!E:E,MATCH(1072,'بيانات الحركات'!$G:$G,0)),""))</f>
        <v/>
      </c>
      <c r="F1073" s="3" t="str">
        <f>IFERROR(INDEX('بيانات الحركات'!F:F,MATCH(1072,'بيانات الحركات'!$G:$G,0)),"")</f>
        <v/>
      </c>
    </row>
    <row r="1074" spans="1:6" ht="21.95" customHeight="1">
      <c r="A1074" s="8" t="str">
        <f>IFERROR(INDEX('بيانات الحركات'!A:A,MATCH(1073,'بيانات الحركات'!$G:$G,0)),"")</f>
        <v/>
      </c>
      <c r="B1074" s="5" t="str">
        <f>IFERROR(INDEX('بيانات الحركات'!B:B,MATCH(1073,'بيانات الحركات'!$G:$G,0)),"")</f>
        <v/>
      </c>
      <c r="C1074" s="3" t="str">
        <f>IFERROR(INDEX('بيانات الحركات'!C:C,MATCH(1073,'بيانات الحركات'!$G:$G,0)),"")</f>
        <v/>
      </c>
      <c r="D1074" s="3" t="str">
        <f>IFERROR(INDEX('بيانات الحركات'!D:D,MATCH(1073,'بيانات الحركات'!$G:$G,0)),"")</f>
        <v/>
      </c>
      <c r="E1074" s="21" t="str">
        <f>IF($B1074="إنتاج طبخة","",IFERROR(INDEX('بيانات الحركات'!E:E,MATCH(1073,'بيانات الحركات'!$G:$G,0)),""))</f>
        <v/>
      </c>
      <c r="F1074" s="3" t="str">
        <f>IFERROR(INDEX('بيانات الحركات'!F:F,MATCH(1073,'بيانات الحركات'!$G:$G,0)),"")</f>
        <v/>
      </c>
    </row>
    <row r="1075" spans="1:6" ht="21.95" customHeight="1">
      <c r="A1075" s="8" t="str">
        <f>IFERROR(INDEX('بيانات الحركات'!A:A,MATCH(1074,'بيانات الحركات'!$G:$G,0)),"")</f>
        <v/>
      </c>
      <c r="B1075" s="5" t="str">
        <f>IFERROR(INDEX('بيانات الحركات'!B:B,MATCH(1074,'بيانات الحركات'!$G:$G,0)),"")</f>
        <v/>
      </c>
      <c r="C1075" s="3" t="str">
        <f>IFERROR(INDEX('بيانات الحركات'!C:C,MATCH(1074,'بيانات الحركات'!$G:$G,0)),"")</f>
        <v/>
      </c>
      <c r="D1075" s="3" t="str">
        <f>IFERROR(INDEX('بيانات الحركات'!D:D,MATCH(1074,'بيانات الحركات'!$G:$G,0)),"")</f>
        <v/>
      </c>
      <c r="E1075" s="21" t="str">
        <f>IF($B1075="إنتاج طبخة","",IFERROR(INDEX('بيانات الحركات'!E:E,MATCH(1074,'بيانات الحركات'!$G:$G,0)),""))</f>
        <v/>
      </c>
      <c r="F1075" s="3" t="str">
        <f>IFERROR(INDEX('بيانات الحركات'!F:F,MATCH(1074,'بيانات الحركات'!$G:$G,0)),"")</f>
        <v/>
      </c>
    </row>
    <row r="1076" spans="1:6" ht="21.95" customHeight="1">
      <c r="A1076" s="8" t="str">
        <f>IFERROR(INDEX('بيانات الحركات'!A:A,MATCH(1075,'بيانات الحركات'!$G:$G,0)),"")</f>
        <v/>
      </c>
      <c r="B1076" s="5" t="str">
        <f>IFERROR(INDEX('بيانات الحركات'!B:B,MATCH(1075,'بيانات الحركات'!$G:$G,0)),"")</f>
        <v/>
      </c>
      <c r="C1076" s="3" t="str">
        <f>IFERROR(INDEX('بيانات الحركات'!C:C,MATCH(1075,'بيانات الحركات'!$G:$G,0)),"")</f>
        <v/>
      </c>
      <c r="D1076" s="3" t="str">
        <f>IFERROR(INDEX('بيانات الحركات'!D:D,MATCH(1075,'بيانات الحركات'!$G:$G,0)),"")</f>
        <v/>
      </c>
      <c r="E1076" s="21" t="str">
        <f>IF($B1076="إنتاج طبخة","",IFERROR(INDEX('بيانات الحركات'!E:E,MATCH(1075,'بيانات الحركات'!$G:$G,0)),""))</f>
        <v/>
      </c>
      <c r="F1076" s="3" t="str">
        <f>IFERROR(INDEX('بيانات الحركات'!F:F,MATCH(1075,'بيانات الحركات'!$G:$G,0)),"")</f>
        <v/>
      </c>
    </row>
    <row r="1077" spans="1:6" ht="21.95" customHeight="1">
      <c r="A1077" s="8" t="str">
        <f>IFERROR(INDEX('بيانات الحركات'!A:A,MATCH(1076,'بيانات الحركات'!$G:$G,0)),"")</f>
        <v/>
      </c>
      <c r="B1077" s="5" t="str">
        <f>IFERROR(INDEX('بيانات الحركات'!B:B,MATCH(1076,'بيانات الحركات'!$G:$G,0)),"")</f>
        <v/>
      </c>
      <c r="C1077" s="3" t="str">
        <f>IFERROR(INDEX('بيانات الحركات'!C:C,MATCH(1076,'بيانات الحركات'!$G:$G,0)),"")</f>
        <v/>
      </c>
      <c r="D1077" s="3" t="str">
        <f>IFERROR(INDEX('بيانات الحركات'!D:D,MATCH(1076,'بيانات الحركات'!$G:$G,0)),"")</f>
        <v/>
      </c>
      <c r="E1077" s="21" t="str">
        <f>IF($B1077="إنتاج طبخة","",IFERROR(INDEX('بيانات الحركات'!E:E,MATCH(1076,'بيانات الحركات'!$G:$G,0)),""))</f>
        <v/>
      </c>
      <c r="F1077" s="3" t="str">
        <f>IFERROR(INDEX('بيانات الحركات'!F:F,MATCH(1076,'بيانات الحركات'!$G:$G,0)),"")</f>
        <v/>
      </c>
    </row>
    <row r="1078" spans="1:6" ht="21.95" customHeight="1">
      <c r="A1078" s="8" t="str">
        <f>IFERROR(INDEX('بيانات الحركات'!A:A,MATCH(1077,'بيانات الحركات'!$G:$G,0)),"")</f>
        <v/>
      </c>
      <c r="B1078" s="5" t="str">
        <f>IFERROR(INDEX('بيانات الحركات'!B:B,MATCH(1077,'بيانات الحركات'!$G:$G,0)),"")</f>
        <v/>
      </c>
      <c r="C1078" s="3" t="str">
        <f>IFERROR(INDEX('بيانات الحركات'!C:C,MATCH(1077,'بيانات الحركات'!$G:$G,0)),"")</f>
        <v/>
      </c>
      <c r="D1078" s="3" t="str">
        <f>IFERROR(INDEX('بيانات الحركات'!D:D,MATCH(1077,'بيانات الحركات'!$G:$G,0)),"")</f>
        <v/>
      </c>
      <c r="E1078" s="21" t="str">
        <f>IF($B1078="إنتاج طبخة","",IFERROR(INDEX('بيانات الحركات'!E:E,MATCH(1077,'بيانات الحركات'!$G:$G,0)),""))</f>
        <v/>
      </c>
      <c r="F1078" s="3" t="str">
        <f>IFERROR(INDEX('بيانات الحركات'!F:F,MATCH(1077,'بيانات الحركات'!$G:$G,0)),"")</f>
        <v/>
      </c>
    </row>
    <row r="1079" spans="1:6" ht="21.95" customHeight="1">
      <c r="A1079" s="8" t="str">
        <f>IFERROR(INDEX('بيانات الحركات'!A:A,MATCH(1078,'بيانات الحركات'!$G:$G,0)),"")</f>
        <v/>
      </c>
      <c r="B1079" s="5" t="str">
        <f>IFERROR(INDEX('بيانات الحركات'!B:B,MATCH(1078,'بيانات الحركات'!$G:$G,0)),"")</f>
        <v/>
      </c>
      <c r="C1079" s="3" t="str">
        <f>IFERROR(INDEX('بيانات الحركات'!C:C,MATCH(1078,'بيانات الحركات'!$G:$G,0)),"")</f>
        <v/>
      </c>
      <c r="D1079" s="3" t="str">
        <f>IFERROR(INDEX('بيانات الحركات'!D:D,MATCH(1078,'بيانات الحركات'!$G:$G,0)),"")</f>
        <v/>
      </c>
      <c r="E1079" s="21" t="str">
        <f>IF($B1079="إنتاج طبخة","",IFERROR(INDEX('بيانات الحركات'!E:E,MATCH(1078,'بيانات الحركات'!$G:$G,0)),""))</f>
        <v/>
      </c>
      <c r="F1079" s="3" t="str">
        <f>IFERROR(INDEX('بيانات الحركات'!F:F,MATCH(1078,'بيانات الحركات'!$G:$G,0)),"")</f>
        <v/>
      </c>
    </row>
    <row r="1080" spans="1:6" ht="21.95" customHeight="1">
      <c r="A1080" s="8" t="str">
        <f>IFERROR(INDEX('بيانات الحركات'!A:A,MATCH(1079,'بيانات الحركات'!$G:$G,0)),"")</f>
        <v/>
      </c>
      <c r="B1080" s="5" t="str">
        <f>IFERROR(INDEX('بيانات الحركات'!B:B,MATCH(1079,'بيانات الحركات'!$G:$G,0)),"")</f>
        <v/>
      </c>
      <c r="C1080" s="3" t="str">
        <f>IFERROR(INDEX('بيانات الحركات'!C:C,MATCH(1079,'بيانات الحركات'!$G:$G,0)),"")</f>
        <v/>
      </c>
      <c r="D1080" s="3" t="str">
        <f>IFERROR(INDEX('بيانات الحركات'!D:D,MATCH(1079,'بيانات الحركات'!$G:$G,0)),"")</f>
        <v/>
      </c>
      <c r="E1080" s="21" t="str">
        <f>IF($B1080="إنتاج طبخة","",IFERROR(INDEX('بيانات الحركات'!E:E,MATCH(1079,'بيانات الحركات'!$G:$G,0)),""))</f>
        <v/>
      </c>
      <c r="F1080" s="3" t="str">
        <f>IFERROR(INDEX('بيانات الحركات'!F:F,MATCH(1079,'بيانات الحركات'!$G:$G,0)),"")</f>
        <v/>
      </c>
    </row>
    <row r="1081" spans="1:6" ht="21.95" customHeight="1">
      <c r="A1081" s="8" t="str">
        <f>IFERROR(INDEX('بيانات الحركات'!A:A,MATCH(1080,'بيانات الحركات'!$G:$G,0)),"")</f>
        <v/>
      </c>
      <c r="B1081" s="5" t="str">
        <f>IFERROR(INDEX('بيانات الحركات'!B:B,MATCH(1080,'بيانات الحركات'!$G:$G,0)),"")</f>
        <v/>
      </c>
      <c r="C1081" s="3" t="str">
        <f>IFERROR(INDEX('بيانات الحركات'!C:C,MATCH(1080,'بيانات الحركات'!$G:$G,0)),"")</f>
        <v/>
      </c>
      <c r="D1081" s="3" t="str">
        <f>IFERROR(INDEX('بيانات الحركات'!D:D,MATCH(1080,'بيانات الحركات'!$G:$G,0)),"")</f>
        <v/>
      </c>
      <c r="E1081" s="21" t="str">
        <f>IF($B1081="إنتاج طبخة","",IFERROR(INDEX('بيانات الحركات'!E:E,MATCH(1080,'بيانات الحركات'!$G:$G,0)),""))</f>
        <v/>
      </c>
      <c r="F1081" s="3" t="str">
        <f>IFERROR(INDEX('بيانات الحركات'!F:F,MATCH(1080,'بيانات الحركات'!$G:$G,0)),"")</f>
        <v/>
      </c>
    </row>
    <row r="1082" spans="1:6" ht="21.95" customHeight="1">
      <c r="A1082" s="8" t="str">
        <f>IFERROR(INDEX('بيانات الحركات'!A:A,MATCH(1081,'بيانات الحركات'!$G:$G,0)),"")</f>
        <v/>
      </c>
      <c r="B1082" s="5" t="str">
        <f>IFERROR(INDEX('بيانات الحركات'!B:B,MATCH(1081,'بيانات الحركات'!$G:$G,0)),"")</f>
        <v/>
      </c>
      <c r="C1082" s="3" t="str">
        <f>IFERROR(INDEX('بيانات الحركات'!C:C,MATCH(1081,'بيانات الحركات'!$G:$G,0)),"")</f>
        <v/>
      </c>
      <c r="D1082" s="3" t="str">
        <f>IFERROR(INDEX('بيانات الحركات'!D:D,MATCH(1081,'بيانات الحركات'!$G:$G,0)),"")</f>
        <v/>
      </c>
      <c r="E1082" s="21" t="str">
        <f>IF($B1082="إنتاج طبخة","",IFERROR(INDEX('بيانات الحركات'!E:E,MATCH(1081,'بيانات الحركات'!$G:$G,0)),""))</f>
        <v/>
      </c>
      <c r="F1082" s="3" t="str">
        <f>IFERROR(INDEX('بيانات الحركات'!F:F,MATCH(1081,'بيانات الحركات'!$G:$G,0)),"")</f>
        <v/>
      </c>
    </row>
    <row r="1083" spans="1:6" ht="21.95" customHeight="1">
      <c r="A1083" s="8" t="str">
        <f>IFERROR(INDEX('بيانات الحركات'!A:A,MATCH(1082,'بيانات الحركات'!$G:$G,0)),"")</f>
        <v/>
      </c>
      <c r="B1083" s="5" t="str">
        <f>IFERROR(INDEX('بيانات الحركات'!B:B,MATCH(1082,'بيانات الحركات'!$G:$G,0)),"")</f>
        <v/>
      </c>
      <c r="C1083" s="3" t="str">
        <f>IFERROR(INDEX('بيانات الحركات'!C:C,MATCH(1082,'بيانات الحركات'!$G:$G,0)),"")</f>
        <v/>
      </c>
      <c r="D1083" s="3" t="str">
        <f>IFERROR(INDEX('بيانات الحركات'!D:D,MATCH(1082,'بيانات الحركات'!$G:$G,0)),"")</f>
        <v/>
      </c>
      <c r="E1083" s="21" t="str">
        <f>IF($B1083="إنتاج طبخة","",IFERROR(INDEX('بيانات الحركات'!E:E,MATCH(1082,'بيانات الحركات'!$G:$G,0)),""))</f>
        <v/>
      </c>
      <c r="F1083" s="3" t="str">
        <f>IFERROR(INDEX('بيانات الحركات'!F:F,MATCH(1082,'بيانات الحركات'!$G:$G,0)),"")</f>
        <v/>
      </c>
    </row>
    <row r="1084" spans="1:6" ht="21.95" customHeight="1">
      <c r="A1084" s="8" t="str">
        <f>IFERROR(INDEX('بيانات الحركات'!A:A,MATCH(1083,'بيانات الحركات'!$G:$G,0)),"")</f>
        <v/>
      </c>
      <c r="B1084" s="5" t="str">
        <f>IFERROR(INDEX('بيانات الحركات'!B:B,MATCH(1083,'بيانات الحركات'!$G:$G,0)),"")</f>
        <v/>
      </c>
      <c r="C1084" s="3" t="str">
        <f>IFERROR(INDEX('بيانات الحركات'!C:C,MATCH(1083,'بيانات الحركات'!$G:$G,0)),"")</f>
        <v/>
      </c>
      <c r="D1084" s="3" t="str">
        <f>IFERROR(INDEX('بيانات الحركات'!D:D,MATCH(1083,'بيانات الحركات'!$G:$G,0)),"")</f>
        <v/>
      </c>
      <c r="E1084" s="21" t="str">
        <f>IF($B1084="إنتاج طبخة","",IFERROR(INDEX('بيانات الحركات'!E:E,MATCH(1083,'بيانات الحركات'!$G:$G,0)),""))</f>
        <v/>
      </c>
      <c r="F1084" s="3" t="str">
        <f>IFERROR(INDEX('بيانات الحركات'!F:F,MATCH(1083,'بيانات الحركات'!$G:$G,0)),"")</f>
        <v/>
      </c>
    </row>
    <row r="1085" spans="1:6" ht="21.95" customHeight="1">
      <c r="A1085" s="8" t="str">
        <f>IFERROR(INDEX('بيانات الحركات'!A:A,MATCH(1084,'بيانات الحركات'!$G:$G,0)),"")</f>
        <v/>
      </c>
      <c r="B1085" s="5" t="str">
        <f>IFERROR(INDEX('بيانات الحركات'!B:B,MATCH(1084,'بيانات الحركات'!$G:$G,0)),"")</f>
        <v/>
      </c>
      <c r="C1085" s="3" t="str">
        <f>IFERROR(INDEX('بيانات الحركات'!C:C,MATCH(1084,'بيانات الحركات'!$G:$G,0)),"")</f>
        <v/>
      </c>
      <c r="D1085" s="3" t="str">
        <f>IFERROR(INDEX('بيانات الحركات'!D:D,MATCH(1084,'بيانات الحركات'!$G:$G,0)),"")</f>
        <v/>
      </c>
      <c r="E1085" s="21" t="str">
        <f>IF($B1085="إنتاج طبخة","",IFERROR(INDEX('بيانات الحركات'!E:E,MATCH(1084,'بيانات الحركات'!$G:$G,0)),""))</f>
        <v/>
      </c>
      <c r="F1085" s="3" t="str">
        <f>IFERROR(INDEX('بيانات الحركات'!F:F,MATCH(1084,'بيانات الحركات'!$G:$G,0)),"")</f>
        <v/>
      </c>
    </row>
    <row r="1086" spans="1:6" ht="21.95" customHeight="1">
      <c r="A1086" s="8" t="str">
        <f>IFERROR(INDEX('بيانات الحركات'!A:A,MATCH(1085,'بيانات الحركات'!$G:$G,0)),"")</f>
        <v/>
      </c>
      <c r="B1086" s="5" t="str">
        <f>IFERROR(INDEX('بيانات الحركات'!B:B,MATCH(1085,'بيانات الحركات'!$G:$G,0)),"")</f>
        <v/>
      </c>
      <c r="C1086" s="3" t="str">
        <f>IFERROR(INDEX('بيانات الحركات'!C:C,MATCH(1085,'بيانات الحركات'!$G:$G,0)),"")</f>
        <v/>
      </c>
      <c r="D1086" s="3" t="str">
        <f>IFERROR(INDEX('بيانات الحركات'!D:D,MATCH(1085,'بيانات الحركات'!$G:$G,0)),"")</f>
        <v/>
      </c>
      <c r="E1086" s="21" t="str">
        <f>IF($B1086="إنتاج طبخة","",IFERROR(INDEX('بيانات الحركات'!E:E,MATCH(1085,'بيانات الحركات'!$G:$G,0)),""))</f>
        <v/>
      </c>
      <c r="F1086" s="3" t="str">
        <f>IFERROR(INDEX('بيانات الحركات'!F:F,MATCH(1085,'بيانات الحركات'!$G:$G,0)),"")</f>
        <v/>
      </c>
    </row>
    <row r="1087" spans="1:6" ht="21.95" customHeight="1">
      <c r="A1087" s="8" t="str">
        <f>IFERROR(INDEX('بيانات الحركات'!A:A,MATCH(1086,'بيانات الحركات'!$G:$G,0)),"")</f>
        <v/>
      </c>
      <c r="B1087" s="5" t="str">
        <f>IFERROR(INDEX('بيانات الحركات'!B:B,MATCH(1086,'بيانات الحركات'!$G:$G,0)),"")</f>
        <v/>
      </c>
      <c r="C1087" s="3" t="str">
        <f>IFERROR(INDEX('بيانات الحركات'!C:C,MATCH(1086,'بيانات الحركات'!$G:$G,0)),"")</f>
        <v/>
      </c>
      <c r="D1087" s="3" t="str">
        <f>IFERROR(INDEX('بيانات الحركات'!D:D,MATCH(1086,'بيانات الحركات'!$G:$G,0)),"")</f>
        <v/>
      </c>
      <c r="E1087" s="21" t="str">
        <f>IF($B1087="إنتاج طبخة","",IFERROR(INDEX('بيانات الحركات'!E:E,MATCH(1086,'بيانات الحركات'!$G:$G,0)),""))</f>
        <v/>
      </c>
      <c r="F1087" s="3" t="str">
        <f>IFERROR(INDEX('بيانات الحركات'!F:F,MATCH(1086,'بيانات الحركات'!$G:$G,0)),"")</f>
        <v/>
      </c>
    </row>
    <row r="1088" spans="1:6" ht="21.95" customHeight="1">
      <c r="A1088" s="8" t="str">
        <f>IFERROR(INDEX('بيانات الحركات'!A:A,MATCH(1087,'بيانات الحركات'!$G:$G,0)),"")</f>
        <v/>
      </c>
      <c r="B1088" s="5" t="str">
        <f>IFERROR(INDEX('بيانات الحركات'!B:B,MATCH(1087,'بيانات الحركات'!$G:$G,0)),"")</f>
        <v/>
      </c>
      <c r="C1088" s="3" t="str">
        <f>IFERROR(INDEX('بيانات الحركات'!C:C,MATCH(1087,'بيانات الحركات'!$G:$G,0)),"")</f>
        <v/>
      </c>
      <c r="D1088" s="3" t="str">
        <f>IFERROR(INDEX('بيانات الحركات'!D:D,MATCH(1087,'بيانات الحركات'!$G:$G,0)),"")</f>
        <v/>
      </c>
      <c r="E1088" s="21" t="str">
        <f>IF($B1088="إنتاج طبخة","",IFERROR(INDEX('بيانات الحركات'!E:E,MATCH(1087,'بيانات الحركات'!$G:$G,0)),""))</f>
        <v/>
      </c>
      <c r="F1088" s="3" t="str">
        <f>IFERROR(INDEX('بيانات الحركات'!F:F,MATCH(1087,'بيانات الحركات'!$G:$G,0)),"")</f>
        <v/>
      </c>
    </row>
    <row r="1089" spans="1:6" ht="21.95" customHeight="1">
      <c r="A1089" s="8" t="str">
        <f>IFERROR(INDEX('بيانات الحركات'!A:A,MATCH(1088,'بيانات الحركات'!$G:$G,0)),"")</f>
        <v/>
      </c>
      <c r="B1089" s="5" t="str">
        <f>IFERROR(INDEX('بيانات الحركات'!B:B,MATCH(1088,'بيانات الحركات'!$G:$G,0)),"")</f>
        <v/>
      </c>
      <c r="C1089" s="3" t="str">
        <f>IFERROR(INDEX('بيانات الحركات'!C:C,MATCH(1088,'بيانات الحركات'!$G:$G,0)),"")</f>
        <v/>
      </c>
      <c r="D1089" s="3" t="str">
        <f>IFERROR(INDEX('بيانات الحركات'!D:D,MATCH(1088,'بيانات الحركات'!$G:$G,0)),"")</f>
        <v/>
      </c>
      <c r="E1089" s="21" t="str">
        <f>IF($B1089="إنتاج طبخة","",IFERROR(INDEX('بيانات الحركات'!E:E,MATCH(1088,'بيانات الحركات'!$G:$G,0)),""))</f>
        <v/>
      </c>
      <c r="F1089" s="3" t="str">
        <f>IFERROR(INDEX('بيانات الحركات'!F:F,MATCH(1088,'بيانات الحركات'!$G:$G,0)),"")</f>
        <v/>
      </c>
    </row>
    <row r="1090" spans="1:6" ht="21.95" customHeight="1">
      <c r="A1090" s="8" t="str">
        <f>IFERROR(INDEX('بيانات الحركات'!A:A,MATCH(1089,'بيانات الحركات'!$G:$G,0)),"")</f>
        <v/>
      </c>
      <c r="B1090" s="5" t="str">
        <f>IFERROR(INDEX('بيانات الحركات'!B:B,MATCH(1089,'بيانات الحركات'!$G:$G,0)),"")</f>
        <v/>
      </c>
      <c r="C1090" s="3" t="str">
        <f>IFERROR(INDEX('بيانات الحركات'!C:C,MATCH(1089,'بيانات الحركات'!$G:$G,0)),"")</f>
        <v/>
      </c>
      <c r="D1090" s="3" t="str">
        <f>IFERROR(INDEX('بيانات الحركات'!D:D,MATCH(1089,'بيانات الحركات'!$G:$G,0)),"")</f>
        <v/>
      </c>
      <c r="E1090" s="21" t="str">
        <f>IF($B1090="إنتاج طبخة","",IFERROR(INDEX('بيانات الحركات'!E:E,MATCH(1089,'بيانات الحركات'!$G:$G,0)),""))</f>
        <v/>
      </c>
      <c r="F1090" s="3" t="str">
        <f>IFERROR(INDEX('بيانات الحركات'!F:F,MATCH(1089,'بيانات الحركات'!$G:$G,0)),"")</f>
        <v/>
      </c>
    </row>
    <row r="1091" spans="1:6" ht="21.95" customHeight="1">
      <c r="A1091" s="8" t="str">
        <f>IFERROR(INDEX('بيانات الحركات'!A:A,MATCH(1090,'بيانات الحركات'!$G:$G,0)),"")</f>
        <v/>
      </c>
      <c r="B1091" s="5" t="str">
        <f>IFERROR(INDEX('بيانات الحركات'!B:B,MATCH(1090,'بيانات الحركات'!$G:$G,0)),"")</f>
        <v/>
      </c>
      <c r="C1091" s="3" t="str">
        <f>IFERROR(INDEX('بيانات الحركات'!C:C,MATCH(1090,'بيانات الحركات'!$G:$G,0)),"")</f>
        <v/>
      </c>
      <c r="D1091" s="3" t="str">
        <f>IFERROR(INDEX('بيانات الحركات'!D:D,MATCH(1090,'بيانات الحركات'!$G:$G,0)),"")</f>
        <v/>
      </c>
      <c r="E1091" s="21" t="str">
        <f>IF($B1091="إنتاج طبخة","",IFERROR(INDEX('بيانات الحركات'!E:E,MATCH(1090,'بيانات الحركات'!$G:$G,0)),""))</f>
        <v/>
      </c>
      <c r="F1091" s="3" t="str">
        <f>IFERROR(INDEX('بيانات الحركات'!F:F,MATCH(1090,'بيانات الحركات'!$G:$G,0)),"")</f>
        <v/>
      </c>
    </row>
    <row r="1092" spans="1:6" ht="21.95" customHeight="1">
      <c r="A1092" s="8" t="str">
        <f>IFERROR(INDEX('بيانات الحركات'!A:A,MATCH(1091,'بيانات الحركات'!$G:$G,0)),"")</f>
        <v/>
      </c>
      <c r="B1092" s="5" t="str">
        <f>IFERROR(INDEX('بيانات الحركات'!B:B,MATCH(1091,'بيانات الحركات'!$G:$G,0)),"")</f>
        <v/>
      </c>
      <c r="C1092" s="3" t="str">
        <f>IFERROR(INDEX('بيانات الحركات'!C:C,MATCH(1091,'بيانات الحركات'!$G:$G,0)),"")</f>
        <v/>
      </c>
      <c r="D1092" s="3" t="str">
        <f>IFERROR(INDEX('بيانات الحركات'!D:D,MATCH(1091,'بيانات الحركات'!$G:$G,0)),"")</f>
        <v/>
      </c>
      <c r="E1092" s="21" t="str">
        <f>IF($B1092="إنتاج طبخة","",IFERROR(INDEX('بيانات الحركات'!E:E,MATCH(1091,'بيانات الحركات'!$G:$G,0)),""))</f>
        <v/>
      </c>
      <c r="F1092" s="3" t="str">
        <f>IFERROR(INDEX('بيانات الحركات'!F:F,MATCH(1091,'بيانات الحركات'!$G:$G,0)),"")</f>
        <v/>
      </c>
    </row>
    <row r="1093" spans="1:6" ht="21.95" customHeight="1">
      <c r="A1093" s="8" t="str">
        <f>IFERROR(INDEX('بيانات الحركات'!A:A,MATCH(1092,'بيانات الحركات'!$G:$G,0)),"")</f>
        <v/>
      </c>
      <c r="B1093" s="5" t="str">
        <f>IFERROR(INDEX('بيانات الحركات'!B:B,MATCH(1092,'بيانات الحركات'!$G:$G,0)),"")</f>
        <v/>
      </c>
      <c r="C1093" s="3" t="str">
        <f>IFERROR(INDEX('بيانات الحركات'!C:C,MATCH(1092,'بيانات الحركات'!$G:$G,0)),"")</f>
        <v/>
      </c>
      <c r="D1093" s="3" t="str">
        <f>IFERROR(INDEX('بيانات الحركات'!D:D,MATCH(1092,'بيانات الحركات'!$G:$G,0)),"")</f>
        <v/>
      </c>
      <c r="E1093" s="21" t="str">
        <f>IF($B1093="إنتاج طبخة","",IFERROR(INDEX('بيانات الحركات'!E:E,MATCH(1092,'بيانات الحركات'!$G:$G,0)),""))</f>
        <v/>
      </c>
      <c r="F1093" s="3" t="str">
        <f>IFERROR(INDEX('بيانات الحركات'!F:F,MATCH(1092,'بيانات الحركات'!$G:$G,0)),"")</f>
        <v/>
      </c>
    </row>
    <row r="1094" spans="1:6" ht="21.95" customHeight="1">
      <c r="A1094" s="8" t="str">
        <f>IFERROR(INDEX('بيانات الحركات'!A:A,MATCH(1093,'بيانات الحركات'!$G:$G,0)),"")</f>
        <v/>
      </c>
      <c r="B1094" s="5" t="str">
        <f>IFERROR(INDEX('بيانات الحركات'!B:B,MATCH(1093,'بيانات الحركات'!$G:$G,0)),"")</f>
        <v/>
      </c>
      <c r="C1094" s="3" t="str">
        <f>IFERROR(INDEX('بيانات الحركات'!C:C,MATCH(1093,'بيانات الحركات'!$G:$G,0)),"")</f>
        <v/>
      </c>
      <c r="D1094" s="3" t="str">
        <f>IFERROR(INDEX('بيانات الحركات'!D:D,MATCH(1093,'بيانات الحركات'!$G:$G,0)),"")</f>
        <v/>
      </c>
      <c r="E1094" s="21" t="str">
        <f>IF($B1094="إنتاج طبخة","",IFERROR(INDEX('بيانات الحركات'!E:E,MATCH(1093,'بيانات الحركات'!$G:$G,0)),""))</f>
        <v/>
      </c>
      <c r="F1094" s="3" t="str">
        <f>IFERROR(INDEX('بيانات الحركات'!F:F,MATCH(1093,'بيانات الحركات'!$G:$G,0)),"")</f>
        <v/>
      </c>
    </row>
    <row r="1095" spans="1:6" ht="21.95" customHeight="1">
      <c r="A1095" s="8" t="str">
        <f>IFERROR(INDEX('بيانات الحركات'!A:A,MATCH(1094,'بيانات الحركات'!$G:$G,0)),"")</f>
        <v/>
      </c>
      <c r="B1095" s="5" t="str">
        <f>IFERROR(INDEX('بيانات الحركات'!B:B,MATCH(1094,'بيانات الحركات'!$G:$G,0)),"")</f>
        <v/>
      </c>
      <c r="C1095" s="3" t="str">
        <f>IFERROR(INDEX('بيانات الحركات'!C:C,MATCH(1094,'بيانات الحركات'!$G:$G,0)),"")</f>
        <v/>
      </c>
      <c r="D1095" s="3" t="str">
        <f>IFERROR(INDEX('بيانات الحركات'!D:D,MATCH(1094,'بيانات الحركات'!$G:$G,0)),"")</f>
        <v/>
      </c>
      <c r="E1095" s="21" t="str">
        <f>IF($B1095="إنتاج طبخة","",IFERROR(INDEX('بيانات الحركات'!E:E,MATCH(1094,'بيانات الحركات'!$G:$G,0)),""))</f>
        <v/>
      </c>
      <c r="F1095" s="3" t="str">
        <f>IFERROR(INDEX('بيانات الحركات'!F:F,MATCH(1094,'بيانات الحركات'!$G:$G,0)),"")</f>
        <v/>
      </c>
    </row>
    <row r="1096" spans="1:6" ht="21.95" customHeight="1">
      <c r="A1096" s="8" t="str">
        <f>IFERROR(INDEX('بيانات الحركات'!A:A,MATCH(1095,'بيانات الحركات'!$G:$G,0)),"")</f>
        <v/>
      </c>
      <c r="B1096" s="5" t="str">
        <f>IFERROR(INDEX('بيانات الحركات'!B:B,MATCH(1095,'بيانات الحركات'!$G:$G,0)),"")</f>
        <v/>
      </c>
      <c r="C1096" s="3" t="str">
        <f>IFERROR(INDEX('بيانات الحركات'!C:C,MATCH(1095,'بيانات الحركات'!$G:$G,0)),"")</f>
        <v/>
      </c>
      <c r="D1096" s="3" t="str">
        <f>IFERROR(INDEX('بيانات الحركات'!D:D,MATCH(1095,'بيانات الحركات'!$G:$G,0)),"")</f>
        <v/>
      </c>
      <c r="E1096" s="21" t="str">
        <f>IF($B1096="إنتاج طبخة","",IFERROR(INDEX('بيانات الحركات'!E:E,MATCH(1095,'بيانات الحركات'!$G:$G,0)),""))</f>
        <v/>
      </c>
      <c r="F1096" s="3" t="str">
        <f>IFERROR(INDEX('بيانات الحركات'!F:F,MATCH(1095,'بيانات الحركات'!$G:$G,0)),"")</f>
        <v/>
      </c>
    </row>
    <row r="1097" spans="1:6" ht="21.95" customHeight="1">
      <c r="A1097" s="8" t="str">
        <f>IFERROR(INDEX('بيانات الحركات'!A:A,MATCH(1096,'بيانات الحركات'!$G:$G,0)),"")</f>
        <v/>
      </c>
      <c r="B1097" s="5" t="str">
        <f>IFERROR(INDEX('بيانات الحركات'!B:B,MATCH(1096,'بيانات الحركات'!$G:$G,0)),"")</f>
        <v/>
      </c>
      <c r="C1097" s="3" t="str">
        <f>IFERROR(INDEX('بيانات الحركات'!C:C,MATCH(1096,'بيانات الحركات'!$G:$G,0)),"")</f>
        <v/>
      </c>
      <c r="D1097" s="3" t="str">
        <f>IFERROR(INDEX('بيانات الحركات'!D:D,MATCH(1096,'بيانات الحركات'!$G:$G,0)),"")</f>
        <v/>
      </c>
      <c r="E1097" s="21" t="str">
        <f>IF($B1097="إنتاج طبخة","",IFERROR(INDEX('بيانات الحركات'!E:E,MATCH(1096,'بيانات الحركات'!$G:$G,0)),""))</f>
        <v/>
      </c>
      <c r="F1097" s="3" t="str">
        <f>IFERROR(INDEX('بيانات الحركات'!F:F,MATCH(1096,'بيانات الحركات'!$G:$G,0)),"")</f>
        <v/>
      </c>
    </row>
    <row r="1098" spans="1:6" ht="21.95" customHeight="1">
      <c r="A1098" s="8" t="str">
        <f>IFERROR(INDEX('بيانات الحركات'!A:A,MATCH(1097,'بيانات الحركات'!$G:$G,0)),"")</f>
        <v/>
      </c>
      <c r="B1098" s="5" t="str">
        <f>IFERROR(INDEX('بيانات الحركات'!B:B,MATCH(1097,'بيانات الحركات'!$G:$G,0)),"")</f>
        <v/>
      </c>
      <c r="C1098" s="3" t="str">
        <f>IFERROR(INDEX('بيانات الحركات'!C:C,MATCH(1097,'بيانات الحركات'!$G:$G,0)),"")</f>
        <v/>
      </c>
      <c r="D1098" s="3" t="str">
        <f>IFERROR(INDEX('بيانات الحركات'!D:D,MATCH(1097,'بيانات الحركات'!$G:$G,0)),"")</f>
        <v/>
      </c>
      <c r="E1098" s="21" t="str">
        <f>IF($B1098="إنتاج طبخة","",IFERROR(INDEX('بيانات الحركات'!E:E,MATCH(1097,'بيانات الحركات'!$G:$G,0)),""))</f>
        <v/>
      </c>
      <c r="F1098" s="3" t="str">
        <f>IFERROR(INDEX('بيانات الحركات'!F:F,MATCH(1097,'بيانات الحركات'!$G:$G,0)),"")</f>
        <v/>
      </c>
    </row>
    <row r="1099" spans="1:6" ht="21.95" customHeight="1">
      <c r="A1099" s="8" t="str">
        <f>IFERROR(INDEX('بيانات الحركات'!A:A,MATCH(1098,'بيانات الحركات'!$G:$G,0)),"")</f>
        <v/>
      </c>
      <c r="B1099" s="5" t="str">
        <f>IFERROR(INDEX('بيانات الحركات'!B:B,MATCH(1098,'بيانات الحركات'!$G:$G,0)),"")</f>
        <v/>
      </c>
      <c r="C1099" s="3" t="str">
        <f>IFERROR(INDEX('بيانات الحركات'!C:C,MATCH(1098,'بيانات الحركات'!$G:$G,0)),"")</f>
        <v/>
      </c>
      <c r="D1099" s="3" t="str">
        <f>IFERROR(INDEX('بيانات الحركات'!D:D,MATCH(1098,'بيانات الحركات'!$G:$G,0)),"")</f>
        <v/>
      </c>
      <c r="E1099" s="21" t="str">
        <f>IF($B1099="إنتاج طبخة","",IFERROR(INDEX('بيانات الحركات'!E:E,MATCH(1098,'بيانات الحركات'!$G:$G,0)),""))</f>
        <v/>
      </c>
      <c r="F1099" s="3" t="str">
        <f>IFERROR(INDEX('بيانات الحركات'!F:F,MATCH(1098,'بيانات الحركات'!$G:$G,0)),"")</f>
        <v/>
      </c>
    </row>
    <row r="1100" spans="1:6" ht="21.95" customHeight="1">
      <c r="A1100" s="8" t="str">
        <f>IFERROR(INDEX('بيانات الحركات'!A:A,MATCH(1099,'بيانات الحركات'!$G:$G,0)),"")</f>
        <v/>
      </c>
      <c r="B1100" s="5" t="str">
        <f>IFERROR(INDEX('بيانات الحركات'!B:B,MATCH(1099,'بيانات الحركات'!$G:$G,0)),"")</f>
        <v/>
      </c>
      <c r="C1100" s="3" t="str">
        <f>IFERROR(INDEX('بيانات الحركات'!C:C,MATCH(1099,'بيانات الحركات'!$G:$G,0)),"")</f>
        <v/>
      </c>
      <c r="D1100" s="3" t="str">
        <f>IFERROR(INDEX('بيانات الحركات'!D:D,MATCH(1099,'بيانات الحركات'!$G:$G,0)),"")</f>
        <v/>
      </c>
      <c r="E1100" s="21" t="str">
        <f>IF($B1100="إنتاج طبخة","",IFERROR(INDEX('بيانات الحركات'!E:E,MATCH(1099,'بيانات الحركات'!$G:$G,0)),""))</f>
        <v/>
      </c>
      <c r="F1100" s="3" t="str">
        <f>IFERROR(INDEX('بيانات الحركات'!F:F,MATCH(1099,'بيانات الحركات'!$G:$G,0)),"")</f>
        <v/>
      </c>
    </row>
    <row r="1101" spans="1:6" ht="21.95" customHeight="1">
      <c r="A1101" s="8" t="str">
        <f>IFERROR(INDEX('بيانات الحركات'!A:A,MATCH(1100,'بيانات الحركات'!$G:$G,0)),"")</f>
        <v/>
      </c>
      <c r="B1101" s="5" t="str">
        <f>IFERROR(INDEX('بيانات الحركات'!B:B,MATCH(1100,'بيانات الحركات'!$G:$G,0)),"")</f>
        <v/>
      </c>
      <c r="C1101" s="3" t="str">
        <f>IFERROR(INDEX('بيانات الحركات'!C:C,MATCH(1100,'بيانات الحركات'!$G:$G,0)),"")</f>
        <v/>
      </c>
      <c r="D1101" s="3" t="str">
        <f>IFERROR(INDEX('بيانات الحركات'!D:D,MATCH(1100,'بيانات الحركات'!$G:$G,0)),"")</f>
        <v/>
      </c>
      <c r="E1101" s="21" t="str">
        <f>IF($B1101="إنتاج طبخة","",IFERROR(INDEX('بيانات الحركات'!E:E,MATCH(1100,'بيانات الحركات'!$G:$G,0)),""))</f>
        <v/>
      </c>
      <c r="F1101" s="3" t="str">
        <f>IFERROR(INDEX('بيانات الحركات'!F:F,MATCH(1100,'بيانات الحركات'!$G:$G,0)),"")</f>
        <v/>
      </c>
    </row>
    <row r="1102" spans="1:6" ht="21.95" customHeight="1">
      <c r="A1102" s="8" t="str">
        <f>IFERROR(INDEX('بيانات الحركات'!A:A,MATCH(1101,'بيانات الحركات'!$G:$G,0)),"")</f>
        <v/>
      </c>
      <c r="B1102" s="5" t="str">
        <f>IFERROR(INDEX('بيانات الحركات'!B:B,MATCH(1101,'بيانات الحركات'!$G:$G,0)),"")</f>
        <v/>
      </c>
      <c r="C1102" s="3" t="str">
        <f>IFERROR(INDEX('بيانات الحركات'!C:C,MATCH(1101,'بيانات الحركات'!$G:$G,0)),"")</f>
        <v/>
      </c>
      <c r="D1102" s="3" t="str">
        <f>IFERROR(INDEX('بيانات الحركات'!D:D,MATCH(1101,'بيانات الحركات'!$G:$G,0)),"")</f>
        <v/>
      </c>
      <c r="E1102" s="21" t="str">
        <f>IF($B1102="إنتاج طبخة","",IFERROR(INDEX('بيانات الحركات'!E:E,MATCH(1101,'بيانات الحركات'!$G:$G,0)),""))</f>
        <v/>
      </c>
      <c r="F1102" s="3" t="str">
        <f>IFERROR(INDEX('بيانات الحركات'!F:F,MATCH(1101,'بيانات الحركات'!$G:$G,0)),"")</f>
        <v/>
      </c>
    </row>
    <row r="1103" spans="1:6" ht="21.95" customHeight="1">
      <c r="A1103" s="8" t="str">
        <f>IFERROR(INDEX('بيانات الحركات'!A:A,MATCH(1102,'بيانات الحركات'!$G:$G,0)),"")</f>
        <v/>
      </c>
      <c r="B1103" s="5" t="str">
        <f>IFERROR(INDEX('بيانات الحركات'!B:B,MATCH(1102,'بيانات الحركات'!$G:$G,0)),"")</f>
        <v/>
      </c>
      <c r="C1103" s="3" t="str">
        <f>IFERROR(INDEX('بيانات الحركات'!C:C,MATCH(1102,'بيانات الحركات'!$G:$G,0)),"")</f>
        <v/>
      </c>
      <c r="D1103" s="3" t="str">
        <f>IFERROR(INDEX('بيانات الحركات'!D:D,MATCH(1102,'بيانات الحركات'!$G:$G,0)),"")</f>
        <v/>
      </c>
      <c r="E1103" s="21" t="str">
        <f>IF($B1103="إنتاج طبخة","",IFERROR(INDEX('بيانات الحركات'!E:E,MATCH(1102,'بيانات الحركات'!$G:$G,0)),""))</f>
        <v/>
      </c>
      <c r="F1103" s="3" t="str">
        <f>IFERROR(INDEX('بيانات الحركات'!F:F,MATCH(1102,'بيانات الحركات'!$G:$G,0)),"")</f>
        <v/>
      </c>
    </row>
    <row r="1104" spans="1:6" ht="21.95" customHeight="1">
      <c r="A1104" s="8" t="str">
        <f>IFERROR(INDEX('بيانات الحركات'!A:A,MATCH(1103,'بيانات الحركات'!$G:$G,0)),"")</f>
        <v/>
      </c>
      <c r="B1104" s="5" t="str">
        <f>IFERROR(INDEX('بيانات الحركات'!B:B,MATCH(1103,'بيانات الحركات'!$G:$G,0)),"")</f>
        <v/>
      </c>
      <c r="C1104" s="3" t="str">
        <f>IFERROR(INDEX('بيانات الحركات'!C:C,MATCH(1103,'بيانات الحركات'!$G:$G,0)),"")</f>
        <v/>
      </c>
      <c r="D1104" s="3" t="str">
        <f>IFERROR(INDEX('بيانات الحركات'!D:D,MATCH(1103,'بيانات الحركات'!$G:$G,0)),"")</f>
        <v/>
      </c>
      <c r="E1104" s="21" t="str">
        <f>IF($B1104="إنتاج طبخة","",IFERROR(INDEX('بيانات الحركات'!E:E,MATCH(1103,'بيانات الحركات'!$G:$G,0)),""))</f>
        <v/>
      </c>
      <c r="F1104" s="3" t="str">
        <f>IFERROR(INDEX('بيانات الحركات'!F:F,MATCH(1103,'بيانات الحركات'!$G:$G,0)),"")</f>
        <v/>
      </c>
    </row>
    <row r="1105" spans="1:6" ht="21.95" customHeight="1">
      <c r="A1105" s="8" t="str">
        <f>IFERROR(INDEX('بيانات الحركات'!A:A,MATCH(1104,'بيانات الحركات'!$G:$G,0)),"")</f>
        <v/>
      </c>
      <c r="B1105" s="5" t="str">
        <f>IFERROR(INDEX('بيانات الحركات'!B:B,MATCH(1104,'بيانات الحركات'!$G:$G,0)),"")</f>
        <v/>
      </c>
      <c r="C1105" s="3" t="str">
        <f>IFERROR(INDEX('بيانات الحركات'!C:C,MATCH(1104,'بيانات الحركات'!$G:$G,0)),"")</f>
        <v/>
      </c>
      <c r="D1105" s="3" t="str">
        <f>IFERROR(INDEX('بيانات الحركات'!D:D,MATCH(1104,'بيانات الحركات'!$G:$G,0)),"")</f>
        <v/>
      </c>
      <c r="E1105" s="21" t="str">
        <f>IF($B1105="إنتاج طبخة","",IFERROR(INDEX('بيانات الحركات'!E:E,MATCH(1104,'بيانات الحركات'!$G:$G,0)),""))</f>
        <v/>
      </c>
      <c r="F1105" s="3" t="str">
        <f>IFERROR(INDEX('بيانات الحركات'!F:F,MATCH(1104,'بيانات الحركات'!$G:$G,0)),"")</f>
        <v/>
      </c>
    </row>
    <row r="1106" spans="1:6" ht="21.95" customHeight="1">
      <c r="A1106" s="8" t="str">
        <f>IFERROR(INDEX('بيانات الحركات'!A:A,MATCH(1105,'بيانات الحركات'!$G:$G,0)),"")</f>
        <v/>
      </c>
      <c r="B1106" s="5" t="str">
        <f>IFERROR(INDEX('بيانات الحركات'!B:B,MATCH(1105,'بيانات الحركات'!$G:$G,0)),"")</f>
        <v/>
      </c>
      <c r="C1106" s="3" t="str">
        <f>IFERROR(INDEX('بيانات الحركات'!C:C,MATCH(1105,'بيانات الحركات'!$G:$G,0)),"")</f>
        <v/>
      </c>
      <c r="D1106" s="3" t="str">
        <f>IFERROR(INDEX('بيانات الحركات'!D:D,MATCH(1105,'بيانات الحركات'!$G:$G,0)),"")</f>
        <v/>
      </c>
      <c r="E1106" s="21" t="str">
        <f>IF($B1106="إنتاج طبخة","",IFERROR(INDEX('بيانات الحركات'!E:E,MATCH(1105,'بيانات الحركات'!$G:$G,0)),""))</f>
        <v/>
      </c>
      <c r="F1106" s="3" t="str">
        <f>IFERROR(INDEX('بيانات الحركات'!F:F,MATCH(1105,'بيانات الحركات'!$G:$G,0)),"")</f>
        <v/>
      </c>
    </row>
    <row r="1107" spans="1:6" ht="21.95" customHeight="1">
      <c r="A1107" s="8" t="str">
        <f>IFERROR(INDEX('بيانات الحركات'!A:A,MATCH(1106,'بيانات الحركات'!$G:$G,0)),"")</f>
        <v/>
      </c>
      <c r="B1107" s="5" t="str">
        <f>IFERROR(INDEX('بيانات الحركات'!B:B,MATCH(1106,'بيانات الحركات'!$G:$G,0)),"")</f>
        <v/>
      </c>
      <c r="C1107" s="3" t="str">
        <f>IFERROR(INDEX('بيانات الحركات'!C:C,MATCH(1106,'بيانات الحركات'!$G:$G,0)),"")</f>
        <v/>
      </c>
      <c r="D1107" s="3" t="str">
        <f>IFERROR(INDEX('بيانات الحركات'!D:D,MATCH(1106,'بيانات الحركات'!$G:$G,0)),"")</f>
        <v/>
      </c>
      <c r="E1107" s="21" t="str">
        <f>IF($B1107="إنتاج طبخة","",IFERROR(INDEX('بيانات الحركات'!E:E,MATCH(1106,'بيانات الحركات'!$G:$G,0)),""))</f>
        <v/>
      </c>
      <c r="F1107" s="3" t="str">
        <f>IFERROR(INDEX('بيانات الحركات'!F:F,MATCH(1106,'بيانات الحركات'!$G:$G,0)),"")</f>
        <v/>
      </c>
    </row>
    <row r="1108" spans="1:6" ht="21.95" customHeight="1">
      <c r="A1108" s="8" t="str">
        <f>IFERROR(INDEX('بيانات الحركات'!A:A,MATCH(1107,'بيانات الحركات'!$G:$G,0)),"")</f>
        <v/>
      </c>
      <c r="B1108" s="5" t="str">
        <f>IFERROR(INDEX('بيانات الحركات'!B:B,MATCH(1107,'بيانات الحركات'!$G:$G,0)),"")</f>
        <v/>
      </c>
      <c r="C1108" s="3" t="str">
        <f>IFERROR(INDEX('بيانات الحركات'!C:C,MATCH(1107,'بيانات الحركات'!$G:$G,0)),"")</f>
        <v/>
      </c>
      <c r="D1108" s="3" t="str">
        <f>IFERROR(INDEX('بيانات الحركات'!D:D,MATCH(1107,'بيانات الحركات'!$G:$G,0)),"")</f>
        <v/>
      </c>
      <c r="E1108" s="21" t="str">
        <f>IF($B1108="إنتاج طبخة","",IFERROR(INDEX('بيانات الحركات'!E:E,MATCH(1107,'بيانات الحركات'!$G:$G,0)),""))</f>
        <v/>
      </c>
      <c r="F1108" s="3" t="str">
        <f>IFERROR(INDEX('بيانات الحركات'!F:F,MATCH(1107,'بيانات الحركات'!$G:$G,0)),"")</f>
        <v/>
      </c>
    </row>
    <row r="1109" spans="1:6" ht="21.95" customHeight="1">
      <c r="A1109" s="8" t="str">
        <f>IFERROR(INDEX('بيانات الحركات'!A:A,MATCH(1108,'بيانات الحركات'!$G:$G,0)),"")</f>
        <v/>
      </c>
      <c r="B1109" s="5" t="str">
        <f>IFERROR(INDEX('بيانات الحركات'!B:B,MATCH(1108,'بيانات الحركات'!$G:$G,0)),"")</f>
        <v/>
      </c>
      <c r="C1109" s="3" t="str">
        <f>IFERROR(INDEX('بيانات الحركات'!C:C,MATCH(1108,'بيانات الحركات'!$G:$G,0)),"")</f>
        <v/>
      </c>
      <c r="D1109" s="3" t="str">
        <f>IFERROR(INDEX('بيانات الحركات'!D:D,MATCH(1108,'بيانات الحركات'!$G:$G,0)),"")</f>
        <v/>
      </c>
      <c r="E1109" s="21" t="str">
        <f>IF($B1109="إنتاج طبخة","",IFERROR(INDEX('بيانات الحركات'!E:E,MATCH(1108,'بيانات الحركات'!$G:$G,0)),""))</f>
        <v/>
      </c>
      <c r="F1109" s="3" t="str">
        <f>IFERROR(INDEX('بيانات الحركات'!F:F,MATCH(1108,'بيانات الحركات'!$G:$G,0)),"")</f>
        <v/>
      </c>
    </row>
    <row r="1110" spans="1:6" ht="21.95" customHeight="1">
      <c r="A1110" s="8" t="str">
        <f>IFERROR(INDEX('بيانات الحركات'!A:A,MATCH(1109,'بيانات الحركات'!$G:$G,0)),"")</f>
        <v/>
      </c>
      <c r="B1110" s="5" t="str">
        <f>IFERROR(INDEX('بيانات الحركات'!B:B,MATCH(1109,'بيانات الحركات'!$G:$G,0)),"")</f>
        <v/>
      </c>
      <c r="C1110" s="3" t="str">
        <f>IFERROR(INDEX('بيانات الحركات'!C:C,MATCH(1109,'بيانات الحركات'!$G:$G,0)),"")</f>
        <v/>
      </c>
      <c r="D1110" s="3" t="str">
        <f>IFERROR(INDEX('بيانات الحركات'!D:D,MATCH(1109,'بيانات الحركات'!$G:$G,0)),"")</f>
        <v/>
      </c>
      <c r="E1110" s="21" t="str">
        <f>IF($B1110="إنتاج طبخة","",IFERROR(INDEX('بيانات الحركات'!E:E,MATCH(1109,'بيانات الحركات'!$G:$G,0)),""))</f>
        <v/>
      </c>
      <c r="F1110" s="3" t="str">
        <f>IFERROR(INDEX('بيانات الحركات'!F:F,MATCH(1109,'بيانات الحركات'!$G:$G,0)),"")</f>
        <v/>
      </c>
    </row>
    <row r="1111" spans="1:6" ht="21.95" customHeight="1">
      <c r="A1111" s="8" t="str">
        <f>IFERROR(INDEX('بيانات الحركات'!A:A,MATCH(1110,'بيانات الحركات'!$G:$G,0)),"")</f>
        <v/>
      </c>
      <c r="B1111" s="5" t="str">
        <f>IFERROR(INDEX('بيانات الحركات'!B:B,MATCH(1110,'بيانات الحركات'!$G:$G,0)),"")</f>
        <v/>
      </c>
      <c r="C1111" s="3" t="str">
        <f>IFERROR(INDEX('بيانات الحركات'!C:C,MATCH(1110,'بيانات الحركات'!$G:$G,0)),"")</f>
        <v/>
      </c>
      <c r="D1111" s="3" t="str">
        <f>IFERROR(INDEX('بيانات الحركات'!D:D,MATCH(1110,'بيانات الحركات'!$G:$G,0)),"")</f>
        <v/>
      </c>
      <c r="E1111" s="21" t="str">
        <f>IF($B1111="إنتاج طبخة","",IFERROR(INDEX('بيانات الحركات'!E:E,MATCH(1110,'بيانات الحركات'!$G:$G,0)),""))</f>
        <v/>
      </c>
      <c r="F1111" s="3" t="str">
        <f>IFERROR(INDEX('بيانات الحركات'!F:F,MATCH(1110,'بيانات الحركات'!$G:$G,0)),"")</f>
        <v/>
      </c>
    </row>
    <row r="1112" spans="1:6" ht="21.95" customHeight="1">
      <c r="A1112" s="8" t="str">
        <f>IFERROR(INDEX('بيانات الحركات'!A:A,MATCH(1111,'بيانات الحركات'!$G:$G,0)),"")</f>
        <v/>
      </c>
      <c r="B1112" s="5" t="str">
        <f>IFERROR(INDEX('بيانات الحركات'!B:B,MATCH(1111,'بيانات الحركات'!$G:$G,0)),"")</f>
        <v/>
      </c>
      <c r="C1112" s="3" t="str">
        <f>IFERROR(INDEX('بيانات الحركات'!C:C,MATCH(1111,'بيانات الحركات'!$G:$G,0)),"")</f>
        <v/>
      </c>
      <c r="D1112" s="3" t="str">
        <f>IFERROR(INDEX('بيانات الحركات'!D:D,MATCH(1111,'بيانات الحركات'!$G:$G,0)),"")</f>
        <v/>
      </c>
      <c r="E1112" s="21" t="str">
        <f>IF($B1112="إنتاج طبخة","",IFERROR(INDEX('بيانات الحركات'!E:E,MATCH(1111,'بيانات الحركات'!$G:$G,0)),""))</f>
        <v/>
      </c>
      <c r="F1112" s="3" t="str">
        <f>IFERROR(INDEX('بيانات الحركات'!F:F,MATCH(1111,'بيانات الحركات'!$G:$G,0)),"")</f>
        <v/>
      </c>
    </row>
    <row r="1113" spans="1:6" ht="21.95" customHeight="1">
      <c r="A1113" s="8" t="str">
        <f>IFERROR(INDEX('بيانات الحركات'!A:A,MATCH(1112,'بيانات الحركات'!$G:$G,0)),"")</f>
        <v/>
      </c>
      <c r="B1113" s="5" t="str">
        <f>IFERROR(INDEX('بيانات الحركات'!B:B,MATCH(1112,'بيانات الحركات'!$G:$G,0)),"")</f>
        <v/>
      </c>
      <c r="C1113" s="3" t="str">
        <f>IFERROR(INDEX('بيانات الحركات'!C:C,MATCH(1112,'بيانات الحركات'!$G:$G,0)),"")</f>
        <v/>
      </c>
      <c r="D1113" s="3" t="str">
        <f>IFERROR(INDEX('بيانات الحركات'!D:D,MATCH(1112,'بيانات الحركات'!$G:$G,0)),"")</f>
        <v/>
      </c>
      <c r="E1113" s="21" t="str">
        <f>IF($B1113="إنتاج طبخة","",IFERROR(INDEX('بيانات الحركات'!E:E,MATCH(1112,'بيانات الحركات'!$G:$G,0)),""))</f>
        <v/>
      </c>
      <c r="F1113" s="3" t="str">
        <f>IFERROR(INDEX('بيانات الحركات'!F:F,MATCH(1112,'بيانات الحركات'!$G:$G,0)),"")</f>
        <v/>
      </c>
    </row>
    <row r="1114" spans="1:6" ht="21.95" customHeight="1">
      <c r="A1114" s="8" t="str">
        <f>IFERROR(INDEX('بيانات الحركات'!A:A,MATCH(1113,'بيانات الحركات'!$G:$G,0)),"")</f>
        <v/>
      </c>
      <c r="B1114" s="5" t="str">
        <f>IFERROR(INDEX('بيانات الحركات'!B:B,MATCH(1113,'بيانات الحركات'!$G:$G,0)),"")</f>
        <v/>
      </c>
      <c r="C1114" s="3" t="str">
        <f>IFERROR(INDEX('بيانات الحركات'!C:C,MATCH(1113,'بيانات الحركات'!$G:$G,0)),"")</f>
        <v/>
      </c>
      <c r="D1114" s="3" t="str">
        <f>IFERROR(INDEX('بيانات الحركات'!D:D,MATCH(1113,'بيانات الحركات'!$G:$G,0)),"")</f>
        <v/>
      </c>
      <c r="E1114" s="21" t="str">
        <f>IF($B1114="إنتاج طبخة","",IFERROR(INDEX('بيانات الحركات'!E:E,MATCH(1113,'بيانات الحركات'!$G:$G,0)),""))</f>
        <v/>
      </c>
      <c r="F1114" s="3" t="str">
        <f>IFERROR(INDEX('بيانات الحركات'!F:F,MATCH(1113,'بيانات الحركات'!$G:$G,0)),"")</f>
        <v/>
      </c>
    </row>
    <row r="1115" spans="1:6" ht="21.95" customHeight="1">
      <c r="A1115" s="8" t="str">
        <f>IFERROR(INDEX('بيانات الحركات'!A:A,MATCH(1114,'بيانات الحركات'!$G:$G,0)),"")</f>
        <v/>
      </c>
      <c r="B1115" s="5" t="str">
        <f>IFERROR(INDEX('بيانات الحركات'!B:B,MATCH(1114,'بيانات الحركات'!$G:$G,0)),"")</f>
        <v/>
      </c>
      <c r="C1115" s="3" t="str">
        <f>IFERROR(INDEX('بيانات الحركات'!C:C,MATCH(1114,'بيانات الحركات'!$G:$G,0)),"")</f>
        <v/>
      </c>
      <c r="D1115" s="3" t="str">
        <f>IFERROR(INDEX('بيانات الحركات'!D:D,MATCH(1114,'بيانات الحركات'!$G:$G,0)),"")</f>
        <v/>
      </c>
      <c r="E1115" s="21" t="str">
        <f>IF($B1115="إنتاج طبخة","",IFERROR(INDEX('بيانات الحركات'!E:E,MATCH(1114,'بيانات الحركات'!$G:$G,0)),""))</f>
        <v/>
      </c>
      <c r="F1115" s="3" t="str">
        <f>IFERROR(INDEX('بيانات الحركات'!F:F,MATCH(1114,'بيانات الحركات'!$G:$G,0)),"")</f>
        <v/>
      </c>
    </row>
    <row r="1116" spans="1:6" ht="21.95" customHeight="1">
      <c r="A1116" s="8" t="str">
        <f>IFERROR(INDEX('بيانات الحركات'!A:A,MATCH(1115,'بيانات الحركات'!$G:$G,0)),"")</f>
        <v/>
      </c>
      <c r="B1116" s="5" t="str">
        <f>IFERROR(INDEX('بيانات الحركات'!B:B,MATCH(1115,'بيانات الحركات'!$G:$G,0)),"")</f>
        <v/>
      </c>
      <c r="C1116" s="3" t="str">
        <f>IFERROR(INDEX('بيانات الحركات'!C:C,MATCH(1115,'بيانات الحركات'!$G:$G,0)),"")</f>
        <v/>
      </c>
      <c r="D1116" s="3" t="str">
        <f>IFERROR(INDEX('بيانات الحركات'!D:D,MATCH(1115,'بيانات الحركات'!$G:$G,0)),"")</f>
        <v/>
      </c>
      <c r="E1116" s="21" t="str">
        <f>IF($B1116="إنتاج طبخة","",IFERROR(INDEX('بيانات الحركات'!E:E,MATCH(1115,'بيانات الحركات'!$G:$G,0)),""))</f>
        <v/>
      </c>
      <c r="F1116" s="3" t="str">
        <f>IFERROR(INDEX('بيانات الحركات'!F:F,MATCH(1115,'بيانات الحركات'!$G:$G,0)),"")</f>
        <v/>
      </c>
    </row>
    <row r="1117" spans="1:6" ht="21.95" customHeight="1">
      <c r="A1117" s="8" t="str">
        <f>IFERROR(INDEX('بيانات الحركات'!A:A,MATCH(1116,'بيانات الحركات'!$G:$G,0)),"")</f>
        <v/>
      </c>
      <c r="B1117" s="5" t="str">
        <f>IFERROR(INDEX('بيانات الحركات'!B:B,MATCH(1116,'بيانات الحركات'!$G:$G,0)),"")</f>
        <v/>
      </c>
      <c r="C1117" s="3" t="str">
        <f>IFERROR(INDEX('بيانات الحركات'!C:C,MATCH(1116,'بيانات الحركات'!$G:$G,0)),"")</f>
        <v/>
      </c>
      <c r="D1117" s="3" t="str">
        <f>IFERROR(INDEX('بيانات الحركات'!D:D,MATCH(1116,'بيانات الحركات'!$G:$G,0)),"")</f>
        <v/>
      </c>
      <c r="E1117" s="21" t="str">
        <f>IF($B1117="إنتاج طبخة","",IFERROR(INDEX('بيانات الحركات'!E:E,MATCH(1116,'بيانات الحركات'!$G:$G,0)),""))</f>
        <v/>
      </c>
      <c r="F1117" s="3" t="str">
        <f>IFERROR(INDEX('بيانات الحركات'!F:F,MATCH(1116,'بيانات الحركات'!$G:$G,0)),"")</f>
        <v/>
      </c>
    </row>
    <row r="1118" spans="1:6" ht="21.95" customHeight="1">
      <c r="A1118" s="8" t="str">
        <f>IFERROR(INDEX('بيانات الحركات'!A:A,MATCH(1117,'بيانات الحركات'!$G:$G,0)),"")</f>
        <v/>
      </c>
      <c r="B1118" s="5" t="str">
        <f>IFERROR(INDEX('بيانات الحركات'!B:B,MATCH(1117,'بيانات الحركات'!$G:$G,0)),"")</f>
        <v/>
      </c>
      <c r="C1118" s="3" t="str">
        <f>IFERROR(INDEX('بيانات الحركات'!C:C,MATCH(1117,'بيانات الحركات'!$G:$G,0)),"")</f>
        <v/>
      </c>
      <c r="D1118" s="3" t="str">
        <f>IFERROR(INDEX('بيانات الحركات'!D:D,MATCH(1117,'بيانات الحركات'!$G:$G,0)),"")</f>
        <v/>
      </c>
      <c r="E1118" s="21" t="str">
        <f>IF($B1118="إنتاج طبخة","",IFERROR(INDEX('بيانات الحركات'!E:E,MATCH(1117,'بيانات الحركات'!$G:$G,0)),""))</f>
        <v/>
      </c>
      <c r="F1118" s="3" t="str">
        <f>IFERROR(INDEX('بيانات الحركات'!F:F,MATCH(1117,'بيانات الحركات'!$G:$G,0)),"")</f>
        <v/>
      </c>
    </row>
    <row r="1119" spans="1:6" ht="21.95" customHeight="1">
      <c r="A1119" s="8" t="str">
        <f>IFERROR(INDEX('بيانات الحركات'!A:A,MATCH(1118,'بيانات الحركات'!$G:$G,0)),"")</f>
        <v/>
      </c>
      <c r="B1119" s="5" t="str">
        <f>IFERROR(INDEX('بيانات الحركات'!B:B,MATCH(1118,'بيانات الحركات'!$G:$G,0)),"")</f>
        <v/>
      </c>
      <c r="C1119" s="3" t="str">
        <f>IFERROR(INDEX('بيانات الحركات'!C:C,MATCH(1118,'بيانات الحركات'!$G:$G,0)),"")</f>
        <v/>
      </c>
      <c r="D1119" s="3" t="str">
        <f>IFERROR(INDEX('بيانات الحركات'!D:D,MATCH(1118,'بيانات الحركات'!$G:$G,0)),"")</f>
        <v/>
      </c>
      <c r="E1119" s="21" t="str">
        <f>IF($B1119="إنتاج طبخة","",IFERROR(INDEX('بيانات الحركات'!E:E,MATCH(1118,'بيانات الحركات'!$G:$G,0)),""))</f>
        <v/>
      </c>
      <c r="F1119" s="3" t="str">
        <f>IFERROR(INDEX('بيانات الحركات'!F:F,MATCH(1118,'بيانات الحركات'!$G:$G,0)),"")</f>
        <v/>
      </c>
    </row>
    <row r="1120" spans="1:6" ht="21.95" customHeight="1">
      <c r="A1120" s="8" t="str">
        <f>IFERROR(INDEX('بيانات الحركات'!A:A,MATCH(1119,'بيانات الحركات'!$G:$G,0)),"")</f>
        <v/>
      </c>
      <c r="B1120" s="5" t="str">
        <f>IFERROR(INDEX('بيانات الحركات'!B:B,MATCH(1119,'بيانات الحركات'!$G:$G,0)),"")</f>
        <v/>
      </c>
      <c r="C1120" s="3" t="str">
        <f>IFERROR(INDEX('بيانات الحركات'!C:C,MATCH(1119,'بيانات الحركات'!$G:$G,0)),"")</f>
        <v/>
      </c>
      <c r="D1120" s="3" t="str">
        <f>IFERROR(INDEX('بيانات الحركات'!D:D,MATCH(1119,'بيانات الحركات'!$G:$G,0)),"")</f>
        <v/>
      </c>
      <c r="E1120" s="21" t="str">
        <f>IF($B1120="إنتاج طبخة","",IFERROR(INDEX('بيانات الحركات'!E:E,MATCH(1119,'بيانات الحركات'!$G:$G,0)),""))</f>
        <v/>
      </c>
      <c r="F1120" s="3" t="str">
        <f>IFERROR(INDEX('بيانات الحركات'!F:F,MATCH(1119,'بيانات الحركات'!$G:$G,0)),"")</f>
        <v/>
      </c>
    </row>
    <row r="1121" spans="1:6" ht="21.95" customHeight="1">
      <c r="A1121" s="8" t="str">
        <f>IFERROR(INDEX('بيانات الحركات'!A:A,MATCH(1120,'بيانات الحركات'!$G:$G,0)),"")</f>
        <v/>
      </c>
      <c r="B1121" s="5" t="str">
        <f>IFERROR(INDEX('بيانات الحركات'!B:B,MATCH(1120,'بيانات الحركات'!$G:$G,0)),"")</f>
        <v/>
      </c>
      <c r="C1121" s="3" t="str">
        <f>IFERROR(INDEX('بيانات الحركات'!C:C,MATCH(1120,'بيانات الحركات'!$G:$G,0)),"")</f>
        <v/>
      </c>
      <c r="D1121" s="3" t="str">
        <f>IFERROR(INDEX('بيانات الحركات'!D:D,MATCH(1120,'بيانات الحركات'!$G:$G,0)),"")</f>
        <v/>
      </c>
      <c r="E1121" s="21" t="str">
        <f>IF($B1121="إنتاج طبخة","",IFERROR(INDEX('بيانات الحركات'!E:E,MATCH(1120,'بيانات الحركات'!$G:$G,0)),""))</f>
        <v/>
      </c>
      <c r="F1121" s="3" t="str">
        <f>IFERROR(INDEX('بيانات الحركات'!F:F,MATCH(1120,'بيانات الحركات'!$G:$G,0)),"")</f>
        <v/>
      </c>
    </row>
    <row r="1122" spans="1:6" ht="21.95" customHeight="1">
      <c r="A1122" s="8" t="str">
        <f>IFERROR(INDEX('بيانات الحركات'!A:A,MATCH(1121,'بيانات الحركات'!$G:$G,0)),"")</f>
        <v/>
      </c>
      <c r="B1122" s="5" t="str">
        <f>IFERROR(INDEX('بيانات الحركات'!B:B,MATCH(1121,'بيانات الحركات'!$G:$G,0)),"")</f>
        <v/>
      </c>
      <c r="C1122" s="3" t="str">
        <f>IFERROR(INDEX('بيانات الحركات'!C:C,MATCH(1121,'بيانات الحركات'!$G:$G,0)),"")</f>
        <v/>
      </c>
      <c r="D1122" s="3" t="str">
        <f>IFERROR(INDEX('بيانات الحركات'!D:D,MATCH(1121,'بيانات الحركات'!$G:$G,0)),"")</f>
        <v/>
      </c>
      <c r="E1122" s="21" t="str">
        <f>IF($B1122="إنتاج طبخة","",IFERROR(INDEX('بيانات الحركات'!E:E,MATCH(1121,'بيانات الحركات'!$G:$G,0)),""))</f>
        <v/>
      </c>
      <c r="F1122" s="3" t="str">
        <f>IFERROR(INDEX('بيانات الحركات'!F:F,MATCH(1121,'بيانات الحركات'!$G:$G,0)),"")</f>
        <v/>
      </c>
    </row>
    <row r="1123" spans="1:6" ht="21.95" customHeight="1">
      <c r="A1123" s="8" t="str">
        <f>IFERROR(INDEX('بيانات الحركات'!A:A,MATCH(1122,'بيانات الحركات'!$G:$G,0)),"")</f>
        <v/>
      </c>
      <c r="B1123" s="5" t="str">
        <f>IFERROR(INDEX('بيانات الحركات'!B:B,MATCH(1122,'بيانات الحركات'!$G:$G,0)),"")</f>
        <v/>
      </c>
      <c r="C1123" s="3" t="str">
        <f>IFERROR(INDEX('بيانات الحركات'!C:C,MATCH(1122,'بيانات الحركات'!$G:$G,0)),"")</f>
        <v/>
      </c>
      <c r="D1123" s="3" t="str">
        <f>IFERROR(INDEX('بيانات الحركات'!D:D,MATCH(1122,'بيانات الحركات'!$G:$G,0)),"")</f>
        <v/>
      </c>
      <c r="E1123" s="21" t="str">
        <f>IF($B1123="إنتاج طبخة","",IFERROR(INDEX('بيانات الحركات'!E:E,MATCH(1122,'بيانات الحركات'!$G:$G,0)),""))</f>
        <v/>
      </c>
      <c r="F1123" s="3" t="str">
        <f>IFERROR(INDEX('بيانات الحركات'!F:F,MATCH(1122,'بيانات الحركات'!$G:$G,0)),"")</f>
        <v/>
      </c>
    </row>
    <row r="1124" spans="1:6" ht="21.95" customHeight="1">
      <c r="A1124" s="8" t="str">
        <f>IFERROR(INDEX('بيانات الحركات'!A:A,MATCH(1123,'بيانات الحركات'!$G:$G,0)),"")</f>
        <v/>
      </c>
      <c r="B1124" s="5" t="str">
        <f>IFERROR(INDEX('بيانات الحركات'!B:B,MATCH(1123,'بيانات الحركات'!$G:$G,0)),"")</f>
        <v/>
      </c>
      <c r="C1124" s="3" t="str">
        <f>IFERROR(INDEX('بيانات الحركات'!C:C,MATCH(1123,'بيانات الحركات'!$G:$G,0)),"")</f>
        <v/>
      </c>
      <c r="D1124" s="3" t="str">
        <f>IFERROR(INDEX('بيانات الحركات'!D:D,MATCH(1123,'بيانات الحركات'!$G:$G,0)),"")</f>
        <v/>
      </c>
      <c r="E1124" s="21" t="str">
        <f>IF($B1124="إنتاج طبخة","",IFERROR(INDEX('بيانات الحركات'!E:E,MATCH(1123,'بيانات الحركات'!$G:$G,0)),""))</f>
        <v/>
      </c>
      <c r="F1124" s="3" t="str">
        <f>IFERROR(INDEX('بيانات الحركات'!F:F,MATCH(1123,'بيانات الحركات'!$G:$G,0)),"")</f>
        <v/>
      </c>
    </row>
    <row r="1125" spans="1:6" ht="21.95" customHeight="1">
      <c r="A1125" s="8" t="str">
        <f>IFERROR(INDEX('بيانات الحركات'!A:A,MATCH(1124,'بيانات الحركات'!$G:$G,0)),"")</f>
        <v/>
      </c>
      <c r="B1125" s="5" t="str">
        <f>IFERROR(INDEX('بيانات الحركات'!B:B,MATCH(1124,'بيانات الحركات'!$G:$G,0)),"")</f>
        <v/>
      </c>
      <c r="C1125" s="3" t="str">
        <f>IFERROR(INDEX('بيانات الحركات'!C:C,MATCH(1124,'بيانات الحركات'!$G:$G,0)),"")</f>
        <v/>
      </c>
      <c r="D1125" s="3" t="str">
        <f>IFERROR(INDEX('بيانات الحركات'!D:D,MATCH(1124,'بيانات الحركات'!$G:$G,0)),"")</f>
        <v/>
      </c>
      <c r="E1125" s="21" t="str">
        <f>IF($B1125="إنتاج طبخة","",IFERROR(INDEX('بيانات الحركات'!E:E,MATCH(1124,'بيانات الحركات'!$G:$G,0)),""))</f>
        <v/>
      </c>
      <c r="F1125" s="3" t="str">
        <f>IFERROR(INDEX('بيانات الحركات'!F:F,MATCH(1124,'بيانات الحركات'!$G:$G,0)),"")</f>
        <v/>
      </c>
    </row>
    <row r="1126" spans="1:6" ht="21.95" customHeight="1">
      <c r="A1126" s="8" t="str">
        <f>IFERROR(INDEX('بيانات الحركات'!A:A,MATCH(1125,'بيانات الحركات'!$G:$G,0)),"")</f>
        <v/>
      </c>
      <c r="B1126" s="5" t="str">
        <f>IFERROR(INDEX('بيانات الحركات'!B:B,MATCH(1125,'بيانات الحركات'!$G:$G,0)),"")</f>
        <v/>
      </c>
      <c r="C1126" s="3" t="str">
        <f>IFERROR(INDEX('بيانات الحركات'!C:C,MATCH(1125,'بيانات الحركات'!$G:$G,0)),"")</f>
        <v/>
      </c>
      <c r="D1126" s="3" t="str">
        <f>IFERROR(INDEX('بيانات الحركات'!D:D,MATCH(1125,'بيانات الحركات'!$G:$G,0)),"")</f>
        <v/>
      </c>
      <c r="E1126" s="21" t="str">
        <f>IF($B1126="إنتاج طبخة","",IFERROR(INDEX('بيانات الحركات'!E:E,MATCH(1125,'بيانات الحركات'!$G:$G,0)),""))</f>
        <v/>
      </c>
      <c r="F1126" s="3" t="str">
        <f>IFERROR(INDEX('بيانات الحركات'!F:F,MATCH(1125,'بيانات الحركات'!$G:$G,0)),"")</f>
        <v/>
      </c>
    </row>
    <row r="1127" spans="1:6" ht="21.95" customHeight="1">
      <c r="A1127" s="8" t="str">
        <f>IFERROR(INDEX('بيانات الحركات'!A:A,MATCH(1126,'بيانات الحركات'!$G:$G,0)),"")</f>
        <v/>
      </c>
      <c r="B1127" s="5" t="str">
        <f>IFERROR(INDEX('بيانات الحركات'!B:B,MATCH(1126,'بيانات الحركات'!$G:$G,0)),"")</f>
        <v/>
      </c>
      <c r="C1127" s="3" t="str">
        <f>IFERROR(INDEX('بيانات الحركات'!C:C,MATCH(1126,'بيانات الحركات'!$G:$G,0)),"")</f>
        <v/>
      </c>
      <c r="D1127" s="3" t="str">
        <f>IFERROR(INDEX('بيانات الحركات'!D:D,MATCH(1126,'بيانات الحركات'!$G:$G,0)),"")</f>
        <v/>
      </c>
      <c r="E1127" s="21" t="str">
        <f>IF($B1127="إنتاج طبخة","",IFERROR(INDEX('بيانات الحركات'!E:E,MATCH(1126,'بيانات الحركات'!$G:$G,0)),""))</f>
        <v/>
      </c>
      <c r="F1127" s="3" t="str">
        <f>IFERROR(INDEX('بيانات الحركات'!F:F,MATCH(1126,'بيانات الحركات'!$G:$G,0)),"")</f>
        <v/>
      </c>
    </row>
    <row r="1128" spans="1:6" ht="21.95" customHeight="1">
      <c r="A1128" s="8" t="str">
        <f>IFERROR(INDEX('بيانات الحركات'!A:A,MATCH(1127,'بيانات الحركات'!$G:$G,0)),"")</f>
        <v/>
      </c>
      <c r="B1128" s="5" t="str">
        <f>IFERROR(INDEX('بيانات الحركات'!B:B,MATCH(1127,'بيانات الحركات'!$G:$G,0)),"")</f>
        <v/>
      </c>
      <c r="C1128" s="3" t="str">
        <f>IFERROR(INDEX('بيانات الحركات'!C:C,MATCH(1127,'بيانات الحركات'!$G:$G,0)),"")</f>
        <v/>
      </c>
      <c r="D1128" s="3" t="str">
        <f>IFERROR(INDEX('بيانات الحركات'!D:D,MATCH(1127,'بيانات الحركات'!$G:$G,0)),"")</f>
        <v/>
      </c>
      <c r="E1128" s="21" t="str">
        <f>IF($B1128="إنتاج طبخة","",IFERROR(INDEX('بيانات الحركات'!E:E,MATCH(1127,'بيانات الحركات'!$G:$G,0)),""))</f>
        <v/>
      </c>
      <c r="F1128" s="3" t="str">
        <f>IFERROR(INDEX('بيانات الحركات'!F:F,MATCH(1127,'بيانات الحركات'!$G:$G,0)),"")</f>
        <v/>
      </c>
    </row>
    <row r="1129" spans="1:6" ht="21.95" customHeight="1">
      <c r="A1129" s="8" t="str">
        <f>IFERROR(INDEX('بيانات الحركات'!A:A,MATCH(1128,'بيانات الحركات'!$G:$G,0)),"")</f>
        <v/>
      </c>
      <c r="B1129" s="5" t="str">
        <f>IFERROR(INDEX('بيانات الحركات'!B:B,MATCH(1128,'بيانات الحركات'!$G:$G,0)),"")</f>
        <v/>
      </c>
      <c r="C1129" s="3" t="str">
        <f>IFERROR(INDEX('بيانات الحركات'!C:C,MATCH(1128,'بيانات الحركات'!$G:$G,0)),"")</f>
        <v/>
      </c>
      <c r="D1129" s="3" t="str">
        <f>IFERROR(INDEX('بيانات الحركات'!D:D,MATCH(1128,'بيانات الحركات'!$G:$G,0)),"")</f>
        <v/>
      </c>
      <c r="E1129" s="21" t="str">
        <f>IF($B1129="إنتاج طبخة","",IFERROR(INDEX('بيانات الحركات'!E:E,MATCH(1128,'بيانات الحركات'!$G:$G,0)),""))</f>
        <v/>
      </c>
      <c r="F1129" s="3" t="str">
        <f>IFERROR(INDEX('بيانات الحركات'!F:F,MATCH(1128,'بيانات الحركات'!$G:$G,0)),"")</f>
        <v/>
      </c>
    </row>
    <row r="1130" spans="1:6" ht="21.95" customHeight="1">
      <c r="A1130" s="8" t="str">
        <f>IFERROR(INDEX('بيانات الحركات'!A:A,MATCH(1129,'بيانات الحركات'!$G:$G,0)),"")</f>
        <v/>
      </c>
      <c r="B1130" s="5" t="str">
        <f>IFERROR(INDEX('بيانات الحركات'!B:B,MATCH(1129,'بيانات الحركات'!$G:$G,0)),"")</f>
        <v/>
      </c>
      <c r="C1130" s="3" t="str">
        <f>IFERROR(INDEX('بيانات الحركات'!C:C,MATCH(1129,'بيانات الحركات'!$G:$G,0)),"")</f>
        <v/>
      </c>
      <c r="D1130" s="3" t="str">
        <f>IFERROR(INDEX('بيانات الحركات'!D:D,MATCH(1129,'بيانات الحركات'!$G:$G,0)),"")</f>
        <v/>
      </c>
      <c r="E1130" s="21" t="str">
        <f>IF($B1130="إنتاج طبخة","",IFERROR(INDEX('بيانات الحركات'!E:E,MATCH(1129,'بيانات الحركات'!$G:$G,0)),""))</f>
        <v/>
      </c>
      <c r="F1130" s="3" t="str">
        <f>IFERROR(INDEX('بيانات الحركات'!F:F,MATCH(1129,'بيانات الحركات'!$G:$G,0)),"")</f>
        <v/>
      </c>
    </row>
    <row r="1131" spans="1:6" ht="21.95" customHeight="1">
      <c r="A1131" s="8" t="str">
        <f>IFERROR(INDEX('بيانات الحركات'!A:A,MATCH(1130,'بيانات الحركات'!$G:$G,0)),"")</f>
        <v/>
      </c>
      <c r="B1131" s="5" t="str">
        <f>IFERROR(INDEX('بيانات الحركات'!B:B,MATCH(1130,'بيانات الحركات'!$G:$G,0)),"")</f>
        <v/>
      </c>
      <c r="C1131" s="3" t="str">
        <f>IFERROR(INDEX('بيانات الحركات'!C:C,MATCH(1130,'بيانات الحركات'!$G:$G,0)),"")</f>
        <v/>
      </c>
      <c r="D1131" s="3" t="str">
        <f>IFERROR(INDEX('بيانات الحركات'!D:D,MATCH(1130,'بيانات الحركات'!$G:$G,0)),"")</f>
        <v/>
      </c>
      <c r="E1131" s="21" t="str">
        <f>IF($B1131="إنتاج طبخة","",IFERROR(INDEX('بيانات الحركات'!E:E,MATCH(1130,'بيانات الحركات'!$G:$G,0)),""))</f>
        <v/>
      </c>
      <c r="F1131" s="3" t="str">
        <f>IFERROR(INDEX('بيانات الحركات'!F:F,MATCH(1130,'بيانات الحركات'!$G:$G,0)),"")</f>
        <v/>
      </c>
    </row>
    <row r="1132" spans="1:6" ht="21.95" customHeight="1">
      <c r="A1132" s="8" t="str">
        <f>IFERROR(INDEX('بيانات الحركات'!A:A,MATCH(1131,'بيانات الحركات'!$G:$G,0)),"")</f>
        <v/>
      </c>
      <c r="B1132" s="5" t="str">
        <f>IFERROR(INDEX('بيانات الحركات'!B:B,MATCH(1131,'بيانات الحركات'!$G:$G,0)),"")</f>
        <v/>
      </c>
      <c r="C1132" s="3" t="str">
        <f>IFERROR(INDEX('بيانات الحركات'!C:C,MATCH(1131,'بيانات الحركات'!$G:$G,0)),"")</f>
        <v/>
      </c>
      <c r="D1132" s="3" t="str">
        <f>IFERROR(INDEX('بيانات الحركات'!D:D,MATCH(1131,'بيانات الحركات'!$G:$G,0)),"")</f>
        <v/>
      </c>
      <c r="E1132" s="21" t="str">
        <f>IF($B1132="إنتاج طبخة","",IFERROR(INDEX('بيانات الحركات'!E:E,MATCH(1131,'بيانات الحركات'!$G:$G,0)),""))</f>
        <v/>
      </c>
      <c r="F1132" s="3" t="str">
        <f>IFERROR(INDEX('بيانات الحركات'!F:F,MATCH(1131,'بيانات الحركات'!$G:$G,0)),"")</f>
        <v/>
      </c>
    </row>
    <row r="1133" spans="1:6" ht="21.95" customHeight="1">
      <c r="A1133" s="8" t="str">
        <f>IFERROR(INDEX('بيانات الحركات'!A:A,MATCH(1132,'بيانات الحركات'!$G:$G,0)),"")</f>
        <v/>
      </c>
      <c r="B1133" s="5" t="str">
        <f>IFERROR(INDEX('بيانات الحركات'!B:B,MATCH(1132,'بيانات الحركات'!$G:$G,0)),"")</f>
        <v/>
      </c>
      <c r="C1133" s="3" t="str">
        <f>IFERROR(INDEX('بيانات الحركات'!C:C,MATCH(1132,'بيانات الحركات'!$G:$G,0)),"")</f>
        <v/>
      </c>
      <c r="D1133" s="3" t="str">
        <f>IFERROR(INDEX('بيانات الحركات'!D:D,MATCH(1132,'بيانات الحركات'!$G:$G,0)),"")</f>
        <v/>
      </c>
      <c r="E1133" s="21" t="str">
        <f>IF($B1133="إنتاج طبخة","",IFERROR(INDEX('بيانات الحركات'!E:E,MATCH(1132,'بيانات الحركات'!$G:$G,0)),""))</f>
        <v/>
      </c>
      <c r="F1133" s="3" t="str">
        <f>IFERROR(INDEX('بيانات الحركات'!F:F,MATCH(1132,'بيانات الحركات'!$G:$G,0)),"")</f>
        <v/>
      </c>
    </row>
    <row r="1134" spans="1:6" ht="21.95" customHeight="1">
      <c r="A1134" s="8" t="str">
        <f>IFERROR(INDEX('بيانات الحركات'!A:A,MATCH(1133,'بيانات الحركات'!$G:$G,0)),"")</f>
        <v/>
      </c>
      <c r="B1134" s="5" t="str">
        <f>IFERROR(INDEX('بيانات الحركات'!B:B,MATCH(1133,'بيانات الحركات'!$G:$G,0)),"")</f>
        <v/>
      </c>
      <c r="C1134" s="3" t="str">
        <f>IFERROR(INDEX('بيانات الحركات'!C:C,MATCH(1133,'بيانات الحركات'!$G:$G,0)),"")</f>
        <v/>
      </c>
      <c r="D1134" s="3" t="str">
        <f>IFERROR(INDEX('بيانات الحركات'!D:D,MATCH(1133,'بيانات الحركات'!$G:$G,0)),"")</f>
        <v/>
      </c>
      <c r="E1134" s="21" t="str">
        <f>IF($B1134="إنتاج طبخة","",IFERROR(INDEX('بيانات الحركات'!E:E,MATCH(1133,'بيانات الحركات'!$G:$G,0)),""))</f>
        <v/>
      </c>
      <c r="F1134" s="3" t="str">
        <f>IFERROR(INDEX('بيانات الحركات'!F:F,MATCH(1133,'بيانات الحركات'!$G:$G,0)),"")</f>
        <v/>
      </c>
    </row>
    <row r="1135" spans="1:6" ht="21.95" customHeight="1">
      <c r="A1135" s="8" t="str">
        <f>IFERROR(INDEX('بيانات الحركات'!A:A,MATCH(1134,'بيانات الحركات'!$G:$G,0)),"")</f>
        <v/>
      </c>
      <c r="B1135" s="5" t="str">
        <f>IFERROR(INDEX('بيانات الحركات'!B:B,MATCH(1134,'بيانات الحركات'!$G:$G,0)),"")</f>
        <v/>
      </c>
      <c r="C1135" s="3" t="str">
        <f>IFERROR(INDEX('بيانات الحركات'!C:C,MATCH(1134,'بيانات الحركات'!$G:$G,0)),"")</f>
        <v/>
      </c>
      <c r="D1135" s="3" t="str">
        <f>IFERROR(INDEX('بيانات الحركات'!D:D,MATCH(1134,'بيانات الحركات'!$G:$G,0)),"")</f>
        <v/>
      </c>
      <c r="E1135" s="21" t="str">
        <f>IF($B1135="إنتاج طبخة","",IFERROR(INDEX('بيانات الحركات'!E:E,MATCH(1134,'بيانات الحركات'!$G:$G,0)),""))</f>
        <v/>
      </c>
      <c r="F1135" s="3" t="str">
        <f>IFERROR(INDEX('بيانات الحركات'!F:F,MATCH(1134,'بيانات الحركات'!$G:$G,0)),"")</f>
        <v/>
      </c>
    </row>
    <row r="1136" spans="1:6" ht="21.95" customHeight="1">
      <c r="A1136" s="8" t="str">
        <f>IFERROR(INDEX('بيانات الحركات'!A:A,MATCH(1135,'بيانات الحركات'!$G:$G,0)),"")</f>
        <v/>
      </c>
      <c r="B1136" s="5" t="str">
        <f>IFERROR(INDEX('بيانات الحركات'!B:B,MATCH(1135,'بيانات الحركات'!$G:$G,0)),"")</f>
        <v/>
      </c>
      <c r="C1136" s="3" t="str">
        <f>IFERROR(INDEX('بيانات الحركات'!C:C,MATCH(1135,'بيانات الحركات'!$G:$G,0)),"")</f>
        <v/>
      </c>
      <c r="D1136" s="3" t="str">
        <f>IFERROR(INDEX('بيانات الحركات'!D:D,MATCH(1135,'بيانات الحركات'!$G:$G,0)),"")</f>
        <v/>
      </c>
      <c r="E1136" s="21" t="str">
        <f>IF($B1136="إنتاج طبخة","",IFERROR(INDEX('بيانات الحركات'!E:E,MATCH(1135,'بيانات الحركات'!$G:$G,0)),""))</f>
        <v/>
      </c>
      <c r="F1136" s="3" t="str">
        <f>IFERROR(INDEX('بيانات الحركات'!F:F,MATCH(1135,'بيانات الحركات'!$G:$G,0)),"")</f>
        <v/>
      </c>
    </row>
    <row r="1137" spans="1:6" ht="21.95" customHeight="1">
      <c r="A1137" s="8" t="str">
        <f>IFERROR(INDEX('بيانات الحركات'!A:A,MATCH(1136,'بيانات الحركات'!$G:$G,0)),"")</f>
        <v/>
      </c>
      <c r="B1137" s="5" t="str">
        <f>IFERROR(INDEX('بيانات الحركات'!B:B,MATCH(1136,'بيانات الحركات'!$G:$G,0)),"")</f>
        <v/>
      </c>
      <c r="C1137" s="3" t="str">
        <f>IFERROR(INDEX('بيانات الحركات'!C:C,MATCH(1136,'بيانات الحركات'!$G:$G,0)),"")</f>
        <v/>
      </c>
      <c r="D1137" s="3" t="str">
        <f>IFERROR(INDEX('بيانات الحركات'!D:D,MATCH(1136,'بيانات الحركات'!$G:$G,0)),"")</f>
        <v/>
      </c>
      <c r="E1137" s="21" t="str">
        <f>IF($B1137="إنتاج طبخة","",IFERROR(INDEX('بيانات الحركات'!E:E,MATCH(1136,'بيانات الحركات'!$G:$G,0)),""))</f>
        <v/>
      </c>
      <c r="F1137" s="3" t="str">
        <f>IFERROR(INDEX('بيانات الحركات'!F:F,MATCH(1136,'بيانات الحركات'!$G:$G,0)),"")</f>
        <v/>
      </c>
    </row>
    <row r="1138" spans="1:6" ht="21.95" customHeight="1">
      <c r="A1138" s="8" t="str">
        <f>IFERROR(INDEX('بيانات الحركات'!A:A,MATCH(1137,'بيانات الحركات'!$G:$G,0)),"")</f>
        <v/>
      </c>
      <c r="B1138" s="5" t="str">
        <f>IFERROR(INDEX('بيانات الحركات'!B:B,MATCH(1137,'بيانات الحركات'!$G:$G,0)),"")</f>
        <v/>
      </c>
      <c r="C1138" s="3" t="str">
        <f>IFERROR(INDEX('بيانات الحركات'!C:C,MATCH(1137,'بيانات الحركات'!$G:$G,0)),"")</f>
        <v/>
      </c>
      <c r="D1138" s="3" t="str">
        <f>IFERROR(INDEX('بيانات الحركات'!D:D,MATCH(1137,'بيانات الحركات'!$G:$G,0)),"")</f>
        <v/>
      </c>
      <c r="E1138" s="21" t="str">
        <f>IF($B1138="إنتاج طبخة","",IFERROR(INDEX('بيانات الحركات'!E:E,MATCH(1137,'بيانات الحركات'!$G:$G,0)),""))</f>
        <v/>
      </c>
      <c r="F1138" s="3" t="str">
        <f>IFERROR(INDEX('بيانات الحركات'!F:F,MATCH(1137,'بيانات الحركات'!$G:$G,0)),"")</f>
        <v/>
      </c>
    </row>
    <row r="1139" spans="1:6" ht="21.95" customHeight="1">
      <c r="A1139" s="8" t="str">
        <f>IFERROR(INDEX('بيانات الحركات'!A:A,MATCH(1138,'بيانات الحركات'!$G:$G,0)),"")</f>
        <v/>
      </c>
      <c r="B1139" s="5" t="str">
        <f>IFERROR(INDEX('بيانات الحركات'!B:B,MATCH(1138,'بيانات الحركات'!$G:$G,0)),"")</f>
        <v/>
      </c>
      <c r="C1139" s="3" t="str">
        <f>IFERROR(INDEX('بيانات الحركات'!C:C,MATCH(1138,'بيانات الحركات'!$G:$G,0)),"")</f>
        <v/>
      </c>
      <c r="D1139" s="3" t="str">
        <f>IFERROR(INDEX('بيانات الحركات'!D:D,MATCH(1138,'بيانات الحركات'!$G:$G,0)),"")</f>
        <v/>
      </c>
      <c r="E1139" s="21" t="str">
        <f>IF($B1139="إنتاج طبخة","",IFERROR(INDEX('بيانات الحركات'!E:E,MATCH(1138,'بيانات الحركات'!$G:$G,0)),""))</f>
        <v/>
      </c>
      <c r="F1139" s="3" t="str">
        <f>IFERROR(INDEX('بيانات الحركات'!F:F,MATCH(1138,'بيانات الحركات'!$G:$G,0)),"")</f>
        <v/>
      </c>
    </row>
    <row r="1140" spans="1:6" ht="21.95" customHeight="1">
      <c r="A1140" s="8" t="str">
        <f>IFERROR(INDEX('بيانات الحركات'!A:A,MATCH(1139,'بيانات الحركات'!$G:$G,0)),"")</f>
        <v/>
      </c>
      <c r="B1140" s="5" t="str">
        <f>IFERROR(INDEX('بيانات الحركات'!B:B,MATCH(1139,'بيانات الحركات'!$G:$G,0)),"")</f>
        <v/>
      </c>
      <c r="C1140" s="3" t="str">
        <f>IFERROR(INDEX('بيانات الحركات'!C:C,MATCH(1139,'بيانات الحركات'!$G:$G,0)),"")</f>
        <v/>
      </c>
      <c r="D1140" s="3" t="str">
        <f>IFERROR(INDEX('بيانات الحركات'!D:D,MATCH(1139,'بيانات الحركات'!$G:$G,0)),"")</f>
        <v/>
      </c>
      <c r="E1140" s="21" t="str">
        <f>IF($B1140="إنتاج طبخة","",IFERROR(INDEX('بيانات الحركات'!E:E,MATCH(1139,'بيانات الحركات'!$G:$G,0)),""))</f>
        <v/>
      </c>
      <c r="F1140" s="3" t="str">
        <f>IFERROR(INDEX('بيانات الحركات'!F:F,MATCH(1139,'بيانات الحركات'!$G:$G,0)),"")</f>
        <v/>
      </c>
    </row>
    <row r="1141" spans="1:6" ht="21.95" customHeight="1">
      <c r="A1141" s="8" t="str">
        <f>IFERROR(INDEX('بيانات الحركات'!A:A,MATCH(1140,'بيانات الحركات'!$G:$G,0)),"")</f>
        <v/>
      </c>
      <c r="B1141" s="5" t="str">
        <f>IFERROR(INDEX('بيانات الحركات'!B:B,MATCH(1140,'بيانات الحركات'!$G:$G,0)),"")</f>
        <v/>
      </c>
      <c r="C1141" s="3" t="str">
        <f>IFERROR(INDEX('بيانات الحركات'!C:C,MATCH(1140,'بيانات الحركات'!$G:$G,0)),"")</f>
        <v/>
      </c>
      <c r="D1141" s="3" t="str">
        <f>IFERROR(INDEX('بيانات الحركات'!D:D,MATCH(1140,'بيانات الحركات'!$G:$G,0)),"")</f>
        <v/>
      </c>
      <c r="E1141" s="21" t="str">
        <f>IF($B1141="إنتاج طبخة","",IFERROR(INDEX('بيانات الحركات'!E:E,MATCH(1140,'بيانات الحركات'!$G:$G,0)),""))</f>
        <v/>
      </c>
      <c r="F1141" s="3" t="str">
        <f>IFERROR(INDEX('بيانات الحركات'!F:F,MATCH(1140,'بيانات الحركات'!$G:$G,0)),"")</f>
        <v/>
      </c>
    </row>
    <row r="1142" spans="1:6" ht="21.95" customHeight="1">
      <c r="A1142" s="8" t="str">
        <f>IFERROR(INDEX('بيانات الحركات'!A:A,MATCH(1141,'بيانات الحركات'!$G:$G,0)),"")</f>
        <v/>
      </c>
      <c r="B1142" s="5" t="str">
        <f>IFERROR(INDEX('بيانات الحركات'!B:B,MATCH(1141,'بيانات الحركات'!$G:$G,0)),"")</f>
        <v/>
      </c>
      <c r="C1142" s="3" t="str">
        <f>IFERROR(INDEX('بيانات الحركات'!C:C,MATCH(1141,'بيانات الحركات'!$G:$G,0)),"")</f>
        <v/>
      </c>
      <c r="D1142" s="3" t="str">
        <f>IFERROR(INDEX('بيانات الحركات'!D:D,MATCH(1141,'بيانات الحركات'!$G:$G,0)),"")</f>
        <v/>
      </c>
      <c r="E1142" s="21" t="str">
        <f>IF($B1142="إنتاج طبخة","",IFERROR(INDEX('بيانات الحركات'!E:E,MATCH(1141,'بيانات الحركات'!$G:$G,0)),""))</f>
        <v/>
      </c>
      <c r="F1142" s="3" t="str">
        <f>IFERROR(INDEX('بيانات الحركات'!F:F,MATCH(1141,'بيانات الحركات'!$G:$G,0)),"")</f>
        <v/>
      </c>
    </row>
    <row r="1143" spans="1:6" ht="21.95" customHeight="1">
      <c r="A1143" s="8" t="str">
        <f>IFERROR(INDEX('بيانات الحركات'!A:A,MATCH(1142,'بيانات الحركات'!$G:$G,0)),"")</f>
        <v/>
      </c>
      <c r="B1143" s="5" t="str">
        <f>IFERROR(INDEX('بيانات الحركات'!B:B,MATCH(1142,'بيانات الحركات'!$G:$G,0)),"")</f>
        <v/>
      </c>
      <c r="C1143" s="3" t="str">
        <f>IFERROR(INDEX('بيانات الحركات'!C:C,MATCH(1142,'بيانات الحركات'!$G:$G,0)),"")</f>
        <v/>
      </c>
      <c r="D1143" s="3" t="str">
        <f>IFERROR(INDEX('بيانات الحركات'!D:D,MATCH(1142,'بيانات الحركات'!$G:$G,0)),"")</f>
        <v/>
      </c>
      <c r="E1143" s="21" t="str">
        <f>IF($B1143="إنتاج طبخة","",IFERROR(INDEX('بيانات الحركات'!E:E,MATCH(1142,'بيانات الحركات'!$G:$G,0)),""))</f>
        <v/>
      </c>
      <c r="F1143" s="3" t="str">
        <f>IFERROR(INDEX('بيانات الحركات'!F:F,MATCH(1142,'بيانات الحركات'!$G:$G,0)),"")</f>
        <v/>
      </c>
    </row>
    <row r="1144" spans="1:6" ht="21.95" customHeight="1">
      <c r="A1144" s="8" t="str">
        <f>IFERROR(INDEX('بيانات الحركات'!A:A,MATCH(1143,'بيانات الحركات'!$G:$G,0)),"")</f>
        <v/>
      </c>
      <c r="B1144" s="5" t="str">
        <f>IFERROR(INDEX('بيانات الحركات'!B:B,MATCH(1143,'بيانات الحركات'!$G:$G,0)),"")</f>
        <v/>
      </c>
      <c r="C1144" s="3" t="str">
        <f>IFERROR(INDEX('بيانات الحركات'!C:C,MATCH(1143,'بيانات الحركات'!$G:$G,0)),"")</f>
        <v/>
      </c>
      <c r="D1144" s="3" t="str">
        <f>IFERROR(INDEX('بيانات الحركات'!D:D,MATCH(1143,'بيانات الحركات'!$G:$G,0)),"")</f>
        <v/>
      </c>
      <c r="E1144" s="21" t="str">
        <f>IF($B1144="إنتاج طبخة","",IFERROR(INDEX('بيانات الحركات'!E:E,MATCH(1143,'بيانات الحركات'!$G:$G,0)),""))</f>
        <v/>
      </c>
      <c r="F1144" s="3" t="str">
        <f>IFERROR(INDEX('بيانات الحركات'!F:F,MATCH(1143,'بيانات الحركات'!$G:$G,0)),"")</f>
        <v/>
      </c>
    </row>
    <row r="1145" spans="1:6" ht="21.95" customHeight="1">
      <c r="A1145" s="8" t="str">
        <f>IFERROR(INDEX('بيانات الحركات'!A:A,MATCH(1144,'بيانات الحركات'!$G:$G,0)),"")</f>
        <v/>
      </c>
      <c r="B1145" s="5" t="str">
        <f>IFERROR(INDEX('بيانات الحركات'!B:B,MATCH(1144,'بيانات الحركات'!$G:$G,0)),"")</f>
        <v/>
      </c>
      <c r="C1145" s="3" t="str">
        <f>IFERROR(INDEX('بيانات الحركات'!C:C,MATCH(1144,'بيانات الحركات'!$G:$G,0)),"")</f>
        <v/>
      </c>
      <c r="D1145" s="3" t="str">
        <f>IFERROR(INDEX('بيانات الحركات'!D:D,MATCH(1144,'بيانات الحركات'!$G:$G,0)),"")</f>
        <v/>
      </c>
      <c r="E1145" s="21" t="str">
        <f>IF($B1145="إنتاج طبخة","",IFERROR(INDEX('بيانات الحركات'!E:E,MATCH(1144,'بيانات الحركات'!$G:$G,0)),""))</f>
        <v/>
      </c>
      <c r="F1145" s="3" t="str">
        <f>IFERROR(INDEX('بيانات الحركات'!F:F,MATCH(1144,'بيانات الحركات'!$G:$G,0)),"")</f>
        <v/>
      </c>
    </row>
    <row r="1146" spans="1:6" ht="21.95" customHeight="1">
      <c r="A1146" s="8" t="str">
        <f>IFERROR(INDEX('بيانات الحركات'!A:A,MATCH(1145,'بيانات الحركات'!$G:$G,0)),"")</f>
        <v/>
      </c>
      <c r="B1146" s="5" t="str">
        <f>IFERROR(INDEX('بيانات الحركات'!B:B,MATCH(1145,'بيانات الحركات'!$G:$G,0)),"")</f>
        <v/>
      </c>
      <c r="C1146" s="3" t="str">
        <f>IFERROR(INDEX('بيانات الحركات'!C:C,MATCH(1145,'بيانات الحركات'!$G:$G,0)),"")</f>
        <v/>
      </c>
      <c r="D1146" s="3" t="str">
        <f>IFERROR(INDEX('بيانات الحركات'!D:D,MATCH(1145,'بيانات الحركات'!$G:$G,0)),"")</f>
        <v/>
      </c>
      <c r="E1146" s="21" t="str">
        <f>IF($B1146="إنتاج طبخة","",IFERROR(INDEX('بيانات الحركات'!E:E,MATCH(1145,'بيانات الحركات'!$G:$G,0)),""))</f>
        <v/>
      </c>
      <c r="F1146" s="3" t="str">
        <f>IFERROR(INDEX('بيانات الحركات'!F:F,MATCH(1145,'بيانات الحركات'!$G:$G,0)),"")</f>
        <v/>
      </c>
    </row>
    <row r="1147" spans="1:6" ht="21.95" customHeight="1">
      <c r="A1147" s="8" t="str">
        <f>IFERROR(INDEX('بيانات الحركات'!A:A,MATCH(1146,'بيانات الحركات'!$G:$G,0)),"")</f>
        <v/>
      </c>
      <c r="B1147" s="5" t="str">
        <f>IFERROR(INDEX('بيانات الحركات'!B:B,MATCH(1146,'بيانات الحركات'!$G:$G,0)),"")</f>
        <v/>
      </c>
      <c r="C1147" s="3" t="str">
        <f>IFERROR(INDEX('بيانات الحركات'!C:C,MATCH(1146,'بيانات الحركات'!$G:$G,0)),"")</f>
        <v/>
      </c>
      <c r="D1147" s="3" t="str">
        <f>IFERROR(INDEX('بيانات الحركات'!D:D,MATCH(1146,'بيانات الحركات'!$G:$G,0)),"")</f>
        <v/>
      </c>
      <c r="E1147" s="21" t="str">
        <f>IF($B1147="إنتاج طبخة","",IFERROR(INDEX('بيانات الحركات'!E:E,MATCH(1146,'بيانات الحركات'!$G:$G,0)),""))</f>
        <v/>
      </c>
      <c r="F1147" s="3" t="str">
        <f>IFERROR(INDEX('بيانات الحركات'!F:F,MATCH(1146,'بيانات الحركات'!$G:$G,0)),"")</f>
        <v/>
      </c>
    </row>
    <row r="1148" spans="1:6" ht="21.95" customHeight="1">
      <c r="A1148" s="8" t="str">
        <f>IFERROR(INDEX('بيانات الحركات'!A:A,MATCH(1147,'بيانات الحركات'!$G:$G,0)),"")</f>
        <v/>
      </c>
      <c r="B1148" s="5" t="str">
        <f>IFERROR(INDEX('بيانات الحركات'!B:B,MATCH(1147,'بيانات الحركات'!$G:$G,0)),"")</f>
        <v/>
      </c>
      <c r="C1148" s="3" t="str">
        <f>IFERROR(INDEX('بيانات الحركات'!C:C,MATCH(1147,'بيانات الحركات'!$G:$G,0)),"")</f>
        <v/>
      </c>
      <c r="D1148" s="3" t="str">
        <f>IFERROR(INDEX('بيانات الحركات'!D:D,MATCH(1147,'بيانات الحركات'!$G:$G,0)),"")</f>
        <v/>
      </c>
      <c r="E1148" s="21" t="str">
        <f>IF($B1148="إنتاج طبخة","",IFERROR(INDEX('بيانات الحركات'!E:E,MATCH(1147,'بيانات الحركات'!$G:$G,0)),""))</f>
        <v/>
      </c>
      <c r="F1148" s="3" t="str">
        <f>IFERROR(INDEX('بيانات الحركات'!F:F,MATCH(1147,'بيانات الحركات'!$G:$G,0)),"")</f>
        <v/>
      </c>
    </row>
    <row r="1149" spans="1:6" ht="21.95" customHeight="1">
      <c r="A1149" s="8" t="str">
        <f>IFERROR(INDEX('بيانات الحركات'!A:A,MATCH(1148,'بيانات الحركات'!$G:$G,0)),"")</f>
        <v/>
      </c>
      <c r="B1149" s="5" t="str">
        <f>IFERROR(INDEX('بيانات الحركات'!B:B,MATCH(1148,'بيانات الحركات'!$G:$G,0)),"")</f>
        <v/>
      </c>
      <c r="C1149" s="3" t="str">
        <f>IFERROR(INDEX('بيانات الحركات'!C:C,MATCH(1148,'بيانات الحركات'!$G:$G,0)),"")</f>
        <v/>
      </c>
      <c r="D1149" s="3" t="str">
        <f>IFERROR(INDEX('بيانات الحركات'!D:D,MATCH(1148,'بيانات الحركات'!$G:$G,0)),"")</f>
        <v/>
      </c>
      <c r="E1149" s="21" t="str">
        <f>IF($B1149="إنتاج طبخة","",IFERROR(INDEX('بيانات الحركات'!E:E,MATCH(1148,'بيانات الحركات'!$G:$G,0)),""))</f>
        <v/>
      </c>
      <c r="F1149" s="3" t="str">
        <f>IFERROR(INDEX('بيانات الحركات'!F:F,MATCH(1148,'بيانات الحركات'!$G:$G,0)),"")</f>
        <v/>
      </c>
    </row>
    <row r="1150" spans="1:6" ht="21.95" customHeight="1">
      <c r="A1150" s="8" t="str">
        <f>IFERROR(INDEX('بيانات الحركات'!A:A,MATCH(1149,'بيانات الحركات'!$G:$G,0)),"")</f>
        <v/>
      </c>
      <c r="B1150" s="5" t="str">
        <f>IFERROR(INDEX('بيانات الحركات'!B:B,MATCH(1149,'بيانات الحركات'!$G:$G,0)),"")</f>
        <v/>
      </c>
      <c r="C1150" s="3" t="str">
        <f>IFERROR(INDEX('بيانات الحركات'!C:C,MATCH(1149,'بيانات الحركات'!$G:$G,0)),"")</f>
        <v/>
      </c>
      <c r="D1150" s="3" t="str">
        <f>IFERROR(INDEX('بيانات الحركات'!D:D,MATCH(1149,'بيانات الحركات'!$G:$G,0)),"")</f>
        <v/>
      </c>
      <c r="E1150" s="21" t="str">
        <f>IF($B1150="إنتاج طبخة","",IFERROR(INDEX('بيانات الحركات'!E:E,MATCH(1149,'بيانات الحركات'!$G:$G,0)),""))</f>
        <v/>
      </c>
      <c r="F1150" s="3" t="str">
        <f>IFERROR(INDEX('بيانات الحركات'!F:F,MATCH(1149,'بيانات الحركات'!$G:$G,0)),"")</f>
        <v/>
      </c>
    </row>
    <row r="1151" spans="1:6" ht="21.95" customHeight="1">
      <c r="A1151" s="8" t="str">
        <f>IFERROR(INDEX('بيانات الحركات'!A:A,MATCH(1150,'بيانات الحركات'!$G:$G,0)),"")</f>
        <v/>
      </c>
      <c r="B1151" s="5" t="str">
        <f>IFERROR(INDEX('بيانات الحركات'!B:B,MATCH(1150,'بيانات الحركات'!$G:$G,0)),"")</f>
        <v/>
      </c>
      <c r="C1151" s="3" t="str">
        <f>IFERROR(INDEX('بيانات الحركات'!C:C,MATCH(1150,'بيانات الحركات'!$G:$G,0)),"")</f>
        <v/>
      </c>
      <c r="D1151" s="3" t="str">
        <f>IFERROR(INDEX('بيانات الحركات'!D:D,MATCH(1150,'بيانات الحركات'!$G:$G,0)),"")</f>
        <v/>
      </c>
      <c r="E1151" s="21" t="str">
        <f>IF($B1151="إنتاج طبخة","",IFERROR(INDEX('بيانات الحركات'!E:E,MATCH(1150,'بيانات الحركات'!$G:$G,0)),""))</f>
        <v/>
      </c>
      <c r="F1151" s="3" t="str">
        <f>IFERROR(INDEX('بيانات الحركات'!F:F,MATCH(1150,'بيانات الحركات'!$G:$G,0)),"")</f>
        <v/>
      </c>
    </row>
    <row r="1152" spans="1:6" ht="21.95" customHeight="1">
      <c r="A1152" s="8" t="str">
        <f>IFERROR(INDEX('بيانات الحركات'!A:A,MATCH(1151,'بيانات الحركات'!$G:$G,0)),"")</f>
        <v/>
      </c>
      <c r="B1152" s="5" t="str">
        <f>IFERROR(INDEX('بيانات الحركات'!B:B,MATCH(1151,'بيانات الحركات'!$G:$G,0)),"")</f>
        <v/>
      </c>
      <c r="C1152" s="3" t="str">
        <f>IFERROR(INDEX('بيانات الحركات'!C:C,MATCH(1151,'بيانات الحركات'!$G:$G,0)),"")</f>
        <v/>
      </c>
      <c r="D1152" s="3" t="str">
        <f>IFERROR(INDEX('بيانات الحركات'!D:D,MATCH(1151,'بيانات الحركات'!$G:$G,0)),"")</f>
        <v/>
      </c>
      <c r="E1152" s="21" t="str">
        <f>IF($B1152="إنتاج طبخة","",IFERROR(INDEX('بيانات الحركات'!E:E,MATCH(1151,'بيانات الحركات'!$G:$G,0)),""))</f>
        <v/>
      </c>
      <c r="F1152" s="3" t="str">
        <f>IFERROR(INDEX('بيانات الحركات'!F:F,MATCH(1151,'بيانات الحركات'!$G:$G,0)),"")</f>
        <v/>
      </c>
    </row>
    <row r="1153" spans="1:6" ht="21.95" customHeight="1">
      <c r="A1153" s="8" t="str">
        <f>IFERROR(INDEX('بيانات الحركات'!A:A,MATCH(1152,'بيانات الحركات'!$G:$G,0)),"")</f>
        <v/>
      </c>
      <c r="B1153" s="5" t="str">
        <f>IFERROR(INDEX('بيانات الحركات'!B:B,MATCH(1152,'بيانات الحركات'!$G:$G,0)),"")</f>
        <v/>
      </c>
      <c r="C1153" s="3" t="str">
        <f>IFERROR(INDEX('بيانات الحركات'!C:C,MATCH(1152,'بيانات الحركات'!$G:$G,0)),"")</f>
        <v/>
      </c>
      <c r="D1153" s="3" t="str">
        <f>IFERROR(INDEX('بيانات الحركات'!D:D,MATCH(1152,'بيانات الحركات'!$G:$G,0)),"")</f>
        <v/>
      </c>
      <c r="E1153" s="21" t="str">
        <f>IF($B1153="إنتاج طبخة","",IFERROR(INDEX('بيانات الحركات'!E:E,MATCH(1152,'بيانات الحركات'!$G:$G,0)),""))</f>
        <v/>
      </c>
      <c r="F1153" s="3" t="str">
        <f>IFERROR(INDEX('بيانات الحركات'!F:F,MATCH(1152,'بيانات الحركات'!$G:$G,0)),"")</f>
        <v/>
      </c>
    </row>
    <row r="1154" spans="1:6" ht="21.95" customHeight="1">
      <c r="A1154" s="8" t="str">
        <f>IFERROR(INDEX('بيانات الحركات'!A:A,MATCH(1153,'بيانات الحركات'!$G:$G,0)),"")</f>
        <v/>
      </c>
      <c r="B1154" s="5" t="str">
        <f>IFERROR(INDEX('بيانات الحركات'!B:B,MATCH(1153,'بيانات الحركات'!$G:$G,0)),"")</f>
        <v/>
      </c>
      <c r="C1154" s="3" t="str">
        <f>IFERROR(INDEX('بيانات الحركات'!C:C,MATCH(1153,'بيانات الحركات'!$G:$G,0)),"")</f>
        <v/>
      </c>
      <c r="D1154" s="3" t="str">
        <f>IFERROR(INDEX('بيانات الحركات'!D:D,MATCH(1153,'بيانات الحركات'!$G:$G,0)),"")</f>
        <v/>
      </c>
      <c r="E1154" s="21" t="str">
        <f>IF($B1154="إنتاج طبخة","",IFERROR(INDEX('بيانات الحركات'!E:E,MATCH(1153,'بيانات الحركات'!$G:$G,0)),""))</f>
        <v/>
      </c>
      <c r="F1154" s="3" t="str">
        <f>IFERROR(INDEX('بيانات الحركات'!F:F,MATCH(1153,'بيانات الحركات'!$G:$G,0)),"")</f>
        <v/>
      </c>
    </row>
    <row r="1155" spans="1:6" ht="21.95" customHeight="1">
      <c r="A1155" s="8" t="str">
        <f>IFERROR(INDEX('بيانات الحركات'!A:A,MATCH(1154,'بيانات الحركات'!$G:$G,0)),"")</f>
        <v/>
      </c>
      <c r="B1155" s="5" t="str">
        <f>IFERROR(INDEX('بيانات الحركات'!B:B,MATCH(1154,'بيانات الحركات'!$G:$G,0)),"")</f>
        <v/>
      </c>
      <c r="C1155" s="3" t="str">
        <f>IFERROR(INDEX('بيانات الحركات'!C:C,MATCH(1154,'بيانات الحركات'!$G:$G,0)),"")</f>
        <v/>
      </c>
      <c r="D1155" s="3" t="str">
        <f>IFERROR(INDEX('بيانات الحركات'!D:D,MATCH(1154,'بيانات الحركات'!$G:$G,0)),"")</f>
        <v/>
      </c>
      <c r="E1155" s="21" t="str">
        <f>IF($B1155="إنتاج طبخة","",IFERROR(INDEX('بيانات الحركات'!E:E,MATCH(1154,'بيانات الحركات'!$G:$G,0)),""))</f>
        <v/>
      </c>
      <c r="F1155" s="3" t="str">
        <f>IFERROR(INDEX('بيانات الحركات'!F:F,MATCH(1154,'بيانات الحركات'!$G:$G,0)),"")</f>
        <v/>
      </c>
    </row>
    <row r="1156" spans="1:6" ht="21.95" customHeight="1">
      <c r="A1156" s="8" t="str">
        <f>IFERROR(INDEX('بيانات الحركات'!A:A,MATCH(1155,'بيانات الحركات'!$G:$G,0)),"")</f>
        <v/>
      </c>
      <c r="B1156" s="5" t="str">
        <f>IFERROR(INDEX('بيانات الحركات'!B:B,MATCH(1155,'بيانات الحركات'!$G:$G,0)),"")</f>
        <v/>
      </c>
      <c r="C1156" s="3" t="str">
        <f>IFERROR(INDEX('بيانات الحركات'!C:C,MATCH(1155,'بيانات الحركات'!$G:$G,0)),"")</f>
        <v/>
      </c>
      <c r="D1156" s="3" t="str">
        <f>IFERROR(INDEX('بيانات الحركات'!D:D,MATCH(1155,'بيانات الحركات'!$G:$G,0)),"")</f>
        <v/>
      </c>
      <c r="E1156" s="21" t="str">
        <f>IF($B1156="إنتاج طبخة","",IFERROR(INDEX('بيانات الحركات'!E:E,MATCH(1155,'بيانات الحركات'!$G:$G,0)),""))</f>
        <v/>
      </c>
      <c r="F1156" s="3" t="str">
        <f>IFERROR(INDEX('بيانات الحركات'!F:F,MATCH(1155,'بيانات الحركات'!$G:$G,0)),"")</f>
        <v/>
      </c>
    </row>
    <row r="1157" spans="1:6" ht="21.95" customHeight="1">
      <c r="A1157" s="8" t="str">
        <f>IFERROR(INDEX('بيانات الحركات'!A:A,MATCH(1156,'بيانات الحركات'!$G:$G,0)),"")</f>
        <v/>
      </c>
      <c r="B1157" s="5" t="str">
        <f>IFERROR(INDEX('بيانات الحركات'!B:B,MATCH(1156,'بيانات الحركات'!$G:$G,0)),"")</f>
        <v/>
      </c>
      <c r="C1157" s="3" t="str">
        <f>IFERROR(INDEX('بيانات الحركات'!C:C,MATCH(1156,'بيانات الحركات'!$G:$G,0)),"")</f>
        <v/>
      </c>
      <c r="D1157" s="3" t="str">
        <f>IFERROR(INDEX('بيانات الحركات'!D:D,MATCH(1156,'بيانات الحركات'!$G:$G,0)),"")</f>
        <v/>
      </c>
      <c r="E1157" s="21" t="str">
        <f>IF($B1157="إنتاج طبخة","",IFERROR(INDEX('بيانات الحركات'!E:E,MATCH(1156,'بيانات الحركات'!$G:$G,0)),""))</f>
        <v/>
      </c>
      <c r="F1157" s="3" t="str">
        <f>IFERROR(INDEX('بيانات الحركات'!F:F,MATCH(1156,'بيانات الحركات'!$G:$G,0)),"")</f>
        <v/>
      </c>
    </row>
    <row r="1158" spans="1:6" ht="21.95" customHeight="1">
      <c r="A1158" s="8" t="str">
        <f>IFERROR(INDEX('بيانات الحركات'!A:A,MATCH(1157,'بيانات الحركات'!$G:$G,0)),"")</f>
        <v/>
      </c>
      <c r="B1158" s="5" t="str">
        <f>IFERROR(INDEX('بيانات الحركات'!B:B,MATCH(1157,'بيانات الحركات'!$G:$G,0)),"")</f>
        <v/>
      </c>
      <c r="C1158" s="3" t="str">
        <f>IFERROR(INDEX('بيانات الحركات'!C:C,MATCH(1157,'بيانات الحركات'!$G:$G,0)),"")</f>
        <v/>
      </c>
      <c r="D1158" s="3" t="str">
        <f>IFERROR(INDEX('بيانات الحركات'!D:D,MATCH(1157,'بيانات الحركات'!$G:$G,0)),"")</f>
        <v/>
      </c>
      <c r="E1158" s="21" t="str">
        <f>IF($B1158="إنتاج طبخة","",IFERROR(INDEX('بيانات الحركات'!E:E,MATCH(1157,'بيانات الحركات'!$G:$G,0)),""))</f>
        <v/>
      </c>
      <c r="F1158" s="3" t="str">
        <f>IFERROR(INDEX('بيانات الحركات'!F:F,MATCH(1157,'بيانات الحركات'!$G:$G,0)),"")</f>
        <v/>
      </c>
    </row>
    <row r="1159" spans="1:6" ht="21.95" customHeight="1">
      <c r="A1159" s="8" t="str">
        <f>IFERROR(INDEX('بيانات الحركات'!A:A,MATCH(1158,'بيانات الحركات'!$G:$G,0)),"")</f>
        <v/>
      </c>
      <c r="B1159" s="5" t="str">
        <f>IFERROR(INDEX('بيانات الحركات'!B:B,MATCH(1158,'بيانات الحركات'!$G:$G,0)),"")</f>
        <v/>
      </c>
      <c r="C1159" s="3" t="str">
        <f>IFERROR(INDEX('بيانات الحركات'!C:C,MATCH(1158,'بيانات الحركات'!$G:$G,0)),"")</f>
        <v/>
      </c>
      <c r="D1159" s="3" t="str">
        <f>IFERROR(INDEX('بيانات الحركات'!D:D,MATCH(1158,'بيانات الحركات'!$G:$G,0)),"")</f>
        <v/>
      </c>
      <c r="E1159" s="21" t="str">
        <f>IF($B1159="إنتاج طبخة","",IFERROR(INDEX('بيانات الحركات'!E:E,MATCH(1158,'بيانات الحركات'!$G:$G,0)),""))</f>
        <v/>
      </c>
      <c r="F1159" s="3" t="str">
        <f>IFERROR(INDEX('بيانات الحركات'!F:F,MATCH(1158,'بيانات الحركات'!$G:$G,0)),"")</f>
        <v/>
      </c>
    </row>
    <row r="1160" spans="1:6" ht="21.95" customHeight="1">
      <c r="A1160" s="8" t="str">
        <f>IFERROR(INDEX('بيانات الحركات'!A:A,MATCH(1159,'بيانات الحركات'!$G:$G,0)),"")</f>
        <v/>
      </c>
      <c r="B1160" s="5" t="str">
        <f>IFERROR(INDEX('بيانات الحركات'!B:B,MATCH(1159,'بيانات الحركات'!$G:$G,0)),"")</f>
        <v/>
      </c>
      <c r="C1160" s="3" t="str">
        <f>IFERROR(INDEX('بيانات الحركات'!C:C,MATCH(1159,'بيانات الحركات'!$G:$G,0)),"")</f>
        <v/>
      </c>
      <c r="D1160" s="3" t="str">
        <f>IFERROR(INDEX('بيانات الحركات'!D:D,MATCH(1159,'بيانات الحركات'!$G:$G,0)),"")</f>
        <v/>
      </c>
      <c r="E1160" s="21" t="str">
        <f>IF($B1160="إنتاج طبخة","",IFERROR(INDEX('بيانات الحركات'!E:E,MATCH(1159,'بيانات الحركات'!$G:$G,0)),""))</f>
        <v/>
      </c>
      <c r="F1160" s="3" t="str">
        <f>IFERROR(INDEX('بيانات الحركات'!F:F,MATCH(1159,'بيانات الحركات'!$G:$G,0)),"")</f>
        <v/>
      </c>
    </row>
    <row r="1161" spans="1:6" ht="21.95" customHeight="1">
      <c r="A1161" s="8" t="str">
        <f>IFERROR(INDEX('بيانات الحركات'!A:A,MATCH(1160,'بيانات الحركات'!$G:$G,0)),"")</f>
        <v/>
      </c>
      <c r="B1161" s="5" t="str">
        <f>IFERROR(INDEX('بيانات الحركات'!B:B,MATCH(1160,'بيانات الحركات'!$G:$G,0)),"")</f>
        <v/>
      </c>
      <c r="C1161" s="3" t="str">
        <f>IFERROR(INDEX('بيانات الحركات'!C:C,MATCH(1160,'بيانات الحركات'!$G:$G,0)),"")</f>
        <v/>
      </c>
      <c r="D1161" s="3" t="str">
        <f>IFERROR(INDEX('بيانات الحركات'!D:D,MATCH(1160,'بيانات الحركات'!$G:$G,0)),"")</f>
        <v/>
      </c>
      <c r="E1161" s="21" t="str">
        <f>IF($B1161="إنتاج طبخة","",IFERROR(INDEX('بيانات الحركات'!E:E,MATCH(1160,'بيانات الحركات'!$G:$G,0)),""))</f>
        <v/>
      </c>
      <c r="F1161" s="3" t="str">
        <f>IFERROR(INDEX('بيانات الحركات'!F:F,MATCH(1160,'بيانات الحركات'!$G:$G,0)),"")</f>
        <v/>
      </c>
    </row>
    <row r="1162" spans="1:6" ht="21.95" customHeight="1">
      <c r="A1162" s="8" t="str">
        <f>IFERROR(INDEX('بيانات الحركات'!A:A,MATCH(1161,'بيانات الحركات'!$G:$G,0)),"")</f>
        <v/>
      </c>
      <c r="B1162" s="5" t="str">
        <f>IFERROR(INDEX('بيانات الحركات'!B:B,MATCH(1161,'بيانات الحركات'!$G:$G,0)),"")</f>
        <v/>
      </c>
      <c r="C1162" s="3" t="str">
        <f>IFERROR(INDEX('بيانات الحركات'!C:C,MATCH(1161,'بيانات الحركات'!$G:$G,0)),"")</f>
        <v/>
      </c>
      <c r="D1162" s="3" t="str">
        <f>IFERROR(INDEX('بيانات الحركات'!D:D,MATCH(1161,'بيانات الحركات'!$G:$G,0)),"")</f>
        <v/>
      </c>
      <c r="E1162" s="21" t="str">
        <f>IF($B1162="إنتاج طبخة","",IFERROR(INDEX('بيانات الحركات'!E:E,MATCH(1161,'بيانات الحركات'!$G:$G,0)),""))</f>
        <v/>
      </c>
      <c r="F1162" s="3" t="str">
        <f>IFERROR(INDEX('بيانات الحركات'!F:F,MATCH(1161,'بيانات الحركات'!$G:$G,0)),"")</f>
        <v/>
      </c>
    </row>
    <row r="1163" spans="1:6" ht="21.95" customHeight="1">
      <c r="A1163" s="8" t="str">
        <f>IFERROR(INDEX('بيانات الحركات'!A:A,MATCH(1162,'بيانات الحركات'!$G:$G,0)),"")</f>
        <v/>
      </c>
      <c r="B1163" s="5" t="str">
        <f>IFERROR(INDEX('بيانات الحركات'!B:B,MATCH(1162,'بيانات الحركات'!$G:$G,0)),"")</f>
        <v/>
      </c>
      <c r="C1163" s="3" t="str">
        <f>IFERROR(INDEX('بيانات الحركات'!C:C,MATCH(1162,'بيانات الحركات'!$G:$G,0)),"")</f>
        <v/>
      </c>
      <c r="D1163" s="3" t="str">
        <f>IFERROR(INDEX('بيانات الحركات'!D:D,MATCH(1162,'بيانات الحركات'!$G:$G,0)),"")</f>
        <v/>
      </c>
      <c r="E1163" s="21" t="str">
        <f>IF($B1163="إنتاج طبخة","",IFERROR(INDEX('بيانات الحركات'!E:E,MATCH(1162,'بيانات الحركات'!$G:$G,0)),""))</f>
        <v/>
      </c>
      <c r="F1163" s="3" t="str">
        <f>IFERROR(INDEX('بيانات الحركات'!F:F,MATCH(1162,'بيانات الحركات'!$G:$G,0)),"")</f>
        <v/>
      </c>
    </row>
    <row r="1164" spans="1:6" ht="21.95" customHeight="1">
      <c r="A1164" s="8" t="str">
        <f>IFERROR(INDEX('بيانات الحركات'!A:A,MATCH(1163,'بيانات الحركات'!$G:$G,0)),"")</f>
        <v/>
      </c>
      <c r="B1164" s="5" t="str">
        <f>IFERROR(INDEX('بيانات الحركات'!B:B,MATCH(1163,'بيانات الحركات'!$G:$G,0)),"")</f>
        <v/>
      </c>
      <c r="C1164" s="3" t="str">
        <f>IFERROR(INDEX('بيانات الحركات'!C:C,MATCH(1163,'بيانات الحركات'!$G:$G,0)),"")</f>
        <v/>
      </c>
      <c r="D1164" s="3" t="str">
        <f>IFERROR(INDEX('بيانات الحركات'!D:D,MATCH(1163,'بيانات الحركات'!$G:$G,0)),"")</f>
        <v/>
      </c>
      <c r="E1164" s="21" t="str">
        <f>IF($B1164="إنتاج طبخة","",IFERROR(INDEX('بيانات الحركات'!E:E,MATCH(1163,'بيانات الحركات'!$G:$G,0)),""))</f>
        <v/>
      </c>
      <c r="F1164" s="3" t="str">
        <f>IFERROR(INDEX('بيانات الحركات'!F:F,MATCH(1163,'بيانات الحركات'!$G:$G,0)),"")</f>
        <v/>
      </c>
    </row>
    <row r="1165" spans="1:6" ht="21.95" customHeight="1">
      <c r="A1165" s="8" t="str">
        <f>IFERROR(INDEX('بيانات الحركات'!A:A,MATCH(1164,'بيانات الحركات'!$G:$G,0)),"")</f>
        <v/>
      </c>
      <c r="B1165" s="5" t="str">
        <f>IFERROR(INDEX('بيانات الحركات'!B:B,MATCH(1164,'بيانات الحركات'!$G:$G,0)),"")</f>
        <v/>
      </c>
      <c r="C1165" s="3" t="str">
        <f>IFERROR(INDEX('بيانات الحركات'!C:C,MATCH(1164,'بيانات الحركات'!$G:$G,0)),"")</f>
        <v/>
      </c>
      <c r="D1165" s="3" t="str">
        <f>IFERROR(INDEX('بيانات الحركات'!D:D,MATCH(1164,'بيانات الحركات'!$G:$G,0)),"")</f>
        <v/>
      </c>
      <c r="E1165" s="21" t="str">
        <f>IF($B1165="إنتاج طبخة","",IFERROR(INDEX('بيانات الحركات'!E:E,MATCH(1164,'بيانات الحركات'!$G:$G,0)),""))</f>
        <v/>
      </c>
      <c r="F1165" s="3" t="str">
        <f>IFERROR(INDEX('بيانات الحركات'!F:F,MATCH(1164,'بيانات الحركات'!$G:$G,0)),"")</f>
        <v/>
      </c>
    </row>
    <row r="1166" spans="1:6" ht="21.95" customHeight="1">
      <c r="A1166" s="8" t="str">
        <f>IFERROR(INDEX('بيانات الحركات'!A:A,MATCH(1165,'بيانات الحركات'!$G:$G,0)),"")</f>
        <v/>
      </c>
      <c r="B1166" s="5" t="str">
        <f>IFERROR(INDEX('بيانات الحركات'!B:B,MATCH(1165,'بيانات الحركات'!$G:$G,0)),"")</f>
        <v/>
      </c>
      <c r="C1166" s="3" t="str">
        <f>IFERROR(INDEX('بيانات الحركات'!C:C,MATCH(1165,'بيانات الحركات'!$G:$G,0)),"")</f>
        <v/>
      </c>
      <c r="D1166" s="3" t="str">
        <f>IFERROR(INDEX('بيانات الحركات'!D:D,MATCH(1165,'بيانات الحركات'!$G:$G,0)),"")</f>
        <v/>
      </c>
      <c r="E1166" s="21" t="str">
        <f>IF($B1166="إنتاج طبخة","",IFERROR(INDEX('بيانات الحركات'!E:E,MATCH(1165,'بيانات الحركات'!$G:$G,0)),""))</f>
        <v/>
      </c>
      <c r="F1166" s="3" t="str">
        <f>IFERROR(INDEX('بيانات الحركات'!F:F,MATCH(1165,'بيانات الحركات'!$G:$G,0)),"")</f>
        <v/>
      </c>
    </row>
    <row r="1167" spans="1:6" ht="21.95" customHeight="1">
      <c r="A1167" s="8" t="str">
        <f>IFERROR(INDEX('بيانات الحركات'!A:A,MATCH(1166,'بيانات الحركات'!$G:$G,0)),"")</f>
        <v/>
      </c>
      <c r="B1167" s="5" t="str">
        <f>IFERROR(INDEX('بيانات الحركات'!B:B,MATCH(1166,'بيانات الحركات'!$G:$G,0)),"")</f>
        <v/>
      </c>
      <c r="C1167" s="3" t="str">
        <f>IFERROR(INDEX('بيانات الحركات'!C:C,MATCH(1166,'بيانات الحركات'!$G:$G,0)),"")</f>
        <v/>
      </c>
      <c r="D1167" s="3" t="str">
        <f>IFERROR(INDEX('بيانات الحركات'!D:D,MATCH(1166,'بيانات الحركات'!$G:$G,0)),"")</f>
        <v/>
      </c>
      <c r="E1167" s="21" t="str">
        <f>IF($B1167="إنتاج طبخة","",IFERROR(INDEX('بيانات الحركات'!E:E,MATCH(1166,'بيانات الحركات'!$G:$G,0)),""))</f>
        <v/>
      </c>
      <c r="F1167" s="3" t="str">
        <f>IFERROR(INDEX('بيانات الحركات'!F:F,MATCH(1166,'بيانات الحركات'!$G:$G,0)),"")</f>
        <v/>
      </c>
    </row>
    <row r="1168" spans="1:6" ht="21.95" customHeight="1">
      <c r="A1168" s="8" t="str">
        <f>IFERROR(INDEX('بيانات الحركات'!A:A,MATCH(1167,'بيانات الحركات'!$G:$G,0)),"")</f>
        <v/>
      </c>
      <c r="B1168" s="5" t="str">
        <f>IFERROR(INDEX('بيانات الحركات'!B:B,MATCH(1167,'بيانات الحركات'!$G:$G,0)),"")</f>
        <v/>
      </c>
      <c r="C1168" s="3" t="str">
        <f>IFERROR(INDEX('بيانات الحركات'!C:C,MATCH(1167,'بيانات الحركات'!$G:$G,0)),"")</f>
        <v/>
      </c>
      <c r="D1168" s="3" t="str">
        <f>IFERROR(INDEX('بيانات الحركات'!D:D,MATCH(1167,'بيانات الحركات'!$G:$G,0)),"")</f>
        <v/>
      </c>
      <c r="E1168" s="21" t="str">
        <f>IF($B1168="إنتاج طبخة","",IFERROR(INDEX('بيانات الحركات'!E:E,MATCH(1167,'بيانات الحركات'!$G:$G,0)),""))</f>
        <v/>
      </c>
      <c r="F1168" s="3" t="str">
        <f>IFERROR(INDEX('بيانات الحركات'!F:F,MATCH(1167,'بيانات الحركات'!$G:$G,0)),"")</f>
        <v/>
      </c>
    </row>
    <row r="1169" spans="1:6" ht="21.95" customHeight="1">
      <c r="A1169" s="8" t="str">
        <f>IFERROR(INDEX('بيانات الحركات'!A:A,MATCH(1168,'بيانات الحركات'!$G:$G,0)),"")</f>
        <v/>
      </c>
      <c r="B1169" s="5" t="str">
        <f>IFERROR(INDEX('بيانات الحركات'!B:B,MATCH(1168,'بيانات الحركات'!$G:$G,0)),"")</f>
        <v/>
      </c>
      <c r="C1169" s="3" t="str">
        <f>IFERROR(INDEX('بيانات الحركات'!C:C,MATCH(1168,'بيانات الحركات'!$G:$G,0)),"")</f>
        <v/>
      </c>
      <c r="D1169" s="3" t="str">
        <f>IFERROR(INDEX('بيانات الحركات'!D:D,MATCH(1168,'بيانات الحركات'!$G:$G,0)),"")</f>
        <v/>
      </c>
      <c r="E1169" s="21" t="str">
        <f>IF($B1169="إنتاج طبخة","",IFERROR(INDEX('بيانات الحركات'!E:E,MATCH(1168,'بيانات الحركات'!$G:$G,0)),""))</f>
        <v/>
      </c>
      <c r="F1169" s="3" t="str">
        <f>IFERROR(INDEX('بيانات الحركات'!F:F,MATCH(1168,'بيانات الحركات'!$G:$G,0)),"")</f>
        <v/>
      </c>
    </row>
    <row r="1170" spans="1:6" ht="21.95" customHeight="1">
      <c r="A1170" s="8" t="str">
        <f>IFERROR(INDEX('بيانات الحركات'!A:A,MATCH(1169,'بيانات الحركات'!$G:$G,0)),"")</f>
        <v/>
      </c>
      <c r="B1170" s="5" t="str">
        <f>IFERROR(INDEX('بيانات الحركات'!B:B,MATCH(1169,'بيانات الحركات'!$G:$G,0)),"")</f>
        <v/>
      </c>
      <c r="C1170" s="3" t="str">
        <f>IFERROR(INDEX('بيانات الحركات'!C:C,MATCH(1169,'بيانات الحركات'!$G:$G,0)),"")</f>
        <v/>
      </c>
      <c r="D1170" s="3" t="str">
        <f>IFERROR(INDEX('بيانات الحركات'!D:D,MATCH(1169,'بيانات الحركات'!$G:$G,0)),"")</f>
        <v/>
      </c>
      <c r="E1170" s="21" t="str">
        <f>IF($B1170="إنتاج طبخة","",IFERROR(INDEX('بيانات الحركات'!E:E,MATCH(1169,'بيانات الحركات'!$G:$G,0)),""))</f>
        <v/>
      </c>
      <c r="F1170" s="3" t="str">
        <f>IFERROR(INDEX('بيانات الحركات'!F:F,MATCH(1169,'بيانات الحركات'!$G:$G,0)),"")</f>
        <v/>
      </c>
    </row>
    <row r="1171" spans="1:6" ht="21.95" customHeight="1">
      <c r="A1171" s="8" t="str">
        <f>IFERROR(INDEX('بيانات الحركات'!A:A,MATCH(1170,'بيانات الحركات'!$G:$G,0)),"")</f>
        <v/>
      </c>
      <c r="B1171" s="5" t="str">
        <f>IFERROR(INDEX('بيانات الحركات'!B:B,MATCH(1170,'بيانات الحركات'!$G:$G,0)),"")</f>
        <v/>
      </c>
      <c r="C1171" s="3" t="str">
        <f>IFERROR(INDEX('بيانات الحركات'!C:C,MATCH(1170,'بيانات الحركات'!$G:$G,0)),"")</f>
        <v/>
      </c>
      <c r="D1171" s="3" t="str">
        <f>IFERROR(INDEX('بيانات الحركات'!D:D,MATCH(1170,'بيانات الحركات'!$G:$G,0)),"")</f>
        <v/>
      </c>
      <c r="E1171" s="21" t="str">
        <f>IF($B1171="إنتاج طبخة","",IFERROR(INDEX('بيانات الحركات'!E:E,MATCH(1170,'بيانات الحركات'!$G:$G,0)),""))</f>
        <v/>
      </c>
      <c r="F1171" s="3" t="str">
        <f>IFERROR(INDEX('بيانات الحركات'!F:F,MATCH(1170,'بيانات الحركات'!$G:$G,0)),"")</f>
        <v/>
      </c>
    </row>
    <row r="1172" spans="1:6" ht="21.95" customHeight="1">
      <c r="A1172" s="8" t="str">
        <f>IFERROR(INDEX('بيانات الحركات'!A:A,MATCH(1171,'بيانات الحركات'!$G:$G,0)),"")</f>
        <v/>
      </c>
      <c r="B1172" s="5" t="str">
        <f>IFERROR(INDEX('بيانات الحركات'!B:B,MATCH(1171,'بيانات الحركات'!$G:$G,0)),"")</f>
        <v/>
      </c>
      <c r="C1172" s="3" t="str">
        <f>IFERROR(INDEX('بيانات الحركات'!C:C,MATCH(1171,'بيانات الحركات'!$G:$G,0)),"")</f>
        <v/>
      </c>
      <c r="D1172" s="3" t="str">
        <f>IFERROR(INDEX('بيانات الحركات'!D:D,MATCH(1171,'بيانات الحركات'!$G:$G,0)),"")</f>
        <v/>
      </c>
      <c r="E1172" s="21" t="str">
        <f>IF($B1172="إنتاج طبخة","",IFERROR(INDEX('بيانات الحركات'!E:E,MATCH(1171,'بيانات الحركات'!$G:$G,0)),""))</f>
        <v/>
      </c>
      <c r="F1172" s="3" t="str">
        <f>IFERROR(INDEX('بيانات الحركات'!F:F,MATCH(1171,'بيانات الحركات'!$G:$G,0)),"")</f>
        <v/>
      </c>
    </row>
    <row r="1173" spans="1:6" ht="21.95" customHeight="1">
      <c r="A1173" s="8" t="str">
        <f>IFERROR(INDEX('بيانات الحركات'!A:A,MATCH(1172,'بيانات الحركات'!$G:$G,0)),"")</f>
        <v/>
      </c>
      <c r="B1173" s="5" t="str">
        <f>IFERROR(INDEX('بيانات الحركات'!B:B,MATCH(1172,'بيانات الحركات'!$G:$G,0)),"")</f>
        <v/>
      </c>
      <c r="C1173" s="3" t="str">
        <f>IFERROR(INDEX('بيانات الحركات'!C:C,MATCH(1172,'بيانات الحركات'!$G:$G,0)),"")</f>
        <v/>
      </c>
      <c r="D1173" s="3" t="str">
        <f>IFERROR(INDEX('بيانات الحركات'!D:D,MATCH(1172,'بيانات الحركات'!$G:$G,0)),"")</f>
        <v/>
      </c>
      <c r="E1173" s="21" t="str">
        <f>IF($B1173="إنتاج طبخة","",IFERROR(INDEX('بيانات الحركات'!E:E,MATCH(1172,'بيانات الحركات'!$G:$G,0)),""))</f>
        <v/>
      </c>
      <c r="F1173" s="3" t="str">
        <f>IFERROR(INDEX('بيانات الحركات'!F:F,MATCH(1172,'بيانات الحركات'!$G:$G,0)),"")</f>
        <v/>
      </c>
    </row>
    <row r="1174" spans="1:6" ht="21.95" customHeight="1">
      <c r="A1174" s="8" t="str">
        <f>IFERROR(INDEX('بيانات الحركات'!A:A,MATCH(1173,'بيانات الحركات'!$G:$G,0)),"")</f>
        <v/>
      </c>
      <c r="B1174" s="5" t="str">
        <f>IFERROR(INDEX('بيانات الحركات'!B:B,MATCH(1173,'بيانات الحركات'!$G:$G,0)),"")</f>
        <v/>
      </c>
      <c r="C1174" s="3" t="str">
        <f>IFERROR(INDEX('بيانات الحركات'!C:C,MATCH(1173,'بيانات الحركات'!$G:$G,0)),"")</f>
        <v/>
      </c>
      <c r="D1174" s="3" t="str">
        <f>IFERROR(INDEX('بيانات الحركات'!D:D,MATCH(1173,'بيانات الحركات'!$G:$G,0)),"")</f>
        <v/>
      </c>
      <c r="E1174" s="21" t="str">
        <f>IF($B1174="إنتاج طبخة","",IFERROR(INDEX('بيانات الحركات'!E:E,MATCH(1173,'بيانات الحركات'!$G:$G,0)),""))</f>
        <v/>
      </c>
      <c r="F1174" s="3" t="str">
        <f>IFERROR(INDEX('بيانات الحركات'!F:F,MATCH(1173,'بيانات الحركات'!$G:$G,0)),"")</f>
        <v/>
      </c>
    </row>
    <row r="1175" spans="1:6" ht="21.95" customHeight="1">
      <c r="A1175" s="8" t="str">
        <f>IFERROR(INDEX('بيانات الحركات'!A:A,MATCH(1174,'بيانات الحركات'!$G:$G,0)),"")</f>
        <v/>
      </c>
      <c r="B1175" s="5" t="str">
        <f>IFERROR(INDEX('بيانات الحركات'!B:B,MATCH(1174,'بيانات الحركات'!$G:$G,0)),"")</f>
        <v/>
      </c>
      <c r="C1175" s="3" t="str">
        <f>IFERROR(INDEX('بيانات الحركات'!C:C,MATCH(1174,'بيانات الحركات'!$G:$G,0)),"")</f>
        <v/>
      </c>
      <c r="D1175" s="3" t="str">
        <f>IFERROR(INDEX('بيانات الحركات'!D:D,MATCH(1174,'بيانات الحركات'!$G:$G,0)),"")</f>
        <v/>
      </c>
      <c r="E1175" s="21" t="str">
        <f>IF($B1175="إنتاج طبخة","",IFERROR(INDEX('بيانات الحركات'!E:E,MATCH(1174,'بيانات الحركات'!$G:$G,0)),""))</f>
        <v/>
      </c>
      <c r="F1175" s="3" t="str">
        <f>IFERROR(INDEX('بيانات الحركات'!F:F,MATCH(1174,'بيانات الحركات'!$G:$G,0)),"")</f>
        <v/>
      </c>
    </row>
    <row r="1176" spans="1:6" ht="21.95" customHeight="1">
      <c r="A1176" s="8" t="str">
        <f>IFERROR(INDEX('بيانات الحركات'!A:A,MATCH(1175,'بيانات الحركات'!$G:$G,0)),"")</f>
        <v/>
      </c>
      <c r="B1176" s="5" t="str">
        <f>IFERROR(INDEX('بيانات الحركات'!B:B,MATCH(1175,'بيانات الحركات'!$G:$G,0)),"")</f>
        <v/>
      </c>
      <c r="C1176" s="3" t="str">
        <f>IFERROR(INDEX('بيانات الحركات'!C:C,MATCH(1175,'بيانات الحركات'!$G:$G,0)),"")</f>
        <v/>
      </c>
      <c r="D1176" s="3" t="str">
        <f>IFERROR(INDEX('بيانات الحركات'!D:D,MATCH(1175,'بيانات الحركات'!$G:$G,0)),"")</f>
        <v/>
      </c>
      <c r="E1176" s="21" t="str">
        <f>IF($B1176="إنتاج طبخة","",IFERROR(INDEX('بيانات الحركات'!E:E,MATCH(1175,'بيانات الحركات'!$G:$G,0)),""))</f>
        <v/>
      </c>
      <c r="F1176" s="3" t="str">
        <f>IFERROR(INDEX('بيانات الحركات'!F:F,MATCH(1175,'بيانات الحركات'!$G:$G,0)),"")</f>
        <v/>
      </c>
    </row>
    <row r="1177" spans="1:6" ht="21.95" customHeight="1">
      <c r="A1177" s="8" t="str">
        <f>IFERROR(INDEX('بيانات الحركات'!A:A,MATCH(1176,'بيانات الحركات'!$G:$G,0)),"")</f>
        <v/>
      </c>
      <c r="B1177" s="5" t="str">
        <f>IFERROR(INDEX('بيانات الحركات'!B:B,MATCH(1176,'بيانات الحركات'!$G:$G,0)),"")</f>
        <v/>
      </c>
      <c r="C1177" s="3" t="str">
        <f>IFERROR(INDEX('بيانات الحركات'!C:C,MATCH(1176,'بيانات الحركات'!$G:$G,0)),"")</f>
        <v/>
      </c>
      <c r="D1177" s="3" t="str">
        <f>IFERROR(INDEX('بيانات الحركات'!D:D,MATCH(1176,'بيانات الحركات'!$G:$G,0)),"")</f>
        <v/>
      </c>
      <c r="E1177" s="21" t="str">
        <f>IF($B1177="إنتاج طبخة","",IFERROR(INDEX('بيانات الحركات'!E:E,MATCH(1176,'بيانات الحركات'!$G:$G,0)),""))</f>
        <v/>
      </c>
      <c r="F1177" s="3" t="str">
        <f>IFERROR(INDEX('بيانات الحركات'!F:F,MATCH(1176,'بيانات الحركات'!$G:$G,0)),"")</f>
        <v/>
      </c>
    </row>
    <row r="1178" spans="1:6" ht="21.95" customHeight="1">
      <c r="A1178" s="8" t="str">
        <f>IFERROR(INDEX('بيانات الحركات'!A:A,MATCH(1177,'بيانات الحركات'!$G:$G,0)),"")</f>
        <v/>
      </c>
      <c r="B1178" s="5" t="str">
        <f>IFERROR(INDEX('بيانات الحركات'!B:B,MATCH(1177,'بيانات الحركات'!$G:$G,0)),"")</f>
        <v/>
      </c>
      <c r="C1178" s="3" t="str">
        <f>IFERROR(INDEX('بيانات الحركات'!C:C,MATCH(1177,'بيانات الحركات'!$G:$G,0)),"")</f>
        <v/>
      </c>
      <c r="D1178" s="3" t="str">
        <f>IFERROR(INDEX('بيانات الحركات'!D:D,MATCH(1177,'بيانات الحركات'!$G:$G,0)),"")</f>
        <v/>
      </c>
      <c r="E1178" s="21" t="str">
        <f>IF($B1178="إنتاج طبخة","",IFERROR(INDEX('بيانات الحركات'!E:E,MATCH(1177,'بيانات الحركات'!$G:$G,0)),""))</f>
        <v/>
      </c>
      <c r="F1178" s="3" t="str">
        <f>IFERROR(INDEX('بيانات الحركات'!F:F,MATCH(1177,'بيانات الحركات'!$G:$G,0)),"")</f>
        <v/>
      </c>
    </row>
    <row r="1179" spans="1:6" ht="21.95" customHeight="1">
      <c r="A1179" s="8" t="str">
        <f>IFERROR(INDEX('بيانات الحركات'!A:A,MATCH(1178,'بيانات الحركات'!$G:$G,0)),"")</f>
        <v/>
      </c>
      <c r="B1179" s="5" t="str">
        <f>IFERROR(INDEX('بيانات الحركات'!B:B,MATCH(1178,'بيانات الحركات'!$G:$G,0)),"")</f>
        <v/>
      </c>
      <c r="C1179" s="3" t="str">
        <f>IFERROR(INDEX('بيانات الحركات'!C:C,MATCH(1178,'بيانات الحركات'!$G:$G,0)),"")</f>
        <v/>
      </c>
      <c r="D1179" s="3" t="str">
        <f>IFERROR(INDEX('بيانات الحركات'!D:D,MATCH(1178,'بيانات الحركات'!$G:$G,0)),"")</f>
        <v/>
      </c>
      <c r="E1179" s="21" t="str">
        <f>IF($B1179="إنتاج طبخة","",IFERROR(INDEX('بيانات الحركات'!E:E,MATCH(1178,'بيانات الحركات'!$G:$G,0)),""))</f>
        <v/>
      </c>
      <c r="F1179" s="3" t="str">
        <f>IFERROR(INDEX('بيانات الحركات'!F:F,MATCH(1178,'بيانات الحركات'!$G:$G,0)),"")</f>
        <v/>
      </c>
    </row>
    <row r="1180" spans="1:6" ht="21.95" customHeight="1">
      <c r="A1180" s="8" t="str">
        <f>IFERROR(INDEX('بيانات الحركات'!A:A,MATCH(1179,'بيانات الحركات'!$G:$G,0)),"")</f>
        <v/>
      </c>
      <c r="B1180" s="5" t="str">
        <f>IFERROR(INDEX('بيانات الحركات'!B:B,MATCH(1179,'بيانات الحركات'!$G:$G,0)),"")</f>
        <v/>
      </c>
      <c r="C1180" s="3" t="str">
        <f>IFERROR(INDEX('بيانات الحركات'!C:C,MATCH(1179,'بيانات الحركات'!$G:$G,0)),"")</f>
        <v/>
      </c>
      <c r="D1180" s="3" t="str">
        <f>IFERROR(INDEX('بيانات الحركات'!D:D,MATCH(1179,'بيانات الحركات'!$G:$G,0)),"")</f>
        <v/>
      </c>
      <c r="E1180" s="21" t="str">
        <f>IF($B1180="إنتاج طبخة","",IFERROR(INDEX('بيانات الحركات'!E:E,MATCH(1179,'بيانات الحركات'!$G:$G,0)),""))</f>
        <v/>
      </c>
      <c r="F1180" s="3" t="str">
        <f>IFERROR(INDEX('بيانات الحركات'!F:F,MATCH(1179,'بيانات الحركات'!$G:$G,0)),"")</f>
        <v/>
      </c>
    </row>
    <row r="1181" spans="1:6" ht="21.95" customHeight="1">
      <c r="A1181" s="8" t="str">
        <f>IFERROR(INDEX('بيانات الحركات'!A:A,MATCH(1180,'بيانات الحركات'!$G:$G,0)),"")</f>
        <v/>
      </c>
      <c r="B1181" s="5" t="str">
        <f>IFERROR(INDEX('بيانات الحركات'!B:B,MATCH(1180,'بيانات الحركات'!$G:$G,0)),"")</f>
        <v/>
      </c>
      <c r="C1181" s="3" t="str">
        <f>IFERROR(INDEX('بيانات الحركات'!C:C,MATCH(1180,'بيانات الحركات'!$G:$G,0)),"")</f>
        <v/>
      </c>
      <c r="D1181" s="3" t="str">
        <f>IFERROR(INDEX('بيانات الحركات'!D:D,MATCH(1180,'بيانات الحركات'!$G:$G,0)),"")</f>
        <v/>
      </c>
      <c r="E1181" s="21" t="str">
        <f>IF($B1181="إنتاج طبخة","",IFERROR(INDEX('بيانات الحركات'!E:E,MATCH(1180,'بيانات الحركات'!$G:$G,0)),""))</f>
        <v/>
      </c>
      <c r="F1181" s="3" t="str">
        <f>IFERROR(INDEX('بيانات الحركات'!F:F,MATCH(1180,'بيانات الحركات'!$G:$G,0)),"")</f>
        <v/>
      </c>
    </row>
    <row r="1182" spans="1:6" ht="21.95" customHeight="1">
      <c r="A1182" s="8" t="str">
        <f>IFERROR(INDEX('بيانات الحركات'!A:A,MATCH(1181,'بيانات الحركات'!$G:$G,0)),"")</f>
        <v/>
      </c>
      <c r="B1182" s="5" t="str">
        <f>IFERROR(INDEX('بيانات الحركات'!B:B,MATCH(1181,'بيانات الحركات'!$G:$G,0)),"")</f>
        <v/>
      </c>
      <c r="C1182" s="3" t="str">
        <f>IFERROR(INDEX('بيانات الحركات'!C:C,MATCH(1181,'بيانات الحركات'!$G:$G,0)),"")</f>
        <v/>
      </c>
      <c r="D1182" s="3" t="str">
        <f>IFERROR(INDEX('بيانات الحركات'!D:D,MATCH(1181,'بيانات الحركات'!$G:$G,0)),"")</f>
        <v/>
      </c>
      <c r="E1182" s="21" t="str">
        <f>IF($B1182="إنتاج طبخة","",IFERROR(INDEX('بيانات الحركات'!E:E,MATCH(1181,'بيانات الحركات'!$G:$G,0)),""))</f>
        <v/>
      </c>
      <c r="F1182" s="3" t="str">
        <f>IFERROR(INDEX('بيانات الحركات'!F:F,MATCH(1181,'بيانات الحركات'!$G:$G,0)),"")</f>
        <v/>
      </c>
    </row>
    <row r="1183" spans="1:6" ht="21.95" customHeight="1">
      <c r="A1183" s="8" t="str">
        <f>IFERROR(INDEX('بيانات الحركات'!A:A,MATCH(1182,'بيانات الحركات'!$G:$G,0)),"")</f>
        <v/>
      </c>
      <c r="B1183" s="5" t="str">
        <f>IFERROR(INDEX('بيانات الحركات'!B:B,MATCH(1182,'بيانات الحركات'!$G:$G,0)),"")</f>
        <v/>
      </c>
      <c r="C1183" s="3" t="str">
        <f>IFERROR(INDEX('بيانات الحركات'!C:C,MATCH(1182,'بيانات الحركات'!$G:$G,0)),"")</f>
        <v/>
      </c>
      <c r="D1183" s="3" t="str">
        <f>IFERROR(INDEX('بيانات الحركات'!D:D,MATCH(1182,'بيانات الحركات'!$G:$G,0)),"")</f>
        <v/>
      </c>
      <c r="E1183" s="21" t="str">
        <f>IF($B1183="إنتاج طبخة","",IFERROR(INDEX('بيانات الحركات'!E:E,MATCH(1182,'بيانات الحركات'!$G:$G,0)),""))</f>
        <v/>
      </c>
      <c r="F1183" s="3" t="str">
        <f>IFERROR(INDEX('بيانات الحركات'!F:F,MATCH(1182,'بيانات الحركات'!$G:$G,0)),"")</f>
        <v/>
      </c>
    </row>
    <row r="1184" spans="1:6" ht="21.95" customHeight="1">
      <c r="A1184" s="8" t="str">
        <f>IFERROR(INDEX('بيانات الحركات'!A:A,MATCH(1183,'بيانات الحركات'!$G:$G,0)),"")</f>
        <v/>
      </c>
      <c r="B1184" s="5" t="str">
        <f>IFERROR(INDEX('بيانات الحركات'!B:B,MATCH(1183,'بيانات الحركات'!$G:$G,0)),"")</f>
        <v/>
      </c>
      <c r="C1184" s="3" t="str">
        <f>IFERROR(INDEX('بيانات الحركات'!C:C,MATCH(1183,'بيانات الحركات'!$G:$G,0)),"")</f>
        <v/>
      </c>
      <c r="D1184" s="3" t="str">
        <f>IFERROR(INDEX('بيانات الحركات'!D:D,MATCH(1183,'بيانات الحركات'!$G:$G,0)),"")</f>
        <v/>
      </c>
      <c r="E1184" s="21" t="str">
        <f>IF($B1184="إنتاج طبخة","",IFERROR(INDEX('بيانات الحركات'!E:E,MATCH(1183,'بيانات الحركات'!$G:$G,0)),""))</f>
        <v/>
      </c>
      <c r="F1184" s="3" t="str">
        <f>IFERROR(INDEX('بيانات الحركات'!F:F,MATCH(1183,'بيانات الحركات'!$G:$G,0)),"")</f>
        <v/>
      </c>
    </row>
    <row r="1185" spans="1:6" ht="21.95" customHeight="1">
      <c r="A1185" s="8" t="str">
        <f>IFERROR(INDEX('بيانات الحركات'!A:A,MATCH(1184,'بيانات الحركات'!$G:$G,0)),"")</f>
        <v/>
      </c>
      <c r="B1185" s="5" t="str">
        <f>IFERROR(INDEX('بيانات الحركات'!B:B,MATCH(1184,'بيانات الحركات'!$G:$G,0)),"")</f>
        <v/>
      </c>
      <c r="C1185" s="3" t="str">
        <f>IFERROR(INDEX('بيانات الحركات'!C:C,MATCH(1184,'بيانات الحركات'!$G:$G,0)),"")</f>
        <v/>
      </c>
      <c r="D1185" s="3" t="str">
        <f>IFERROR(INDEX('بيانات الحركات'!D:D,MATCH(1184,'بيانات الحركات'!$G:$G,0)),"")</f>
        <v/>
      </c>
      <c r="E1185" s="21" t="str">
        <f>IF($B1185="إنتاج طبخة","",IFERROR(INDEX('بيانات الحركات'!E:E,MATCH(1184,'بيانات الحركات'!$G:$G,0)),""))</f>
        <v/>
      </c>
      <c r="F1185" s="3" t="str">
        <f>IFERROR(INDEX('بيانات الحركات'!F:F,MATCH(1184,'بيانات الحركات'!$G:$G,0)),"")</f>
        <v/>
      </c>
    </row>
    <row r="1186" spans="1:6" ht="21.95" customHeight="1">
      <c r="A1186" s="8" t="str">
        <f>IFERROR(INDEX('بيانات الحركات'!A:A,MATCH(1185,'بيانات الحركات'!$G:$G,0)),"")</f>
        <v/>
      </c>
      <c r="B1186" s="5" t="str">
        <f>IFERROR(INDEX('بيانات الحركات'!B:B,MATCH(1185,'بيانات الحركات'!$G:$G,0)),"")</f>
        <v/>
      </c>
      <c r="C1186" s="3" t="str">
        <f>IFERROR(INDEX('بيانات الحركات'!C:C,MATCH(1185,'بيانات الحركات'!$G:$G,0)),"")</f>
        <v/>
      </c>
      <c r="D1186" s="3" t="str">
        <f>IFERROR(INDEX('بيانات الحركات'!D:D,MATCH(1185,'بيانات الحركات'!$G:$G,0)),"")</f>
        <v/>
      </c>
      <c r="E1186" s="21" t="str">
        <f>IF($B1186="إنتاج طبخة","",IFERROR(INDEX('بيانات الحركات'!E:E,MATCH(1185,'بيانات الحركات'!$G:$G,0)),""))</f>
        <v/>
      </c>
      <c r="F1186" s="3" t="str">
        <f>IFERROR(INDEX('بيانات الحركات'!F:F,MATCH(1185,'بيانات الحركات'!$G:$G,0)),"")</f>
        <v/>
      </c>
    </row>
    <row r="1187" spans="1:6" ht="21.95" customHeight="1">
      <c r="A1187" s="8" t="str">
        <f>IFERROR(INDEX('بيانات الحركات'!A:A,MATCH(1186,'بيانات الحركات'!$G:$G,0)),"")</f>
        <v/>
      </c>
      <c r="B1187" s="5" t="str">
        <f>IFERROR(INDEX('بيانات الحركات'!B:B,MATCH(1186,'بيانات الحركات'!$G:$G,0)),"")</f>
        <v/>
      </c>
      <c r="C1187" s="3" t="str">
        <f>IFERROR(INDEX('بيانات الحركات'!C:C,MATCH(1186,'بيانات الحركات'!$G:$G,0)),"")</f>
        <v/>
      </c>
      <c r="D1187" s="3" t="str">
        <f>IFERROR(INDEX('بيانات الحركات'!D:D,MATCH(1186,'بيانات الحركات'!$G:$G,0)),"")</f>
        <v/>
      </c>
      <c r="E1187" s="21" t="str">
        <f>IF($B1187="إنتاج طبخة","",IFERROR(INDEX('بيانات الحركات'!E:E,MATCH(1186,'بيانات الحركات'!$G:$G,0)),""))</f>
        <v/>
      </c>
      <c r="F1187" s="3" t="str">
        <f>IFERROR(INDEX('بيانات الحركات'!F:F,MATCH(1186,'بيانات الحركات'!$G:$G,0)),"")</f>
        <v/>
      </c>
    </row>
    <row r="1188" spans="1:6" ht="21.95" customHeight="1">
      <c r="A1188" s="8" t="str">
        <f>IFERROR(INDEX('بيانات الحركات'!A:A,MATCH(1187,'بيانات الحركات'!$G:$G,0)),"")</f>
        <v/>
      </c>
      <c r="B1188" s="5" t="str">
        <f>IFERROR(INDEX('بيانات الحركات'!B:B,MATCH(1187,'بيانات الحركات'!$G:$G,0)),"")</f>
        <v/>
      </c>
      <c r="C1188" s="3" t="str">
        <f>IFERROR(INDEX('بيانات الحركات'!C:C,MATCH(1187,'بيانات الحركات'!$G:$G,0)),"")</f>
        <v/>
      </c>
      <c r="D1188" s="3" t="str">
        <f>IFERROR(INDEX('بيانات الحركات'!D:D,MATCH(1187,'بيانات الحركات'!$G:$G,0)),"")</f>
        <v/>
      </c>
      <c r="E1188" s="21" t="str">
        <f>IF($B1188="إنتاج طبخة","",IFERROR(INDEX('بيانات الحركات'!E:E,MATCH(1187,'بيانات الحركات'!$G:$G,0)),""))</f>
        <v/>
      </c>
      <c r="F1188" s="3" t="str">
        <f>IFERROR(INDEX('بيانات الحركات'!F:F,MATCH(1187,'بيانات الحركات'!$G:$G,0)),"")</f>
        <v/>
      </c>
    </row>
    <row r="1189" spans="1:6" ht="21.95" customHeight="1">
      <c r="A1189" s="8" t="str">
        <f>IFERROR(INDEX('بيانات الحركات'!A:A,MATCH(1188,'بيانات الحركات'!$G:$G,0)),"")</f>
        <v/>
      </c>
      <c r="B1189" s="5" t="str">
        <f>IFERROR(INDEX('بيانات الحركات'!B:B,MATCH(1188,'بيانات الحركات'!$G:$G,0)),"")</f>
        <v/>
      </c>
      <c r="C1189" s="3" t="str">
        <f>IFERROR(INDEX('بيانات الحركات'!C:C,MATCH(1188,'بيانات الحركات'!$G:$G,0)),"")</f>
        <v/>
      </c>
      <c r="D1189" s="3" t="str">
        <f>IFERROR(INDEX('بيانات الحركات'!D:D,MATCH(1188,'بيانات الحركات'!$G:$G,0)),"")</f>
        <v/>
      </c>
      <c r="E1189" s="21" t="str">
        <f>IF($B1189="إنتاج طبخة","",IFERROR(INDEX('بيانات الحركات'!E:E,MATCH(1188,'بيانات الحركات'!$G:$G,0)),""))</f>
        <v/>
      </c>
      <c r="F1189" s="3" t="str">
        <f>IFERROR(INDEX('بيانات الحركات'!F:F,MATCH(1188,'بيانات الحركات'!$G:$G,0)),"")</f>
        <v/>
      </c>
    </row>
    <row r="1190" spans="1:6" ht="21.95" customHeight="1">
      <c r="A1190" s="8" t="str">
        <f>IFERROR(INDEX('بيانات الحركات'!A:A,MATCH(1189,'بيانات الحركات'!$G:$G,0)),"")</f>
        <v/>
      </c>
      <c r="B1190" s="5" t="str">
        <f>IFERROR(INDEX('بيانات الحركات'!B:B,MATCH(1189,'بيانات الحركات'!$G:$G,0)),"")</f>
        <v/>
      </c>
      <c r="C1190" s="3" t="str">
        <f>IFERROR(INDEX('بيانات الحركات'!C:C,MATCH(1189,'بيانات الحركات'!$G:$G,0)),"")</f>
        <v/>
      </c>
      <c r="D1190" s="3" t="str">
        <f>IFERROR(INDEX('بيانات الحركات'!D:D,MATCH(1189,'بيانات الحركات'!$G:$G,0)),"")</f>
        <v/>
      </c>
      <c r="E1190" s="21" t="str">
        <f>IF($B1190="إنتاج طبخة","",IFERROR(INDEX('بيانات الحركات'!E:E,MATCH(1189,'بيانات الحركات'!$G:$G,0)),""))</f>
        <v/>
      </c>
      <c r="F1190" s="3" t="str">
        <f>IFERROR(INDEX('بيانات الحركات'!F:F,MATCH(1189,'بيانات الحركات'!$G:$G,0)),"")</f>
        <v/>
      </c>
    </row>
    <row r="1191" spans="1:6" ht="21.95" customHeight="1">
      <c r="A1191" s="8" t="str">
        <f>IFERROR(INDEX('بيانات الحركات'!A:A,MATCH(1190,'بيانات الحركات'!$G:$G,0)),"")</f>
        <v/>
      </c>
      <c r="B1191" s="5" t="str">
        <f>IFERROR(INDEX('بيانات الحركات'!B:B,MATCH(1190,'بيانات الحركات'!$G:$G,0)),"")</f>
        <v/>
      </c>
      <c r="C1191" s="3" t="str">
        <f>IFERROR(INDEX('بيانات الحركات'!C:C,MATCH(1190,'بيانات الحركات'!$G:$G,0)),"")</f>
        <v/>
      </c>
      <c r="D1191" s="3" t="str">
        <f>IFERROR(INDEX('بيانات الحركات'!D:D,MATCH(1190,'بيانات الحركات'!$G:$G,0)),"")</f>
        <v/>
      </c>
      <c r="E1191" s="21" t="str">
        <f>IF($B1191="إنتاج طبخة","",IFERROR(INDEX('بيانات الحركات'!E:E,MATCH(1190,'بيانات الحركات'!$G:$G,0)),""))</f>
        <v/>
      </c>
      <c r="F1191" s="3" t="str">
        <f>IFERROR(INDEX('بيانات الحركات'!F:F,MATCH(1190,'بيانات الحركات'!$G:$G,0)),"")</f>
        <v/>
      </c>
    </row>
    <row r="1192" spans="1:6" ht="21.95" customHeight="1">
      <c r="A1192" s="8" t="str">
        <f>IFERROR(INDEX('بيانات الحركات'!A:A,MATCH(1191,'بيانات الحركات'!$G:$G,0)),"")</f>
        <v/>
      </c>
      <c r="B1192" s="5" t="str">
        <f>IFERROR(INDEX('بيانات الحركات'!B:B,MATCH(1191,'بيانات الحركات'!$G:$G,0)),"")</f>
        <v/>
      </c>
      <c r="C1192" s="3" t="str">
        <f>IFERROR(INDEX('بيانات الحركات'!C:C,MATCH(1191,'بيانات الحركات'!$G:$G,0)),"")</f>
        <v/>
      </c>
      <c r="D1192" s="3" t="str">
        <f>IFERROR(INDEX('بيانات الحركات'!D:D,MATCH(1191,'بيانات الحركات'!$G:$G,0)),"")</f>
        <v/>
      </c>
      <c r="E1192" s="21" t="str">
        <f>IF($B1192="إنتاج طبخة","",IFERROR(INDEX('بيانات الحركات'!E:E,MATCH(1191,'بيانات الحركات'!$G:$G,0)),""))</f>
        <v/>
      </c>
      <c r="F1192" s="3" t="str">
        <f>IFERROR(INDEX('بيانات الحركات'!F:F,MATCH(1191,'بيانات الحركات'!$G:$G,0)),"")</f>
        <v/>
      </c>
    </row>
    <row r="1193" spans="1:6" ht="21.95" customHeight="1">
      <c r="A1193" s="8" t="str">
        <f>IFERROR(INDEX('بيانات الحركات'!A:A,MATCH(1192,'بيانات الحركات'!$G:$G,0)),"")</f>
        <v/>
      </c>
      <c r="B1193" s="5" t="str">
        <f>IFERROR(INDEX('بيانات الحركات'!B:B,MATCH(1192,'بيانات الحركات'!$G:$G,0)),"")</f>
        <v/>
      </c>
      <c r="C1193" s="3" t="str">
        <f>IFERROR(INDEX('بيانات الحركات'!C:C,MATCH(1192,'بيانات الحركات'!$G:$G,0)),"")</f>
        <v/>
      </c>
      <c r="D1193" s="3" t="str">
        <f>IFERROR(INDEX('بيانات الحركات'!D:D,MATCH(1192,'بيانات الحركات'!$G:$G,0)),"")</f>
        <v/>
      </c>
      <c r="E1193" s="21" t="str">
        <f>IF($B1193="إنتاج طبخة","",IFERROR(INDEX('بيانات الحركات'!E:E,MATCH(1192,'بيانات الحركات'!$G:$G,0)),""))</f>
        <v/>
      </c>
      <c r="F1193" s="3" t="str">
        <f>IFERROR(INDEX('بيانات الحركات'!F:F,MATCH(1192,'بيانات الحركات'!$G:$G,0)),"")</f>
        <v/>
      </c>
    </row>
    <row r="1194" spans="1:6" ht="21.95" customHeight="1">
      <c r="A1194" s="8" t="str">
        <f>IFERROR(INDEX('بيانات الحركات'!A:A,MATCH(1193,'بيانات الحركات'!$G:$G,0)),"")</f>
        <v/>
      </c>
      <c r="B1194" s="5" t="str">
        <f>IFERROR(INDEX('بيانات الحركات'!B:B,MATCH(1193,'بيانات الحركات'!$G:$G,0)),"")</f>
        <v/>
      </c>
      <c r="C1194" s="3" t="str">
        <f>IFERROR(INDEX('بيانات الحركات'!C:C,MATCH(1193,'بيانات الحركات'!$G:$G,0)),"")</f>
        <v/>
      </c>
      <c r="D1194" s="3" t="str">
        <f>IFERROR(INDEX('بيانات الحركات'!D:D,MATCH(1193,'بيانات الحركات'!$G:$G,0)),"")</f>
        <v/>
      </c>
      <c r="E1194" s="21" t="str">
        <f>IF($B1194="إنتاج طبخة","",IFERROR(INDEX('بيانات الحركات'!E:E,MATCH(1193,'بيانات الحركات'!$G:$G,0)),""))</f>
        <v/>
      </c>
      <c r="F1194" s="3" t="str">
        <f>IFERROR(INDEX('بيانات الحركات'!F:F,MATCH(1193,'بيانات الحركات'!$G:$G,0)),"")</f>
        <v/>
      </c>
    </row>
    <row r="1195" spans="1:6" ht="21.95" customHeight="1">
      <c r="A1195" s="8" t="str">
        <f>IFERROR(INDEX('بيانات الحركات'!A:A,MATCH(1194,'بيانات الحركات'!$G:$G,0)),"")</f>
        <v/>
      </c>
      <c r="B1195" s="5" t="str">
        <f>IFERROR(INDEX('بيانات الحركات'!B:B,MATCH(1194,'بيانات الحركات'!$G:$G,0)),"")</f>
        <v/>
      </c>
      <c r="C1195" s="3" t="str">
        <f>IFERROR(INDEX('بيانات الحركات'!C:C,MATCH(1194,'بيانات الحركات'!$G:$G,0)),"")</f>
        <v/>
      </c>
      <c r="D1195" s="3" t="str">
        <f>IFERROR(INDEX('بيانات الحركات'!D:D,MATCH(1194,'بيانات الحركات'!$G:$G,0)),"")</f>
        <v/>
      </c>
      <c r="E1195" s="21" t="str">
        <f>IF($B1195="إنتاج طبخة","",IFERROR(INDEX('بيانات الحركات'!E:E,MATCH(1194,'بيانات الحركات'!$G:$G,0)),""))</f>
        <v/>
      </c>
      <c r="F1195" s="3" t="str">
        <f>IFERROR(INDEX('بيانات الحركات'!F:F,MATCH(1194,'بيانات الحركات'!$G:$G,0)),"")</f>
        <v/>
      </c>
    </row>
    <row r="1196" spans="1:6" ht="21.95" customHeight="1">
      <c r="A1196" s="8" t="str">
        <f>IFERROR(INDEX('بيانات الحركات'!A:A,MATCH(1195,'بيانات الحركات'!$G:$G,0)),"")</f>
        <v/>
      </c>
      <c r="B1196" s="5" t="str">
        <f>IFERROR(INDEX('بيانات الحركات'!B:B,MATCH(1195,'بيانات الحركات'!$G:$G,0)),"")</f>
        <v/>
      </c>
      <c r="C1196" s="3" t="str">
        <f>IFERROR(INDEX('بيانات الحركات'!C:C,MATCH(1195,'بيانات الحركات'!$G:$G,0)),"")</f>
        <v/>
      </c>
      <c r="D1196" s="3" t="str">
        <f>IFERROR(INDEX('بيانات الحركات'!D:D,MATCH(1195,'بيانات الحركات'!$G:$G,0)),"")</f>
        <v/>
      </c>
      <c r="E1196" s="21" t="str">
        <f>IF($B1196="إنتاج طبخة","",IFERROR(INDEX('بيانات الحركات'!E:E,MATCH(1195,'بيانات الحركات'!$G:$G,0)),""))</f>
        <v/>
      </c>
      <c r="F1196" s="3" t="str">
        <f>IFERROR(INDEX('بيانات الحركات'!F:F,MATCH(1195,'بيانات الحركات'!$G:$G,0)),"")</f>
        <v/>
      </c>
    </row>
    <row r="1197" spans="1:6" ht="21.95" customHeight="1">
      <c r="A1197" s="8" t="str">
        <f>IFERROR(INDEX('بيانات الحركات'!A:A,MATCH(1196,'بيانات الحركات'!$G:$G,0)),"")</f>
        <v/>
      </c>
      <c r="B1197" s="5" t="str">
        <f>IFERROR(INDEX('بيانات الحركات'!B:B,MATCH(1196,'بيانات الحركات'!$G:$G,0)),"")</f>
        <v/>
      </c>
      <c r="C1197" s="3" t="str">
        <f>IFERROR(INDEX('بيانات الحركات'!C:C,MATCH(1196,'بيانات الحركات'!$G:$G,0)),"")</f>
        <v/>
      </c>
      <c r="D1197" s="3" t="str">
        <f>IFERROR(INDEX('بيانات الحركات'!D:D,MATCH(1196,'بيانات الحركات'!$G:$G,0)),"")</f>
        <v/>
      </c>
      <c r="E1197" s="21" t="str">
        <f>IF($B1197="إنتاج طبخة","",IFERROR(INDEX('بيانات الحركات'!E:E,MATCH(1196,'بيانات الحركات'!$G:$G,0)),""))</f>
        <v/>
      </c>
      <c r="F1197" s="3" t="str">
        <f>IFERROR(INDEX('بيانات الحركات'!F:F,MATCH(1196,'بيانات الحركات'!$G:$G,0)),"")</f>
        <v/>
      </c>
    </row>
    <row r="1198" spans="1:6" ht="21.95" customHeight="1">
      <c r="A1198" s="8" t="str">
        <f>IFERROR(INDEX('بيانات الحركات'!A:A,MATCH(1197,'بيانات الحركات'!$G:$G,0)),"")</f>
        <v/>
      </c>
      <c r="B1198" s="5" t="str">
        <f>IFERROR(INDEX('بيانات الحركات'!B:B,MATCH(1197,'بيانات الحركات'!$G:$G,0)),"")</f>
        <v/>
      </c>
      <c r="C1198" s="3" t="str">
        <f>IFERROR(INDEX('بيانات الحركات'!C:C,MATCH(1197,'بيانات الحركات'!$G:$G,0)),"")</f>
        <v/>
      </c>
      <c r="D1198" s="3" t="str">
        <f>IFERROR(INDEX('بيانات الحركات'!D:D,MATCH(1197,'بيانات الحركات'!$G:$G,0)),"")</f>
        <v/>
      </c>
      <c r="E1198" s="21" t="str">
        <f>IF($B1198="إنتاج طبخة","",IFERROR(INDEX('بيانات الحركات'!E:E,MATCH(1197,'بيانات الحركات'!$G:$G,0)),""))</f>
        <v/>
      </c>
      <c r="F1198" s="3" t="str">
        <f>IFERROR(INDEX('بيانات الحركات'!F:F,MATCH(1197,'بيانات الحركات'!$G:$G,0)),"")</f>
        <v/>
      </c>
    </row>
    <row r="1199" spans="1:6" ht="21.95" customHeight="1">
      <c r="A1199" s="8" t="str">
        <f>IFERROR(INDEX('بيانات الحركات'!A:A,MATCH(1198,'بيانات الحركات'!$G:$G,0)),"")</f>
        <v/>
      </c>
      <c r="B1199" s="5" t="str">
        <f>IFERROR(INDEX('بيانات الحركات'!B:B,MATCH(1198,'بيانات الحركات'!$G:$G,0)),"")</f>
        <v/>
      </c>
      <c r="C1199" s="3" t="str">
        <f>IFERROR(INDEX('بيانات الحركات'!C:C,MATCH(1198,'بيانات الحركات'!$G:$G,0)),"")</f>
        <v/>
      </c>
      <c r="D1199" s="3" t="str">
        <f>IFERROR(INDEX('بيانات الحركات'!D:D,MATCH(1198,'بيانات الحركات'!$G:$G,0)),"")</f>
        <v/>
      </c>
      <c r="E1199" s="21" t="str">
        <f>IF($B1199="إنتاج طبخة","",IFERROR(INDEX('بيانات الحركات'!E:E,MATCH(1198,'بيانات الحركات'!$G:$G,0)),""))</f>
        <v/>
      </c>
      <c r="F1199" s="3" t="str">
        <f>IFERROR(INDEX('بيانات الحركات'!F:F,MATCH(1198,'بيانات الحركات'!$G:$G,0)),"")</f>
        <v/>
      </c>
    </row>
    <row r="1200" spans="1:6" ht="21.95" customHeight="1">
      <c r="A1200" s="8" t="str">
        <f>IFERROR(INDEX('بيانات الحركات'!A:A,MATCH(1199,'بيانات الحركات'!$G:$G,0)),"")</f>
        <v/>
      </c>
      <c r="B1200" s="5" t="str">
        <f>IFERROR(INDEX('بيانات الحركات'!B:B,MATCH(1199,'بيانات الحركات'!$G:$G,0)),"")</f>
        <v/>
      </c>
      <c r="C1200" s="3" t="str">
        <f>IFERROR(INDEX('بيانات الحركات'!C:C,MATCH(1199,'بيانات الحركات'!$G:$G,0)),"")</f>
        <v/>
      </c>
      <c r="D1200" s="3" t="str">
        <f>IFERROR(INDEX('بيانات الحركات'!D:D,MATCH(1199,'بيانات الحركات'!$G:$G,0)),"")</f>
        <v/>
      </c>
      <c r="E1200" s="21" t="str">
        <f>IF($B1200="إنتاج طبخة","",IFERROR(INDEX('بيانات الحركات'!E:E,MATCH(1199,'بيانات الحركات'!$G:$G,0)),""))</f>
        <v/>
      </c>
      <c r="F1200" s="3" t="str">
        <f>IFERROR(INDEX('بيانات الحركات'!F:F,MATCH(1199,'بيانات الحركات'!$G:$G,0)),"")</f>
        <v/>
      </c>
    </row>
    <row r="1201" spans="1:6" ht="21.95" customHeight="1">
      <c r="A1201" s="8" t="str">
        <f>IFERROR(INDEX('بيانات الحركات'!A:A,MATCH(1200,'بيانات الحركات'!$G:$G,0)),"")</f>
        <v/>
      </c>
      <c r="B1201" s="5" t="str">
        <f>IFERROR(INDEX('بيانات الحركات'!B:B,MATCH(1200,'بيانات الحركات'!$G:$G,0)),"")</f>
        <v/>
      </c>
      <c r="C1201" s="3" t="str">
        <f>IFERROR(INDEX('بيانات الحركات'!C:C,MATCH(1200,'بيانات الحركات'!$G:$G,0)),"")</f>
        <v/>
      </c>
      <c r="D1201" s="3" t="str">
        <f>IFERROR(INDEX('بيانات الحركات'!D:D,MATCH(1200,'بيانات الحركات'!$G:$G,0)),"")</f>
        <v/>
      </c>
      <c r="E1201" s="21" t="str">
        <f>IF($B1201="إنتاج طبخة","",IFERROR(INDEX('بيانات الحركات'!E:E,MATCH(1200,'بيانات الحركات'!$G:$G,0)),""))</f>
        <v/>
      </c>
      <c r="F1201" s="3" t="str">
        <f>IFERROR(INDEX('بيانات الحركات'!F:F,MATCH(1200,'بيانات الحركات'!$G:$G,0)),"")</f>
        <v/>
      </c>
    </row>
    <row r="1202" spans="1:6" ht="21.95" customHeight="1">
      <c r="A1202" s="8" t="str">
        <f>IFERROR(INDEX('بيانات الحركات'!A:A,MATCH(1201,'بيانات الحركات'!$G:$G,0)),"")</f>
        <v/>
      </c>
      <c r="B1202" s="5" t="str">
        <f>IFERROR(INDEX('بيانات الحركات'!B:B,MATCH(1201,'بيانات الحركات'!$G:$G,0)),"")</f>
        <v/>
      </c>
      <c r="C1202" s="3" t="str">
        <f>IFERROR(INDEX('بيانات الحركات'!C:C,MATCH(1201,'بيانات الحركات'!$G:$G,0)),"")</f>
        <v/>
      </c>
      <c r="D1202" s="3" t="str">
        <f>IFERROR(INDEX('بيانات الحركات'!D:D,MATCH(1201,'بيانات الحركات'!$G:$G,0)),"")</f>
        <v/>
      </c>
      <c r="E1202" s="21" t="str">
        <f>IF($B1202="إنتاج طبخة","",IFERROR(INDEX('بيانات الحركات'!E:E,MATCH(1201,'بيانات الحركات'!$G:$G,0)),""))</f>
        <v/>
      </c>
      <c r="F1202" s="3" t="str">
        <f>IFERROR(INDEX('بيانات الحركات'!F:F,MATCH(1201,'بيانات الحركات'!$G:$G,0)),"")</f>
        <v/>
      </c>
    </row>
    <row r="1203" spans="1:6" ht="21.95" customHeight="1">
      <c r="A1203" s="8" t="str">
        <f>IFERROR(INDEX('بيانات الحركات'!A:A,MATCH(1202,'بيانات الحركات'!$G:$G,0)),"")</f>
        <v/>
      </c>
      <c r="B1203" s="5" t="str">
        <f>IFERROR(INDEX('بيانات الحركات'!B:B,MATCH(1202,'بيانات الحركات'!$G:$G,0)),"")</f>
        <v/>
      </c>
      <c r="C1203" s="3" t="str">
        <f>IFERROR(INDEX('بيانات الحركات'!C:C,MATCH(1202,'بيانات الحركات'!$G:$G,0)),"")</f>
        <v/>
      </c>
      <c r="D1203" s="3" t="str">
        <f>IFERROR(INDEX('بيانات الحركات'!D:D,MATCH(1202,'بيانات الحركات'!$G:$G,0)),"")</f>
        <v/>
      </c>
      <c r="E1203" s="21" t="str">
        <f>IF($B1203="إنتاج طبخة","",IFERROR(INDEX('بيانات الحركات'!E:E,MATCH(1202,'بيانات الحركات'!$G:$G,0)),""))</f>
        <v/>
      </c>
      <c r="F1203" s="3" t="str">
        <f>IFERROR(INDEX('بيانات الحركات'!F:F,MATCH(1202,'بيانات الحركات'!$G:$G,0)),"")</f>
        <v/>
      </c>
    </row>
    <row r="1204" spans="1:6" ht="21.95" customHeight="1">
      <c r="A1204" s="8" t="str">
        <f>IFERROR(INDEX('بيانات الحركات'!A:A,MATCH(1203,'بيانات الحركات'!$G:$G,0)),"")</f>
        <v/>
      </c>
      <c r="B1204" s="5" t="str">
        <f>IFERROR(INDEX('بيانات الحركات'!B:B,MATCH(1203,'بيانات الحركات'!$G:$G,0)),"")</f>
        <v/>
      </c>
      <c r="C1204" s="3" t="str">
        <f>IFERROR(INDEX('بيانات الحركات'!C:C,MATCH(1203,'بيانات الحركات'!$G:$G,0)),"")</f>
        <v/>
      </c>
      <c r="D1204" s="3" t="str">
        <f>IFERROR(INDEX('بيانات الحركات'!D:D,MATCH(1203,'بيانات الحركات'!$G:$G,0)),"")</f>
        <v/>
      </c>
      <c r="E1204" s="21" t="str">
        <f>IF($B1204="إنتاج طبخة","",IFERROR(INDEX('بيانات الحركات'!E:E,MATCH(1203,'بيانات الحركات'!$G:$G,0)),""))</f>
        <v/>
      </c>
      <c r="F1204" s="3" t="str">
        <f>IFERROR(INDEX('بيانات الحركات'!F:F,MATCH(1203,'بيانات الحركات'!$G:$G,0)),"")</f>
        <v/>
      </c>
    </row>
    <row r="1205" spans="1:6" ht="21.95" customHeight="1">
      <c r="A1205" s="8" t="str">
        <f>IFERROR(INDEX('بيانات الحركات'!A:A,MATCH(1204,'بيانات الحركات'!$G:$G,0)),"")</f>
        <v/>
      </c>
      <c r="B1205" s="5" t="str">
        <f>IFERROR(INDEX('بيانات الحركات'!B:B,MATCH(1204,'بيانات الحركات'!$G:$G,0)),"")</f>
        <v/>
      </c>
      <c r="C1205" s="3" t="str">
        <f>IFERROR(INDEX('بيانات الحركات'!C:C,MATCH(1204,'بيانات الحركات'!$G:$G,0)),"")</f>
        <v/>
      </c>
      <c r="D1205" s="3" t="str">
        <f>IFERROR(INDEX('بيانات الحركات'!D:D,MATCH(1204,'بيانات الحركات'!$G:$G,0)),"")</f>
        <v/>
      </c>
      <c r="E1205" s="21" t="str">
        <f>IF($B1205="إنتاج طبخة","",IFERROR(INDEX('بيانات الحركات'!E:E,MATCH(1204,'بيانات الحركات'!$G:$G,0)),""))</f>
        <v/>
      </c>
      <c r="F1205" s="3" t="str">
        <f>IFERROR(INDEX('بيانات الحركات'!F:F,MATCH(1204,'بيانات الحركات'!$G:$G,0)),"")</f>
        <v/>
      </c>
    </row>
    <row r="1206" spans="1:6" ht="21.95" customHeight="1">
      <c r="A1206" s="8" t="str">
        <f>IFERROR(INDEX('بيانات الحركات'!A:A,MATCH(1205,'بيانات الحركات'!$G:$G,0)),"")</f>
        <v/>
      </c>
      <c r="B1206" s="5" t="str">
        <f>IFERROR(INDEX('بيانات الحركات'!B:B,MATCH(1205,'بيانات الحركات'!$G:$G,0)),"")</f>
        <v/>
      </c>
      <c r="C1206" s="3" t="str">
        <f>IFERROR(INDEX('بيانات الحركات'!C:C,MATCH(1205,'بيانات الحركات'!$G:$G,0)),"")</f>
        <v/>
      </c>
      <c r="D1206" s="3" t="str">
        <f>IFERROR(INDEX('بيانات الحركات'!D:D,MATCH(1205,'بيانات الحركات'!$G:$G,0)),"")</f>
        <v/>
      </c>
      <c r="E1206" s="21" t="str">
        <f>IF($B1206="إنتاج طبخة","",IFERROR(INDEX('بيانات الحركات'!E:E,MATCH(1205,'بيانات الحركات'!$G:$G,0)),""))</f>
        <v/>
      </c>
      <c r="F1206" s="3" t="str">
        <f>IFERROR(INDEX('بيانات الحركات'!F:F,MATCH(1205,'بيانات الحركات'!$G:$G,0)),"")</f>
        <v/>
      </c>
    </row>
    <row r="1207" spans="1:6" ht="21.95" customHeight="1">
      <c r="A1207" s="8" t="str">
        <f>IFERROR(INDEX('بيانات الحركات'!A:A,MATCH(1206,'بيانات الحركات'!$G:$G,0)),"")</f>
        <v/>
      </c>
      <c r="B1207" s="5" t="str">
        <f>IFERROR(INDEX('بيانات الحركات'!B:B,MATCH(1206,'بيانات الحركات'!$G:$G,0)),"")</f>
        <v/>
      </c>
      <c r="C1207" s="3" t="str">
        <f>IFERROR(INDEX('بيانات الحركات'!C:C,MATCH(1206,'بيانات الحركات'!$G:$G,0)),"")</f>
        <v/>
      </c>
      <c r="D1207" s="3" t="str">
        <f>IFERROR(INDEX('بيانات الحركات'!D:D,MATCH(1206,'بيانات الحركات'!$G:$G,0)),"")</f>
        <v/>
      </c>
      <c r="E1207" s="21" t="str">
        <f>IF($B1207="إنتاج طبخة","",IFERROR(INDEX('بيانات الحركات'!E:E,MATCH(1206,'بيانات الحركات'!$G:$G,0)),""))</f>
        <v/>
      </c>
      <c r="F1207" s="3" t="str">
        <f>IFERROR(INDEX('بيانات الحركات'!F:F,MATCH(1206,'بيانات الحركات'!$G:$G,0)),"")</f>
        <v/>
      </c>
    </row>
    <row r="1208" spans="1:6" ht="21.95" customHeight="1">
      <c r="A1208" s="8" t="str">
        <f>IFERROR(INDEX('بيانات الحركات'!A:A,MATCH(1207,'بيانات الحركات'!$G:$G,0)),"")</f>
        <v/>
      </c>
      <c r="B1208" s="5" t="str">
        <f>IFERROR(INDEX('بيانات الحركات'!B:B,MATCH(1207,'بيانات الحركات'!$G:$G,0)),"")</f>
        <v/>
      </c>
      <c r="C1208" s="3" t="str">
        <f>IFERROR(INDEX('بيانات الحركات'!C:C,MATCH(1207,'بيانات الحركات'!$G:$G,0)),"")</f>
        <v/>
      </c>
      <c r="D1208" s="3" t="str">
        <f>IFERROR(INDEX('بيانات الحركات'!D:D,MATCH(1207,'بيانات الحركات'!$G:$G,0)),"")</f>
        <v/>
      </c>
      <c r="E1208" s="21" t="str">
        <f>IF($B1208="إنتاج طبخة","",IFERROR(INDEX('بيانات الحركات'!E:E,MATCH(1207,'بيانات الحركات'!$G:$G,0)),""))</f>
        <v/>
      </c>
      <c r="F1208" s="3" t="str">
        <f>IFERROR(INDEX('بيانات الحركات'!F:F,MATCH(1207,'بيانات الحركات'!$G:$G,0)),"")</f>
        <v/>
      </c>
    </row>
    <row r="1209" spans="1:6" ht="21.95" customHeight="1">
      <c r="A1209" s="8" t="str">
        <f>IFERROR(INDEX('بيانات الحركات'!A:A,MATCH(1208,'بيانات الحركات'!$G:$G,0)),"")</f>
        <v/>
      </c>
      <c r="B1209" s="5" t="str">
        <f>IFERROR(INDEX('بيانات الحركات'!B:B,MATCH(1208,'بيانات الحركات'!$G:$G,0)),"")</f>
        <v/>
      </c>
      <c r="C1209" s="3" t="str">
        <f>IFERROR(INDEX('بيانات الحركات'!C:C,MATCH(1208,'بيانات الحركات'!$G:$G,0)),"")</f>
        <v/>
      </c>
      <c r="D1209" s="3" t="str">
        <f>IFERROR(INDEX('بيانات الحركات'!D:D,MATCH(1208,'بيانات الحركات'!$G:$G,0)),"")</f>
        <v/>
      </c>
      <c r="E1209" s="21" t="str">
        <f>IF($B1209="إنتاج طبخة","",IFERROR(INDEX('بيانات الحركات'!E:E,MATCH(1208,'بيانات الحركات'!$G:$G,0)),""))</f>
        <v/>
      </c>
      <c r="F1209" s="3" t="str">
        <f>IFERROR(INDEX('بيانات الحركات'!F:F,MATCH(1208,'بيانات الحركات'!$G:$G,0)),"")</f>
        <v/>
      </c>
    </row>
    <row r="1210" spans="1:6" ht="21.95" customHeight="1">
      <c r="A1210" s="8" t="str">
        <f>IFERROR(INDEX('بيانات الحركات'!A:A,MATCH(1209,'بيانات الحركات'!$G:$G,0)),"")</f>
        <v/>
      </c>
      <c r="B1210" s="5" t="str">
        <f>IFERROR(INDEX('بيانات الحركات'!B:B,MATCH(1209,'بيانات الحركات'!$G:$G,0)),"")</f>
        <v/>
      </c>
      <c r="C1210" s="3" t="str">
        <f>IFERROR(INDEX('بيانات الحركات'!C:C,MATCH(1209,'بيانات الحركات'!$G:$G,0)),"")</f>
        <v/>
      </c>
      <c r="D1210" s="3" t="str">
        <f>IFERROR(INDEX('بيانات الحركات'!D:D,MATCH(1209,'بيانات الحركات'!$G:$G,0)),"")</f>
        <v/>
      </c>
      <c r="E1210" s="21" t="str">
        <f>IF($B1210="إنتاج طبخة","",IFERROR(INDEX('بيانات الحركات'!E:E,MATCH(1209,'بيانات الحركات'!$G:$G,0)),""))</f>
        <v/>
      </c>
      <c r="F1210" s="3" t="str">
        <f>IFERROR(INDEX('بيانات الحركات'!F:F,MATCH(1209,'بيانات الحركات'!$G:$G,0)),"")</f>
        <v/>
      </c>
    </row>
    <row r="1211" spans="1:6" ht="21.95" customHeight="1">
      <c r="A1211" s="8" t="str">
        <f>IFERROR(INDEX('بيانات الحركات'!A:A,MATCH(1210,'بيانات الحركات'!$G:$G,0)),"")</f>
        <v/>
      </c>
      <c r="B1211" s="5" t="str">
        <f>IFERROR(INDEX('بيانات الحركات'!B:B,MATCH(1210,'بيانات الحركات'!$G:$G,0)),"")</f>
        <v/>
      </c>
      <c r="C1211" s="3" t="str">
        <f>IFERROR(INDEX('بيانات الحركات'!C:C,MATCH(1210,'بيانات الحركات'!$G:$G,0)),"")</f>
        <v/>
      </c>
      <c r="D1211" s="3" t="str">
        <f>IFERROR(INDEX('بيانات الحركات'!D:D,MATCH(1210,'بيانات الحركات'!$G:$G,0)),"")</f>
        <v/>
      </c>
      <c r="E1211" s="21" t="str">
        <f>IF($B1211="إنتاج طبخة","",IFERROR(INDEX('بيانات الحركات'!E:E,MATCH(1210,'بيانات الحركات'!$G:$G,0)),""))</f>
        <v/>
      </c>
      <c r="F1211" s="3" t="str">
        <f>IFERROR(INDEX('بيانات الحركات'!F:F,MATCH(1210,'بيانات الحركات'!$G:$G,0)),"")</f>
        <v/>
      </c>
    </row>
    <row r="1212" spans="1:6" ht="21.95" customHeight="1">
      <c r="A1212" s="8" t="str">
        <f>IFERROR(INDEX('بيانات الحركات'!A:A,MATCH(1211,'بيانات الحركات'!$G:$G,0)),"")</f>
        <v/>
      </c>
      <c r="B1212" s="5" t="str">
        <f>IFERROR(INDEX('بيانات الحركات'!B:B,MATCH(1211,'بيانات الحركات'!$G:$G,0)),"")</f>
        <v/>
      </c>
      <c r="C1212" s="3" t="str">
        <f>IFERROR(INDEX('بيانات الحركات'!C:C,MATCH(1211,'بيانات الحركات'!$G:$G,0)),"")</f>
        <v/>
      </c>
      <c r="D1212" s="3" t="str">
        <f>IFERROR(INDEX('بيانات الحركات'!D:D,MATCH(1211,'بيانات الحركات'!$G:$G,0)),"")</f>
        <v/>
      </c>
      <c r="E1212" s="21" t="str">
        <f>IF($B1212="إنتاج طبخة","",IFERROR(INDEX('بيانات الحركات'!E:E,MATCH(1211,'بيانات الحركات'!$G:$G,0)),""))</f>
        <v/>
      </c>
      <c r="F1212" s="3" t="str">
        <f>IFERROR(INDEX('بيانات الحركات'!F:F,MATCH(1211,'بيانات الحركات'!$G:$G,0)),"")</f>
        <v/>
      </c>
    </row>
    <row r="1213" spans="1:6" ht="21.95" customHeight="1">
      <c r="A1213" s="8" t="str">
        <f>IFERROR(INDEX('بيانات الحركات'!A:A,MATCH(1212,'بيانات الحركات'!$G:$G,0)),"")</f>
        <v/>
      </c>
      <c r="B1213" s="5" t="str">
        <f>IFERROR(INDEX('بيانات الحركات'!B:B,MATCH(1212,'بيانات الحركات'!$G:$G,0)),"")</f>
        <v/>
      </c>
      <c r="C1213" s="3" t="str">
        <f>IFERROR(INDEX('بيانات الحركات'!C:C,MATCH(1212,'بيانات الحركات'!$G:$G,0)),"")</f>
        <v/>
      </c>
      <c r="D1213" s="3" t="str">
        <f>IFERROR(INDEX('بيانات الحركات'!D:D,MATCH(1212,'بيانات الحركات'!$G:$G,0)),"")</f>
        <v/>
      </c>
      <c r="E1213" s="21" t="str">
        <f>IF($B1213="إنتاج طبخة","",IFERROR(INDEX('بيانات الحركات'!E:E,MATCH(1212,'بيانات الحركات'!$G:$G,0)),""))</f>
        <v/>
      </c>
      <c r="F1213" s="3" t="str">
        <f>IFERROR(INDEX('بيانات الحركات'!F:F,MATCH(1212,'بيانات الحركات'!$G:$G,0)),"")</f>
        <v/>
      </c>
    </row>
    <row r="1214" spans="1:6" ht="21.95" customHeight="1">
      <c r="A1214" s="8" t="str">
        <f>IFERROR(INDEX('بيانات الحركات'!A:A,MATCH(1213,'بيانات الحركات'!$G:$G,0)),"")</f>
        <v/>
      </c>
      <c r="B1214" s="5" t="str">
        <f>IFERROR(INDEX('بيانات الحركات'!B:B,MATCH(1213,'بيانات الحركات'!$G:$G,0)),"")</f>
        <v/>
      </c>
      <c r="C1214" s="3" t="str">
        <f>IFERROR(INDEX('بيانات الحركات'!C:C,MATCH(1213,'بيانات الحركات'!$G:$G,0)),"")</f>
        <v/>
      </c>
      <c r="D1214" s="3" t="str">
        <f>IFERROR(INDEX('بيانات الحركات'!D:D,MATCH(1213,'بيانات الحركات'!$G:$G,0)),"")</f>
        <v/>
      </c>
      <c r="E1214" s="21" t="str">
        <f>IF($B1214="إنتاج طبخة","",IFERROR(INDEX('بيانات الحركات'!E:E,MATCH(1213,'بيانات الحركات'!$G:$G,0)),""))</f>
        <v/>
      </c>
      <c r="F1214" s="3" t="str">
        <f>IFERROR(INDEX('بيانات الحركات'!F:F,MATCH(1213,'بيانات الحركات'!$G:$G,0)),"")</f>
        <v/>
      </c>
    </row>
    <row r="1215" spans="1:6" ht="21.95" customHeight="1">
      <c r="A1215" s="8" t="str">
        <f>IFERROR(INDEX('بيانات الحركات'!A:A,MATCH(1214,'بيانات الحركات'!$G:$G,0)),"")</f>
        <v/>
      </c>
      <c r="B1215" s="5" t="str">
        <f>IFERROR(INDEX('بيانات الحركات'!B:B,MATCH(1214,'بيانات الحركات'!$G:$G,0)),"")</f>
        <v/>
      </c>
      <c r="C1215" s="3" t="str">
        <f>IFERROR(INDEX('بيانات الحركات'!C:C,MATCH(1214,'بيانات الحركات'!$G:$G,0)),"")</f>
        <v/>
      </c>
      <c r="D1215" s="3" t="str">
        <f>IFERROR(INDEX('بيانات الحركات'!D:D,MATCH(1214,'بيانات الحركات'!$G:$G,0)),"")</f>
        <v/>
      </c>
      <c r="E1215" s="21" t="str">
        <f>IF($B1215="إنتاج طبخة","",IFERROR(INDEX('بيانات الحركات'!E:E,MATCH(1214,'بيانات الحركات'!$G:$G,0)),""))</f>
        <v/>
      </c>
      <c r="F1215" s="3" t="str">
        <f>IFERROR(INDEX('بيانات الحركات'!F:F,MATCH(1214,'بيانات الحركات'!$G:$G,0)),"")</f>
        <v/>
      </c>
    </row>
    <row r="1216" spans="1:6" ht="21.95" customHeight="1">
      <c r="A1216" s="8" t="str">
        <f>IFERROR(INDEX('بيانات الحركات'!A:A,MATCH(1215,'بيانات الحركات'!$G:$G,0)),"")</f>
        <v/>
      </c>
      <c r="B1216" s="5" t="str">
        <f>IFERROR(INDEX('بيانات الحركات'!B:B,MATCH(1215,'بيانات الحركات'!$G:$G,0)),"")</f>
        <v/>
      </c>
      <c r="C1216" s="3" t="str">
        <f>IFERROR(INDEX('بيانات الحركات'!C:C,MATCH(1215,'بيانات الحركات'!$G:$G,0)),"")</f>
        <v/>
      </c>
      <c r="D1216" s="3" t="str">
        <f>IFERROR(INDEX('بيانات الحركات'!D:D,MATCH(1215,'بيانات الحركات'!$G:$G,0)),"")</f>
        <v/>
      </c>
      <c r="E1216" s="21" t="str">
        <f>IF($B1216="إنتاج طبخة","",IFERROR(INDEX('بيانات الحركات'!E:E,MATCH(1215,'بيانات الحركات'!$G:$G,0)),""))</f>
        <v/>
      </c>
      <c r="F1216" s="3" t="str">
        <f>IFERROR(INDEX('بيانات الحركات'!F:F,MATCH(1215,'بيانات الحركات'!$G:$G,0)),"")</f>
        <v/>
      </c>
    </row>
    <row r="1217" spans="1:6" ht="21.95" customHeight="1">
      <c r="A1217" s="8" t="str">
        <f>IFERROR(INDEX('بيانات الحركات'!A:A,MATCH(1216,'بيانات الحركات'!$G:$G,0)),"")</f>
        <v/>
      </c>
      <c r="B1217" s="5" t="str">
        <f>IFERROR(INDEX('بيانات الحركات'!B:B,MATCH(1216,'بيانات الحركات'!$G:$G,0)),"")</f>
        <v/>
      </c>
      <c r="C1217" s="3" t="str">
        <f>IFERROR(INDEX('بيانات الحركات'!C:C,MATCH(1216,'بيانات الحركات'!$G:$G,0)),"")</f>
        <v/>
      </c>
      <c r="D1217" s="3" t="str">
        <f>IFERROR(INDEX('بيانات الحركات'!D:D,MATCH(1216,'بيانات الحركات'!$G:$G,0)),"")</f>
        <v/>
      </c>
      <c r="E1217" s="21" t="str">
        <f>IF($B1217="إنتاج طبخة","",IFERROR(INDEX('بيانات الحركات'!E:E,MATCH(1216,'بيانات الحركات'!$G:$G,0)),""))</f>
        <v/>
      </c>
      <c r="F1217" s="3" t="str">
        <f>IFERROR(INDEX('بيانات الحركات'!F:F,MATCH(1216,'بيانات الحركات'!$G:$G,0)),"")</f>
        <v/>
      </c>
    </row>
    <row r="1218" spans="1:6" ht="21.95" customHeight="1">
      <c r="A1218" s="8" t="str">
        <f>IFERROR(INDEX('بيانات الحركات'!A:A,MATCH(1217,'بيانات الحركات'!$G:$G,0)),"")</f>
        <v/>
      </c>
      <c r="B1218" s="5" t="str">
        <f>IFERROR(INDEX('بيانات الحركات'!B:B,MATCH(1217,'بيانات الحركات'!$G:$G,0)),"")</f>
        <v/>
      </c>
      <c r="C1218" s="3" t="str">
        <f>IFERROR(INDEX('بيانات الحركات'!C:C,MATCH(1217,'بيانات الحركات'!$G:$G,0)),"")</f>
        <v/>
      </c>
      <c r="D1218" s="3" t="str">
        <f>IFERROR(INDEX('بيانات الحركات'!D:D,MATCH(1217,'بيانات الحركات'!$G:$G,0)),"")</f>
        <v/>
      </c>
      <c r="E1218" s="21" t="str">
        <f>IF($B1218="إنتاج طبخة","",IFERROR(INDEX('بيانات الحركات'!E:E,MATCH(1217,'بيانات الحركات'!$G:$G,0)),""))</f>
        <v/>
      </c>
      <c r="F1218" s="3" t="str">
        <f>IFERROR(INDEX('بيانات الحركات'!F:F,MATCH(1217,'بيانات الحركات'!$G:$G,0)),"")</f>
        <v/>
      </c>
    </row>
    <row r="1219" spans="1:6" ht="21.95" customHeight="1">
      <c r="A1219" s="8" t="str">
        <f>IFERROR(INDEX('بيانات الحركات'!A:A,MATCH(1218,'بيانات الحركات'!$G:$G,0)),"")</f>
        <v/>
      </c>
      <c r="B1219" s="5" t="str">
        <f>IFERROR(INDEX('بيانات الحركات'!B:B,MATCH(1218,'بيانات الحركات'!$G:$G,0)),"")</f>
        <v/>
      </c>
      <c r="C1219" s="3" t="str">
        <f>IFERROR(INDEX('بيانات الحركات'!C:C,MATCH(1218,'بيانات الحركات'!$G:$G,0)),"")</f>
        <v/>
      </c>
      <c r="D1219" s="3" t="str">
        <f>IFERROR(INDEX('بيانات الحركات'!D:D,MATCH(1218,'بيانات الحركات'!$G:$G,0)),"")</f>
        <v/>
      </c>
      <c r="E1219" s="21" t="str">
        <f>IF($B1219="إنتاج طبخة","",IFERROR(INDEX('بيانات الحركات'!E:E,MATCH(1218,'بيانات الحركات'!$G:$G,0)),""))</f>
        <v/>
      </c>
      <c r="F1219" s="3" t="str">
        <f>IFERROR(INDEX('بيانات الحركات'!F:F,MATCH(1218,'بيانات الحركات'!$G:$G,0)),"")</f>
        <v/>
      </c>
    </row>
    <row r="1220" spans="1:6" ht="21.95" customHeight="1">
      <c r="A1220" s="8" t="str">
        <f>IFERROR(INDEX('بيانات الحركات'!A:A,MATCH(1219,'بيانات الحركات'!$G:$G,0)),"")</f>
        <v/>
      </c>
      <c r="B1220" s="5" t="str">
        <f>IFERROR(INDEX('بيانات الحركات'!B:B,MATCH(1219,'بيانات الحركات'!$G:$G,0)),"")</f>
        <v/>
      </c>
      <c r="C1220" s="3" t="str">
        <f>IFERROR(INDEX('بيانات الحركات'!C:C,MATCH(1219,'بيانات الحركات'!$G:$G,0)),"")</f>
        <v/>
      </c>
      <c r="D1220" s="3" t="str">
        <f>IFERROR(INDEX('بيانات الحركات'!D:D,MATCH(1219,'بيانات الحركات'!$G:$G,0)),"")</f>
        <v/>
      </c>
      <c r="E1220" s="21" t="str">
        <f>IF($B1220="إنتاج طبخة","",IFERROR(INDEX('بيانات الحركات'!E:E,MATCH(1219,'بيانات الحركات'!$G:$G,0)),""))</f>
        <v/>
      </c>
      <c r="F1220" s="3" t="str">
        <f>IFERROR(INDEX('بيانات الحركات'!F:F,MATCH(1219,'بيانات الحركات'!$G:$G,0)),"")</f>
        <v/>
      </c>
    </row>
    <row r="1221" spans="1:6" ht="21.95" customHeight="1">
      <c r="A1221" s="8" t="str">
        <f>IFERROR(INDEX('بيانات الحركات'!A:A,MATCH(1220,'بيانات الحركات'!$G:$G,0)),"")</f>
        <v/>
      </c>
      <c r="B1221" s="5" t="str">
        <f>IFERROR(INDEX('بيانات الحركات'!B:B,MATCH(1220,'بيانات الحركات'!$G:$G,0)),"")</f>
        <v/>
      </c>
      <c r="C1221" s="3" t="str">
        <f>IFERROR(INDEX('بيانات الحركات'!C:C,MATCH(1220,'بيانات الحركات'!$G:$G,0)),"")</f>
        <v/>
      </c>
      <c r="D1221" s="3" t="str">
        <f>IFERROR(INDEX('بيانات الحركات'!D:D,MATCH(1220,'بيانات الحركات'!$G:$G,0)),"")</f>
        <v/>
      </c>
      <c r="E1221" s="21" t="str">
        <f>IF($B1221="إنتاج طبخة","",IFERROR(INDEX('بيانات الحركات'!E:E,MATCH(1220,'بيانات الحركات'!$G:$G,0)),""))</f>
        <v/>
      </c>
      <c r="F1221" s="3" t="str">
        <f>IFERROR(INDEX('بيانات الحركات'!F:F,MATCH(1220,'بيانات الحركات'!$G:$G,0)),"")</f>
        <v/>
      </c>
    </row>
    <row r="1222" spans="1:6" ht="21.95" customHeight="1">
      <c r="A1222" s="8" t="str">
        <f>IFERROR(INDEX('بيانات الحركات'!A:A,MATCH(1221,'بيانات الحركات'!$G:$G,0)),"")</f>
        <v/>
      </c>
      <c r="B1222" s="5" t="str">
        <f>IFERROR(INDEX('بيانات الحركات'!B:B,MATCH(1221,'بيانات الحركات'!$G:$G,0)),"")</f>
        <v/>
      </c>
      <c r="C1222" s="3" t="str">
        <f>IFERROR(INDEX('بيانات الحركات'!C:C,MATCH(1221,'بيانات الحركات'!$G:$G,0)),"")</f>
        <v/>
      </c>
      <c r="D1222" s="3" t="str">
        <f>IFERROR(INDEX('بيانات الحركات'!D:D,MATCH(1221,'بيانات الحركات'!$G:$G,0)),"")</f>
        <v/>
      </c>
      <c r="E1222" s="21" t="str">
        <f>IF($B1222="إنتاج طبخة","",IFERROR(INDEX('بيانات الحركات'!E:E,MATCH(1221,'بيانات الحركات'!$G:$G,0)),""))</f>
        <v/>
      </c>
      <c r="F1222" s="3" t="str">
        <f>IFERROR(INDEX('بيانات الحركات'!F:F,MATCH(1221,'بيانات الحركات'!$G:$G,0)),"")</f>
        <v/>
      </c>
    </row>
    <row r="1223" spans="1:6" ht="21.95" customHeight="1">
      <c r="A1223" s="8" t="str">
        <f>IFERROR(INDEX('بيانات الحركات'!A:A,MATCH(1222,'بيانات الحركات'!$G:$G,0)),"")</f>
        <v/>
      </c>
      <c r="B1223" s="5" t="str">
        <f>IFERROR(INDEX('بيانات الحركات'!B:B,MATCH(1222,'بيانات الحركات'!$G:$G,0)),"")</f>
        <v/>
      </c>
      <c r="C1223" s="3" t="str">
        <f>IFERROR(INDEX('بيانات الحركات'!C:C,MATCH(1222,'بيانات الحركات'!$G:$G,0)),"")</f>
        <v/>
      </c>
      <c r="D1223" s="3" t="str">
        <f>IFERROR(INDEX('بيانات الحركات'!D:D,MATCH(1222,'بيانات الحركات'!$G:$G,0)),"")</f>
        <v/>
      </c>
      <c r="E1223" s="21" t="str">
        <f>IF($B1223="إنتاج طبخة","",IFERROR(INDEX('بيانات الحركات'!E:E,MATCH(1222,'بيانات الحركات'!$G:$G,0)),""))</f>
        <v/>
      </c>
      <c r="F1223" s="3" t="str">
        <f>IFERROR(INDEX('بيانات الحركات'!F:F,MATCH(1222,'بيانات الحركات'!$G:$G,0)),"")</f>
        <v/>
      </c>
    </row>
    <row r="1224" spans="1:6" ht="21.95" customHeight="1">
      <c r="A1224" s="8" t="str">
        <f>IFERROR(INDEX('بيانات الحركات'!A:A,MATCH(1223,'بيانات الحركات'!$G:$G,0)),"")</f>
        <v/>
      </c>
      <c r="B1224" s="5" t="str">
        <f>IFERROR(INDEX('بيانات الحركات'!B:B,MATCH(1223,'بيانات الحركات'!$G:$G,0)),"")</f>
        <v/>
      </c>
      <c r="C1224" s="3" t="str">
        <f>IFERROR(INDEX('بيانات الحركات'!C:C,MATCH(1223,'بيانات الحركات'!$G:$G,0)),"")</f>
        <v/>
      </c>
      <c r="D1224" s="3" t="str">
        <f>IFERROR(INDEX('بيانات الحركات'!D:D,MATCH(1223,'بيانات الحركات'!$G:$G,0)),"")</f>
        <v/>
      </c>
      <c r="E1224" s="21" t="str">
        <f>IF($B1224="إنتاج طبخة","",IFERROR(INDEX('بيانات الحركات'!E:E,MATCH(1223,'بيانات الحركات'!$G:$G,0)),""))</f>
        <v/>
      </c>
      <c r="F1224" s="3" t="str">
        <f>IFERROR(INDEX('بيانات الحركات'!F:F,MATCH(1223,'بيانات الحركات'!$G:$G,0)),"")</f>
        <v/>
      </c>
    </row>
    <row r="1225" spans="1:6" ht="21.95" customHeight="1">
      <c r="A1225" s="8" t="str">
        <f>IFERROR(INDEX('بيانات الحركات'!A:A,MATCH(1224,'بيانات الحركات'!$G:$G,0)),"")</f>
        <v/>
      </c>
      <c r="B1225" s="5" t="str">
        <f>IFERROR(INDEX('بيانات الحركات'!B:B,MATCH(1224,'بيانات الحركات'!$G:$G,0)),"")</f>
        <v/>
      </c>
      <c r="C1225" s="3" t="str">
        <f>IFERROR(INDEX('بيانات الحركات'!C:C,MATCH(1224,'بيانات الحركات'!$G:$G,0)),"")</f>
        <v/>
      </c>
      <c r="D1225" s="3" t="str">
        <f>IFERROR(INDEX('بيانات الحركات'!D:D,MATCH(1224,'بيانات الحركات'!$G:$G,0)),"")</f>
        <v/>
      </c>
      <c r="E1225" s="21" t="str">
        <f>IF($B1225="إنتاج طبخة","",IFERROR(INDEX('بيانات الحركات'!E:E,MATCH(1224,'بيانات الحركات'!$G:$G,0)),""))</f>
        <v/>
      </c>
      <c r="F1225" s="3" t="str">
        <f>IFERROR(INDEX('بيانات الحركات'!F:F,MATCH(1224,'بيانات الحركات'!$G:$G,0)),"")</f>
        <v/>
      </c>
    </row>
    <row r="1226" spans="1:6" ht="21.95" customHeight="1">
      <c r="A1226" s="8" t="str">
        <f>IFERROR(INDEX('بيانات الحركات'!A:A,MATCH(1225,'بيانات الحركات'!$G:$G,0)),"")</f>
        <v/>
      </c>
      <c r="B1226" s="5" t="str">
        <f>IFERROR(INDEX('بيانات الحركات'!B:B,MATCH(1225,'بيانات الحركات'!$G:$G,0)),"")</f>
        <v/>
      </c>
      <c r="C1226" s="3" t="str">
        <f>IFERROR(INDEX('بيانات الحركات'!C:C,MATCH(1225,'بيانات الحركات'!$G:$G,0)),"")</f>
        <v/>
      </c>
      <c r="D1226" s="3" t="str">
        <f>IFERROR(INDEX('بيانات الحركات'!D:D,MATCH(1225,'بيانات الحركات'!$G:$G,0)),"")</f>
        <v/>
      </c>
      <c r="E1226" s="21" t="str">
        <f>IF($B1226="إنتاج طبخة","",IFERROR(INDEX('بيانات الحركات'!E:E,MATCH(1225,'بيانات الحركات'!$G:$G,0)),""))</f>
        <v/>
      </c>
      <c r="F1226" s="3" t="str">
        <f>IFERROR(INDEX('بيانات الحركات'!F:F,MATCH(1225,'بيانات الحركات'!$G:$G,0)),"")</f>
        <v/>
      </c>
    </row>
    <row r="1227" spans="1:6" ht="21.95" customHeight="1">
      <c r="A1227" s="8" t="str">
        <f>IFERROR(INDEX('بيانات الحركات'!A:A,MATCH(1226,'بيانات الحركات'!$G:$G,0)),"")</f>
        <v/>
      </c>
      <c r="B1227" s="5" t="str">
        <f>IFERROR(INDEX('بيانات الحركات'!B:B,MATCH(1226,'بيانات الحركات'!$G:$G,0)),"")</f>
        <v/>
      </c>
      <c r="C1227" s="3" t="str">
        <f>IFERROR(INDEX('بيانات الحركات'!C:C,MATCH(1226,'بيانات الحركات'!$G:$G,0)),"")</f>
        <v/>
      </c>
      <c r="D1227" s="3" t="str">
        <f>IFERROR(INDEX('بيانات الحركات'!D:D,MATCH(1226,'بيانات الحركات'!$G:$G,0)),"")</f>
        <v/>
      </c>
      <c r="E1227" s="21" t="str">
        <f>IF($B1227="إنتاج طبخة","",IFERROR(INDEX('بيانات الحركات'!E:E,MATCH(1226,'بيانات الحركات'!$G:$G,0)),""))</f>
        <v/>
      </c>
      <c r="F1227" s="3" t="str">
        <f>IFERROR(INDEX('بيانات الحركات'!F:F,MATCH(1226,'بيانات الحركات'!$G:$G,0)),"")</f>
        <v/>
      </c>
    </row>
    <row r="1228" spans="1:6" ht="21.95" customHeight="1">
      <c r="A1228" s="8" t="str">
        <f>IFERROR(INDEX('بيانات الحركات'!A:A,MATCH(1227,'بيانات الحركات'!$G:$G,0)),"")</f>
        <v/>
      </c>
      <c r="B1228" s="5" t="str">
        <f>IFERROR(INDEX('بيانات الحركات'!B:B,MATCH(1227,'بيانات الحركات'!$G:$G,0)),"")</f>
        <v/>
      </c>
      <c r="C1228" s="3" t="str">
        <f>IFERROR(INDEX('بيانات الحركات'!C:C,MATCH(1227,'بيانات الحركات'!$G:$G,0)),"")</f>
        <v/>
      </c>
      <c r="D1228" s="3" t="str">
        <f>IFERROR(INDEX('بيانات الحركات'!D:D,MATCH(1227,'بيانات الحركات'!$G:$G,0)),"")</f>
        <v/>
      </c>
      <c r="E1228" s="21" t="str">
        <f>IF($B1228="إنتاج طبخة","",IFERROR(INDEX('بيانات الحركات'!E:E,MATCH(1227,'بيانات الحركات'!$G:$G,0)),""))</f>
        <v/>
      </c>
      <c r="F1228" s="3" t="str">
        <f>IFERROR(INDEX('بيانات الحركات'!F:F,MATCH(1227,'بيانات الحركات'!$G:$G,0)),"")</f>
        <v/>
      </c>
    </row>
    <row r="1229" spans="1:6" ht="21.95" customHeight="1">
      <c r="A1229" s="8" t="str">
        <f>IFERROR(INDEX('بيانات الحركات'!A:A,MATCH(1228,'بيانات الحركات'!$G:$G,0)),"")</f>
        <v/>
      </c>
      <c r="B1229" s="5" t="str">
        <f>IFERROR(INDEX('بيانات الحركات'!B:B,MATCH(1228,'بيانات الحركات'!$G:$G,0)),"")</f>
        <v/>
      </c>
      <c r="C1229" s="3" t="str">
        <f>IFERROR(INDEX('بيانات الحركات'!C:C,MATCH(1228,'بيانات الحركات'!$G:$G,0)),"")</f>
        <v/>
      </c>
      <c r="D1229" s="3" t="str">
        <f>IFERROR(INDEX('بيانات الحركات'!D:D,MATCH(1228,'بيانات الحركات'!$G:$G,0)),"")</f>
        <v/>
      </c>
      <c r="E1229" s="21" t="str">
        <f>IF($B1229="إنتاج طبخة","",IFERROR(INDEX('بيانات الحركات'!E:E,MATCH(1228,'بيانات الحركات'!$G:$G,0)),""))</f>
        <v/>
      </c>
      <c r="F1229" s="3" t="str">
        <f>IFERROR(INDEX('بيانات الحركات'!F:F,MATCH(1228,'بيانات الحركات'!$G:$G,0)),"")</f>
        <v/>
      </c>
    </row>
    <row r="1230" spans="1:6" ht="21.95" customHeight="1">
      <c r="A1230" s="8" t="str">
        <f>IFERROR(INDEX('بيانات الحركات'!A:A,MATCH(1229,'بيانات الحركات'!$G:$G,0)),"")</f>
        <v/>
      </c>
      <c r="B1230" s="5" t="str">
        <f>IFERROR(INDEX('بيانات الحركات'!B:B,MATCH(1229,'بيانات الحركات'!$G:$G,0)),"")</f>
        <v/>
      </c>
      <c r="C1230" s="3" t="str">
        <f>IFERROR(INDEX('بيانات الحركات'!C:C,MATCH(1229,'بيانات الحركات'!$G:$G,0)),"")</f>
        <v/>
      </c>
      <c r="D1230" s="3" t="str">
        <f>IFERROR(INDEX('بيانات الحركات'!D:D,MATCH(1229,'بيانات الحركات'!$G:$G,0)),"")</f>
        <v/>
      </c>
      <c r="E1230" s="21" t="str">
        <f>IF($B1230="إنتاج طبخة","",IFERROR(INDEX('بيانات الحركات'!E:E,MATCH(1229,'بيانات الحركات'!$G:$G,0)),""))</f>
        <v/>
      </c>
      <c r="F1230" s="3" t="str">
        <f>IFERROR(INDEX('بيانات الحركات'!F:F,MATCH(1229,'بيانات الحركات'!$G:$G,0)),"")</f>
        <v/>
      </c>
    </row>
    <row r="1231" spans="1:6" ht="21.95" customHeight="1">
      <c r="A1231" s="8" t="str">
        <f>IFERROR(INDEX('بيانات الحركات'!A:A,MATCH(1230,'بيانات الحركات'!$G:$G,0)),"")</f>
        <v/>
      </c>
      <c r="B1231" s="5" t="str">
        <f>IFERROR(INDEX('بيانات الحركات'!B:B,MATCH(1230,'بيانات الحركات'!$G:$G,0)),"")</f>
        <v/>
      </c>
      <c r="C1231" s="3" t="str">
        <f>IFERROR(INDEX('بيانات الحركات'!C:C,MATCH(1230,'بيانات الحركات'!$G:$G,0)),"")</f>
        <v/>
      </c>
      <c r="D1231" s="3" t="str">
        <f>IFERROR(INDEX('بيانات الحركات'!D:D,MATCH(1230,'بيانات الحركات'!$G:$G,0)),"")</f>
        <v/>
      </c>
      <c r="E1231" s="21" t="str">
        <f>IF($B1231="إنتاج طبخة","",IFERROR(INDEX('بيانات الحركات'!E:E,MATCH(1230,'بيانات الحركات'!$G:$G,0)),""))</f>
        <v/>
      </c>
      <c r="F1231" s="3" t="str">
        <f>IFERROR(INDEX('بيانات الحركات'!F:F,MATCH(1230,'بيانات الحركات'!$G:$G,0)),"")</f>
        <v/>
      </c>
    </row>
    <row r="1232" spans="1:6" ht="21.95" customHeight="1">
      <c r="A1232" s="8" t="str">
        <f>IFERROR(INDEX('بيانات الحركات'!A:A,MATCH(1231,'بيانات الحركات'!$G:$G,0)),"")</f>
        <v/>
      </c>
      <c r="B1232" s="5" t="str">
        <f>IFERROR(INDEX('بيانات الحركات'!B:B,MATCH(1231,'بيانات الحركات'!$G:$G,0)),"")</f>
        <v/>
      </c>
      <c r="C1232" s="3" t="str">
        <f>IFERROR(INDEX('بيانات الحركات'!C:C,MATCH(1231,'بيانات الحركات'!$G:$G,0)),"")</f>
        <v/>
      </c>
      <c r="D1232" s="3" t="str">
        <f>IFERROR(INDEX('بيانات الحركات'!D:D,MATCH(1231,'بيانات الحركات'!$G:$G,0)),"")</f>
        <v/>
      </c>
      <c r="E1232" s="21" t="str">
        <f>IF($B1232="إنتاج طبخة","",IFERROR(INDEX('بيانات الحركات'!E:E,MATCH(1231,'بيانات الحركات'!$G:$G,0)),""))</f>
        <v/>
      </c>
      <c r="F1232" s="3" t="str">
        <f>IFERROR(INDEX('بيانات الحركات'!F:F,MATCH(1231,'بيانات الحركات'!$G:$G,0)),"")</f>
        <v/>
      </c>
    </row>
    <row r="1233" spans="1:6" ht="21.95" customHeight="1">
      <c r="A1233" s="8" t="str">
        <f>IFERROR(INDEX('بيانات الحركات'!A:A,MATCH(1232,'بيانات الحركات'!$G:$G,0)),"")</f>
        <v/>
      </c>
      <c r="B1233" s="5" t="str">
        <f>IFERROR(INDEX('بيانات الحركات'!B:B,MATCH(1232,'بيانات الحركات'!$G:$G,0)),"")</f>
        <v/>
      </c>
      <c r="C1233" s="3" t="str">
        <f>IFERROR(INDEX('بيانات الحركات'!C:C,MATCH(1232,'بيانات الحركات'!$G:$G,0)),"")</f>
        <v/>
      </c>
      <c r="D1233" s="3" t="str">
        <f>IFERROR(INDEX('بيانات الحركات'!D:D,MATCH(1232,'بيانات الحركات'!$G:$G,0)),"")</f>
        <v/>
      </c>
      <c r="E1233" s="21" t="str">
        <f>IF($B1233="إنتاج طبخة","",IFERROR(INDEX('بيانات الحركات'!E:E,MATCH(1232,'بيانات الحركات'!$G:$G,0)),""))</f>
        <v/>
      </c>
      <c r="F1233" s="3" t="str">
        <f>IFERROR(INDEX('بيانات الحركات'!F:F,MATCH(1232,'بيانات الحركات'!$G:$G,0)),"")</f>
        <v/>
      </c>
    </row>
    <row r="1234" spans="1:6" ht="21.95" customHeight="1">
      <c r="A1234" s="8" t="str">
        <f>IFERROR(INDEX('بيانات الحركات'!A:A,MATCH(1233,'بيانات الحركات'!$G:$G,0)),"")</f>
        <v/>
      </c>
      <c r="B1234" s="5" t="str">
        <f>IFERROR(INDEX('بيانات الحركات'!B:B,MATCH(1233,'بيانات الحركات'!$G:$G,0)),"")</f>
        <v/>
      </c>
      <c r="C1234" s="3" t="str">
        <f>IFERROR(INDEX('بيانات الحركات'!C:C,MATCH(1233,'بيانات الحركات'!$G:$G,0)),"")</f>
        <v/>
      </c>
      <c r="D1234" s="3" t="str">
        <f>IFERROR(INDEX('بيانات الحركات'!D:D,MATCH(1233,'بيانات الحركات'!$G:$G,0)),"")</f>
        <v/>
      </c>
      <c r="E1234" s="21" t="str">
        <f>IF($B1234="إنتاج طبخة","",IFERROR(INDEX('بيانات الحركات'!E:E,MATCH(1233,'بيانات الحركات'!$G:$G,0)),""))</f>
        <v/>
      </c>
      <c r="F1234" s="3" t="str">
        <f>IFERROR(INDEX('بيانات الحركات'!F:F,MATCH(1233,'بيانات الحركات'!$G:$G,0)),"")</f>
        <v/>
      </c>
    </row>
    <row r="1235" spans="1:6" ht="21.95" customHeight="1">
      <c r="A1235" s="8" t="str">
        <f>IFERROR(INDEX('بيانات الحركات'!A:A,MATCH(1234,'بيانات الحركات'!$G:$G,0)),"")</f>
        <v/>
      </c>
      <c r="B1235" s="5" t="str">
        <f>IFERROR(INDEX('بيانات الحركات'!B:B,MATCH(1234,'بيانات الحركات'!$G:$G,0)),"")</f>
        <v/>
      </c>
      <c r="C1235" s="3" t="str">
        <f>IFERROR(INDEX('بيانات الحركات'!C:C,MATCH(1234,'بيانات الحركات'!$G:$G,0)),"")</f>
        <v/>
      </c>
      <c r="D1235" s="3" t="str">
        <f>IFERROR(INDEX('بيانات الحركات'!D:D,MATCH(1234,'بيانات الحركات'!$G:$G,0)),"")</f>
        <v/>
      </c>
      <c r="E1235" s="21" t="str">
        <f>IF($B1235="إنتاج طبخة","",IFERROR(INDEX('بيانات الحركات'!E:E,MATCH(1234,'بيانات الحركات'!$G:$G,0)),""))</f>
        <v/>
      </c>
      <c r="F1235" s="3" t="str">
        <f>IFERROR(INDEX('بيانات الحركات'!F:F,MATCH(1234,'بيانات الحركات'!$G:$G,0)),"")</f>
        <v/>
      </c>
    </row>
    <row r="1236" spans="1:6" ht="21.95" customHeight="1">
      <c r="A1236" s="8" t="str">
        <f>IFERROR(INDEX('بيانات الحركات'!A:A,MATCH(1235,'بيانات الحركات'!$G:$G,0)),"")</f>
        <v/>
      </c>
      <c r="B1236" s="5" t="str">
        <f>IFERROR(INDEX('بيانات الحركات'!B:B,MATCH(1235,'بيانات الحركات'!$G:$G,0)),"")</f>
        <v/>
      </c>
      <c r="C1236" s="3" t="str">
        <f>IFERROR(INDEX('بيانات الحركات'!C:C,MATCH(1235,'بيانات الحركات'!$G:$G,0)),"")</f>
        <v/>
      </c>
      <c r="D1236" s="3" t="str">
        <f>IFERROR(INDEX('بيانات الحركات'!D:D,MATCH(1235,'بيانات الحركات'!$G:$G,0)),"")</f>
        <v/>
      </c>
      <c r="E1236" s="21" t="str">
        <f>IF($B1236="إنتاج طبخة","",IFERROR(INDEX('بيانات الحركات'!E:E,MATCH(1235,'بيانات الحركات'!$G:$G,0)),""))</f>
        <v/>
      </c>
      <c r="F1236" s="3" t="str">
        <f>IFERROR(INDEX('بيانات الحركات'!F:F,MATCH(1235,'بيانات الحركات'!$G:$G,0)),"")</f>
        <v/>
      </c>
    </row>
    <row r="1237" spans="1:6" ht="21.95" customHeight="1">
      <c r="A1237" s="8" t="str">
        <f>IFERROR(INDEX('بيانات الحركات'!A:A,MATCH(1236,'بيانات الحركات'!$G:$G,0)),"")</f>
        <v/>
      </c>
      <c r="B1237" s="5" t="str">
        <f>IFERROR(INDEX('بيانات الحركات'!B:B,MATCH(1236,'بيانات الحركات'!$G:$G,0)),"")</f>
        <v/>
      </c>
      <c r="C1237" s="3" t="str">
        <f>IFERROR(INDEX('بيانات الحركات'!C:C,MATCH(1236,'بيانات الحركات'!$G:$G,0)),"")</f>
        <v/>
      </c>
      <c r="D1237" s="3" t="str">
        <f>IFERROR(INDEX('بيانات الحركات'!D:D,MATCH(1236,'بيانات الحركات'!$G:$G,0)),"")</f>
        <v/>
      </c>
      <c r="E1237" s="21" t="str">
        <f>IF($B1237="إنتاج طبخة","",IFERROR(INDEX('بيانات الحركات'!E:E,MATCH(1236,'بيانات الحركات'!$G:$G,0)),""))</f>
        <v/>
      </c>
      <c r="F1237" s="3" t="str">
        <f>IFERROR(INDEX('بيانات الحركات'!F:F,MATCH(1236,'بيانات الحركات'!$G:$G,0)),"")</f>
        <v/>
      </c>
    </row>
    <row r="1238" spans="1:6" ht="21.95" customHeight="1">
      <c r="A1238" s="8" t="str">
        <f>IFERROR(INDEX('بيانات الحركات'!A:A,MATCH(1237,'بيانات الحركات'!$G:$G,0)),"")</f>
        <v/>
      </c>
      <c r="B1238" s="5" t="str">
        <f>IFERROR(INDEX('بيانات الحركات'!B:B,MATCH(1237,'بيانات الحركات'!$G:$G,0)),"")</f>
        <v/>
      </c>
      <c r="C1238" s="3" t="str">
        <f>IFERROR(INDEX('بيانات الحركات'!C:C,MATCH(1237,'بيانات الحركات'!$G:$G,0)),"")</f>
        <v/>
      </c>
      <c r="D1238" s="3" t="str">
        <f>IFERROR(INDEX('بيانات الحركات'!D:D,MATCH(1237,'بيانات الحركات'!$G:$G,0)),"")</f>
        <v/>
      </c>
      <c r="E1238" s="21" t="str">
        <f>IF($B1238="إنتاج طبخة","",IFERROR(INDEX('بيانات الحركات'!E:E,MATCH(1237,'بيانات الحركات'!$G:$G,0)),""))</f>
        <v/>
      </c>
      <c r="F1238" s="3" t="str">
        <f>IFERROR(INDEX('بيانات الحركات'!F:F,MATCH(1237,'بيانات الحركات'!$G:$G,0)),"")</f>
        <v/>
      </c>
    </row>
    <row r="1239" spans="1:6" ht="21.95" customHeight="1">
      <c r="A1239" s="8" t="str">
        <f>IFERROR(INDEX('بيانات الحركات'!A:A,MATCH(1238,'بيانات الحركات'!$G:$G,0)),"")</f>
        <v/>
      </c>
      <c r="B1239" s="5" t="str">
        <f>IFERROR(INDEX('بيانات الحركات'!B:B,MATCH(1238,'بيانات الحركات'!$G:$G,0)),"")</f>
        <v/>
      </c>
      <c r="C1239" s="3" t="str">
        <f>IFERROR(INDEX('بيانات الحركات'!C:C,MATCH(1238,'بيانات الحركات'!$G:$G,0)),"")</f>
        <v/>
      </c>
      <c r="D1239" s="3" t="str">
        <f>IFERROR(INDEX('بيانات الحركات'!D:D,MATCH(1238,'بيانات الحركات'!$G:$G,0)),"")</f>
        <v/>
      </c>
      <c r="E1239" s="21" t="str">
        <f>IF($B1239="إنتاج طبخة","",IFERROR(INDEX('بيانات الحركات'!E:E,MATCH(1238,'بيانات الحركات'!$G:$G,0)),""))</f>
        <v/>
      </c>
      <c r="F1239" s="3" t="str">
        <f>IFERROR(INDEX('بيانات الحركات'!F:F,MATCH(1238,'بيانات الحركات'!$G:$G,0)),"")</f>
        <v/>
      </c>
    </row>
    <row r="1240" spans="1:6" ht="21.95" customHeight="1">
      <c r="A1240" s="8" t="str">
        <f>IFERROR(INDEX('بيانات الحركات'!A:A,MATCH(1239,'بيانات الحركات'!$G:$G,0)),"")</f>
        <v/>
      </c>
      <c r="B1240" s="5" t="str">
        <f>IFERROR(INDEX('بيانات الحركات'!B:B,MATCH(1239,'بيانات الحركات'!$G:$G,0)),"")</f>
        <v/>
      </c>
      <c r="C1240" s="3" t="str">
        <f>IFERROR(INDEX('بيانات الحركات'!C:C,MATCH(1239,'بيانات الحركات'!$G:$G,0)),"")</f>
        <v/>
      </c>
      <c r="D1240" s="3" t="str">
        <f>IFERROR(INDEX('بيانات الحركات'!D:D,MATCH(1239,'بيانات الحركات'!$G:$G,0)),"")</f>
        <v/>
      </c>
      <c r="E1240" s="21" t="str">
        <f>IF($B1240="إنتاج طبخة","",IFERROR(INDEX('بيانات الحركات'!E:E,MATCH(1239,'بيانات الحركات'!$G:$G,0)),""))</f>
        <v/>
      </c>
      <c r="F1240" s="3" t="str">
        <f>IFERROR(INDEX('بيانات الحركات'!F:F,MATCH(1239,'بيانات الحركات'!$G:$G,0)),"")</f>
        <v/>
      </c>
    </row>
    <row r="1241" spans="1:6" ht="21.95" customHeight="1">
      <c r="A1241" s="8" t="str">
        <f>IFERROR(INDEX('بيانات الحركات'!A:A,MATCH(1240,'بيانات الحركات'!$G:$G,0)),"")</f>
        <v/>
      </c>
      <c r="B1241" s="5" t="str">
        <f>IFERROR(INDEX('بيانات الحركات'!B:B,MATCH(1240,'بيانات الحركات'!$G:$G,0)),"")</f>
        <v/>
      </c>
      <c r="C1241" s="3" t="str">
        <f>IFERROR(INDEX('بيانات الحركات'!C:C,MATCH(1240,'بيانات الحركات'!$G:$G,0)),"")</f>
        <v/>
      </c>
      <c r="D1241" s="3" t="str">
        <f>IFERROR(INDEX('بيانات الحركات'!D:D,MATCH(1240,'بيانات الحركات'!$G:$G,0)),"")</f>
        <v/>
      </c>
      <c r="E1241" s="21" t="str">
        <f>IF($B1241="إنتاج طبخة","",IFERROR(INDEX('بيانات الحركات'!E:E,MATCH(1240,'بيانات الحركات'!$G:$G,0)),""))</f>
        <v/>
      </c>
      <c r="F1241" s="3" t="str">
        <f>IFERROR(INDEX('بيانات الحركات'!F:F,MATCH(1240,'بيانات الحركات'!$G:$G,0)),"")</f>
        <v/>
      </c>
    </row>
    <row r="1242" spans="1:6" ht="21.95" customHeight="1">
      <c r="A1242" s="8" t="str">
        <f>IFERROR(INDEX('بيانات الحركات'!A:A,MATCH(1241,'بيانات الحركات'!$G:$G,0)),"")</f>
        <v/>
      </c>
      <c r="B1242" s="5" t="str">
        <f>IFERROR(INDEX('بيانات الحركات'!B:B,MATCH(1241,'بيانات الحركات'!$G:$G,0)),"")</f>
        <v/>
      </c>
      <c r="C1242" s="3" t="str">
        <f>IFERROR(INDEX('بيانات الحركات'!C:C,MATCH(1241,'بيانات الحركات'!$G:$G,0)),"")</f>
        <v/>
      </c>
      <c r="D1242" s="3" t="str">
        <f>IFERROR(INDEX('بيانات الحركات'!D:D,MATCH(1241,'بيانات الحركات'!$G:$G,0)),"")</f>
        <v/>
      </c>
      <c r="E1242" s="21" t="str">
        <f>IF($B1242="إنتاج طبخة","",IFERROR(INDEX('بيانات الحركات'!E:E,MATCH(1241,'بيانات الحركات'!$G:$G,0)),""))</f>
        <v/>
      </c>
      <c r="F1242" s="3" t="str">
        <f>IFERROR(INDEX('بيانات الحركات'!F:F,MATCH(1241,'بيانات الحركات'!$G:$G,0)),"")</f>
        <v/>
      </c>
    </row>
    <row r="1243" spans="1:6" ht="21.95" customHeight="1">
      <c r="A1243" s="8" t="str">
        <f>IFERROR(INDEX('بيانات الحركات'!A:A,MATCH(1242,'بيانات الحركات'!$G:$G,0)),"")</f>
        <v/>
      </c>
      <c r="B1243" s="5" t="str">
        <f>IFERROR(INDEX('بيانات الحركات'!B:B,MATCH(1242,'بيانات الحركات'!$G:$G,0)),"")</f>
        <v/>
      </c>
      <c r="C1243" s="3" t="str">
        <f>IFERROR(INDEX('بيانات الحركات'!C:C,MATCH(1242,'بيانات الحركات'!$G:$G,0)),"")</f>
        <v/>
      </c>
      <c r="D1243" s="3" t="str">
        <f>IFERROR(INDEX('بيانات الحركات'!D:D,MATCH(1242,'بيانات الحركات'!$G:$G,0)),"")</f>
        <v/>
      </c>
      <c r="E1243" s="21" t="str">
        <f>IF($B1243="إنتاج طبخة","",IFERROR(INDEX('بيانات الحركات'!E:E,MATCH(1242,'بيانات الحركات'!$G:$G,0)),""))</f>
        <v/>
      </c>
      <c r="F1243" s="3" t="str">
        <f>IFERROR(INDEX('بيانات الحركات'!F:F,MATCH(1242,'بيانات الحركات'!$G:$G,0)),"")</f>
        <v/>
      </c>
    </row>
    <row r="1244" spans="1:6" ht="21.95" customHeight="1">
      <c r="A1244" s="8" t="str">
        <f>IFERROR(INDEX('بيانات الحركات'!A:A,MATCH(1243,'بيانات الحركات'!$G:$G,0)),"")</f>
        <v/>
      </c>
      <c r="B1244" s="5" t="str">
        <f>IFERROR(INDEX('بيانات الحركات'!B:B,MATCH(1243,'بيانات الحركات'!$G:$G,0)),"")</f>
        <v/>
      </c>
      <c r="C1244" s="3" t="str">
        <f>IFERROR(INDEX('بيانات الحركات'!C:C,MATCH(1243,'بيانات الحركات'!$G:$G,0)),"")</f>
        <v/>
      </c>
      <c r="D1244" s="3" t="str">
        <f>IFERROR(INDEX('بيانات الحركات'!D:D,MATCH(1243,'بيانات الحركات'!$G:$G,0)),"")</f>
        <v/>
      </c>
      <c r="E1244" s="21" t="str">
        <f>IF($B1244="إنتاج طبخة","",IFERROR(INDEX('بيانات الحركات'!E:E,MATCH(1243,'بيانات الحركات'!$G:$G,0)),""))</f>
        <v/>
      </c>
      <c r="F1244" s="3" t="str">
        <f>IFERROR(INDEX('بيانات الحركات'!F:F,MATCH(1243,'بيانات الحركات'!$G:$G,0)),"")</f>
        <v/>
      </c>
    </row>
    <row r="1245" spans="1:6" ht="21.95" customHeight="1">
      <c r="A1245" s="8" t="str">
        <f>IFERROR(INDEX('بيانات الحركات'!A:A,MATCH(1244,'بيانات الحركات'!$G:$G,0)),"")</f>
        <v/>
      </c>
      <c r="B1245" s="5" t="str">
        <f>IFERROR(INDEX('بيانات الحركات'!B:B,MATCH(1244,'بيانات الحركات'!$G:$G,0)),"")</f>
        <v/>
      </c>
      <c r="C1245" s="3" t="str">
        <f>IFERROR(INDEX('بيانات الحركات'!C:C,MATCH(1244,'بيانات الحركات'!$G:$G,0)),"")</f>
        <v/>
      </c>
      <c r="D1245" s="3" t="str">
        <f>IFERROR(INDEX('بيانات الحركات'!D:D,MATCH(1244,'بيانات الحركات'!$G:$G,0)),"")</f>
        <v/>
      </c>
      <c r="E1245" s="21" t="str">
        <f>IF($B1245="إنتاج طبخة","",IFERROR(INDEX('بيانات الحركات'!E:E,MATCH(1244,'بيانات الحركات'!$G:$G,0)),""))</f>
        <v/>
      </c>
      <c r="F1245" s="3" t="str">
        <f>IFERROR(INDEX('بيانات الحركات'!F:F,MATCH(1244,'بيانات الحركات'!$G:$G,0)),"")</f>
        <v/>
      </c>
    </row>
    <row r="1246" spans="1:6" ht="21.95" customHeight="1">
      <c r="A1246" s="8" t="str">
        <f>IFERROR(INDEX('بيانات الحركات'!A:A,MATCH(1245,'بيانات الحركات'!$G:$G,0)),"")</f>
        <v/>
      </c>
      <c r="B1246" s="5" t="str">
        <f>IFERROR(INDEX('بيانات الحركات'!B:B,MATCH(1245,'بيانات الحركات'!$G:$G,0)),"")</f>
        <v/>
      </c>
      <c r="C1246" s="3" t="str">
        <f>IFERROR(INDEX('بيانات الحركات'!C:C,MATCH(1245,'بيانات الحركات'!$G:$G,0)),"")</f>
        <v/>
      </c>
      <c r="D1246" s="3" t="str">
        <f>IFERROR(INDEX('بيانات الحركات'!D:D,MATCH(1245,'بيانات الحركات'!$G:$G,0)),"")</f>
        <v/>
      </c>
      <c r="E1246" s="21" t="str">
        <f>IF($B1246="إنتاج طبخة","",IFERROR(INDEX('بيانات الحركات'!E:E,MATCH(1245,'بيانات الحركات'!$G:$G,0)),""))</f>
        <v/>
      </c>
      <c r="F1246" s="3" t="str">
        <f>IFERROR(INDEX('بيانات الحركات'!F:F,MATCH(1245,'بيانات الحركات'!$G:$G,0)),"")</f>
        <v/>
      </c>
    </row>
    <row r="1247" spans="1:6" ht="21.95" customHeight="1">
      <c r="A1247" s="8" t="str">
        <f>IFERROR(INDEX('بيانات الحركات'!A:A,MATCH(1246,'بيانات الحركات'!$G:$G,0)),"")</f>
        <v/>
      </c>
      <c r="B1247" s="5" t="str">
        <f>IFERROR(INDEX('بيانات الحركات'!B:B,MATCH(1246,'بيانات الحركات'!$G:$G,0)),"")</f>
        <v/>
      </c>
      <c r="C1247" s="3" t="str">
        <f>IFERROR(INDEX('بيانات الحركات'!C:C,MATCH(1246,'بيانات الحركات'!$G:$G,0)),"")</f>
        <v/>
      </c>
      <c r="D1247" s="3" t="str">
        <f>IFERROR(INDEX('بيانات الحركات'!D:D,MATCH(1246,'بيانات الحركات'!$G:$G,0)),"")</f>
        <v/>
      </c>
      <c r="E1247" s="21" t="str">
        <f>IF($B1247="إنتاج طبخة","",IFERROR(INDEX('بيانات الحركات'!E:E,MATCH(1246,'بيانات الحركات'!$G:$G,0)),""))</f>
        <v/>
      </c>
      <c r="F1247" s="3" t="str">
        <f>IFERROR(INDEX('بيانات الحركات'!F:F,MATCH(1246,'بيانات الحركات'!$G:$G,0)),"")</f>
        <v/>
      </c>
    </row>
    <row r="1248" spans="1:6" ht="21.95" customHeight="1">
      <c r="A1248" s="8" t="str">
        <f>IFERROR(INDEX('بيانات الحركات'!A:A,MATCH(1247,'بيانات الحركات'!$G:$G,0)),"")</f>
        <v/>
      </c>
      <c r="B1248" s="5" t="str">
        <f>IFERROR(INDEX('بيانات الحركات'!B:B,MATCH(1247,'بيانات الحركات'!$G:$G,0)),"")</f>
        <v/>
      </c>
      <c r="C1248" s="3" t="str">
        <f>IFERROR(INDEX('بيانات الحركات'!C:C,MATCH(1247,'بيانات الحركات'!$G:$G,0)),"")</f>
        <v/>
      </c>
      <c r="D1248" s="3" t="str">
        <f>IFERROR(INDEX('بيانات الحركات'!D:D,MATCH(1247,'بيانات الحركات'!$G:$G,0)),"")</f>
        <v/>
      </c>
      <c r="E1248" s="21" t="str">
        <f>IF($B1248="إنتاج طبخة","",IFERROR(INDEX('بيانات الحركات'!E:E,MATCH(1247,'بيانات الحركات'!$G:$G,0)),""))</f>
        <v/>
      </c>
      <c r="F1248" s="3" t="str">
        <f>IFERROR(INDEX('بيانات الحركات'!F:F,MATCH(1247,'بيانات الحركات'!$G:$G,0)),"")</f>
        <v/>
      </c>
    </row>
    <row r="1249" spans="1:6" ht="21.95" customHeight="1">
      <c r="A1249" s="8" t="str">
        <f>IFERROR(INDEX('بيانات الحركات'!A:A,MATCH(1248,'بيانات الحركات'!$G:$G,0)),"")</f>
        <v/>
      </c>
      <c r="B1249" s="5" t="str">
        <f>IFERROR(INDEX('بيانات الحركات'!B:B,MATCH(1248,'بيانات الحركات'!$G:$G,0)),"")</f>
        <v/>
      </c>
      <c r="C1249" s="3" t="str">
        <f>IFERROR(INDEX('بيانات الحركات'!C:C,MATCH(1248,'بيانات الحركات'!$G:$G,0)),"")</f>
        <v/>
      </c>
      <c r="D1249" s="3" t="str">
        <f>IFERROR(INDEX('بيانات الحركات'!D:D,MATCH(1248,'بيانات الحركات'!$G:$G,0)),"")</f>
        <v/>
      </c>
      <c r="E1249" s="21" t="str">
        <f>IF($B1249="إنتاج طبخة","",IFERROR(INDEX('بيانات الحركات'!E:E,MATCH(1248,'بيانات الحركات'!$G:$G,0)),""))</f>
        <v/>
      </c>
      <c r="F1249" s="3" t="str">
        <f>IFERROR(INDEX('بيانات الحركات'!F:F,MATCH(1248,'بيانات الحركات'!$G:$G,0)),"")</f>
        <v/>
      </c>
    </row>
    <row r="1250" spans="1:6" ht="21.95" customHeight="1">
      <c r="A1250" s="8" t="str">
        <f>IFERROR(INDEX('بيانات الحركات'!A:A,MATCH(1249,'بيانات الحركات'!$G:$G,0)),"")</f>
        <v/>
      </c>
      <c r="B1250" s="5" t="str">
        <f>IFERROR(INDEX('بيانات الحركات'!B:B,MATCH(1249,'بيانات الحركات'!$G:$G,0)),"")</f>
        <v/>
      </c>
      <c r="C1250" s="3" t="str">
        <f>IFERROR(INDEX('بيانات الحركات'!C:C,MATCH(1249,'بيانات الحركات'!$G:$G,0)),"")</f>
        <v/>
      </c>
      <c r="D1250" s="3" t="str">
        <f>IFERROR(INDEX('بيانات الحركات'!D:D,MATCH(1249,'بيانات الحركات'!$G:$G,0)),"")</f>
        <v/>
      </c>
      <c r="E1250" s="21" t="str">
        <f>IF($B1250="إنتاج طبخة","",IFERROR(INDEX('بيانات الحركات'!E:E,MATCH(1249,'بيانات الحركات'!$G:$G,0)),""))</f>
        <v/>
      </c>
      <c r="F1250" s="3" t="str">
        <f>IFERROR(INDEX('بيانات الحركات'!F:F,MATCH(1249,'بيانات الحركات'!$G:$G,0)),"")</f>
        <v/>
      </c>
    </row>
    <row r="1251" spans="1:6" ht="21.95" customHeight="1">
      <c r="A1251" s="8" t="str">
        <f>IFERROR(INDEX('بيانات الحركات'!A:A,MATCH(1250,'بيانات الحركات'!$G:$G,0)),"")</f>
        <v/>
      </c>
      <c r="B1251" s="5" t="str">
        <f>IFERROR(INDEX('بيانات الحركات'!B:B,MATCH(1250,'بيانات الحركات'!$G:$G,0)),"")</f>
        <v/>
      </c>
      <c r="C1251" s="3" t="str">
        <f>IFERROR(INDEX('بيانات الحركات'!C:C,MATCH(1250,'بيانات الحركات'!$G:$G,0)),"")</f>
        <v/>
      </c>
      <c r="D1251" s="3" t="str">
        <f>IFERROR(INDEX('بيانات الحركات'!D:D,MATCH(1250,'بيانات الحركات'!$G:$G,0)),"")</f>
        <v/>
      </c>
      <c r="E1251" s="21" t="str">
        <f>IF($B1251="إنتاج طبخة","",IFERROR(INDEX('بيانات الحركات'!E:E,MATCH(1250,'بيانات الحركات'!$G:$G,0)),""))</f>
        <v/>
      </c>
      <c r="F1251" s="3" t="str">
        <f>IFERROR(INDEX('بيانات الحركات'!F:F,MATCH(1250,'بيانات الحركات'!$G:$G,0)),"")</f>
        <v/>
      </c>
    </row>
    <row r="1252" spans="1:6" ht="21.95" customHeight="1">
      <c r="A1252" s="8" t="str">
        <f>IFERROR(INDEX('بيانات الحركات'!A:A,MATCH(1251,'بيانات الحركات'!$G:$G,0)),"")</f>
        <v/>
      </c>
      <c r="B1252" s="5" t="str">
        <f>IFERROR(INDEX('بيانات الحركات'!B:B,MATCH(1251,'بيانات الحركات'!$G:$G,0)),"")</f>
        <v/>
      </c>
      <c r="C1252" s="3" t="str">
        <f>IFERROR(INDEX('بيانات الحركات'!C:C,MATCH(1251,'بيانات الحركات'!$G:$G,0)),"")</f>
        <v/>
      </c>
      <c r="D1252" s="3" t="str">
        <f>IFERROR(INDEX('بيانات الحركات'!D:D,MATCH(1251,'بيانات الحركات'!$G:$G,0)),"")</f>
        <v/>
      </c>
      <c r="E1252" s="21" t="str">
        <f>IF($B1252="إنتاج طبخة","",IFERROR(INDEX('بيانات الحركات'!E:E,MATCH(1251,'بيانات الحركات'!$G:$G,0)),""))</f>
        <v/>
      </c>
      <c r="F1252" s="3" t="str">
        <f>IFERROR(INDEX('بيانات الحركات'!F:F,MATCH(1251,'بيانات الحركات'!$G:$G,0)),"")</f>
        <v/>
      </c>
    </row>
    <row r="1253" spans="1:6" ht="21.95" customHeight="1">
      <c r="A1253" s="8" t="str">
        <f>IFERROR(INDEX('بيانات الحركات'!A:A,MATCH(1252,'بيانات الحركات'!$G:$G,0)),"")</f>
        <v/>
      </c>
      <c r="B1253" s="5" t="str">
        <f>IFERROR(INDEX('بيانات الحركات'!B:B,MATCH(1252,'بيانات الحركات'!$G:$G,0)),"")</f>
        <v/>
      </c>
      <c r="C1253" s="3" t="str">
        <f>IFERROR(INDEX('بيانات الحركات'!C:C,MATCH(1252,'بيانات الحركات'!$G:$G,0)),"")</f>
        <v/>
      </c>
      <c r="D1253" s="3" t="str">
        <f>IFERROR(INDEX('بيانات الحركات'!D:D,MATCH(1252,'بيانات الحركات'!$G:$G,0)),"")</f>
        <v/>
      </c>
      <c r="E1253" s="21" t="str">
        <f>IF($B1253="إنتاج طبخة","",IFERROR(INDEX('بيانات الحركات'!E:E,MATCH(1252,'بيانات الحركات'!$G:$G,0)),""))</f>
        <v/>
      </c>
      <c r="F1253" s="3" t="str">
        <f>IFERROR(INDEX('بيانات الحركات'!F:F,MATCH(1252,'بيانات الحركات'!$G:$G,0)),"")</f>
        <v/>
      </c>
    </row>
    <row r="1254" spans="1:6" ht="21.95" customHeight="1">
      <c r="A1254" s="8" t="str">
        <f>IFERROR(INDEX('بيانات الحركات'!A:A,MATCH(1253,'بيانات الحركات'!$G:$G,0)),"")</f>
        <v/>
      </c>
      <c r="B1254" s="5" t="str">
        <f>IFERROR(INDEX('بيانات الحركات'!B:B,MATCH(1253,'بيانات الحركات'!$G:$G,0)),"")</f>
        <v/>
      </c>
      <c r="C1254" s="3" t="str">
        <f>IFERROR(INDEX('بيانات الحركات'!C:C,MATCH(1253,'بيانات الحركات'!$G:$G,0)),"")</f>
        <v/>
      </c>
      <c r="D1254" s="3" t="str">
        <f>IFERROR(INDEX('بيانات الحركات'!D:D,MATCH(1253,'بيانات الحركات'!$G:$G,0)),"")</f>
        <v/>
      </c>
      <c r="E1254" s="21" t="str">
        <f>IF($B1254="إنتاج طبخة","",IFERROR(INDEX('بيانات الحركات'!E:E,MATCH(1253,'بيانات الحركات'!$G:$G,0)),""))</f>
        <v/>
      </c>
      <c r="F1254" s="3" t="str">
        <f>IFERROR(INDEX('بيانات الحركات'!F:F,MATCH(1253,'بيانات الحركات'!$G:$G,0)),"")</f>
        <v/>
      </c>
    </row>
    <row r="1255" spans="1:6" ht="21.95" customHeight="1">
      <c r="A1255" s="8" t="str">
        <f>IFERROR(INDEX('بيانات الحركات'!A:A,MATCH(1254,'بيانات الحركات'!$G:$G,0)),"")</f>
        <v/>
      </c>
      <c r="B1255" s="5" t="str">
        <f>IFERROR(INDEX('بيانات الحركات'!B:B,MATCH(1254,'بيانات الحركات'!$G:$G,0)),"")</f>
        <v/>
      </c>
      <c r="C1255" s="3" t="str">
        <f>IFERROR(INDEX('بيانات الحركات'!C:C,MATCH(1254,'بيانات الحركات'!$G:$G,0)),"")</f>
        <v/>
      </c>
      <c r="D1255" s="3" t="str">
        <f>IFERROR(INDEX('بيانات الحركات'!D:D,MATCH(1254,'بيانات الحركات'!$G:$G,0)),"")</f>
        <v/>
      </c>
      <c r="E1255" s="21" t="str">
        <f>IF($B1255="إنتاج طبخة","",IFERROR(INDEX('بيانات الحركات'!E:E,MATCH(1254,'بيانات الحركات'!$G:$G,0)),""))</f>
        <v/>
      </c>
      <c r="F1255" s="3" t="str">
        <f>IFERROR(INDEX('بيانات الحركات'!F:F,MATCH(1254,'بيانات الحركات'!$G:$G,0)),"")</f>
        <v/>
      </c>
    </row>
    <row r="1256" spans="1:6" ht="21.95" customHeight="1">
      <c r="A1256" s="8" t="str">
        <f>IFERROR(INDEX('بيانات الحركات'!A:A,MATCH(1255,'بيانات الحركات'!$G:$G,0)),"")</f>
        <v/>
      </c>
      <c r="B1256" s="5" t="str">
        <f>IFERROR(INDEX('بيانات الحركات'!B:B,MATCH(1255,'بيانات الحركات'!$G:$G,0)),"")</f>
        <v/>
      </c>
      <c r="C1256" s="3" t="str">
        <f>IFERROR(INDEX('بيانات الحركات'!C:C,MATCH(1255,'بيانات الحركات'!$G:$G,0)),"")</f>
        <v/>
      </c>
      <c r="D1256" s="3" t="str">
        <f>IFERROR(INDEX('بيانات الحركات'!D:D,MATCH(1255,'بيانات الحركات'!$G:$G,0)),"")</f>
        <v/>
      </c>
      <c r="E1256" s="21" t="str">
        <f>IF($B1256="إنتاج طبخة","",IFERROR(INDEX('بيانات الحركات'!E:E,MATCH(1255,'بيانات الحركات'!$G:$G,0)),""))</f>
        <v/>
      </c>
      <c r="F1256" s="3" t="str">
        <f>IFERROR(INDEX('بيانات الحركات'!F:F,MATCH(1255,'بيانات الحركات'!$G:$G,0)),"")</f>
        <v/>
      </c>
    </row>
    <row r="1257" spans="1:6" ht="21.95" customHeight="1">
      <c r="A1257" s="8" t="str">
        <f>IFERROR(INDEX('بيانات الحركات'!A:A,MATCH(1256,'بيانات الحركات'!$G:$G,0)),"")</f>
        <v/>
      </c>
      <c r="B1257" s="5" t="str">
        <f>IFERROR(INDEX('بيانات الحركات'!B:B,MATCH(1256,'بيانات الحركات'!$G:$G,0)),"")</f>
        <v/>
      </c>
      <c r="C1257" s="3" t="str">
        <f>IFERROR(INDEX('بيانات الحركات'!C:C,MATCH(1256,'بيانات الحركات'!$G:$G,0)),"")</f>
        <v/>
      </c>
      <c r="D1257" s="3" t="str">
        <f>IFERROR(INDEX('بيانات الحركات'!D:D,MATCH(1256,'بيانات الحركات'!$G:$G,0)),"")</f>
        <v/>
      </c>
      <c r="E1257" s="21" t="str">
        <f>IF($B1257="إنتاج طبخة","",IFERROR(INDEX('بيانات الحركات'!E:E,MATCH(1256,'بيانات الحركات'!$G:$G,0)),""))</f>
        <v/>
      </c>
      <c r="F1257" s="3" t="str">
        <f>IFERROR(INDEX('بيانات الحركات'!F:F,MATCH(1256,'بيانات الحركات'!$G:$G,0)),"")</f>
        <v/>
      </c>
    </row>
    <row r="1258" spans="1:6" ht="21.95" customHeight="1">
      <c r="A1258" s="8" t="str">
        <f>IFERROR(INDEX('بيانات الحركات'!A:A,MATCH(1257,'بيانات الحركات'!$G:$G,0)),"")</f>
        <v/>
      </c>
      <c r="B1258" s="5" t="str">
        <f>IFERROR(INDEX('بيانات الحركات'!B:B,MATCH(1257,'بيانات الحركات'!$G:$G,0)),"")</f>
        <v/>
      </c>
      <c r="C1258" s="3" t="str">
        <f>IFERROR(INDEX('بيانات الحركات'!C:C,MATCH(1257,'بيانات الحركات'!$G:$G,0)),"")</f>
        <v/>
      </c>
      <c r="D1258" s="3" t="str">
        <f>IFERROR(INDEX('بيانات الحركات'!D:D,MATCH(1257,'بيانات الحركات'!$G:$G,0)),"")</f>
        <v/>
      </c>
      <c r="E1258" s="21" t="str">
        <f>IF($B1258="إنتاج طبخة","",IFERROR(INDEX('بيانات الحركات'!E:E,MATCH(1257,'بيانات الحركات'!$G:$G,0)),""))</f>
        <v/>
      </c>
      <c r="F1258" s="3" t="str">
        <f>IFERROR(INDEX('بيانات الحركات'!F:F,MATCH(1257,'بيانات الحركات'!$G:$G,0)),"")</f>
        <v/>
      </c>
    </row>
    <row r="1259" spans="1:6" ht="21.95" customHeight="1">
      <c r="A1259" s="8" t="str">
        <f>IFERROR(INDEX('بيانات الحركات'!A:A,MATCH(1258,'بيانات الحركات'!$G:$G,0)),"")</f>
        <v/>
      </c>
      <c r="B1259" s="5" t="str">
        <f>IFERROR(INDEX('بيانات الحركات'!B:B,MATCH(1258,'بيانات الحركات'!$G:$G,0)),"")</f>
        <v/>
      </c>
      <c r="C1259" s="3" t="str">
        <f>IFERROR(INDEX('بيانات الحركات'!C:C,MATCH(1258,'بيانات الحركات'!$G:$G,0)),"")</f>
        <v/>
      </c>
      <c r="D1259" s="3" t="str">
        <f>IFERROR(INDEX('بيانات الحركات'!D:D,MATCH(1258,'بيانات الحركات'!$G:$G,0)),"")</f>
        <v/>
      </c>
      <c r="E1259" s="21" t="str">
        <f>IF($B1259="إنتاج طبخة","",IFERROR(INDEX('بيانات الحركات'!E:E,MATCH(1258,'بيانات الحركات'!$G:$G,0)),""))</f>
        <v/>
      </c>
      <c r="F1259" s="3" t="str">
        <f>IFERROR(INDEX('بيانات الحركات'!F:F,MATCH(1258,'بيانات الحركات'!$G:$G,0)),"")</f>
        <v/>
      </c>
    </row>
    <row r="1260" spans="1:6" ht="21.95" customHeight="1">
      <c r="A1260" s="8" t="str">
        <f>IFERROR(INDEX('بيانات الحركات'!A:A,MATCH(1259,'بيانات الحركات'!$G:$G,0)),"")</f>
        <v/>
      </c>
      <c r="B1260" s="5" t="str">
        <f>IFERROR(INDEX('بيانات الحركات'!B:B,MATCH(1259,'بيانات الحركات'!$G:$G,0)),"")</f>
        <v/>
      </c>
      <c r="C1260" s="3" t="str">
        <f>IFERROR(INDEX('بيانات الحركات'!C:C,MATCH(1259,'بيانات الحركات'!$G:$G,0)),"")</f>
        <v/>
      </c>
      <c r="D1260" s="3" t="str">
        <f>IFERROR(INDEX('بيانات الحركات'!D:D,MATCH(1259,'بيانات الحركات'!$G:$G,0)),"")</f>
        <v/>
      </c>
      <c r="E1260" s="21" t="str">
        <f>IF($B1260="إنتاج طبخة","",IFERROR(INDEX('بيانات الحركات'!E:E,MATCH(1259,'بيانات الحركات'!$G:$G,0)),""))</f>
        <v/>
      </c>
      <c r="F1260" s="3" t="str">
        <f>IFERROR(INDEX('بيانات الحركات'!F:F,MATCH(1259,'بيانات الحركات'!$G:$G,0)),"")</f>
        <v/>
      </c>
    </row>
    <row r="1261" spans="1:6" ht="21.95" customHeight="1">
      <c r="A1261" s="8" t="str">
        <f>IFERROR(INDEX('بيانات الحركات'!A:A,MATCH(1260,'بيانات الحركات'!$G:$G,0)),"")</f>
        <v/>
      </c>
      <c r="B1261" s="5" t="str">
        <f>IFERROR(INDEX('بيانات الحركات'!B:B,MATCH(1260,'بيانات الحركات'!$G:$G,0)),"")</f>
        <v/>
      </c>
      <c r="C1261" s="3" t="str">
        <f>IFERROR(INDEX('بيانات الحركات'!C:C,MATCH(1260,'بيانات الحركات'!$G:$G,0)),"")</f>
        <v/>
      </c>
      <c r="D1261" s="3" t="str">
        <f>IFERROR(INDEX('بيانات الحركات'!D:D,MATCH(1260,'بيانات الحركات'!$G:$G,0)),"")</f>
        <v/>
      </c>
      <c r="E1261" s="21" t="str">
        <f>IF($B1261="إنتاج طبخة","",IFERROR(INDEX('بيانات الحركات'!E:E,MATCH(1260,'بيانات الحركات'!$G:$G,0)),""))</f>
        <v/>
      </c>
      <c r="F1261" s="3" t="str">
        <f>IFERROR(INDEX('بيانات الحركات'!F:F,MATCH(1260,'بيانات الحركات'!$G:$G,0)),"")</f>
        <v/>
      </c>
    </row>
    <row r="1262" spans="1:6" ht="21.95" customHeight="1">
      <c r="A1262" s="8" t="str">
        <f>IFERROR(INDEX('بيانات الحركات'!A:A,MATCH(1261,'بيانات الحركات'!$G:$G,0)),"")</f>
        <v/>
      </c>
      <c r="B1262" s="5" t="str">
        <f>IFERROR(INDEX('بيانات الحركات'!B:B,MATCH(1261,'بيانات الحركات'!$G:$G,0)),"")</f>
        <v/>
      </c>
      <c r="C1262" s="3" t="str">
        <f>IFERROR(INDEX('بيانات الحركات'!C:C,MATCH(1261,'بيانات الحركات'!$G:$G,0)),"")</f>
        <v/>
      </c>
      <c r="D1262" s="3" t="str">
        <f>IFERROR(INDEX('بيانات الحركات'!D:D,MATCH(1261,'بيانات الحركات'!$G:$G,0)),"")</f>
        <v/>
      </c>
      <c r="E1262" s="21" t="str">
        <f>IF($B1262="إنتاج طبخة","",IFERROR(INDEX('بيانات الحركات'!E:E,MATCH(1261,'بيانات الحركات'!$G:$G,0)),""))</f>
        <v/>
      </c>
      <c r="F1262" s="3" t="str">
        <f>IFERROR(INDEX('بيانات الحركات'!F:F,MATCH(1261,'بيانات الحركات'!$G:$G,0)),"")</f>
        <v/>
      </c>
    </row>
    <row r="1263" spans="1:6" ht="21.95" customHeight="1">
      <c r="A1263" s="8" t="str">
        <f>IFERROR(INDEX('بيانات الحركات'!A:A,MATCH(1262,'بيانات الحركات'!$G:$G,0)),"")</f>
        <v/>
      </c>
      <c r="B1263" s="5" t="str">
        <f>IFERROR(INDEX('بيانات الحركات'!B:B,MATCH(1262,'بيانات الحركات'!$G:$G,0)),"")</f>
        <v/>
      </c>
      <c r="C1263" s="3" t="str">
        <f>IFERROR(INDEX('بيانات الحركات'!C:C,MATCH(1262,'بيانات الحركات'!$G:$G,0)),"")</f>
        <v/>
      </c>
      <c r="D1263" s="3" t="str">
        <f>IFERROR(INDEX('بيانات الحركات'!D:D,MATCH(1262,'بيانات الحركات'!$G:$G,0)),"")</f>
        <v/>
      </c>
      <c r="E1263" s="21" t="str">
        <f>IF($B1263="إنتاج طبخة","",IFERROR(INDEX('بيانات الحركات'!E:E,MATCH(1262,'بيانات الحركات'!$G:$G,0)),""))</f>
        <v/>
      </c>
      <c r="F1263" s="3" t="str">
        <f>IFERROR(INDEX('بيانات الحركات'!F:F,MATCH(1262,'بيانات الحركات'!$G:$G,0)),"")</f>
        <v/>
      </c>
    </row>
    <row r="1264" spans="1:6" ht="21.95" customHeight="1">
      <c r="A1264" s="8" t="str">
        <f>IFERROR(INDEX('بيانات الحركات'!A:A,MATCH(1263,'بيانات الحركات'!$G:$G,0)),"")</f>
        <v/>
      </c>
      <c r="B1264" s="5" t="str">
        <f>IFERROR(INDEX('بيانات الحركات'!B:B,MATCH(1263,'بيانات الحركات'!$G:$G,0)),"")</f>
        <v/>
      </c>
      <c r="C1264" s="3" t="str">
        <f>IFERROR(INDEX('بيانات الحركات'!C:C,MATCH(1263,'بيانات الحركات'!$G:$G,0)),"")</f>
        <v/>
      </c>
      <c r="D1264" s="3" t="str">
        <f>IFERROR(INDEX('بيانات الحركات'!D:D,MATCH(1263,'بيانات الحركات'!$G:$G,0)),"")</f>
        <v/>
      </c>
      <c r="E1264" s="21" t="str">
        <f>IF($B1264="إنتاج طبخة","",IFERROR(INDEX('بيانات الحركات'!E:E,MATCH(1263,'بيانات الحركات'!$G:$G,0)),""))</f>
        <v/>
      </c>
      <c r="F1264" s="3" t="str">
        <f>IFERROR(INDEX('بيانات الحركات'!F:F,MATCH(1263,'بيانات الحركات'!$G:$G,0)),"")</f>
        <v/>
      </c>
    </row>
    <row r="1265" spans="1:6" ht="21.95" customHeight="1">
      <c r="A1265" s="8" t="str">
        <f>IFERROR(INDEX('بيانات الحركات'!A:A,MATCH(1264,'بيانات الحركات'!$G:$G,0)),"")</f>
        <v/>
      </c>
      <c r="B1265" s="5" t="str">
        <f>IFERROR(INDEX('بيانات الحركات'!B:B,MATCH(1264,'بيانات الحركات'!$G:$G,0)),"")</f>
        <v/>
      </c>
      <c r="C1265" s="3" t="str">
        <f>IFERROR(INDEX('بيانات الحركات'!C:C,MATCH(1264,'بيانات الحركات'!$G:$G,0)),"")</f>
        <v/>
      </c>
      <c r="D1265" s="3" t="str">
        <f>IFERROR(INDEX('بيانات الحركات'!D:D,MATCH(1264,'بيانات الحركات'!$G:$G,0)),"")</f>
        <v/>
      </c>
      <c r="E1265" s="21" t="str">
        <f>IF($B1265="إنتاج طبخة","",IFERROR(INDEX('بيانات الحركات'!E:E,MATCH(1264,'بيانات الحركات'!$G:$G,0)),""))</f>
        <v/>
      </c>
      <c r="F1265" s="3" t="str">
        <f>IFERROR(INDEX('بيانات الحركات'!F:F,MATCH(1264,'بيانات الحركات'!$G:$G,0)),"")</f>
        <v/>
      </c>
    </row>
    <row r="1266" spans="1:6" ht="21.95" customHeight="1">
      <c r="A1266" s="8" t="str">
        <f>IFERROR(INDEX('بيانات الحركات'!A:A,MATCH(1265,'بيانات الحركات'!$G:$G,0)),"")</f>
        <v/>
      </c>
      <c r="B1266" s="5" t="str">
        <f>IFERROR(INDEX('بيانات الحركات'!B:B,MATCH(1265,'بيانات الحركات'!$G:$G,0)),"")</f>
        <v/>
      </c>
      <c r="C1266" s="3" t="str">
        <f>IFERROR(INDEX('بيانات الحركات'!C:C,MATCH(1265,'بيانات الحركات'!$G:$G,0)),"")</f>
        <v/>
      </c>
      <c r="D1266" s="3" t="str">
        <f>IFERROR(INDEX('بيانات الحركات'!D:D,MATCH(1265,'بيانات الحركات'!$G:$G,0)),"")</f>
        <v/>
      </c>
      <c r="E1266" s="21" t="str">
        <f>IF($B1266="إنتاج طبخة","",IFERROR(INDEX('بيانات الحركات'!E:E,MATCH(1265,'بيانات الحركات'!$G:$G,0)),""))</f>
        <v/>
      </c>
      <c r="F1266" s="3" t="str">
        <f>IFERROR(INDEX('بيانات الحركات'!F:F,MATCH(1265,'بيانات الحركات'!$G:$G,0)),"")</f>
        <v/>
      </c>
    </row>
    <row r="1267" spans="1:6" ht="21.95" customHeight="1">
      <c r="A1267" s="8" t="str">
        <f>IFERROR(INDEX('بيانات الحركات'!A:A,MATCH(1266,'بيانات الحركات'!$G:$G,0)),"")</f>
        <v/>
      </c>
      <c r="B1267" s="5" t="str">
        <f>IFERROR(INDEX('بيانات الحركات'!B:B,MATCH(1266,'بيانات الحركات'!$G:$G,0)),"")</f>
        <v/>
      </c>
      <c r="C1267" s="3" t="str">
        <f>IFERROR(INDEX('بيانات الحركات'!C:C,MATCH(1266,'بيانات الحركات'!$G:$G,0)),"")</f>
        <v/>
      </c>
      <c r="D1267" s="3" t="str">
        <f>IFERROR(INDEX('بيانات الحركات'!D:D,MATCH(1266,'بيانات الحركات'!$G:$G,0)),"")</f>
        <v/>
      </c>
      <c r="E1267" s="21" t="str">
        <f>IF($B1267="إنتاج طبخة","",IFERROR(INDEX('بيانات الحركات'!E:E,MATCH(1266,'بيانات الحركات'!$G:$G,0)),""))</f>
        <v/>
      </c>
      <c r="F1267" s="3" t="str">
        <f>IFERROR(INDEX('بيانات الحركات'!F:F,MATCH(1266,'بيانات الحركات'!$G:$G,0)),"")</f>
        <v/>
      </c>
    </row>
    <row r="1268" spans="1:6" ht="21.95" customHeight="1">
      <c r="A1268" s="8" t="str">
        <f>IFERROR(INDEX('بيانات الحركات'!A:A,MATCH(1267,'بيانات الحركات'!$G:$G,0)),"")</f>
        <v/>
      </c>
      <c r="B1268" s="5" t="str">
        <f>IFERROR(INDEX('بيانات الحركات'!B:B,MATCH(1267,'بيانات الحركات'!$G:$G,0)),"")</f>
        <v/>
      </c>
      <c r="C1268" s="3" t="str">
        <f>IFERROR(INDEX('بيانات الحركات'!C:C,MATCH(1267,'بيانات الحركات'!$G:$G,0)),"")</f>
        <v/>
      </c>
      <c r="D1268" s="3" t="str">
        <f>IFERROR(INDEX('بيانات الحركات'!D:D,MATCH(1267,'بيانات الحركات'!$G:$G,0)),"")</f>
        <v/>
      </c>
      <c r="E1268" s="21" t="str">
        <f>IF($B1268="إنتاج طبخة","",IFERROR(INDEX('بيانات الحركات'!E:E,MATCH(1267,'بيانات الحركات'!$G:$G,0)),""))</f>
        <v/>
      </c>
      <c r="F1268" s="3" t="str">
        <f>IFERROR(INDEX('بيانات الحركات'!F:F,MATCH(1267,'بيانات الحركات'!$G:$G,0)),"")</f>
        <v/>
      </c>
    </row>
    <row r="1269" spans="1:6" ht="21.95" customHeight="1">
      <c r="A1269" s="8" t="str">
        <f>IFERROR(INDEX('بيانات الحركات'!A:A,MATCH(1268,'بيانات الحركات'!$G:$G,0)),"")</f>
        <v/>
      </c>
      <c r="B1269" s="5" t="str">
        <f>IFERROR(INDEX('بيانات الحركات'!B:B,MATCH(1268,'بيانات الحركات'!$G:$G,0)),"")</f>
        <v/>
      </c>
      <c r="C1269" s="3" t="str">
        <f>IFERROR(INDEX('بيانات الحركات'!C:C,MATCH(1268,'بيانات الحركات'!$G:$G,0)),"")</f>
        <v/>
      </c>
      <c r="D1269" s="3" t="str">
        <f>IFERROR(INDEX('بيانات الحركات'!D:D,MATCH(1268,'بيانات الحركات'!$G:$G,0)),"")</f>
        <v/>
      </c>
      <c r="E1269" s="21" t="str">
        <f>IF($B1269="إنتاج طبخة","",IFERROR(INDEX('بيانات الحركات'!E:E,MATCH(1268,'بيانات الحركات'!$G:$G,0)),""))</f>
        <v/>
      </c>
      <c r="F1269" s="3" t="str">
        <f>IFERROR(INDEX('بيانات الحركات'!F:F,MATCH(1268,'بيانات الحركات'!$G:$G,0)),"")</f>
        <v/>
      </c>
    </row>
    <row r="1270" spans="1:6" ht="21.95" customHeight="1">
      <c r="A1270" s="8" t="str">
        <f>IFERROR(INDEX('بيانات الحركات'!A:A,MATCH(1269,'بيانات الحركات'!$G:$G,0)),"")</f>
        <v/>
      </c>
      <c r="B1270" s="5" t="str">
        <f>IFERROR(INDEX('بيانات الحركات'!B:B,MATCH(1269,'بيانات الحركات'!$G:$G,0)),"")</f>
        <v/>
      </c>
      <c r="C1270" s="3" t="str">
        <f>IFERROR(INDEX('بيانات الحركات'!C:C,MATCH(1269,'بيانات الحركات'!$G:$G,0)),"")</f>
        <v/>
      </c>
      <c r="D1270" s="3" t="str">
        <f>IFERROR(INDEX('بيانات الحركات'!D:D,MATCH(1269,'بيانات الحركات'!$G:$G,0)),"")</f>
        <v/>
      </c>
      <c r="E1270" s="21" t="str">
        <f>IF($B1270="إنتاج طبخة","",IFERROR(INDEX('بيانات الحركات'!E:E,MATCH(1269,'بيانات الحركات'!$G:$G,0)),""))</f>
        <v/>
      </c>
      <c r="F1270" s="3" t="str">
        <f>IFERROR(INDEX('بيانات الحركات'!F:F,MATCH(1269,'بيانات الحركات'!$G:$G,0)),"")</f>
        <v/>
      </c>
    </row>
    <row r="1271" spans="1:6" ht="21.95" customHeight="1">
      <c r="A1271" s="8" t="str">
        <f>IFERROR(INDEX('بيانات الحركات'!A:A,MATCH(1270,'بيانات الحركات'!$G:$G,0)),"")</f>
        <v/>
      </c>
      <c r="B1271" s="5" t="str">
        <f>IFERROR(INDEX('بيانات الحركات'!B:B,MATCH(1270,'بيانات الحركات'!$G:$G,0)),"")</f>
        <v/>
      </c>
      <c r="C1271" s="3" t="str">
        <f>IFERROR(INDEX('بيانات الحركات'!C:C,MATCH(1270,'بيانات الحركات'!$G:$G,0)),"")</f>
        <v/>
      </c>
      <c r="D1271" s="3" t="str">
        <f>IFERROR(INDEX('بيانات الحركات'!D:D,MATCH(1270,'بيانات الحركات'!$G:$G,0)),"")</f>
        <v/>
      </c>
      <c r="E1271" s="21" t="str">
        <f>IF($B1271="إنتاج طبخة","",IFERROR(INDEX('بيانات الحركات'!E:E,MATCH(1270,'بيانات الحركات'!$G:$G,0)),""))</f>
        <v/>
      </c>
      <c r="F1271" s="3" t="str">
        <f>IFERROR(INDEX('بيانات الحركات'!F:F,MATCH(1270,'بيانات الحركات'!$G:$G,0)),"")</f>
        <v/>
      </c>
    </row>
    <row r="1272" spans="1:6" ht="21.95" customHeight="1">
      <c r="A1272" s="8" t="str">
        <f>IFERROR(INDEX('بيانات الحركات'!A:A,MATCH(1271,'بيانات الحركات'!$G:$G,0)),"")</f>
        <v/>
      </c>
      <c r="B1272" s="5" t="str">
        <f>IFERROR(INDEX('بيانات الحركات'!B:B,MATCH(1271,'بيانات الحركات'!$G:$G,0)),"")</f>
        <v/>
      </c>
      <c r="C1272" s="3" t="str">
        <f>IFERROR(INDEX('بيانات الحركات'!C:C,MATCH(1271,'بيانات الحركات'!$G:$G,0)),"")</f>
        <v/>
      </c>
      <c r="D1272" s="3" t="str">
        <f>IFERROR(INDEX('بيانات الحركات'!D:D,MATCH(1271,'بيانات الحركات'!$G:$G,0)),"")</f>
        <v/>
      </c>
      <c r="E1272" s="21" t="str">
        <f>IF($B1272="إنتاج طبخة","",IFERROR(INDEX('بيانات الحركات'!E:E,MATCH(1271,'بيانات الحركات'!$G:$G,0)),""))</f>
        <v/>
      </c>
      <c r="F1272" s="3" t="str">
        <f>IFERROR(INDEX('بيانات الحركات'!F:F,MATCH(1271,'بيانات الحركات'!$G:$G,0)),"")</f>
        <v/>
      </c>
    </row>
    <row r="1273" spans="1:6" ht="21.95" customHeight="1">
      <c r="A1273" s="8" t="str">
        <f>IFERROR(INDEX('بيانات الحركات'!A:A,MATCH(1272,'بيانات الحركات'!$G:$G,0)),"")</f>
        <v/>
      </c>
      <c r="B1273" s="5" t="str">
        <f>IFERROR(INDEX('بيانات الحركات'!B:B,MATCH(1272,'بيانات الحركات'!$G:$G,0)),"")</f>
        <v/>
      </c>
      <c r="C1273" s="3" t="str">
        <f>IFERROR(INDEX('بيانات الحركات'!C:C,MATCH(1272,'بيانات الحركات'!$G:$G,0)),"")</f>
        <v/>
      </c>
      <c r="D1273" s="3" t="str">
        <f>IFERROR(INDEX('بيانات الحركات'!D:D,MATCH(1272,'بيانات الحركات'!$G:$G,0)),"")</f>
        <v/>
      </c>
      <c r="E1273" s="21" t="str">
        <f>IF($B1273="إنتاج طبخة","",IFERROR(INDEX('بيانات الحركات'!E:E,MATCH(1272,'بيانات الحركات'!$G:$G,0)),""))</f>
        <v/>
      </c>
      <c r="F1273" s="3" t="str">
        <f>IFERROR(INDEX('بيانات الحركات'!F:F,MATCH(1272,'بيانات الحركات'!$G:$G,0)),"")</f>
        <v/>
      </c>
    </row>
    <row r="1274" spans="1:6" ht="21.95" customHeight="1">
      <c r="A1274" s="8" t="str">
        <f>IFERROR(INDEX('بيانات الحركات'!A:A,MATCH(1273,'بيانات الحركات'!$G:$G,0)),"")</f>
        <v/>
      </c>
      <c r="B1274" s="5" t="str">
        <f>IFERROR(INDEX('بيانات الحركات'!B:B,MATCH(1273,'بيانات الحركات'!$G:$G,0)),"")</f>
        <v/>
      </c>
      <c r="C1274" s="3" t="str">
        <f>IFERROR(INDEX('بيانات الحركات'!C:C,MATCH(1273,'بيانات الحركات'!$G:$G,0)),"")</f>
        <v/>
      </c>
      <c r="D1274" s="3" t="str">
        <f>IFERROR(INDEX('بيانات الحركات'!D:D,MATCH(1273,'بيانات الحركات'!$G:$G,0)),"")</f>
        <v/>
      </c>
      <c r="E1274" s="21" t="str">
        <f>IF($B1274="إنتاج طبخة","",IFERROR(INDEX('بيانات الحركات'!E:E,MATCH(1273,'بيانات الحركات'!$G:$G,0)),""))</f>
        <v/>
      </c>
      <c r="F1274" s="3" t="str">
        <f>IFERROR(INDEX('بيانات الحركات'!F:F,MATCH(1273,'بيانات الحركات'!$G:$G,0)),"")</f>
        <v/>
      </c>
    </row>
    <row r="1275" spans="1:6" ht="21.95" customHeight="1">
      <c r="A1275" s="8" t="str">
        <f>IFERROR(INDEX('بيانات الحركات'!A:A,MATCH(1274,'بيانات الحركات'!$G:$G,0)),"")</f>
        <v/>
      </c>
      <c r="B1275" s="5" t="str">
        <f>IFERROR(INDEX('بيانات الحركات'!B:B,MATCH(1274,'بيانات الحركات'!$G:$G,0)),"")</f>
        <v/>
      </c>
      <c r="C1275" s="3" t="str">
        <f>IFERROR(INDEX('بيانات الحركات'!C:C,MATCH(1274,'بيانات الحركات'!$G:$G,0)),"")</f>
        <v/>
      </c>
      <c r="D1275" s="3" t="str">
        <f>IFERROR(INDEX('بيانات الحركات'!D:D,MATCH(1274,'بيانات الحركات'!$G:$G,0)),"")</f>
        <v/>
      </c>
      <c r="E1275" s="21" t="str">
        <f>IF($B1275="إنتاج طبخة","",IFERROR(INDEX('بيانات الحركات'!E:E,MATCH(1274,'بيانات الحركات'!$G:$G,0)),""))</f>
        <v/>
      </c>
      <c r="F1275" s="3" t="str">
        <f>IFERROR(INDEX('بيانات الحركات'!F:F,MATCH(1274,'بيانات الحركات'!$G:$G,0)),"")</f>
        <v/>
      </c>
    </row>
    <row r="1276" spans="1:6" ht="21.95" customHeight="1">
      <c r="A1276" s="8" t="str">
        <f>IFERROR(INDEX('بيانات الحركات'!A:A,MATCH(1275,'بيانات الحركات'!$G:$G,0)),"")</f>
        <v/>
      </c>
      <c r="B1276" s="5" t="str">
        <f>IFERROR(INDEX('بيانات الحركات'!B:B,MATCH(1275,'بيانات الحركات'!$G:$G,0)),"")</f>
        <v/>
      </c>
      <c r="C1276" s="3" t="str">
        <f>IFERROR(INDEX('بيانات الحركات'!C:C,MATCH(1275,'بيانات الحركات'!$G:$G,0)),"")</f>
        <v/>
      </c>
      <c r="D1276" s="3" t="str">
        <f>IFERROR(INDEX('بيانات الحركات'!D:D,MATCH(1275,'بيانات الحركات'!$G:$G,0)),"")</f>
        <v/>
      </c>
      <c r="E1276" s="21" t="str">
        <f>IF($B1276="إنتاج طبخة","",IFERROR(INDEX('بيانات الحركات'!E:E,MATCH(1275,'بيانات الحركات'!$G:$G,0)),""))</f>
        <v/>
      </c>
      <c r="F1276" s="3" t="str">
        <f>IFERROR(INDEX('بيانات الحركات'!F:F,MATCH(1275,'بيانات الحركات'!$G:$G,0)),"")</f>
        <v/>
      </c>
    </row>
    <row r="1277" spans="1:6" ht="21.95" customHeight="1">
      <c r="A1277" s="8" t="str">
        <f>IFERROR(INDEX('بيانات الحركات'!A:A,MATCH(1276,'بيانات الحركات'!$G:$G,0)),"")</f>
        <v/>
      </c>
      <c r="B1277" s="5" t="str">
        <f>IFERROR(INDEX('بيانات الحركات'!B:B,MATCH(1276,'بيانات الحركات'!$G:$G,0)),"")</f>
        <v/>
      </c>
      <c r="C1277" s="3" t="str">
        <f>IFERROR(INDEX('بيانات الحركات'!C:C,MATCH(1276,'بيانات الحركات'!$G:$G,0)),"")</f>
        <v/>
      </c>
      <c r="D1277" s="3" t="str">
        <f>IFERROR(INDEX('بيانات الحركات'!D:D,MATCH(1276,'بيانات الحركات'!$G:$G,0)),"")</f>
        <v/>
      </c>
      <c r="E1277" s="21" t="str">
        <f>IF($B1277="إنتاج طبخة","",IFERROR(INDEX('بيانات الحركات'!E:E,MATCH(1276,'بيانات الحركات'!$G:$G,0)),""))</f>
        <v/>
      </c>
      <c r="F1277" s="3" t="str">
        <f>IFERROR(INDEX('بيانات الحركات'!F:F,MATCH(1276,'بيانات الحركات'!$G:$G,0)),"")</f>
        <v/>
      </c>
    </row>
    <row r="1278" spans="1:6" ht="21.95" customHeight="1">
      <c r="A1278" s="8" t="str">
        <f>IFERROR(INDEX('بيانات الحركات'!A:A,MATCH(1277,'بيانات الحركات'!$G:$G,0)),"")</f>
        <v/>
      </c>
      <c r="B1278" s="5" t="str">
        <f>IFERROR(INDEX('بيانات الحركات'!B:B,MATCH(1277,'بيانات الحركات'!$G:$G,0)),"")</f>
        <v/>
      </c>
      <c r="C1278" s="3" t="str">
        <f>IFERROR(INDEX('بيانات الحركات'!C:C,MATCH(1277,'بيانات الحركات'!$G:$G,0)),"")</f>
        <v/>
      </c>
      <c r="D1278" s="3" t="str">
        <f>IFERROR(INDEX('بيانات الحركات'!D:D,MATCH(1277,'بيانات الحركات'!$G:$G,0)),"")</f>
        <v/>
      </c>
      <c r="E1278" s="21" t="str">
        <f>IF($B1278="إنتاج طبخة","",IFERROR(INDEX('بيانات الحركات'!E:E,MATCH(1277,'بيانات الحركات'!$G:$G,0)),""))</f>
        <v/>
      </c>
      <c r="F1278" s="3" t="str">
        <f>IFERROR(INDEX('بيانات الحركات'!F:F,MATCH(1277,'بيانات الحركات'!$G:$G,0)),"")</f>
        <v/>
      </c>
    </row>
    <row r="1279" spans="1:6" ht="21.95" customHeight="1">
      <c r="A1279" s="8" t="str">
        <f>IFERROR(INDEX('بيانات الحركات'!A:A,MATCH(1278,'بيانات الحركات'!$G:$G,0)),"")</f>
        <v/>
      </c>
      <c r="B1279" s="5" t="str">
        <f>IFERROR(INDEX('بيانات الحركات'!B:B,MATCH(1278,'بيانات الحركات'!$G:$G,0)),"")</f>
        <v/>
      </c>
      <c r="C1279" s="3" t="str">
        <f>IFERROR(INDEX('بيانات الحركات'!C:C,MATCH(1278,'بيانات الحركات'!$G:$G,0)),"")</f>
        <v/>
      </c>
      <c r="D1279" s="3" t="str">
        <f>IFERROR(INDEX('بيانات الحركات'!D:D,MATCH(1278,'بيانات الحركات'!$G:$G,0)),"")</f>
        <v/>
      </c>
      <c r="E1279" s="21" t="str">
        <f>IF($B1279="إنتاج طبخة","",IFERROR(INDEX('بيانات الحركات'!E:E,MATCH(1278,'بيانات الحركات'!$G:$G,0)),""))</f>
        <v/>
      </c>
      <c r="F1279" s="3" t="str">
        <f>IFERROR(INDEX('بيانات الحركات'!F:F,MATCH(1278,'بيانات الحركات'!$G:$G,0)),"")</f>
        <v/>
      </c>
    </row>
    <row r="1280" spans="1:6" ht="21.95" customHeight="1">
      <c r="A1280" s="8" t="str">
        <f>IFERROR(INDEX('بيانات الحركات'!A:A,MATCH(1279,'بيانات الحركات'!$G:$G,0)),"")</f>
        <v/>
      </c>
      <c r="B1280" s="5" t="str">
        <f>IFERROR(INDEX('بيانات الحركات'!B:B,MATCH(1279,'بيانات الحركات'!$G:$G,0)),"")</f>
        <v/>
      </c>
      <c r="C1280" s="3" t="str">
        <f>IFERROR(INDEX('بيانات الحركات'!C:C,MATCH(1279,'بيانات الحركات'!$G:$G,0)),"")</f>
        <v/>
      </c>
      <c r="D1280" s="3" t="str">
        <f>IFERROR(INDEX('بيانات الحركات'!D:D,MATCH(1279,'بيانات الحركات'!$G:$G,0)),"")</f>
        <v/>
      </c>
      <c r="E1280" s="21" t="str">
        <f>IF($B1280="إنتاج طبخة","",IFERROR(INDEX('بيانات الحركات'!E:E,MATCH(1279,'بيانات الحركات'!$G:$G,0)),""))</f>
        <v/>
      </c>
      <c r="F1280" s="3" t="str">
        <f>IFERROR(INDEX('بيانات الحركات'!F:F,MATCH(1279,'بيانات الحركات'!$G:$G,0)),"")</f>
        <v/>
      </c>
    </row>
    <row r="1281" spans="1:6" ht="21.95" customHeight="1">
      <c r="A1281" s="8" t="str">
        <f>IFERROR(INDEX('بيانات الحركات'!A:A,MATCH(1280,'بيانات الحركات'!$G:$G,0)),"")</f>
        <v/>
      </c>
      <c r="B1281" s="5" t="str">
        <f>IFERROR(INDEX('بيانات الحركات'!B:B,MATCH(1280,'بيانات الحركات'!$G:$G,0)),"")</f>
        <v/>
      </c>
      <c r="C1281" s="3" t="str">
        <f>IFERROR(INDEX('بيانات الحركات'!C:C,MATCH(1280,'بيانات الحركات'!$G:$G,0)),"")</f>
        <v/>
      </c>
      <c r="D1281" s="3" t="str">
        <f>IFERROR(INDEX('بيانات الحركات'!D:D,MATCH(1280,'بيانات الحركات'!$G:$G,0)),"")</f>
        <v/>
      </c>
      <c r="E1281" s="21" t="str">
        <f>IF($B1281="إنتاج طبخة","",IFERROR(INDEX('بيانات الحركات'!E:E,MATCH(1280,'بيانات الحركات'!$G:$G,0)),""))</f>
        <v/>
      </c>
      <c r="F1281" s="3" t="str">
        <f>IFERROR(INDEX('بيانات الحركات'!F:F,MATCH(1280,'بيانات الحركات'!$G:$G,0)),"")</f>
        <v/>
      </c>
    </row>
    <row r="1282" spans="1:6" ht="21.95" customHeight="1">
      <c r="A1282" s="8" t="str">
        <f>IFERROR(INDEX('بيانات الحركات'!A:A,MATCH(1281,'بيانات الحركات'!$G:$G,0)),"")</f>
        <v/>
      </c>
      <c r="B1282" s="5" t="str">
        <f>IFERROR(INDEX('بيانات الحركات'!B:B,MATCH(1281,'بيانات الحركات'!$G:$G,0)),"")</f>
        <v/>
      </c>
      <c r="C1282" s="3" t="str">
        <f>IFERROR(INDEX('بيانات الحركات'!C:C,MATCH(1281,'بيانات الحركات'!$G:$G,0)),"")</f>
        <v/>
      </c>
      <c r="D1282" s="3" t="str">
        <f>IFERROR(INDEX('بيانات الحركات'!D:D,MATCH(1281,'بيانات الحركات'!$G:$G,0)),"")</f>
        <v/>
      </c>
      <c r="E1282" s="21" t="str">
        <f>IF($B1282="إنتاج طبخة","",IFERROR(INDEX('بيانات الحركات'!E:E,MATCH(1281,'بيانات الحركات'!$G:$G,0)),""))</f>
        <v/>
      </c>
      <c r="F1282" s="3" t="str">
        <f>IFERROR(INDEX('بيانات الحركات'!F:F,MATCH(1281,'بيانات الحركات'!$G:$G,0)),"")</f>
        <v/>
      </c>
    </row>
    <row r="1283" spans="1:6" ht="21.95" customHeight="1">
      <c r="A1283" s="8" t="str">
        <f>IFERROR(INDEX('بيانات الحركات'!A:A,MATCH(1282,'بيانات الحركات'!$G:$G,0)),"")</f>
        <v/>
      </c>
      <c r="B1283" s="5" t="str">
        <f>IFERROR(INDEX('بيانات الحركات'!B:B,MATCH(1282,'بيانات الحركات'!$G:$G,0)),"")</f>
        <v/>
      </c>
      <c r="C1283" s="3" t="str">
        <f>IFERROR(INDEX('بيانات الحركات'!C:C,MATCH(1282,'بيانات الحركات'!$G:$G,0)),"")</f>
        <v/>
      </c>
      <c r="D1283" s="3" t="str">
        <f>IFERROR(INDEX('بيانات الحركات'!D:D,MATCH(1282,'بيانات الحركات'!$G:$G,0)),"")</f>
        <v/>
      </c>
      <c r="E1283" s="21" t="str">
        <f>IF($B1283="إنتاج طبخة","",IFERROR(INDEX('بيانات الحركات'!E:E,MATCH(1282,'بيانات الحركات'!$G:$G,0)),""))</f>
        <v/>
      </c>
      <c r="F1283" s="3" t="str">
        <f>IFERROR(INDEX('بيانات الحركات'!F:F,MATCH(1282,'بيانات الحركات'!$G:$G,0)),"")</f>
        <v/>
      </c>
    </row>
    <row r="1284" spans="1:6" ht="21.95" customHeight="1">
      <c r="A1284" s="8" t="str">
        <f>IFERROR(INDEX('بيانات الحركات'!A:A,MATCH(1283,'بيانات الحركات'!$G:$G,0)),"")</f>
        <v/>
      </c>
      <c r="B1284" s="5" t="str">
        <f>IFERROR(INDEX('بيانات الحركات'!B:B,MATCH(1283,'بيانات الحركات'!$G:$G,0)),"")</f>
        <v/>
      </c>
      <c r="C1284" s="3" t="str">
        <f>IFERROR(INDEX('بيانات الحركات'!C:C,MATCH(1283,'بيانات الحركات'!$G:$G,0)),"")</f>
        <v/>
      </c>
      <c r="D1284" s="3" t="str">
        <f>IFERROR(INDEX('بيانات الحركات'!D:D,MATCH(1283,'بيانات الحركات'!$G:$G,0)),"")</f>
        <v/>
      </c>
      <c r="E1284" s="21" t="str">
        <f>IF($B1284="إنتاج طبخة","",IFERROR(INDEX('بيانات الحركات'!E:E,MATCH(1283,'بيانات الحركات'!$G:$G,0)),""))</f>
        <v/>
      </c>
      <c r="F1284" s="3" t="str">
        <f>IFERROR(INDEX('بيانات الحركات'!F:F,MATCH(1283,'بيانات الحركات'!$G:$G,0)),"")</f>
        <v/>
      </c>
    </row>
    <row r="1285" spans="1:6" ht="21.95" customHeight="1">
      <c r="A1285" s="8" t="str">
        <f>IFERROR(INDEX('بيانات الحركات'!A:A,MATCH(1284,'بيانات الحركات'!$G:$G,0)),"")</f>
        <v/>
      </c>
      <c r="B1285" s="5" t="str">
        <f>IFERROR(INDEX('بيانات الحركات'!B:B,MATCH(1284,'بيانات الحركات'!$G:$G,0)),"")</f>
        <v/>
      </c>
      <c r="C1285" s="3" t="str">
        <f>IFERROR(INDEX('بيانات الحركات'!C:C,MATCH(1284,'بيانات الحركات'!$G:$G,0)),"")</f>
        <v/>
      </c>
      <c r="D1285" s="3" t="str">
        <f>IFERROR(INDEX('بيانات الحركات'!D:D,MATCH(1284,'بيانات الحركات'!$G:$G,0)),"")</f>
        <v/>
      </c>
      <c r="E1285" s="21" t="str">
        <f>IF($B1285="إنتاج طبخة","",IFERROR(INDEX('بيانات الحركات'!E:E,MATCH(1284,'بيانات الحركات'!$G:$G,0)),""))</f>
        <v/>
      </c>
      <c r="F1285" s="3" t="str">
        <f>IFERROR(INDEX('بيانات الحركات'!F:F,MATCH(1284,'بيانات الحركات'!$G:$G,0)),"")</f>
        <v/>
      </c>
    </row>
    <row r="1286" spans="1:6" ht="21.95" customHeight="1">
      <c r="A1286" s="8" t="str">
        <f>IFERROR(INDEX('بيانات الحركات'!A:A,MATCH(1285,'بيانات الحركات'!$G:$G,0)),"")</f>
        <v/>
      </c>
      <c r="B1286" s="5" t="str">
        <f>IFERROR(INDEX('بيانات الحركات'!B:B,MATCH(1285,'بيانات الحركات'!$G:$G,0)),"")</f>
        <v/>
      </c>
      <c r="C1286" s="3" t="str">
        <f>IFERROR(INDEX('بيانات الحركات'!C:C,MATCH(1285,'بيانات الحركات'!$G:$G,0)),"")</f>
        <v/>
      </c>
      <c r="D1286" s="3" t="str">
        <f>IFERROR(INDEX('بيانات الحركات'!D:D,MATCH(1285,'بيانات الحركات'!$G:$G,0)),"")</f>
        <v/>
      </c>
      <c r="E1286" s="21" t="str">
        <f>IF($B1286="إنتاج طبخة","",IFERROR(INDEX('بيانات الحركات'!E:E,MATCH(1285,'بيانات الحركات'!$G:$G,0)),""))</f>
        <v/>
      </c>
      <c r="F1286" s="3" t="str">
        <f>IFERROR(INDEX('بيانات الحركات'!F:F,MATCH(1285,'بيانات الحركات'!$G:$G,0)),"")</f>
        <v/>
      </c>
    </row>
    <row r="1287" spans="1:6" ht="21.95" customHeight="1">
      <c r="A1287" s="8" t="str">
        <f>IFERROR(INDEX('بيانات الحركات'!A:A,MATCH(1286,'بيانات الحركات'!$G:$G,0)),"")</f>
        <v/>
      </c>
      <c r="B1287" s="5" t="str">
        <f>IFERROR(INDEX('بيانات الحركات'!B:B,MATCH(1286,'بيانات الحركات'!$G:$G,0)),"")</f>
        <v/>
      </c>
      <c r="C1287" s="3" t="str">
        <f>IFERROR(INDEX('بيانات الحركات'!C:C,MATCH(1286,'بيانات الحركات'!$G:$G,0)),"")</f>
        <v/>
      </c>
      <c r="D1287" s="3" t="str">
        <f>IFERROR(INDEX('بيانات الحركات'!D:D,MATCH(1286,'بيانات الحركات'!$G:$G,0)),"")</f>
        <v/>
      </c>
      <c r="E1287" s="21" t="str">
        <f>IF($B1287="إنتاج طبخة","",IFERROR(INDEX('بيانات الحركات'!E:E,MATCH(1286,'بيانات الحركات'!$G:$G,0)),""))</f>
        <v/>
      </c>
      <c r="F1287" s="3" t="str">
        <f>IFERROR(INDEX('بيانات الحركات'!F:F,MATCH(1286,'بيانات الحركات'!$G:$G,0)),"")</f>
        <v/>
      </c>
    </row>
    <row r="1288" spans="1:6" ht="21.95" customHeight="1">
      <c r="A1288" s="8" t="str">
        <f>IFERROR(INDEX('بيانات الحركات'!A:A,MATCH(1287,'بيانات الحركات'!$G:$G,0)),"")</f>
        <v/>
      </c>
      <c r="B1288" s="5" t="str">
        <f>IFERROR(INDEX('بيانات الحركات'!B:B,MATCH(1287,'بيانات الحركات'!$G:$G,0)),"")</f>
        <v/>
      </c>
      <c r="C1288" s="3" t="str">
        <f>IFERROR(INDEX('بيانات الحركات'!C:C,MATCH(1287,'بيانات الحركات'!$G:$G,0)),"")</f>
        <v/>
      </c>
      <c r="D1288" s="3" t="str">
        <f>IFERROR(INDEX('بيانات الحركات'!D:D,MATCH(1287,'بيانات الحركات'!$G:$G,0)),"")</f>
        <v/>
      </c>
      <c r="E1288" s="21" t="str">
        <f>IF($B1288="إنتاج طبخة","",IFERROR(INDEX('بيانات الحركات'!E:E,MATCH(1287,'بيانات الحركات'!$G:$G,0)),""))</f>
        <v/>
      </c>
      <c r="F1288" s="3" t="str">
        <f>IFERROR(INDEX('بيانات الحركات'!F:F,MATCH(1287,'بيانات الحركات'!$G:$G,0)),"")</f>
        <v/>
      </c>
    </row>
    <row r="1289" spans="1:6" ht="21.95" customHeight="1">
      <c r="A1289" s="8" t="str">
        <f>IFERROR(INDEX('بيانات الحركات'!A:A,MATCH(1288,'بيانات الحركات'!$G:$G,0)),"")</f>
        <v/>
      </c>
      <c r="B1289" s="5" t="str">
        <f>IFERROR(INDEX('بيانات الحركات'!B:B,MATCH(1288,'بيانات الحركات'!$G:$G,0)),"")</f>
        <v/>
      </c>
      <c r="C1289" s="3" t="str">
        <f>IFERROR(INDEX('بيانات الحركات'!C:C,MATCH(1288,'بيانات الحركات'!$G:$G,0)),"")</f>
        <v/>
      </c>
      <c r="D1289" s="3" t="str">
        <f>IFERROR(INDEX('بيانات الحركات'!D:D,MATCH(1288,'بيانات الحركات'!$G:$G,0)),"")</f>
        <v/>
      </c>
      <c r="E1289" s="21" t="str">
        <f>IF($B1289="إنتاج طبخة","",IFERROR(INDEX('بيانات الحركات'!E:E,MATCH(1288,'بيانات الحركات'!$G:$G,0)),""))</f>
        <v/>
      </c>
      <c r="F1289" s="3" t="str">
        <f>IFERROR(INDEX('بيانات الحركات'!F:F,MATCH(1288,'بيانات الحركات'!$G:$G,0)),"")</f>
        <v/>
      </c>
    </row>
    <row r="1290" spans="1:6" ht="21.95" customHeight="1">
      <c r="A1290" s="8" t="str">
        <f>IFERROR(INDEX('بيانات الحركات'!A:A,MATCH(1289,'بيانات الحركات'!$G:$G,0)),"")</f>
        <v/>
      </c>
      <c r="B1290" s="5" t="str">
        <f>IFERROR(INDEX('بيانات الحركات'!B:B,MATCH(1289,'بيانات الحركات'!$G:$G,0)),"")</f>
        <v/>
      </c>
      <c r="C1290" s="3" t="str">
        <f>IFERROR(INDEX('بيانات الحركات'!C:C,MATCH(1289,'بيانات الحركات'!$G:$G,0)),"")</f>
        <v/>
      </c>
      <c r="D1290" s="3" t="str">
        <f>IFERROR(INDEX('بيانات الحركات'!D:D,MATCH(1289,'بيانات الحركات'!$G:$G,0)),"")</f>
        <v/>
      </c>
      <c r="E1290" s="21" t="str">
        <f>IF($B1290="إنتاج طبخة","",IFERROR(INDEX('بيانات الحركات'!E:E,MATCH(1289,'بيانات الحركات'!$G:$G,0)),""))</f>
        <v/>
      </c>
      <c r="F1290" s="3" t="str">
        <f>IFERROR(INDEX('بيانات الحركات'!F:F,MATCH(1289,'بيانات الحركات'!$G:$G,0)),"")</f>
        <v/>
      </c>
    </row>
    <row r="1291" spans="1:6" ht="21.95" customHeight="1">
      <c r="A1291" s="8" t="str">
        <f>IFERROR(INDEX('بيانات الحركات'!A:A,MATCH(1290,'بيانات الحركات'!$G:$G,0)),"")</f>
        <v/>
      </c>
      <c r="B1291" s="5" t="str">
        <f>IFERROR(INDEX('بيانات الحركات'!B:B,MATCH(1290,'بيانات الحركات'!$G:$G,0)),"")</f>
        <v/>
      </c>
      <c r="C1291" s="3" t="str">
        <f>IFERROR(INDEX('بيانات الحركات'!C:C,MATCH(1290,'بيانات الحركات'!$G:$G,0)),"")</f>
        <v/>
      </c>
      <c r="D1291" s="3" t="str">
        <f>IFERROR(INDEX('بيانات الحركات'!D:D,MATCH(1290,'بيانات الحركات'!$G:$G,0)),"")</f>
        <v/>
      </c>
      <c r="E1291" s="21" t="str">
        <f>IF($B1291="إنتاج طبخة","",IFERROR(INDEX('بيانات الحركات'!E:E,MATCH(1290,'بيانات الحركات'!$G:$G,0)),""))</f>
        <v/>
      </c>
      <c r="F1291" s="3" t="str">
        <f>IFERROR(INDEX('بيانات الحركات'!F:F,MATCH(1290,'بيانات الحركات'!$G:$G,0)),"")</f>
        <v/>
      </c>
    </row>
    <row r="1292" spans="1:6" ht="21.95" customHeight="1">
      <c r="A1292" s="8" t="str">
        <f>IFERROR(INDEX('بيانات الحركات'!A:A,MATCH(1291,'بيانات الحركات'!$G:$G,0)),"")</f>
        <v/>
      </c>
      <c r="B1292" s="5" t="str">
        <f>IFERROR(INDEX('بيانات الحركات'!B:B,MATCH(1291,'بيانات الحركات'!$G:$G,0)),"")</f>
        <v/>
      </c>
      <c r="C1292" s="3" t="str">
        <f>IFERROR(INDEX('بيانات الحركات'!C:C,MATCH(1291,'بيانات الحركات'!$G:$G,0)),"")</f>
        <v/>
      </c>
      <c r="D1292" s="3" t="str">
        <f>IFERROR(INDEX('بيانات الحركات'!D:D,MATCH(1291,'بيانات الحركات'!$G:$G,0)),"")</f>
        <v/>
      </c>
      <c r="E1292" s="21" t="str">
        <f>IF($B1292="إنتاج طبخة","",IFERROR(INDEX('بيانات الحركات'!E:E,MATCH(1291,'بيانات الحركات'!$G:$G,0)),""))</f>
        <v/>
      </c>
      <c r="F1292" s="3" t="str">
        <f>IFERROR(INDEX('بيانات الحركات'!F:F,MATCH(1291,'بيانات الحركات'!$G:$G,0)),"")</f>
        <v/>
      </c>
    </row>
    <row r="1293" spans="1:6" ht="21.95" customHeight="1">
      <c r="A1293" s="8" t="str">
        <f>IFERROR(INDEX('بيانات الحركات'!A:A,MATCH(1292,'بيانات الحركات'!$G:$G,0)),"")</f>
        <v/>
      </c>
      <c r="B1293" s="5" t="str">
        <f>IFERROR(INDEX('بيانات الحركات'!B:B,MATCH(1292,'بيانات الحركات'!$G:$G,0)),"")</f>
        <v/>
      </c>
      <c r="C1293" s="3" t="str">
        <f>IFERROR(INDEX('بيانات الحركات'!C:C,MATCH(1292,'بيانات الحركات'!$G:$G,0)),"")</f>
        <v/>
      </c>
      <c r="D1293" s="3" t="str">
        <f>IFERROR(INDEX('بيانات الحركات'!D:D,MATCH(1292,'بيانات الحركات'!$G:$G,0)),"")</f>
        <v/>
      </c>
      <c r="E1293" s="21" t="str">
        <f>IF($B1293="إنتاج طبخة","",IFERROR(INDEX('بيانات الحركات'!E:E,MATCH(1292,'بيانات الحركات'!$G:$G,0)),""))</f>
        <v/>
      </c>
      <c r="F1293" s="3" t="str">
        <f>IFERROR(INDEX('بيانات الحركات'!F:F,MATCH(1292,'بيانات الحركات'!$G:$G,0)),"")</f>
        <v/>
      </c>
    </row>
    <row r="1294" spans="1:6" ht="21.95" customHeight="1">
      <c r="A1294" s="8" t="str">
        <f>IFERROR(INDEX('بيانات الحركات'!A:A,MATCH(1293,'بيانات الحركات'!$G:$G,0)),"")</f>
        <v/>
      </c>
      <c r="B1294" s="5" t="str">
        <f>IFERROR(INDEX('بيانات الحركات'!B:B,MATCH(1293,'بيانات الحركات'!$G:$G,0)),"")</f>
        <v/>
      </c>
      <c r="C1294" s="3" t="str">
        <f>IFERROR(INDEX('بيانات الحركات'!C:C,MATCH(1293,'بيانات الحركات'!$G:$G,0)),"")</f>
        <v/>
      </c>
      <c r="D1294" s="3" t="str">
        <f>IFERROR(INDEX('بيانات الحركات'!D:D,MATCH(1293,'بيانات الحركات'!$G:$G,0)),"")</f>
        <v/>
      </c>
      <c r="E1294" s="21" t="str">
        <f>IF($B1294="إنتاج طبخة","",IFERROR(INDEX('بيانات الحركات'!E:E,MATCH(1293,'بيانات الحركات'!$G:$G,0)),""))</f>
        <v/>
      </c>
      <c r="F1294" s="3" t="str">
        <f>IFERROR(INDEX('بيانات الحركات'!F:F,MATCH(1293,'بيانات الحركات'!$G:$G,0)),"")</f>
        <v/>
      </c>
    </row>
    <row r="1295" spans="1:6" ht="21.95" customHeight="1">
      <c r="A1295" s="8" t="str">
        <f>IFERROR(INDEX('بيانات الحركات'!A:A,MATCH(1294,'بيانات الحركات'!$G:$G,0)),"")</f>
        <v/>
      </c>
      <c r="B1295" s="5" t="str">
        <f>IFERROR(INDEX('بيانات الحركات'!B:B,MATCH(1294,'بيانات الحركات'!$G:$G,0)),"")</f>
        <v/>
      </c>
      <c r="C1295" s="3" t="str">
        <f>IFERROR(INDEX('بيانات الحركات'!C:C,MATCH(1294,'بيانات الحركات'!$G:$G,0)),"")</f>
        <v/>
      </c>
      <c r="D1295" s="3" t="str">
        <f>IFERROR(INDEX('بيانات الحركات'!D:D,MATCH(1294,'بيانات الحركات'!$G:$G,0)),"")</f>
        <v/>
      </c>
      <c r="E1295" s="21" t="str">
        <f>IF($B1295="إنتاج طبخة","",IFERROR(INDEX('بيانات الحركات'!E:E,MATCH(1294,'بيانات الحركات'!$G:$G,0)),""))</f>
        <v/>
      </c>
      <c r="F1295" s="3" t="str">
        <f>IFERROR(INDEX('بيانات الحركات'!F:F,MATCH(1294,'بيانات الحركات'!$G:$G,0)),"")</f>
        <v/>
      </c>
    </row>
    <row r="1296" spans="1:6" ht="21.95" customHeight="1">
      <c r="A1296" s="8" t="str">
        <f>IFERROR(INDEX('بيانات الحركات'!A:A,MATCH(1295,'بيانات الحركات'!$G:$G,0)),"")</f>
        <v/>
      </c>
      <c r="B1296" s="5" t="str">
        <f>IFERROR(INDEX('بيانات الحركات'!B:B,MATCH(1295,'بيانات الحركات'!$G:$G,0)),"")</f>
        <v/>
      </c>
      <c r="C1296" s="3" t="str">
        <f>IFERROR(INDEX('بيانات الحركات'!C:C,MATCH(1295,'بيانات الحركات'!$G:$G,0)),"")</f>
        <v/>
      </c>
      <c r="D1296" s="3" t="str">
        <f>IFERROR(INDEX('بيانات الحركات'!D:D,MATCH(1295,'بيانات الحركات'!$G:$G,0)),"")</f>
        <v/>
      </c>
      <c r="E1296" s="21" t="str">
        <f>IF($B1296="إنتاج طبخة","",IFERROR(INDEX('بيانات الحركات'!E:E,MATCH(1295,'بيانات الحركات'!$G:$G,0)),""))</f>
        <v/>
      </c>
      <c r="F1296" s="3" t="str">
        <f>IFERROR(INDEX('بيانات الحركات'!F:F,MATCH(1295,'بيانات الحركات'!$G:$G,0)),"")</f>
        <v/>
      </c>
    </row>
    <row r="1297" spans="1:6" ht="21.95" customHeight="1">
      <c r="A1297" s="8" t="str">
        <f>IFERROR(INDEX('بيانات الحركات'!A:A,MATCH(1296,'بيانات الحركات'!$G:$G,0)),"")</f>
        <v/>
      </c>
      <c r="B1297" s="5" t="str">
        <f>IFERROR(INDEX('بيانات الحركات'!B:B,MATCH(1296,'بيانات الحركات'!$G:$G,0)),"")</f>
        <v/>
      </c>
      <c r="C1297" s="3" t="str">
        <f>IFERROR(INDEX('بيانات الحركات'!C:C,MATCH(1296,'بيانات الحركات'!$G:$G,0)),"")</f>
        <v/>
      </c>
      <c r="D1297" s="3" t="str">
        <f>IFERROR(INDEX('بيانات الحركات'!D:D,MATCH(1296,'بيانات الحركات'!$G:$G,0)),"")</f>
        <v/>
      </c>
      <c r="E1297" s="21" t="str">
        <f>IF($B1297="إنتاج طبخة","",IFERROR(INDEX('بيانات الحركات'!E:E,MATCH(1296,'بيانات الحركات'!$G:$G,0)),""))</f>
        <v/>
      </c>
      <c r="F1297" s="3" t="str">
        <f>IFERROR(INDEX('بيانات الحركات'!F:F,MATCH(1296,'بيانات الحركات'!$G:$G,0)),"")</f>
        <v/>
      </c>
    </row>
    <row r="1298" spans="1:6" ht="21.95" customHeight="1">
      <c r="A1298" s="8" t="str">
        <f>IFERROR(INDEX('بيانات الحركات'!A:A,MATCH(1297,'بيانات الحركات'!$G:$G,0)),"")</f>
        <v/>
      </c>
      <c r="B1298" s="5" t="str">
        <f>IFERROR(INDEX('بيانات الحركات'!B:B,MATCH(1297,'بيانات الحركات'!$G:$G,0)),"")</f>
        <v/>
      </c>
      <c r="C1298" s="3" t="str">
        <f>IFERROR(INDEX('بيانات الحركات'!C:C,MATCH(1297,'بيانات الحركات'!$G:$G,0)),"")</f>
        <v/>
      </c>
      <c r="D1298" s="3" t="str">
        <f>IFERROR(INDEX('بيانات الحركات'!D:D,MATCH(1297,'بيانات الحركات'!$G:$G,0)),"")</f>
        <v/>
      </c>
      <c r="E1298" s="21" t="str">
        <f>IF($B1298="إنتاج طبخة","",IFERROR(INDEX('بيانات الحركات'!E:E,MATCH(1297,'بيانات الحركات'!$G:$G,0)),""))</f>
        <v/>
      </c>
      <c r="F1298" s="3" t="str">
        <f>IFERROR(INDEX('بيانات الحركات'!F:F,MATCH(1297,'بيانات الحركات'!$G:$G,0)),"")</f>
        <v/>
      </c>
    </row>
    <row r="1299" spans="1:6" ht="21.95" customHeight="1">
      <c r="A1299" s="8" t="str">
        <f>IFERROR(INDEX('بيانات الحركات'!A:A,MATCH(1298,'بيانات الحركات'!$G:$G,0)),"")</f>
        <v/>
      </c>
      <c r="B1299" s="5" t="str">
        <f>IFERROR(INDEX('بيانات الحركات'!B:B,MATCH(1298,'بيانات الحركات'!$G:$G,0)),"")</f>
        <v/>
      </c>
      <c r="C1299" s="3" t="str">
        <f>IFERROR(INDEX('بيانات الحركات'!C:C,MATCH(1298,'بيانات الحركات'!$G:$G,0)),"")</f>
        <v/>
      </c>
      <c r="D1299" s="3" t="str">
        <f>IFERROR(INDEX('بيانات الحركات'!D:D,MATCH(1298,'بيانات الحركات'!$G:$G,0)),"")</f>
        <v/>
      </c>
      <c r="E1299" s="21" t="str">
        <f>IF($B1299="إنتاج طبخة","",IFERROR(INDEX('بيانات الحركات'!E:E,MATCH(1298,'بيانات الحركات'!$G:$G,0)),""))</f>
        <v/>
      </c>
      <c r="F1299" s="3" t="str">
        <f>IFERROR(INDEX('بيانات الحركات'!F:F,MATCH(1298,'بيانات الحركات'!$G:$G,0)),"")</f>
        <v/>
      </c>
    </row>
    <row r="1300" spans="1:6" ht="21.95" customHeight="1">
      <c r="A1300" s="8" t="str">
        <f>IFERROR(INDEX('بيانات الحركات'!A:A,MATCH(1299,'بيانات الحركات'!$G:$G,0)),"")</f>
        <v/>
      </c>
      <c r="B1300" s="5" t="str">
        <f>IFERROR(INDEX('بيانات الحركات'!B:B,MATCH(1299,'بيانات الحركات'!$G:$G,0)),"")</f>
        <v/>
      </c>
      <c r="C1300" s="3" t="str">
        <f>IFERROR(INDEX('بيانات الحركات'!C:C,MATCH(1299,'بيانات الحركات'!$G:$G,0)),"")</f>
        <v/>
      </c>
      <c r="D1300" s="3" t="str">
        <f>IFERROR(INDEX('بيانات الحركات'!D:D,MATCH(1299,'بيانات الحركات'!$G:$G,0)),"")</f>
        <v/>
      </c>
      <c r="E1300" s="21" t="str">
        <f>IF($B1300="إنتاج طبخة","",IFERROR(INDEX('بيانات الحركات'!E:E,MATCH(1299,'بيانات الحركات'!$G:$G,0)),""))</f>
        <v/>
      </c>
      <c r="F1300" s="3" t="str">
        <f>IFERROR(INDEX('بيانات الحركات'!F:F,MATCH(1299,'بيانات الحركات'!$G:$G,0)),"")</f>
        <v/>
      </c>
    </row>
    <row r="1301" spans="1:6" ht="21.95" customHeight="1">
      <c r="A1301" s="8" t="str">
        <f>IFERROR(INDEX('بيانات الحركات'!A:A,MATCH(1300,'بيانات الحركات'!$G:$G,0)),"")</f>
        <v/>
      </c>
      <c r="B1301" s="5" t="str">
        <f>IFERROR(INDEX('بيانات الحركات'!B:B,MATCH(1300,'بيانات الحركات'!$G:$G,0)),"")</f>
        <v/>
      </c>
      <c r="C1301" s="3" t="str">
        <f>IFERROR(INDEX('بيانات الحركات'!C:C,MATCH(1300,'بيانات الحركات'!$G:$G,0)),"")</f>
        <v/>
      </c>
      <c r="D1301" s="3" t="str">
        <f>IFERROR(INDEX('بيانات الحركات'!D:D,MATCH(1300,'بيانات الحركات'!$G:$G,0)),"")</f>
        <v/>
      </c>
      <c r="E1301" s="21" t="str">
        <f>IF($B1301="إنتاج طبخة","",IFERROR(INDEX('بيانات الحركات'!E:E,MATCH(1300,'بيانات الحركات'!$G:$G,0)),""))</f>
        <v/>
      </c>
      <c r="F1301" s="3" t="str">
        <f>IFERROR(INDEX('بيانات الحركات'!F:F,MATCH(1300,'بيانات الحركات'!$G:$G,0)),"")</f>
        <v/>
      </c>
    </row>
    <row r="1302" spans="1:6" ht="21.95" customHeight="1">
      <c r="A1302" s="8" t="str">
        <f>IFERROR(INDEX('بيانات الحركات'!A:A,MATCH(1301,'بيانات الحركات'!$G:$G,0)),"")</f>
        <v/>
      </c>
      <c r="B1302" s="5" t="str">
        <f>IFERROR(INDEX('بيانات الحركات'!B:B,MATCH(1301,'بيانات الحركات'!$G:$G,0)),"")</f>
        <v/>
      </c>
      <c r="C1302" s="3" t="str">
        <f>IFERROR(INDEX('بيانات الحركات'!C:C,MATCH(1301,'بيانات الحركات'!$G:$G,0)),"")</f>
        <v/>
      </c>
      <c r="D1302" s="3" t="str">
        <f>IFERROR(INDEX('بيانات الحركات'!D:D,MATCH(1301,'بيانات الحركات'!$G:$G,0)),"")</f>
        <v/>
      </c>
      <c r="E1302" s="21" t="str">
        <f>IF($B1302="إنتاج طبخة","",IFERROR(INDEX('بيانات الحركات'!E:E,MATCH(1301,'بيانات الحركات'!$G:$G,0)),""))</f>
        <v/>
      </c>
      <c r="F1302" s="3" t="str">
        <f>IFERROR(INDEX('بيانات الحركات'!F:F,MATCH(1301,'بيانات الحركات'!$G:$G,0)),"")</f>
        <v/>
      </c>
    </row>
    <row r="1303" spans="1:6" ht="21.95" customHeight="1">
      <c r="A1303" s="8" t="str">
        <f>IFERROR(INDEX('بيانات الحركات'!A:A,MATCH(1302,'بيانات الحركات'!$G:$G,0)),"")</f>
        <v/>
      </c>
      <c r="B1303" s="5" t="str">
        <f>IFERROR(INDEX('بيانات الحركات'!B:B,MATCH(1302,'بيانات الحركات'!$G:$G,0)),"")</f>
        <v/>
      </c>
      <c r="C1303" s="3" t="str">
        <f>IFERROR(INDEX('بيانات الحركات'!C:C,MATCH(1302,'بيانات الحركات'!$G:$G,0)),"")</f>
        <v/>
      </c>
      <c r="D1303" s="3" t="str">
        <f>IFERROR(INDEX('بيانات الحركات'!D:D,MATCH(1302,'بيانات الحركات'!$G:$G,0)),"")</f>
        <v/>
      </c>
      <c r="E1303" s="21" t="str">
        <f>IF($B1303="إنتاج طبخة","",IFERROR(INDEX('بيانات الحركات'!E:E,MATCH(1302,'بيانات الحركات'!$G:$G,0)),""))</f>
        <v/>
      </c>
      <c r="F1303" s="3" t="str">
        <f>IFERROR(INDEX('بيانات الحركات'!F:F,MATCH(1302,'بيانات الحركات'!$G:$G,0)),"")</f>
        <v/>
      </c>
    </row>
    <row r="1304" spans="1:6" ht="21.95" customHeight="1">
      <c r="A1304" s="8" t="str">
        <f>IFERROR(INDEX('بيانات الحركات'!A:A,MATCH(1303,'بيانات الحركات'!$G:$G,0)),"")</f>
        <v/>
      </c>
      <c r="B1304" s="5" t="str">
        <f>IFERROR(INDEX('بيانات الحركات'!B:B,MATCH(1303,'بيانات الحركات'!$G:$G,0)),"")</f>
        <v/>
      </c>
      <c r="C1304" s="3" t="str">
        <f>IFERROR(INDEX('بيانات الحركات'!C:C,MATCH(1303,'بيانات الحركات'!$G:$G,0)),"")</f>
        <v/>
      </c>
      <c r="D1304" s="3" t="str">
        <f>IFERROR(INDEX('بيانات الحركات'!D:D,MATCH(1303,'بيانات الحركات'!$G:$G,0)),"")</f>
        <v/>
      </c>
      <c r="E1304" s="21" t="str">
        <f>IF($B1304="إنتاج طبخة","",IFERROR(INDEX('بيانات الحركات'!E:E,MATCH(1303,'بيانات الحركات'!$G:$G,0)),""))</f>
        <v/>
      </c>
      <c r="F1304" s="3" t="str">
        <f>IFERROR(INDEX('بيانات الحركات'!F:F,MATCH(1303,'بيانات الحركات'!$G:$G,0)),"")</f>
        <v/>
      </c>
    </row>
    <row r="1305" spans="1:6" ht="21.95" customHeight="1">
      <c r="A1305" s="8" t="str">
        <f>IFERROR(INDEX('بيانات الحركات'!A:A,MATCH(1304,'بيانات الحركات'!$G:$G,0)),"")</f>
        <v/>
      </c>
      <c r="B1305" s="5" t="str">
        <f>IFERROR(INDEX('بيانات الحركات'!B:B,MATCH(1304,'بيانات الحركات'!$G:$G,0)),"")</f>
        <v/>
      </c>
      <c r="C1305" s="3" t="str">
        <f>IFERROR(INDEX('بيانات الحركات'!C:C,MATCH(1304,'بيانات الحركات'!$G:$G,0)),"")</f>
        <v/>
      </c>
      <c r="D1305" s="3" t="str">
        <f>IFERROR(INDEX('بيانات الحركات'!D:D,MATCH(1304,'بيانات الحركات'!$G:$G,0)),"")</f>
        <v/>
      </c>
      <c r="E1305" s="21" t="str">
        <f>IF($B1305="إنتاج طبخة","",IFERROR(INDEX('بيانات الحركات'!E:E,MATCH(1304,'بيانات الحركات'!$G:$G,0)),""))</f>
        <v/>
      </c>
      <c r="F1305" s="3" t="str">
        <f>IFERROR(INDEX('بيانات الحركات'!F:F,MATCH(1304,'بيانات الحركات'!$G:$G,0)),"")</f>
        <v/>
      </c>
    </row>
    <row r="1306" spans="1:6" ht="21.95" customHeight="1">
      <c r="A1306" s="8" t="str">
        <f>IFERROR(INDEX('بيانات الحركات'!A:A,MATCH(1305,'بيانات الحركات'!$G:$G,0)),"")</f>
        <v/>
      </c>
      <c r="B1306" s="5" t="str">
        <f>IFERROR(INDEX('بيانات الحركات'!B:B,MATCH(1305,'بيانات الحركات'!$G:$G,0)),"")</f>
        <v/>
      </c>
      <c r="C1306" s="3" t="str">
        <f>IFERROR(INDEX('بيانات الحركات'!C:C,MATCH(1305,'بيانات الحركات'!$G:$G,0)),"")</f>
        <v/>
      </c>
      <c r="D1306" s="3" t="str">
        <f>IFERROR(INDEX('بيانات الحركات'!D:D,MATCH(1305,'بيانات الحركات'!$G:$G,0)),"")</f>
        <v/>
      </c>
      <c r="E1306" s="21" t="str">
        <f>IF($B1306="إنتاج طبخة","",IFERROR(INDEX('بيانات الحركات'!E:E,MATCH(1305,'بيانات الحركات'!$G:$G,0)),""))</f>
        <v/>
      </c>
      <c r="F1306" s="3" t="str">
        <f>IFERROR(INDEX('بيانات الحركات'!F:F,MATCH(1305,'بيانات الحركات'!$G:$G,0)),"")</f>
        <v/>
      </c>
    </row>
    <row r="1307" spans="1:6" ht="21.95" customHeight="1">
      <c r="A1307" s="8" t="str">
        <f>IFERROR(INDEX('بيانات الحركات'!A:A,MATCH(1306,'بيانات الحركات'!$G:$G,0)),"")</f>
        <v/>
      </c>
      <c r="B1307" s="5" t="str">
        <f>IFERROR(INDEX('بيانات الحركات'!B:B,MATCH(1306,'بيانات الحركات'!$G:$G,0)),"")</f>
        <v/>
      </c>
      <c r="C1307" s="3" t="str">
        <f>IFERROR(INDEX('بيانات الحركات'!C:C,MATCH(1306,'بيانات الحركات'!$G:$G,0)),"")</f>
        <v/>
      </c>
      <c r="D1307" s="3" t="str">
        <f>IFERROR(INDEX('بيانات الحركات'!D:D,MATCH(1306,'بيانات الحركات'!$G:$G,0)),"")</f>
        <v/>
      </c>
      <c r="E1307" s="21" t="str">
        <f>IF($B1307="إنتاج طبخة","",IFERROR(INDEX('بيانات الحركات'!E:E,MATCH(1306,'بيانات الحركات'!$G:$G,0)),""))</f>
        <v/>
      </c>
      <c r="F1307" s="3" t="str">
        <f>IFERROR(INDEX('بيانات الحركات'!F:F,MATCH(1306,'بيانات الحركات'!$G:$G,0)),"")</f>
        <v/>
      </c>
    </row>
    <row r="1308" spans="1:6" ht="21.95" customHeight="1">
      <c r="A1308" s="8" t="str">
        <f>IFERROR(INDEX('بيانات الحركات'!A:A,MATCH(1307,'بيانات الحركات'!$G:$G,0)),"")</f>
        <v/>
      </c>
      <c r="B1308" s="5" t="str">
        <f>IFERROR(INDEX('بيانات الحركات'!B:B,MATCH(1307,'بيانات الحركات'!$G:$G,0)),"")</f>
        <v/>
      </c>
      <c r="C1308" s="3" t="str">
        <f>IFERROR(INDEX('بيانات الحركات'!C:C,MATCH(1307,'بيانات الحركات'!$G:$G,0)),"")</f>
        <v/>
      </c>
      <c r="D1308" s="3" t="str">
        <f>IFERROR(INDEX('بيانات الحركات'!D:D,MATCH(1307,'بيانات الحركات'!$G:$G,0)),"")</f>
        <v/>
      </c>
      <c r="E1308" s="21" t="str">
        <f>IF($B1308="إنتاج طبخة","",IFERROR(INDEX('بيانات الحركات'!E:E,MATCH(1307,'بيانات الحركات'!$G:$G,0)),""))</f>
        <v/>
      </c>
      <c r="F1308" s="3" t="str">
        <f>IFERROR(INDEX('بيانات الحركات'!F:F,MATCH(1307,'بيانات الحركات'!$G:$G,0)),"")</f>
        <v/>
      </c>
    </row>
    <row r="1309" spans="1:6" ht="21.95" customHeight="1">
      <c r="A1309" s="8" t="str">
        <f>IFERROR(INDEX('بيانات الحركات'!A:A,MATCH(1308,'بيانات الحركات'!$G:$G,0)),"")</f>
        <v/>
      </c>
      <c r="B1309" s="5" t="str">
        <f>IFERROR(INDEX('بيانات الحركات'!B:B,MATCH(1308,'بيانات الحركات'!$G:$G,0)),"")</f>
        <v/>
      </c>
      <c r="C1309" s="3" t="str">
        <f>IFERROR(INDEX('بيانات الحركات'!C:C,MATCH(1308,'بيانات الحركات'!$G:$G,0)),"")</f>
        <v/>
      </c>
      <c r="D1309" s="3" t="str">
        <f>IFERROR(INDEX('بيانات الحركات'!D:D,MATCH(1308,'بيانات الحركات'!$G:$G,0)),"")</f>
        <v/>
      </c>
      <c r="E1309" s="21" t="str">
        <f>IF($B1309="إنتاج طبخة","",IFERROR(INDEX('بيانات الحركات'!E:E,MATCH(1308,'بيانات الحركات'!$G:$G,0)),""))</f>
        <v/>
      </c>
      <c r="F1309" s="3" t="str">
        <f>IFERROR(INDEX('بيانات الحركات'!F:F,MATCH(1308,'بيانات الحركات'!$G:$G,0)),"")</f>
        <v/>
      </c>
    </row>
    <row r="1310" spans="1:6" ht="21.95" customHeight="1">
      <c r="A1310" s="8" t="str">
        <f>IFERROR(INDEX('بيانات الحركات'!A:A,MATCH(1309,'بيانات الحركات'!$G:$G,0)),"")</f>
        <v/>
      </c>
      <c r="B1310" s="5" t="str">
        <f>IFERROR(INDEX('بيانات الحركات'!B:B,MATCH(1309,'بيانات الحركات'!$G:$G,0)),"")</f>
        <v/>
      </c>
      <c r="C1310" s="3" t="str">
        <f>IFERROR(INDEX('بيانات الحركات'!C:C,MATCH(1309,'بيانات الحركات'!$G:$G,0)),"")</f>
        <v/>
      </c>
      <c r="D1310" s="3" t="str">
        <f>IFERROR(INDEX('بيانات الحركات'!D:D,MATCH(1309,'بيانات الحركات'!$G:$G,0)),"")</f>
        <v/>
      </c>
      <c r="E1310" s="21" t="str">
        <f>IF($B1310="إنتاج طبخة","",IFERROR(INDEX('بيانات الحركات'!E:E,MATCH(1309,'بيانات الحركات'!$G:$G,0)),""))</f>
        <v/>
      </c>
      <c r="F1310" s="3" t="str">
        <f>IFERROR(INDEX('بيانات الحركات'!F:F,MATCH(1309,'بيانات الحركات'!$G:$G,0)),"")</f>
        <v/>
      </c>
    </row>
    <row r="1311" spans="1:6" ht="21.95" customHeight="1">
      <c r="A1311" s="8" t="str">
        <f>IFERROR(INDEX('بيانات الحركات'!A:A,MATCH(1310,'بيانات الحركات'!$G:$G,0)),"")</f>
        <v/>
      </c>
      <c r="B1311" s="5" t="str">
        <f>IFERROR(INDEX('بيانات الحركات'!B:B,MATCH(1310,'بيانات الحركات'!$G:$G,0)),"")</f>
        <v/>
      </c>
      <c r="C1311" s="3" t="str">
        <f>IFERROR(INDEX('بيانات الحركات'!C:C,MATCH(1310,'بيانات الحركات'!$G:$G,0)),"")</f>
        <v/>
      </c>
      <c r="D1311" s="3" t="str">
        <f>IFERROR(INDEX('بيانات الحركات'!D:D,MATCH(1310,'بيانات الحركات'!$G:$G,0)),"")</f>
        <v/>
      </c>
      <c r="E1311" s="21" t="str">
        <f>IF($B1311="إنتاج طبخة","",IFERROR(INDEX('بيانات الحركات'!E:E,MATCH(1310,'بيانات الحركات'!$G:$G,0)),""))</f>
        <v/>
      </c>
      <c r="F1311" s="3" t="str">
        <f>IFERROR(INDEX('بيانات الحركات'!F:F,MATCH(1310,'بيانات الحركات'!$G:$G,0)),"")</f>
        <v/>
      </c>
    </row>
    <row r="1312" spans="1:6" ht="21.95" customHeight="1">
      <c r="A1312" s="8" t="str">
        <f>IFERROR(INDEX('بيانات الحركات'!A:A,MATCH(1311,'بيانات الحركات'!$G:$G,0)),"")</f>
        <v/>
      </c>
      <c r="B1312" s="5" t="str">
        <f>IFERROR(INDEX('بيانات الحركات'!B:B,MATCH(1311,'بيانات الحركات'!$G:$G,0)),"")</f>
        <v/>
      </c>
      <c r="C1312" s="3" t="str">
        <f>IFERROR(INDEX('بيانات الحركات'!C:C,MATCH(1311,'بيانات الحركات'!$G:$G,0)),"")</f>
        <v/>
      </c>
      <c r="D1312" s="3" t="str">
        <f>IFERROR(INDEX('بيانات الحركات'!D:D,MATCH(1311,'بيانات الحركات'!$G:$G,0)),"")</f>
        <v/>
      </c>
      <c r="E1312" s="21" t="str">
        <f>IF($B1312="إنتاج طبخة","",IFERROR(INDEX('بيانات الحركات'!E:E,MATCH(1311,'بيانات الحركات'!$G:$G,0)),""))</f>
        <v/>
      </c>
      <c r="F1312" s="3" t="str">
        <f>IFERROR(INDEX('بيانات الحركات'!F:F,MATCH(1311,'بيانات الحركات'!$G:$G,0)),"")</f>
        <v/>
      </c>
    </row>
    <row r="1313" spans="1:6" ht="21.95" customHeight="1">
      <c r="A1313" s="8" t="str">
        <f>IFERROR(INDEX('بيانات الحركات'!A:A,MATCH(1312,'بيانات الحركات'!$G:$G,0)),"")</f>
        <v/>
      </c>
      <c r="B1313" s="5" t="str">
        <f>IFERROR(INDEX('بيانات الحركات'!B:B,MATCH(1312,'بيانات الحركات'!$G:$G,0)),"")</f>
        <v/>
      </c>
      <c r="C1313" s="3" t="str">
        <f>IFERROR(INDEX('بيانات الحركات'!C:C,MATCH(1312,'بيانات الحركات'!$G:$G,0)),"")</f>
        <v/>
      </c>
      <c r="D1313" s="3" t="str">
        <f>IFERROR(INDEX('بيانات الحركات'!D:D,MATCH(1312,'بيانات الحركات'!$G:$G,0)),"")</f>
        <v/>
      </c>
      <c r="E1313" s="21" t="str">
        <f>IF($B1313="إنتاج طبخة","",IFERROR(INDEX('بيانات الحركات'!E:E,MATCH(1312,'بيانات الحركات'!$G:$G,0)),""))</f>
        <v/>
      </c>
      <c r="F1313" s="3" t="str">
        <f>IFERROR(INDEX('بيانات الحركات'!F:F,MATCH(1312,'بيانات الحركات'!$G:$G,0)),"")</f>
        <v/>
      </c>
    </row>
    <row r="1314" spans="1:6" ht="21.95" customHeight="1">
      <c r="A1314" s="8" t="str">
        <f>IFERROR(INDEX('بيانات الحركات'!A:A,MATCH(1313,'بيانات الحركات'!$G:$G,0)),"")</f>
        <v/>
      </c>
      <c r="B1314" s="5" t="str">
        <f>IFERROR(INDEX('بيانات الحركات'!B:B,MATCH(1313,'بيانات الحركات'!$G:$G,0)),"")</f>
        <v/>
      </c>
      <c r="C1314" s="3" t="str">
        <f>IFERROR(INDEX('بيانات الحركات'!C:C,MATCH(1313,'بيانات الحركات'!$G:$G,0)),"")</f>
        <v/>
      </c>
      <c r="D1314" s="3" t="str">
        <f>IFERROR(INDEX('بيانات الحركات'!D:D,MATCH(1313,'بيانات الحركات'!$G:$G,0)),"")</f>
        <v/>
      </c>
      <c r="E1314" s="21" t="str">
        <f>IF($B1314="إنتاج طبخة","",IFERROR(INDEX('بيانات الحركات'!E:E,MATCH(1313,'بيانات الحركات'!$G:$G,0)),""))</f>
        <v/>
      </c>
      <c r="F1314" s="3" t="str">
        <f>IFERROR(INDEX('بيانات الحركات'!F:F,MATCH(1313,'بيانات الحركات'!$G:$G,0)),"")</f>
        <v/>
      </c>
    </row>
    <row r="1315" spans="1:6" ht="21.95" customHeight="1">
      <c r="A1315" s="8" t="str">
        <f>IFERROR(INDEX('بيانات الحركات'!A:A,MATCH(1314,'بيانات الحركات'!$G:$G,0)),"")</f>
        <v/>
      </c>
      <c r="B1315" s="5" t="str">
        <f>IFERROR(INDEX('بيانات الحركات'!B:B,MATCH(1314,'بيانات الحركات'!$G:$G,0)),"")</f>
        <v/>
      </c>
      <c r="C1315" s="3" t="str">
        <f>IFERROR(INDEX('بيانات الحركات'!C:C,MATCH(1314,'بيانات الحركات'!$G:$G,0)),"")</f>
        <v/>
      </c>
      <c r="D1315" s="3" t="str">
        <f>IFERROR(INDEX('بيانات الحركات'!D:D,MATCH(1314,'بيانات الحركات'!$G:$G,0)),"")</f>
        <v/>
      </c>
      <c r="E1315" s="21" t="str">
        <f>IF($B1315="إنتاج طبخة","",IFERROR(INDEX('بيانات الحركات'!E:E,MATCH(1314,'بيانات الحركات'!$G:$G,0)),""))</f>
        <v/>
      </c>
      <c r="F1315" s="3" t="str">
        <f>IFERROR(INDEX('بيانات الحركات'!F:F,MATCH(1314,'بيانات الحركات'!$G:$G,0)),"")</f>
        <v/>
      </c>
    </row>
    <row r="1316" spans="1:6" ht="21.95" customHeight="1">
      <c r="A1316" s="8" t="str">
        <f>IFERROR(INDEX('بيانات الحركات'!A:A,MATCH(1315,'بيانات الحركات'!$G:$G,0)),"")</f>
        <v/>
      </c>
      <c r="B1316" s="5" t="str">
        <f>IFERROR(INDEX('بيانات الحركات'!B:B,MATCH(1315,'بيانات الحركات'!$G:$G,0)),"")</f>
        <v/>
      </c>
      <c r="C1316" s="3" t="str">
        <f>IFERROR(INDEX('بيانات الحركات'!C:C,MATCH(1315,'بيانات الحركات'!$G:$G,0)),"")</f>
        <v/>
      </c>
      <c r="D1316" s="3" t="str">
        <f>IFERROR(INDEX('بيانات الحركات'!D:D,MATCH(1315,'بيانات الحركات'!$G:$G,0)),"")</f>
        <v/>
      </c>
      <c r="E1316" s="21" t="str">
        <f>IF($B1316="إنتاج طبخة","",IFERROR(INDEX('بيانات الحركات'!E:E,MATCH(1315,'بيانات الحركات'!$G:$G,0)),""))</f>
        <v/>
      </c>
      <c r="F1316" s="3" t="str">
        <f>IFERROR(INDEX('بيانات الحركات'!F:F,MATCH(1315,'بيانات الحركات'!$G:$G,0)),"")</f>
        <v/>
      </c>
    </row>
    <row r="1317" spans="1:6" ht="21.95" customHeight="1">
      <c r="A1317" s="8" t="str">
        <f>IFERROR(INDEX('بيانات الحركات'!A:A,MATCH(1316,'بيانات الحركات'!$G:$G,0)),"")</f>
        <v/>
      </c>
      <c r="B1317" s="5" t="str">
        <f>IFERROR(INDEX('بيانات الحركات'!B:B,MATCH(1316,'بيانات الحركات'!$G:$G,0)),"")</f>
        <v/>
      </c>
      <c r="C1317" s="3" t="str">
        <f>IFERROR(INDEX('بيانات الحركات'!C:C,MATCH(1316,'بيانات الحركات'!$G:$G,0)),"")</f>
        <v/>
      </c>
      <c r="D1317" s="3" t="str">
        <f>IFERROR(INDEX('بيانات الحركات'!D:D,MATCH(1316,'بيانات الحركات'!$G:$G,0)),"")</f>
        <v/>
      </c>
      <c r="E1317" s="21" t="str">
        <f>IF($B1317="إنتاج طبخة","",IFERROR(INDEX('بيانات الحركات'!E:E,MATCH(1316,'بيانات الحركات'!$G:$G,0)),""))</f>
        <v/>
      </c>
      <c r="F1317" s="3" t="str">
        <f>IFERROR(INDEX('بيانات الحركات'!F:F,MATCH(1316,'بيانات الحركات'!$G:$G,0)),"")</f>
        <v/>
      </c>
    </row>
    <row r="1318" spans="1:6" ht="21.95" customHeight="1">
      <c r="A1318" s="8" t="str">
        <f>IFERROR(INDEX('بيانات الحركات'!A:A,MATCH(1317,'بيانات الحركات'!$G:$G,0)),"")</f>
        <v/>
      </c>
      <c r="B1318" s="5" t="str">
        <f>IFERROR(INDEX('بيانات الحركات'!B:B,MATCH(1317,'بيانات الحركات'!$G:$G,0)),"")</f>
        <v/>
      </c>
      <c r="C1318" s="3" t="str">
        <f>IFERROR(INDEX('بيانات الحركات'!C:C,MATCH(1317,'بيانات الحركات'!$G:$G,0)),"")</f>
        <v/>
      </c>
      <c r="D1318" s="3" t="str">
        <f>IFERROR(INDEX('بيانات الحركات'!D:D,MATCH(1317,'بيانات الحركات'!$G:$G,0)),"")</f>
        <v/>
      </c>
      <c r="E1318" s="21" t="str">
        <f>IF($B1318="إنتاج طبخة","",IFERROR(INDEX('بيانات الحركات'!E:E,MATCH(1317,'بيانات الحركات'!$G:$G,0)),""))</f>
        <v/>
      </c>
      <c r="F1318" s="3" t="str">
        <f>IFERROR(INDEX('بيانات الحركات'!F:F,MATCH(1317,'بيانات الحركات'!$G:$G,0)),"")</f>
        <v/>
      </c>
    </row>
    <row r="1319" spans="1:6" ht="21.95" customHeight="1">
      <c r="A1319" s="8" t="str">
        <f>IFERROR(INDEX('بيانات الحركات'!A:A,MATCH(1318,'بيانات الحركات'!$G:$G,0)),"")</f>
        <v/>
      </c>
      <c r="B1319" s="5" t="str">
        <f>IFERROR(INDEX('بيانات الحركات'!B:B,MATCH(1318,'بيانات الحركات'!$G:$G,0)),"")</f>
        <v/>
      </c>
      <c r="C1319" s="3" t="str">
        <f>IFERROR(INDEX('بيانات الحركات'!C:C,MATCH(1318,'بيانات الحركات'!$G:$G,0)),"")</f>
        <v/>
      </c>
      <c r="D1319" s="3" t="str">
        <f>IFERROR(INDEX('بيانات الحركات'!D:D,MATCH(1318,'بيانات الحركات'!$G:$G,0)),"")</f>
        <v/>
      </c>
      <c r="E1319" s="21" t="str">
        <f>IF($B1319="إنتاج طبخة","",IFERROR(INDEX('بيانات الحركات'!E:E,MATCH(1318,'بيانات الحركات'!$G:$G,0)),""))</f>
        <v/>
      </c>
      <c r="F1319" s="3" t="str">
        <f>IFERROR(INDEX('بيانات الحركات'!F:F,MATCH(1318,'بيانات الحركات'!$G:$G,0)),"")</f>
        <v/>
      </c>
    </row>
    <row r="1320" spans="1:6" ht="21.95" customHeight="1">
      <c r="A1320" s="8" t="str">
        <f>IFERROR(INDEX('بيانات الحركات'!A:A,MATCH(1319,'بيانات الحركات'!$G:$G,0)),"")</f>
        <v/>
      </c>
      <c r="B1320" s="5" t="str">
        <f>IFERROR(INDEX('بيانات الحركات'!B:B,MATCH(1319,'بيانات الحركات'!$G:$G,0)),"")</f>
        <v/>
      </c>
      <c r="C1320" s="3" t="str">
        <f>IFERROR(INDEX('بيانات الحركات'!C:C,MATCH(1319,'بيانات الحركات'!$G:$G,0)),"")</f>
        <v/>
      </c>
      <c r="D1320" s="3" t="str">
        <f>IFERROR(INDEX('بيانات الحركات'!D:D,MATCH(1319,'بيانات الحركات'!$G:$G,0)),"")</f>
        <v/>
      </c>
      <c r="E1320" s="21" t="str">
        <f>IF($B1320="إنتاج طبخة","",IFERROR(INDEX('بيانات الحركات'!E:E,MATCH(1319,'بيانات الحركات'!$G:$G,0)),""))</f>
        <v/>
      </c>
      <c r="F1320" s="3" t="str">
        <f>IFERROR(INDEX('بيانات الحركات'!F:F,MATCH(1319,'بيانات الحركات'!$G:$G,0)),"")</f>
        <v/>
      </c>
    </row>
    <row r="1321" spans="1:6" ht="21.95" customHeight="1">
      <c r="A1321" s="8" t="str">
        <f>IFERROR(INDEX('بيانات الحركات'!A:A,MATCH(1320,'بيانات الحركات'!$G:$G,0)),"")</f>
        <v/>
      </c>
      <c r="B1321" s="5" t="str">
        <f>IFERROR(INDEX('بيانات الحركات'!B:B,MATCH(1320,'بيانات الحركات'!$G:$G,0)),"")</f>
        <v/>
      </c>
      <c r="C1321" s="3" t="str">
        <f>IFERROR(INDEX('بيانات الحركات'!C:C,MATCH(1320,'بيانات الحركات'!$G:$G,0)),"")</f>
        <v/>
      </c>
      <c r="D1321" s="3" t="str">
        <f>IFERROR(INDEX('بيانات الحركات'!D:D,MATCH(1320,'بيانات الحركات'!$G:$G,0)),"")</f>
        <v/>
      </c>
      <c r="E1321" s="21" t="str">
        <f>IF($B1321="إنتاج طبخة","",IFERROR(INDEX('بيانات الحركات'!E:E,MATCH(1320,'بيانات الحركات'!$G:$G,0)),""))</f>
        <v/>
      </c>
      <c r="F1321" s="3" t="str">
        <f>IFERROR(INDEX('بيانات الحركات'!F:F,MATCH(1320,'بيانات الحركات'!$G:$G,0)),"")</f>
        <v/>
      </c>
    </row>
    <row r="1322" spans="1:6" ht="21.95" customHeight="1">
      <c r="A1322" s="8" t="str">
        <f>IFERROR(INDEX('بيانات الحركات'!A:A,MATCH(1321,'بيانات الحركات'!$G:$G,0)),"")</f>
        <v/>
      </c>
      <c r="B1322" s="5" t="str">
        <f>IFERROR(INDEX('بيانات الحركات'!B:B,MATCH(1321,'بيانات الحركات'!$G:$G,0)),"")</f>
        <v/>
      </c>
      <c r="C1322" s="3" t="str">
        <f>IFERROR(INDEX('بيانات الحركات'!C:C,MATCH(1321,'بيانات الحركات'!$G:$G,0)),"")</f>
        <v/>
      </c>
      <c r="D1322" s="3" t="str">
        <f>IFERROR(INDEX('بيانات الحركات'!D:D,MATCH(1321,'بيانات الحركات'!$G:$G,0)),"")</f>
        <v/>
      </c>
      <c r="E1322" s="21" t="str">
        <f>IF($B1322="إنتاج طبخة","",IFERROR(INDEX('بيانات الحركات'!E:E,MATCH(1321,'بيانات الحركات'!$G:$G,0)),""))</f>
        <v/>
      </c>
      <c r="F1322" s="3" t="str">
        <f>IFERROR(INDEX('بيانات الحركات'!F:F,MATCH(1321,'بيانات الحركات'!$G:$G,0)),"")</f>
        <v/>
      </c>
    </row>
    <row r="1323" spans="1:6" ht="21.95" customHeight="1">
      <c r="A1323" s="8" t="str">
        <f>IFERROR(INDEX('بيانات الحركات'!A:A,MATCH(1322,'بيانات الحركات'!$G:$G,0)),"")</f>
        <v/>
      </c>
      <c r="B1323" s="5" t="str">
        <f>IFERROR(INDEX('بيانات الحركات'!B:B,MATCH(1322,'بيانات الحركات'!$G:$G,0)),"")</f>
        <v/>
      </c>
      <c r="C1323" s="3" t="str">
        <f>IFERROR(INDEX('بيانات الحركات'!C:C,MATCH(1322,'بيانات الحركات'!$G:$G,0)),"")</f>
        <v/>
      </c>
      <c r="D1323" s="3" t="str">
        <f>IFERROR(INDEX('بيانات الحركات'!D:D,MATCH(1322,'بيانات الحركات'!$G:$G,0)),"")</f>
        <v/>
      </c>
      <c r="E1323" s="21" t="str">
        <f>IF($B1323="إنتاج طبخة","",IFERROR(INDEX('بيانات الحركات'!E:E,MATCH(1322,'بيانات الحركات'!$G:$G,0)),""))</f>
        <v/>
      </c>
      <c r="F1323" s="3" t="str">
        <f>IFERROR(INDEX('بيانات الحركات'!F:F,MATCH(1322,'بيانات الحركات'!$G:$G,0)),"")</f>
        <v/>
      </c>
    </row>
    <row r="1324" spans="1:6" ht="21.95" customHeight="1">
      <c r="A1324" s="8" t="str">
        <f>IFERROR(INDEX('بيانات الحركات'!A:A,MATCH(1323,'بيانات الحركات'!$G:$G,0)),"")</f>
        <v/>
      </c>
      <c r="B1324" s="5" t="str">
        <f>IFERROR(INDEX('بيانات الحركات'!B:B,MATCH(1323,'بيانات الحركات'!$G:$G,0)),"")</f>
        <v/>
      </c>
      <c r="C1324" s="3" t="str">
        <f>IFERROR(INDEX('بيانات الحركات'!C:C,MATCH(1323,'بيانات الحركات'!$G:$G,0)),"")</f>
        <v/>
      </c>
      <c r="D1324" s="3" t="str">
        <f>IFERROR(INDEX('بيانات الحركات'!D:D,MATCH(1323,'بيانات الحركات'!$G:$G,0)),"")</f>
        <v/>
      </c>
      <c r="E1324" s="21" t="str">
        <f>IF($B1324="إنتاج طبخة","",IFERROR(INDEX('بيانات الحركات'!E:E,MATCH(1323,'بيانات الحركات'!$G:$G,0)),""))</f>
        <v/>
      </c>
      <c r="F1324" s="3" t="str">
        <f>IFERROR(INDEX('بيانات الحركات'!F:F,MATCH(1323,'بيانات الحركات'!$G:$G,0)),"")</f>
        <v/>
      </c>
    </row>
    <row r="1325" spans="1:6" ht="21.95" customHeight="1">
      <c r="A1325" s="8" t="str">
        <f>IFERROR(INDEX('بيانات الحركات'!A:A,MATCH(1324,'بيانات الحركات'!$G:$G,0)),"")</f>
        <v/>
      </c>
      <c r="B1325" s="5" t="str">
        <f>IFERROR(INDEX('بيانات الحركات'!B:B,MATCH(1324,'بيانات الحركات'!$G:$G,0)),"")</f>
        <v/>
      </c>
      <c r="C1325" s="3" t="str">
        <f>IFERROR(INDEX('بيانات الحركات'!C:C,MATCH(1324,'بيانات الحركات'!$G:$G,0)),"")</f>
        <v/>
      </c>
      <c r="D1325" s="3" t="str">
        <f>IFERROR(INDEX('بيانات الحركات'!D:D,MATCH(1324,'بيانات الحركات'!$G:$G,0)),"")</f>
        <v/>
      </c>
      <c r="E1325" s="21" t="str">
        <f>IF($B1325="إنتاج طبخة","",IFERROR(INDEX('بيانات الحركات'!E:E,MATCH(1324,'بيانات الحركات'!$G:$G,0)),""))</f>
        <v/>
      </c>
      <c r="F1325" s="3" t="str">
        <f>IFERROR(INDEX('بيانات الحركات'!F:F,MATCH(1324,'بيانات الحركات'!$G:$G,0)),"")</f>
        <v/>
      </c>
    </row>
    <row r="1326" spans="1:6" ht="21.95" customHeight="1">
      <c r="A1326" s="8" t="str">
        <f>IFERROR(INDEX('بيانات الحركات'!A:A,MATCH(1325,'بيانات الحركات'!$G:$G,0)),"")</f>
        <v/>
      </c>
      <c r="B1326" s="5" t="str">
        <f>IFERROR(INDEX('بيانات الحركات'!B:B,MATCH(1325,'بيانات الحركات'!$G:$G,0)),"")</f>
        <v/>
      </c>
      <c r="C1326" s="3" t="str">
        <f>IFERROR(INDEX('بيانات الحركات'!C:C,MATCH(1325,'بيانات الحركات'!$G:$G,0)),"")</f>
        <v/>
      </c>
      <c r="D1326" s="3" t="str">
        <f>IFERROR(INDEX('بيانات الحركات'!D:D,MATCH(1325,'بيانات الحركات'!$G:$G,0)),"")</f>
        <v/>
      </c>
      <c r="E1326" s="21" t="str">
        <f>IF($B1326="إنتاج طبخة","",IFERROR(INDEX('بيانات الحركات'!E:E,MATCH(1325,'بيانات الحركات'!$G:$G,0)),""))</f>
        <v/>
      </c>
      <c r="F1326" s="3" t="str">
        <f>IFERROR(INDEX('بيانات الحركات'!F:F,MATCH(1325,'بيانات الحركات'!$G:$G,0)),"")</f>
        <v/>
      </c>
    </row>
    <row r="1327" spans="1:6" ht="21.95" customHeight="1">
      <c r="A1327" s="8" t="str">
        <f>IFERROR(INDEX('بيانات الحركات'!A:A,MATCH(1326,'بيانات الحركات'!$G:$G,0)),"")</f>
        <v/>
      </c>
      <c r="B1327" s="5" t="str">
        <f>IFERROR(INDEX('بيانات الحركات'!B:B,MATCH(1326,'بيانات الحركات'!$G:$G,0)),"")</f>
        <v/>
      </c>
      <c r="C1327" s="3" t="str">
        <f>IFERROR(INDEX('بيانات الحركات'!C:C,MATCH(1326,'بيانات الحركات'!$G:$G,0)),"")</f>
        <v/>
      </c>
      <c r="D1327" s="3" t="str">
        <f>IFERROR(INDEX('بيانات الحركات'!D:D,MATCH(1326,'بيانات الحركات'!$G:$G,0)),"")</f>
        <v/>
      </c>
      <c r="E1327" s="21" t="str">
        <f>IF($B1327="إنتاج طبخة","",IFERROR(INDEX('بيانات الحركات'!E:E,MATCH(1326,'بيانات الحركات'!$G:$G,0)),""))</f>
        <v/>
      </c>
      <c r="F1327" s="3" t="str">
        <f>IFERROR(INDEX('بيانات الحركات'!F:F,MATCH(1326,'بيانات الحركات'!$G:$G,0)),"")</f>
        <v/>
      </c>
    </row>
    <row r="1328" spans="1:6" ht="21.95" customHeight="1">
      <c r="A1328" s="8" t="str">
        <f>IFERROR(INDEX('بيانات الحركات'!A:A,MATCH(1327,'بيانات الحركات'!$G:$G,0)),"")</f>
        <v/>
      </c>
      <c r="B1328" s="5" t="str">
        <f>IFERROR(INDEX('بيانات الحركات'!B:B,MATCH(1327,'بيانات الحركات'!$G:$G,0)),"")</f>
        <v/>
      </c>
      <c r="C1328" s="3" t="str">
        <f>IFERROR(INDEX('بيانات الحركات'!C:C,MATCH(1327,'بيانات الحركات'!$G:$G,0)),"")</f>
        <v/>
      </c>
      <c r="D1328" s="3" t="str">
        <f>IFERROR(INDEX('بيانات الحركات'!D:D,MATCH(1327,'بيانات الحركات'!$G:$G,0)),"")</f>
        <v/>
      </c>
      <c r="E1328" s="21" t="str">
        <f>IF($B1328="إنتاج طبخة","",IFERROR(INDEX('بيانات الحركات'!E:E,MATCH(1327,'بيانات الحركات'!$G:$G,0)),""))</f>
        <v/>
      </c>
      <c r="F1328" s="3" t="str">
        <f>IFERROR(INDEX('بيانات الحركات'!F:F,MATCH(1327,'بيانات الحركات'!$G:$G,0)),"")</f>
        <v/>
      </c>
    </row>
    <row r="1329" spans="1:6" ht="21.95" customHeight="1">
      <c r="A1329" s="8" t="str">
        <f>IFERROR(INDEX('بيانات الحركات'!A:A,MATCH(1328,'بيانات الحركات'!$G:$G,0)),"")</f>
        <v/>
      </c>
      <c r="B1329" s="5" t="str">
        <f>IFERROR(INDEX('بيانات الحركات'!B:B,MATCH(1328,'بيانات الحركات'!$G:$G,0)),"")</f>
        <v/>
      </c>
      <c r="C1329" s="3" t="str">
        <f>IFERROR(INDEX('بيانات الحركات'!C:C,MATCH(1328,'بيانات الحركات'!$G:$G,0)),"")</f>
        <v/>
      </c>
      <c r="D1329" s="3" t="str">
        <f>IFERROR(INDEX('بيانات الحركات'!D:D,MATCH(1328,'بيانات الحركات'!$G:$G,0)),"")</f>
        <v/>
      </c>
      <c r="E1329" s="21" t="str">
        <f>IF($B1329="إنتاج طبخة","",IFERROR(INDEX('بيانات الحركات'!E:E,MATCH(1328,'بيانات الحركات'!$G:$G,0)),""))</f>
        <v/>
      </c>
      <c r="F1329" s="3" t="str">
        <f>IFERROR(INDEX('بيانات الحركات'!F:F,MATCH(1328,'بيانات الحركات'!$G:$G,0)),"")</f>
        <v/>
      </c>
    </row>
    <row r="1330" spans="1:6" ht="21.95" customHeight="1">
      <c r="A1330" s="8" t="str">
        <f>IFERROR(INDEX('بيانات الحركات'!A:A,MATCH(1329,'بيانات الحركات'!$G:$G,0)),"")</f>
        <v/>
      </c>
      <c r="B1330" s="5" t="str">
        <f>IFERROR(INDEX('بيانات الحركات'!B:B,MATCH(1329,'بيانات الحركات'!$G:$G,0)),"")</f>
        <v/>
      </c>
      <c r="C1330" s="3" t="str">
        <f>IFERROR(INDEX('بيانات الحركات'!C:C,MATCH(1329,'بيانات الحركات'!$G:$G,0)),"")</f>
        <v/>
      </c>
      <c r="D1330" s="3" t="str">
        <f>IFERROR(INDEX('بيانات الحركات'!D:D,MATCH(1329,'بيانات الحركات'!$G:$G,0)),"")</f>
        <v/>
      </c>
      <c r="E1330" s="21" t="str">
        <f>IF($B1330="إنتاج طبخة","",IFERROR(INDEX('بيانات الحركات'!E:E,MATCH(1329,'بيانات الحركات'!$G:$G,0)),""))</f>
        <v/>
      </c>
      <c r="F1330" s="3" t="str">
        <f>IFERROR(INDEX('بيانات الحركات'!F:F,MATCH(1329,'بيانات الحركات'!$G:$G,0)),"")</f>
        <v/>
      </c>
    </row>
    <row r="1331" spans="1:6" ht="21.95" customHeight="1">
      <c r="A1331" s="8" t="str">
        <f>IFERROR(INDEX('بيانات الحركات'!A:A,MATCH(1330,'بيانات الحركات'!$G:$G,0)),"")</f>
        <v/>
      </c>
      <c r="B1331" s="5" t="str">
        <f>IFERROR(INDEX('بيانات الحركات'!B:B,MATCH(1330,'بيانات الحركات'!$G:$G,0)),"")</f>
        <v/>
      </c>
      <c r="C1331" s="3" t="str">
        <f>IFERROR(INDEX('بيانات الحركات'!C:C,MATCH(1330,'بيانات الحركات'!$G:$G,0)),"")</f>
        <v/>
      </c>
      <c r="D1331" s="3" t="str">
        <f>IFERROR(INDEX('بيانات الحركات'!D:D,MATCH(1330,'بيانات الحركات'!$G:$G,0)),"")</f>
        <v/>
      </c>
      <c r="E1331" s="21" t="str">
        <f>IF($B1331="إنتاج طبخة","",IFERROR(INDEX('بيانات الحركات'!E:E,MATCH(1330,'بيانات الحركات'!$G:$G,0)),""))</f>
        <v/>
      </c>
      <c r="F1331" s="3" t="str">
        <f>IFERROR(INDEX('بيانات الحركات'!F:F,MATCH(1330,'بيانات الحركات'!$G:$G,0)),"")</f>
        <v/>
      </c>
    </row>
    <row r="1332" spans="1:6" ht="21.95" customHeight="1">
      <c r="A1332" s="8" t="str">
        <f>IFERROR(INDEX('بيانات الحركات'!A:A,MATCH(1331,'بيانات الحركات'!$G:$G,0)),"")</f>
        <v/>
      </c>
      <c r="B1332" s="5" t="str">
        <f>IFERROR(INDEX('بيانات الحركات'!B:B,MATCH(1331,'بيانات الحركات'!$G:$G,0)),"")</f>
        <v/>
      </c>
      <c r="C1332" s="3" t="str">
        <f>IFERROR(INDEX('بيانات الحركات'!C:C,MATCH(1331,'بيانات الحركات'!$G:$G,0)),"")</f>
        <v/>
      </c>
      <c r="D1332" s="3" t="str">
        <f>IFERROR(INDEX('بيانات الحركات'!D:D,MATCH(1331,'بيانات الحركات'!$G:$G,0)),"")</f>
        <v/>
      </c>
      <c r="E1332" s="21" t="str">
        <f>IF($B1332="إنتاج طبخة","",IFERROR(INDEX('بيانات الحركات'!E:E,MATCH(1331,'بيانات الحركات'!$G:$G,0)),""))</f>
        <v/>
      </c>
      <c r="F1332" s="3" t="str">
        <f>IFERROR(INDEX('بيانات الحركات'!F:F,MATCH(1331,'بيانات الحركات'!$G:$G,0)),"")</f>
        <v/>
      </c>
    </row>
    <row r="1333" spans="1:6" ht="21.95" customHeight="1">
      <c r="A1333" s="8" t="str">
        <f>IFERROR(INDEX('بيانات الحركات'!A:A,MATCH(1332,'بيانات الحركات'!$G:$G,0)),"")</f>
        <v/>
      </c>
      <c r="B1333" s="5" t="str">
        <f>IFERROR(INDEX('بيانات الحركات'!B:B,MATCH(1332,'بيانات الحركات'!$G:$G,0)),"")</f>
        <v/>
      </c>
      <c r="C1333" s="3" t="str">
        <f>IFERROR(INDEX('بيانات الحركات'!C:C,MATCH(1332,'بيانات الحركات'!$G:$G,0)),"")</f>
        <v/>
      </c>
      <c r="D1333" s="3" t="str">
        <f>IFERROR(INDEX('بيانات الحركات'!D:D,MATCH(1332,'بيانات الحركات'!$G:$G,0)),"")</f>
        <v/>
      </c>
      <c r="E1333" s="21" t="str">
        <f>IF($B1333="إنتاج طبخة","",IFERROR(INDEX('بيانات الحركات'!E:E,MATCH(1332,'بيانات الحركات'!$G:$G,0)),""))</f>
        <v/>
      </c>
      <c r="F1333" s="3" t="str">
        <f>IFERROR(INDEX('بيانات الحركات'!F:F,MATCH(1332,'بيانات الحركات'!$G:$G,0)),"")</f>
        <v/>
      </c>
    </row>
    <row r="1334" spans="1:6" ht="21.95" customHeight="1">
      <c r="A1334" s="8" t="str">
        <f>IFERROR(INDEX('بيانات الحركات'!A:A,MATCH(1333,'بيانات الحركات'!$G:$G,0)),"")</f>
        <v/>
      </c>
      <c r="B1334" s="5" t="str">
        <f>IFERROR(INDEX('بيانات الحركات'!B:B,MATCH(1333,'بيانات الحركات'!$G:$G,0)),"")</f>
        <v/>
      </c>
      <c r="C1334" s="3" t="str">
        <f>IFERROR(INDEX('بيانات الحركات'!C:C,MATCH(1333,'بيانات الحركات'!$G:$G,0)),"")</f>
        <v/>
      </c>
      <c r="D1334" s="3" t="str">
        <f>IFERROR(INDEX('بيانات الحركات'!D:D,MATCH(1333,'بيانات الحركات'!$G:$G,0)),"")</f>
        <v/>
      </c>
      <c r="E1334" s="21" t="str">
        <f>IF($B1334="إنتاج طبخة","",IFERROR(INDEX('بيانات الحركات'!E:E,MATCH(1333,'بيانات الحركات'!$G:$G,0)),""))</f>
        <v/>
      </c>
      <c r="F1334" s="3" t="str">
        <f>IFERROR(INDEX('بيانات الحركات'!F:F,MATCH(1333,'بيانات الحركات'!$G:$G,0)),"")</f>
        <v/>
      </c>
    </row>
    <row r="1335" spans="1:6" ht="21.95" customHeight="1">
      <c r="A1335" s="8" t="str">
        <f>IFERROR(INDEX('بيانات الحركات'!A:A,MATCH(1334,'بيانات الحركات'!$G:$G,0)),"")</f>
        <v/>
      </c>
      <c r="B1335" s="5" t="str">
        <f>IFERROR(INDEX('بيانات الحركات'!B:B,MATCH(1334,'بيانات الحركات'!$G:$G,0)),"")</f>
        <v/>
      </c>
      <c r="C1335" s="3" t="str">
        <f>IFERROR(INDEX('بيانات الحركات'!C:C,MATCH(1334,'بيانات الحركات'!$G:$G,0)),"")</f>
        <v/>
      </c>
      <c r="D1335" s="3" t="str">
        <f>IFERROR(INDEX('بيانات الحركات'!D:D,MATCH(1334,'بيانات الحركات'!$G:$G,0)),"")</f>
        <v/>
      </c>
      <c r="E1335" s="21" t="str">
        <f>IF($B1335="إنتاج طبخة","",IFERROR(INDEX('بيانات الحركات'!E:E,MATCH(1334,'بيانات الحركات'!$G:$G,0)),""))</f>
        <v/>
      </c>
      <c r="F1335" s="3" t="str">
        <f>IFERROR(INDEX('بيانات الحركات'!F:F,MATCH(1334,'بيانات الحركات'!$G:$G,0)),"")</f>
        <v/>
      </c>
    </row>
    <row r="1336" spans="1:6" ht="21.95" customHeight="1">
      <c r="A1336" s="8" t="str">
        <f>IFERROR(INDEX('بيانات الحركات'!A:A,MATCH(1335,'بيانات الحركات'!$G:$G,0)),"")</f>
        <v/>
      </c>
      <c r="B1336" s="5" t="str">
        <f>IFERROR(INDEX('بيانات الحركات'!B:B,MATCH(1335,'بيانات الحركات'!$G:$G,0)),"")</f>
        <v/>
      </c>
      <c r="C1336" s="3" t="str">
        <f>IFERROR(INDEX('بيانات الحركات'!C:C,MATCH(1335,'بيانات الحركات'!$G:$G,0)),"")</f>
        <v/>
      </c>
      <c r="D1336" s="3" t="str">
        <f>IFERROR(INDEX('بيانات الحركات'!D:D,MATCH(1335,'بيانات الحركات'!$G:$G,0)),"")</f>
        <v/>
      </c>
      <c r="E1336" s="21" t="str">
        <f>IF($B1336="إنتاج طبخة","",IFERROR(INDEX('بيانات الحركات'!E:E,MATCH(1335,'بيانات الحركات'!$G:$G,0)),""))</f>
        <v/>
      </c>
      <c r="F1336" s="3" t="str">
        <f>IFERROR(INDEX('بيانات الحركات'!F:F,MATCH(1335,'بيانات الحركات'!$G:$G,0)),"")</f>
        <v/>
      </c>
    </row>
    <row r="1337" spans="1:6" ht="21.95" customHeight="1">
      <c r="A1337" s="8" t="str">
        <f>IFERROR(INDEX('بيانات الحركات'!A:A,MATCH(1336,'بيانات الحركات'!$G:$G,0)),"")</f>
        <v/>
      </c>
      <c r="B1337" s="5" t="str">
        <f>IFERROR(INDEX('بيانات الحركات'!B:B,MATCH(1336,'بيانات الحركات'!$G:$G,0)),"")</f>
        <v/>
      </c>
      <c r="C1337" s="3" t="str">
        <f>IFERROR(INDEX('بيانات الحركات'!C:C,MATCH(1336,'بيانات الحركات'!$G:$G,0)),"")</f>
        <v/>
      </c>
      <c r="D1337" s="3" t="str">
        <f>IFERROR(INDEX('بيانات الحركات'!D:D,MATCH(1336,'بيانات الحركات'!$G:$G,0)),"")</f>
        <v/>
      </c>
      <c r="E1337" s="21" t="str">
        <f>IF($B1337="إنتاج طبخة","",IFERROR(INDEX('بيانات الحركات'!E:E,MATCH(1336,'بيانات الحركات'!$G:$G,0)),""))</f>
        <v/>
      </c>
      <c r="F1337" s="3" t="str">
        <f>IFERROR(INDEX('بيانات الحركات'!F:F,MATCH(1336,'بيانات الحركات'!$G:$G,0)),"")</f>
        <v/>
      </c>
    </row>
    <row r="1338" spans="1:6" ht="21.95" customHeight="1">
      <c r="A1338" s="8" t="str">
        <f>IFERROR(INDEX('بيانات الحركات'!A:A,MATCH(1337,'بيانات الحركات'!$G:$G,0)),"")</f>
        <v/>
      </c>
      <c r="B1338" s="5" t="str">
        <f>IFERROR(INDEX('بيانات الحركات'!B:B,MATCH(1337,'بيانات الحركات'!$G:$G,0)),"")</f>
        <v/>
      </c>
      <c r="C1338" s="3" t="str">
        <f>IFERROR(INDEX('بيانات الحركات'!C:C,MATCH(1337,'بيانات الحركات'!$G:$G,0)),"")</f>
        <v/>
      </c>
      <c r="D1338" s="3" t="str">
        <f>IFERROR(INDEX('بيانات الحركات'!D:D,MATCH(1337,'بيانات الحركات'!$G:$G,0)),"")</f>
        <v/>
      </c>
      <c r="E1338" s="21" t="str">
        <f>IF($B1338="إنتاج طبخة","",IFERROR(INDEX('بيانات الحركات'!E:E,MATCH(1337,'بيانات الحركات'!$G:$G,0)),""))</f>
        <v/>
      </c>
      <c r="F1338" s="3" t="str">
        <f>IFERROR(INDEX('بيانات الحركات'!F:F,MATCH(1337,'بيانات الحركات'!$G:$G,0)),"")</f>
        <v/>
      </c>
    </row>
    <row r="1339" spans="1:6" ht="21.95" customHeight="1">
      <c r="A1339" s="8" t="str">
        <f>IFERROR(INDEX('بيانات الحركات'!A:A,MATCH(1338,'بيانات الحركات'!$G:$G,0)),"")</f>
        <v/>
      </c>
      <c r="B1339" s="5" t="str">
        <f>IFERROR(INDEX('بيانات الحركات'!B:B,MATCH(1338,'بيانات الحركات'!$G:$G,0)),"")</f>
        <v/>
      </c>
      <c r="C1339" s="3" t="str">
        <f>IFERROR(INDEX('بيانات الحركات'!C:C,MATCH(1338,'بيانات الحركات'!$G:$G,0)),"")</f>
        <v/>
      </c>
      <c r="D1339" s="3" t="str">
        <f>IFERROR(INDEX('بيانات الحركات'!D:D,MATCH(1338,'بيانات الحركات'!$G:$G,0)),"")</f>
        <v/>
      </c>
      <c r="E1339" s="21" t="str">
        <f>IF($B1339="إنتاج طبخة","",IFERROR(INDEX('بيانات الحركات'!E:E,MATCH(1338,'بيانات الحركات'!$G:$G,0)),""))</f>
        <v/>
      </c>
      <c r="F1339" s="3" t="str">
        <f>IFERROR(INDEX('بيانات الحركات'!F:F,MATCH(1338,'بيانات الحركات'!$G:$G,0)),"")</f>
        <v/>
      </c>
    </row>
    <row r="1340" spans="1:6" ht="21.95" customHeight="1">
      <c r="A1340" s="8" t="str">
        <f>IFERROR(INDEX('بيانات الحركات'!A:A,MATCH(1339,'بيانات الحركات'!$G:$G,0)),"")</f>
        <v/>
      </c>
      <c r="B1340" s="5" t="str">
        <f>IFERROR(INDEX('بيانات الحركات'!B:B,MATCH(1339,'بيانات الحركات'!$G:$G,0)),"")</f>
        <v/>
      </c>
      <c r="C1340" s="3" t="str">
        <f>IFERROR(INDEX('بيانات الحركات'!C:C,MATCH(1339,'بيانات الحركات'!$G:$G,0)),"")</f>
        <v/>
      </c>
      <c r="D1340" s="3" t="str">
        <f>IFERROR(INDEX('بيانات الحركات'!D:D,MATCH(1339,'بيانات الحركات'!$G:$G,0)),"")</f>
        <v/>
      </c>
      <c r="E1340" s="21" t="str">
        <f>IF($B1340="إنتاج طبخة","",IFERROR(INDEX('بيانات الحركات'!E:E,MATCH(1339,'بيانات الحركات'!$G:$G,0)),""))</f>
        <v/>
      </c>
      <c r="F1340" s="3" t="str">
        <f>IFERROR(INDEX('بيانات الحركات'!F:F,MATCH(1339,'بيانات الحركات'!$G:$G,0)),"")</f>
        <v/>
      </c>
    </row>
    <row r="1341" spans="1:6" ht="21.95" customHeight="1">
      <c r="A1341" s="8" t="str">
        <f>IFERROR(INDEX('بيانات الحركات'!A:A,MATCH(1340,'بيانات الحركات'!$G:$G,0)),"")</f>
        <v/>
      </c>
      <c r="B1341" s="5" t="str">
        <f>IFERROR(INDEX('بيانات الحركات'!B:B,MATCH(1340,'بيانات الحركات'!$G:$G,0)),"")</f>
        <v/>
      </c>
      <c r="C1341" s="3" t="str">
        <f>IFERROR(INDEX('بيانات الحركات'!C:C,MATCH(1340,'بيانات الحركات'!$G:$G,0)),"")</f>
        <v/>
      </c>
      <c r="D1341" s="3" t="str">
        <f>IFERROR(INDEX('بيانات الحركات'!D:D,MATCH(1340,'بيانات الحركات'!$G:$G,0)),"")</f>
        <v/>
      </c>
      <c r="E1341" s="21" t="str">
        <f>IF($B1341="إنتاج طبخة","",IFERROR(INDEX('بيانات الحركات'!E:E,MATCH(1340,'بيانات الحركات'!$G:$G,0)),""))</f>
        <v/>
      </c>
      <c r="F1341" s="3" t="str">
        <f>IFERROR(INDEX('بيانات الحركات'!F:F,MATCH(1340,'بيانات الحركات'!$G:$G,0)),"")</f>
        <v/>
      </c>
    </row>
    <row r="1342" spans="1:6" ht="21.95" customHeight="1">
      <c r="A1342" s="8" t="str">
        <f>IFERROR(INDEX('بيانات الحركات'!A:A,MATCH(1341,'بيانات الحركات'!$G:$G,0)),"")</f>
        <v/>
      </c>
      <c r="B1342" s="5" t="str">
        <f>IFERROR(INDEX('بيانات الحركات'!B:B,MATCH(1341,'بيانات الحركات'!$G:$G,0)),"")</f>
        <v/>
      </c>
      <c r="C1342" s="3" t="str">
        <f>IFERROR(INDEX('بيانات الحركات'!C:C,MATCH(1341,'بيانات الحركات'!$G:$G,0)),"")</f>
        <v/>
      </c>
      <c r="D1342" s="3" t="str">
        <f>IFERROR(INDEX('بيانات الحركات'!D:D,MATCH(1341,'بيانات الحركات'!$G:$G,0)),"")</f>
        <v/>
      </c>
      <c r="E1342" s="21" t="str">
        <f>IF($B1342="إنتاج طبخة","",IFERROR(INDEX('بيانات الحركات'!E:E,MATCH(1341,'بيانات الحركات'!$G:$G,0)),""))</f>
        <v/>
      </c>
      <c r="F1342" s="3" t="str">
        <f>IFERROR(INDEX('بيانات الحركات'!F:F,MATCH(1341,'بيانات الحركات'!$G:$G,0)),"")</f>
        <v/>
      </c>
    </row>
    <row r="1343" spans="1:6" ht="21.95" customHeight="1">
      <c r="A1343" s="8" t="str">
        <f>IFERROR(INDEX('بيانات الحركات'!A:A,MATCH(1342,'بيانات الحركات'!$G:$G,0)),"")</f>
        <v/>
      </c>
      <c r="B1343" s="5" t="str">
        <f>IFERROR(INDEX('بيانات الحركات'!B:B,MATCH(1342,'بيانات الحركات'!$G:$G,0)),"")</f>
        <v/>
      </c>
      <c r="C1343" s="3" t="str">
        <f>IFERROR(INDEX('بيانات الحركات'!C:C,MATCH(1342,'بيانات الحركات'!$G:$G,0)),"")</f>
        <v/>
      </c>
      <c r="D1343" s="3" t="str">
        <f>IFERROR(INDEX('بيانات الحركات'!D:D,MATCH(1342,'بيانات الحركات'!$G:$G,0)),"")</f>
        <v/>
      </c>
      <c r="E1343" s="21" t="str">
        <f>IF($B1343="إنتاج طبخة","",IFERROR(INDEX('بيانات الحركات'!E:E,MATCH(1342,'بيانات الحركات'!$G:$G,0)),""))</f>
        <v/>
      </c>
      <c r="F1343" s="3" t="str">
        <f>IFERROR(INDEX('بيانات الحركات'!F:F,MATCH(1342,'بيانات الحركات'!$G:$G,0)),"")</f>
        <v/>
      </c>
    </row>
    <row r="1344" spans="1:6" ht="21.95" customHeight="1">
      <c r="A1344" s="8" t="str">
        <f>IFERROR(INDEX('بيانات الحركات'!A:A,MATCH(1343,'بيانات الحركات'!$G:$G,0)),"")</f>
        <v/>
      </c>
      <c r="B1344" s="5" t="str">
        <f>IFERROR(INDEX('بيانات الحركات'!B:B,MATCH(1343,'بيانات الحركات'!$G:$G,0)),"")</f>
        <v/>
      </c>
      <c r="C1344" s="3" t="str">
        <f>IFERROR(INDEX('بيانات الحركات'!C:C,MATCH(1343,'بيانات الحركات'!$G:$G,0)),"")</f>
        <v/>
      </c>
      <c r="D1344" s="3" t="str">
        <f>IFERROR(INDEX('بيانات الحركات'!D:D,MATCH(1343,'بيانات الحركات'!$G:$G,0)),"")</f>
        <v/>
      </c>
      <c r="E1344" s="21" t="str">
        <f>IF($B1344="إنتاج طبخة","",IFERROR(INDEX('بيانات الحركات'!E:E,MATCH(1343,'بيانات الحركات'!$G:$G,0)),""))</f>
        <v/>
      </c>
      <c r="F1344" s="3" t="str">
        <f>IFERROR(INDEX('بيانات الحركات'!F:F,MATCH(1343,'بيانات الحركات'!$G:$G,0)),"")</f>
        <v/>
      </c>
    </row>
    <row r="1345" spans="1:6" ht="21.95" customHeight="1">
      <c r="A1345" s="8" t="str">
        <f>IFERROR(INDEX('بيانات الحركات'!A:A,MATCH(1344,'بيانات الحركات'!$G:$G,0)),"")</f>
        <v/>
      </c>
      <c r="B1345" s="5" t="str">
        <f>IFERROR(INDEX('بيانات الحركات'!B:B,MATCH(1344,'بيانات الحركات'!$G:$G,0)),"")</f>
        <v/>
      </c>
      <c r="C1345" s="3" t="str">
        <f>IFERROR(INDEX('بيانات الحركات'!C:C,MATCH(1344,'بيانات الحركات'!$G:$G,0)),"")</f>
        <v/>
      </c>
      <c r="D1345" s="3" t="str">
        <f>IFERROR(INDEX('بيانات الحركات'!D:D,MATCH(1344,'بيانات الحركات'!$G:$G,0)),"")</f>
        <v/>
      </c>
      <c r="E1345" s="21" t="str">
        <f>IF($B1345="إنتاج طبخة","",IFERROR(INDEX('بيانات الحركات'!E:E,MATCH(1344,'بيانات الحركات'!$G:$G,0)),""))</f>
        <v/>
      </c>
      <c r="F1345" s="3" t="str">
        <f>IFERROR(INDEX('بيانات الحركات'!F:F,MATCH(1344,'بيانات الحركات'!$G:$G,0)),"")</f>
        <v/>
      </c>
    </row>
    <row r="1346" spans="1:6" ht="21.95" customHeight="1">
      <c r="A1346" s="8" t="str">
        <f>IFERROR(INDEX('بيانات الحركات'!A:A,MATCH(1345,'بيانات الحركات'!$G:$G,0)),"")</f>
        <v/>
      </c>
      <c r="B1346" s="5" t="str">
        <f>IFERROR(INDEX('بيانات الحركات'!B:B,MATCH(1345,'بيانات الحركات'!$G:$G,0)),"")</f>
        <v/>
      </c>
      <c r="C1346" s="3" t="str">
        <f>IFERROR(INDEX('بيانات الحركات'!C:C,MATCH(1345,'بيانات الحركات'!$G:$G,0)),"")</f>
        <v/>
      </c>
      <c r="D1346" s="3" t="str">
        <f>IFERROR(INDEX('بيانات الحركات'!D:D,MATCH(1345,'بيانات الحركات'!$G:$G,0)),"")</f>
        <v/>
      </c>
      <c r="E1346" s="21" t="str">
        <f>IF($B1346="إنتاج طبخة","",IFERROR(INDEX('بيانات الحركات'!E:E,MATCH(1345,'بيانات الحركات'!$G:$G,0)),""))</f>
        <v/>
      </c>
      <c r="F1346" s="3" t="str">
        <f>IFERROR(INDEX('بيانات الحركات'!F:F,MATCH(1345,'بيانات الحركات'!$G:$G,0)),"")</f>
        <v/>
      </c>
    </row>
    <row r="1347" spans="1:6" ht="21.95" customHeight="1">
      <c r="A1347" s="8" t="str">
        <f>IFERROR(INDEX('بيانات الحركات'!A:A,MATCH(1346,'بيانات الحركات'!$G:$G,0)),"")</f>
        <v/>
      </c>
      <c r="B1347" s="5" t="str">
        <f>IFERROR(INDEX('بيانات الحركات'!B:B,MATCH(1346,'بيانات الحركات'!$G:$G,0)),"")</f>
        <v/>
      </c>
      <c r="C1347" s="3" t="str">
        <f>IFERROR(INDEX('بيانات الحركات'!C:C,MATCH(1346,'بيانات الحركات'!$G:$G,0)),"")</f>
        <v/>
      </c>
      <c r="D1347" s="3" t="str">
        <f>IFERROR(INDEX('بيانات الحركات'!D:D,MATCH(1346,'بيانات الحركات'!$G:$G,0)),"")</f>
        <v/>
      </c>
      <c r="E1347" s="21" t="str">
        <f>IF($B1347="إنتاج طبخة","",IFERROR(INDEX('بيانات الحركات'!E:E,MATCH(1346,'بيانات الحركات'!$G:$G,0)),""))</f>
        <v/>
      </c>
      <c r="F1347" s="3" t="str">
        <f>IFERROR(INDEX('بيانات الحركات'!F:F,MATCH(1346,'بيانات الحركات'!$G:$G,0)),"")</f>
        <v/>
      </c>
    </row>
    <row r="1348" spans="1:6" ht="21.95" customHeight="1">
      <c r="A1348" s="8" t="str">
        <f>IFERROR(INDEX('بيانات الحركات'!A:A,MATCH(1347,'بيانات الحركات'!$G:$G,0)),"")</f>
        <v/>
      </c>
      <c r="B1348" s="5" t="str">
        <f>IFERROR(INDEX('بيانات الحركات'!B:B,MATCH(1347,'بيانات الحركات'!$G:$G,0)),"")</f>
        <v/>
      </c>
      <c r="C1348" s="3" t="str">
        <f>IFERROR(INDEX('بيانات الحركات'!C:C,MATCH(1347,'بيانات الحركات'!$G:$G,0)),"")</f>
        <v/>
      </c>
      <c r="D1348" s="3" t="str">
        <f>IFERROR(INDEX('بيانات الحركات'!D:D,MATCH(1347,'بيانات الحركات'!$G:$G,0)),"")</f>
        <v/>
      </c>
      <c r="E1348" s="21" t="str">
        <f>IF($B1348="إنتاج طبخة","",IFERROR(INDEX('بيانات الحركات'!E:E,MATCH(1347,'بيانات الحركات'!$G:$G,0)),""))</f>
        <v/>
      </c>
      <c r="F1348" s="3" t="str">
        <f>IFERROR(INDEX('بيانات الحركات'!F:F,MATCH(1347,'بيانات الحركات'!$G:$G,0)),"")</f>
        <v/>
      </c>
    </row>
    <row r="1349" spans="1:6" ht="21.95" customHeight="1">
      <c r="A1349" s="8" t="str">
        <f>IFERROR(INDEX('بيانات الحركات'!A:A,MATCH(1348,'بيانات الحركات'!$G:$G,0)),"")</f>
        <v/>
      </c>
      <c r="B1349" s="5" t="str">
        <f>IFERROR(INDEX('بيانات الحركات'!B:B,MATCH(1348,'بيانات الحركات'!$G:$G,0)),"")</f>
        <v/>
      </c>
      <c r="C1349" s="3" t="str">
        <f>IFERROR(INDEX('بيانات الحركات'!C:C,MATCH(1348,'بيانات الحركات'!$G:$G,0)),"")</f>
        <v/>
      </c>
      <c r="D1349" s="3" t="str">
        <f>IFERROR(INDEX('بيانات الحركات'!D:D,MATCH(1348,'بيانات الحركات'!$G:$G,0)),"")</f>
        <v/>
      </c>
      <c r="E1349" s="21" t="str">
        <f>IF($B1349="إنتاج طبخة","",IFERROR(INDEX('بيانات الحركات'!E:E,MATCH(1348,'بيانات الحركات'!$G:$G,0)),""))</f>
        <v/>
      </c>
      <c r="F1349" s="3" t="str">
        <f>IFERROR(INDEX('بيانات الحركات'!F:F,MATCH(1348,'بيانات الحركات'!$G:$G,0)),"")</f>
        <v/>
      </c>
    </row>
    <row r="1350" spans="1:6" ht="21.95" customHeight="1">
      <c r="A1350" s="8" t="str">
        <f>IFERROR(INDEX('بيانات الحركات'!A:A,MATCH(1349,'بيانات الحركات'!$G:$G,0)),"")</f>
        <v/>
      </c>
      <c r="B1350" s="5" t="str">
        <f>IFERROR(INDEX('بيانات الحركات'!B:B,MATCH(1349,'بيانات الحركات'!$G:$G,0)),"")</f>
        <v/>
      </c>
      <c r="C1350" s="3" t="str">
        <f>IFERROR(INDEX('بيانات الحركات'!C:C,MATCH(1349,'بيانات الحركات'!$G:$G,0)),"")</f>
        <v/>
      </c>
      <c r="D1350" s="3" t="str">
        <f>IFERROR(INDEX('بيانات الحركات'!D:D,MATCH(1349,'بيانات الحركات'!$G:$G,0)),"")</f>
        <v/>
      </c>
      <c r="E1350" s="21" t="str">
        <f>IF($B1350="إنتاج طبخة","",IFERROR(INDEX('بيانات الحركات'!E:E,MATCH(1349,'بيانات الحركات'!$G:$G,0)),""))</f>
        <v/>
      </c>
      <c r="F1350" s="3" t="str">
        <f>IFERROR(INDEX('بيانات الحركات'!F:F,MATCH(1349,'بيانات الحركات'!$G:$G,0)),"")</f>
        <v/>
      </c>
    </row>
    <row r="1351" spans="1:6" ht="21.95" customHeight="1">
      <c r="A1351" s="8" t="str">
        <f>IFERROR(INDEX('بيانات الحركات'!A:A,MATCH(1350,'بيانات الحركات'!$G:$G,0)),"")</f>
        <v/>
      </c>
      <c r="B1351" s="5" t="str">
        <f>IFERROR(INDEX('بيانات الحركات'!B:B,MATCH(1350,'بيانات الحركات'!$G:$G,0)),"")</f>
        <v/>
      </c>
      <c r="C1351" s="3" t="str">
        <f>IFERROR(INDEX('بيانات الحركات'!C:C,MATCH(1350,'بيانات الحركات'!$G:$G,0)),"")</f>
        <v/>
      </c>
      <c r="D1351" s="3" t="str">
        <f>IFERROR(INDEX('بيانات الحركات'!D:D,MATCH(1350,'بيانات الحركات'!$G:$G,0)),"")</f>
        <v/>
      </c>
      <c r="E1351" s="21" t="str">
        <f>IF($B1351="إنتاج طبخة","",IFERROR(INDEX('بيانات الحركات'!E:E,MATCH(1350,'بيانات الحركات'!$G:$G,0)),""))</f>
        <v/>
      </c>
      <c r="F1351" s="3" t="str">
        <f>IFERROR(INDEX('بيانات الحركات'!F:F,MATCH(1350,'بيانات الحركات'!$G:$G,0)),"")</f>
        <v/>
      </c>
    </row>
    <row r="1352" spans="1:6" ht="21.95" customHeight="1">
      <c r="A1352" s="8" t="str">
        <f>IFERROR(INDEX('بيانات الحركات'!A:A,MATCH(1351,'بيانات الحركات'!$G:$G,0)),"")</f>
        <v/>
      </c>
      <c r="B1352" s="5" t="str">
        <f>IFERROR(INDEX('بيانات الحركات'!B:B,MATCH(1351,'بيانات الحركات'!$G:$G,0)),"")</f>
        <v/>
      </c>
      <c r="C1352" s="3" t="str">
        <f>IFERROR(INDEX('بيانات الحركات'!C:C,MATCH(1351,'بيانات الحركات'!$G:$G,0)),"")</f>
        <v/>
      </c>
      <c r="D1352" s="3" t="str">
        <f>IFERROR(INDEX('بيانات الحركات'!D:D,MATCH(1351,'بيانات الحركات'!$G:$G,0)),"")</f>
        <v/>
      </c>
      <c r="E1352" s="21" t="str">
        <f>IF($B1352="إنتاج طبخة","",IFERROR(INDEX('بيانات الحركات'!E:E,MATCH(1351,'بيانات الحركات'!$G:$G,0)),""))</f>
        <v/>
      </c>
      <c r="F1352" s="3" t="str">
        <f>IFERROR(INDEX('بيانات الحركات'!F:F,MATCH(1351,'بيانات الحركات'!$G:$G,0)),"")</f>
        <v/>
      </c>
    </row>
    <row r="1353" spans="1:6" ht="21.95" customHeight="1">
      <c r="A1353" s="8" t="str">
        <f>IFERROR(INDEX('بيانات الحركات'!A:A,MATCH(1352,'بيانات الحركات'!$G:$G,0)),"")</f>
        <v/>
      </c>
      <c r="B1353" s="5" t="str">
        <f>IFERROR(INDEX('بيانات الحركات'!B:B,MATCH(1352,'بيانات الحركات'!$G:$G,0)),"")</f>
        <v/>
      </c>
      <c r="C1353" s="3" t="str">
        <f>IFERROR(INDEX('بيانات الحركات'!C:C,MATCH(1352,'بيانات الحركات'!$G:$G,0)),"")</f>
        <v/>
      </c>
      <c r="D1353" s="3" t="str">
        <f>IFERROR(INDEX('بيانات الحركات'!D:D,MATCH(1352,'بيانات الحركات'!$G:$G,0)),"")</f>
        <v/>
      </c>
      <c r="E1353" s="21" t="str">
        <f>IF($B1353="إنتاج طبخة","",IFERROR(INDEX('بيانات الحركات'!E:E,MATCH(1352,'بيانات الحركات'!$G:$G,0)),""))</f>
        <v/>
      </c>
      <c r="F1353" s="3" t="str">
        <f>IFERROR(INDEX('بيانات الحركات'!F:F,MATCH(1352,'بيانات الحركات'!$G:$G,0)),"")</f>
        <v/>
      </c>
    </row>
    <row r="1354" spans="1:6" ht="21.95" customHeight="1">
      <c r="A1354" s="8" t="str">
        <f>IFERROR(INDEX('بيانات الحركات'!A:A,MATCH(1353,'بيانات الحركات'!$G:$G,0)),"")</f>
        <v/>
      </c>
      <c r="B1354" s="5" t="str">
        <f>IFERROR(INDEX('بيانات الحركات'!B:B,MATCH(1353,'بيانات الحركات'!$G:$G,0)),"")</f>
        <v/>
      </c>
      <c r="C1354" s="3" t="str">
        <f>IFERROR(INDEX('بيانات الحركات'!C:C,MATCH(1353,'بيانات الحركات'!$G:$G,0)),"")</f>
        <v/>
      </c>
      <c r="D1354" s="3" t="str">
        <f>IFERROR(INDEX('بيانات الحركات'!D:D,MATCH(1353,'بيانات الحركات'!$G:$G,0)),"")</f>
        <v/>
      </c>
      <c r="E1354" s="21" t="str">
        <f>IF($B1354="إنتاج طبخة","",IFERROR(INDEX('بيانات الحركات'!E:E,MATCH(1353,'بيانات الحركات'!$G:$G,0)),""))</f>
        <v/>
      </c>
      <c r="F1354" s="3" t="str">
        <f>IFERROR(INDEX('بيانات الحركات'!F:F,MATCH(1353,'بيانات الحركات'!$G:$G,0)),"")</f>
        <v/>
      </c>
    </row>
    <row r="1355" spans="1:6" ht="21.95" customHeight="1">
      <c r="A1355" s="8" t="str">
        <f>IFERROR(INDEX('بيانات الحركات'!A:A,MATCH(1354,'بيانات الحركات'!$G:$G,0)),"")</f>
        <v/>
      </c>
      <c r="B1355" s="5" t="str">
        <f>IFERROR(INDEX('بيانات الحركات'!B:B,MATCH(1354,'بيانات الحركات'!$G:$G,0)),"")</f>
        <v/>
      </c>
      <c r="C1355" s="3" t="str">
        <f>IFERROR(INDEX('بيانات الحركات'!C:C,MATCH(1354,'بيانات الحركات'!$G:$G,0)),"")</f>
        <v/>
      </c>
      <c r="D1355" s="3" t="str">
        <f>IFERROR(INDEX('بيانات الحركات'!D:D,MATCH(1354,'بيانات الحركات'!$G:$G,0)),"")</f>
        <v/>
      </c>
      <c r="E1355" s="21" t="str">
        <f>IF($B1355="إنتاج طبخة","",IFERROR(INDEX('بيانات الحركات'!E:E,MATCH(1354,'بيانات الحركات'!$G:$G,0)),""))</f>
        <v/>
      </c>
      <c r="F1355" s="3" t="str">
        <f>IFERROR(INDEX('بيانات الحركات'!F:F,MATCH(1354,'بيانات الحركات'!$G:$G,0)),"")</f>
        <v/>
      </c>
    </row>
    <row r="1356" spans="1:6" ht="21.95" customHeight="1">
      <c r="A1356" s="8" t="str">
        <f>IFERROR(INDEX('بيانات الحركات'!A:A,MATCH(1355,'بيانات الحركات'!$G:$G,0)),"")</f>
        <v/>
      </c>
      <c r="B1356" s="5" t="str">
        <f>IFERROR(INDEX('بيانات الحركات'!B:B,MATCH(1355,'بيانات الحركات'!$G:$G,0)),"")</f>
        <v/>
      </c>
      <c r="C1356" s="3" t="str">
        <f>IFERROR(INDEX('بيانات الحركات'!C:C,MATCH(1355,'بيانات الحركات'!$G:$G,0)),"")</f>
        <v/>
      </c>
      <c r="D1356" s="3" t="str">
        <f>IFERROR(INDEX('بيانات الحركات'!D:D,MATCH(1355,'بيانات الحركات'!$G:$G,0)),"")</f>
        <v/>
      </c>
      <c r="E1356" s="21" t="str">
        <f>IF($B1356="إنتاج طبخة","",IFERROR(INDEX('بيانات الحركات'!E:E,MATCH(1355,'بيانات الحركات'!$G:$G,0)),""))</f>
        <v/>
      </c>
      <c r="F1356" s="3" t="str">
        <f>IFERROR(INDEX('بيانات الحركات'!F:F,MATCH(1355,'بيانات الحركات'!$G:$G,0)),"")</f>
        <v/>
      </c>
    </row>
    <row r="1357" spans="1:6" ht="21.95" customHeight="1">
      <c r="A1357" s="8" t="str">
        <f>IFERROR(INDEX('بيانات الحركات'!A:A,MATCH(1356,'بيانات الحركات'!$G:$G,0)),"")</f>
        <v/>
      </c>
      <c r="B1357" s="5" t="str">
        <f>IFERROR(INDEX('بيانات الحركات'!B:B,MATCH(1356,'بيانات الحركات'!$G:$G,0)),"")</f>
        <v/>
      </c>
      <c r="C1357" s="3" t="str">
        <f>IFERROR(INDEX('بيانات الحركات'!C:C,MATCH(1356,'بيانات الحركات'!$G:$G,0)),"")</f>
        <v/>
      </c>
      <c r="D1357" s="3" t="str">
        <f>IFERROR(INDEX('بيانات الحركات'!D:D,MATCH(1356,'بيانات الحركات'!$G:$G,0)),"")</f>
        <v/>
      </c>
      <c r="E1357" s="21" t="str">
        <f>IF($B1357="إنتاج طبخة","",IFERROR(INDEX('بيانات الحركات'!E:E,MATCH(1356,'بيانات الحركات'!$G:$G,0)),""))</f>
        <v/>
      </c>
      <c r="F1357" s="3" t="str">
        <f>IFERROR(INDEX('بيانات الحركات'!F:F,MATCH(1356,'بيانات الحركات'!$G:$G,0)),"")</f>
        <v/>
      </c>
    </row>
    <row r="1358" spans="1:6" ht="21.95" customHeight="1">
      <c r="A1358" s="8" t="str">
        <f>IFERROR(INDEX('بيانات الحركات'!A:A,MATCH(1357,'بيانات الحركات'!$G:$G,0)),"")</f>
        <v/>
      </c>
      <c r="B1358" s="5" t="str">
        <f>IFERROR(INDEX('بيانات الحركات'!B:B,MATCH(1357,'بيانات الحركات'!$G:$G,0)),"")</f>
        <v/>
      </c>
      <c r="C1358" s="3" t="str">
        <f>IFERROR(INDEX('بيانات الحركات'!C:C,MATCH(1357,'بيانات الحركات'!$G:$G,0)),"")</f>
        <v/>
      </c>
      <c r="D1358" s="3" t="str">
        <f>IFERROR(INDEX('بيانات الحركات'!D:D,MATCH(1357,'بيانات الحركات'!$G:$G,0)),"")</f>
        <v/>
      </c>
      <c r="E1358" s="21" t="str">
        <f>IF($B1358="إنتاج طبخة","",IFERROR(INDEX('بيانات الحركات'!E:E,MATCH(1357,'بيانات الحركات'!$G:$G,0)),""))</f>
        <v/>
      </c>
      <c r="F1358" s="3" t="str">
        <f>IFERROR(INDEX('بيانات الحركات'!F:F,MATCH(1357,'بيانات الحركات'!$G:$G,0)),"")</f>
        <v/>
      </c>
    </row>
    <row r="1359" spans="1:6" ht="21.95" customHeight="1">
      <c r="A1359" s="8" t="str">
        <f>IFERROR(INDEX('بيانات الحركات'!A:A,MATCH(1358,'بيانات الحركات'!$G:$G,0)),"")</f>
        <v/>
      </c>
      <c r="B1359" s="5" t="str">
        <f>IFERROR(INDEX('بيانات الحركات'!B:B,MATCH(1358,'بيانات الحركات'!$G:$G,0)),"")</f>
        <v/>
      </c>
      <c r="C1359" s="3" t="str">
        <f>IFERROR(INDEX('بيانات الحركات'!C:C,MATCH(1358,'بيانات الحركات'!$G:$G,0)),"")</f>
        <v/>
      </c>
      <c r="D1359" s="3" t="str">
        <f>IFERROR(INDEX('بيانات الحركات'!D:D,MATCH(1358,'بيانات الحركات'!$G:$G,0)),"")</f>
        <v/>
      </c>
      <c r="E1359" s="21" t="str">
        <f>IF($B1359="إنتاج طبخة","",IFERROR(INDEX('بيانات الحركات'!E:E,MATCH(1358,'بيانات الحركات'!$G:$G,0)),""))</f>
        <v/>
      </c>
      <c r="F1359" s="3" t="str">
        <f>IFERROR(INDEX('بيانات الحركات'!F:F,MATCH(1358,'بيانات الحركات'!$G:$G,0)),"")</f>
        <v/>
      </c>
    </row>
    <row r="1360" spans="1:6" ht="21.95" customHeight="1">
      <c r="A1360" s="8" t="str">
        <f>IFERROR(INDEX('بيانات الحركات'!A:A,MATCH(1359,'بيانات الحركات'!$G:$G,0)),"")</f>
        <v/>
      </c>
      <c r="B1360" s="5" t="str">
        <f>IFERROR(INDEX('بيانات الحركات'!B:B,MATCH(1359,'بيانات الحركات'!$G:$G,0)),"")</f>
        <v/>
      </c>
      <c r="C1360" s="3" t="str">
        <f>IFERROR(INDEX('بيانات الحركات'!C:C,MATCH(1359,'بيانات الحركات'!$G:$G,0)),"")</f>
        <v/>
      </c>
      <c r="D1360" s="3" t="str">
        <f>IFERROR(INDEX('بيانات الحركات'!D:D,MATCH(1359,'بيانات الحركات'!$G:$G,0)),"")</f>
        <v/>
      </c>
      <c r="E1360" s="21" t="str">
        <f>IF($B1360="إنتاج طبخة","",IFERROR(INDEX('بيانات الحركات'!E:E,MATCH(1359,'بيانات الحركات'!$G:$G,0)),""))</f>
        <v/>
      </c>
      <c r="F1360" s="3" t="str">
        <f>IFERROR(INDEX('بيانات الحركات'!F:F,MATCH(1359,'بيانات الحركات'!$G:$G,0)),"")</f>
        <v/>
      </c>
    </row>
    <row r="1361" spans="1:6" ht="21.95" customHeight="1">
      <c r="A1361" s="8" t="str">
        <f>IFERROR(INDEX('بيانات الحركات'!A:A,MATCH(1360,'بيانات الحركات'!$G:$G,0)),"")</f>
        <v/>
      </c>
      <c r="B1361" s="5" t="str">
        <f>IFERROR(INDEX('بيانات الحركات'!B:B,MATCH(1360,'بيانات الحركات'!$G:$G,0)),"")</f>
        <v/>
      </c>
      <c r="C1361" s="3" t="str">
        <f>IFERROR(INDEX('بيانات الحركات'!C:C,MATCH(1360,'بيانات الحركات'!$G:$G,0)),"")</f>
        <v/>
      </c>
      <c r="D1361" s="3" t="str">
        <f>IFERROR(INDEX('بيانات الحركات'!D:D,MATCH(1360,'بيانات الحركات'!$G:$G,0)),"")</f>
        <v/>
      </c>
      <c r="E1361" s="21" t="str">
        <f>IF($B1361="إنتاج طبخة","",IFERROR(INDEX('بيانات الحركات'!E:E,MATCH(1360,'بيانات الحركات'!$G:$G,0)),""))</f>
        <v/>
      </c>
      <c r="F1361" s="3" t="str">
        <f>IFERROR(INDEX('بيانات الحركات'!F:F,MATCH(1360,'بيانات الحركات'!$G:$G,0)),"")</f>
        <v/>
      </c>
    </row>
    <row r="1362" spans="1:6" ht="21.95" customHeight="1">
      <c r="A1362" s="8" t="str">
        <f>IFERROR(INDEX('بيانات الحركات'!A:A,MATCH(1361,'بيانات الحركات'!$G:$G,0)),"")</f>
        <v/>
      </c>
      <c r="B1362" s="5" t="str">
        <f>IFERROR(INDEX('بيانات الحركات'!B:B,MATCH(1361,'بيانات الحركات'!$G:$G,0)),"")</f>
        <v/>
      </c>
      <c r="C1362" s="3" t="str">
        <f>IFERROR(INDEX('بيانات الحركات'!C:C,MATCH(1361,'بيانات الحركات'!$G:$G,0)),"")</f>
        <v/>
      </c>
      <c r="D1362" s="3" t="str">
        <f>IFERROR(INDEX('بيانات الحركات'!D:D,MATCH(1361,'بيانات الحركات'!$G:$G,0)),"")</f>
        <v/>
      </c>
      <c r="E1362" s="21" t="str">
        <f>IF($B1362="إنتاج طبخة","",IFERROR(INDEX('بيانات الحركات'!E:E,MATCH(1361,'بيانات الحركات'!$G:$G,0)),""))</f>
        <v/>
      </c>
      <c r="F1362" s="3" t="str">
        <f>IFERROR(INDEX('بيانات الحركات'!F:F,MATCH(1361,'بيانات الحركات'!$G:$G,0)),"")</f>
        <v/>
      </c>
    </row>
    <row r="1363" spans="1:6" ht="21.95" customHeight="1">
      <c r="A1363" s="8" t="str">
        <f>IFERROR(INDEX('بيانات الحركات'!A:A,MATCH(1362,'بيانات الحركات'!$G:$G,0)),"")</f>
        <v/>
      </c>
      <c r="B1363" s="5" t="str">
        <f>IFERROR(INDEX('بيانات الحركات'!B:B,MATCH(1362,'بيانات الحركات'!$G:$G,0)),"")</f>
        <v/>
      </c>
      <c r="C1363" s="3" t="str">
        <f>IFERROR(INDEX('بيانات الحركات'!C:C,MATCH(1362,'بيانات الحركات'!$G:$G,0)),"")</f>
        <v/>
      </c>
      <c r="D1363" s="3" t="str">
        <f>IFERROR(INDEX('بيانات الحركات'!D:D,MATCH(1362,'بيانات الحركات'!$G:$G,0)),"")</f>
        <v/>
      </c>
      <c r="E1363" s="21" t="str">
        <f>IF($B1363="إنتاج طبخة","",IFERROR(INDEX('بيانات الحركات'!E:E,MATCH(1362,'بيانات الحركات'!$G:$G,0)),""))</f>
        <v/>
      </c>
      <c r="F1363" s="3" t="str">
        <f>IFERROR(INDEX('بيانات الحركات'!F:F,MATCH(1362,'بيانات الحركات'!$G:$G,0)),"")</f>
        <v/>
      </c>
    </row>
    <row r="1364" spans="1:6" ht="21.95" customHeight="1">
      <c r="A1364" s="8" t="str">
        <f>IFERROR(INDEX('بيانات الحركات'!A:A,MATCH(1363,'بيانات الحركات'!$G:$G,0)),"")</f>
        <v/>
      </c>
      <c r="B1364" s="5" t="str">
        <f>IFERROR(INDEX('بيانات الحركات'!B:B,MATCH(1363,'بيانات الحركات'!$G:$G,0)),"")</f>
        <v/>
      </c>
      <c r="C1364" s="3" t="str">
        <f>IFERROR(INDEX('بيانات الحركات'!C:C,MATCH(1363,'بيانات الحركات'!$G:$G,0)),"")</f>
        <v/>
      </c>
      <c r="D1364" s="3" t="str">
        <f>IFERROR(INDEX('بيانات الحركات'!D:D,MATCH(1363,'بيانات الحركات'!$G:$G,0)),"")</f>
        <v/>
      </c>
      <c r="E1364" s="21" t="str">
        <f>IF($B1364="إنتاج طبخة","",IFERROR(INDEX('بيانات الحركات'!E:E,MATCH(1363,'بيانات الحركات'!$G:$G,0)),""))</f>
        <v/>
      </c>
      <c r="F1364" s="3" t="str">
        <f>IFERROR(INDEX('بيانات الحركات'!F:F,MATCH(1363,'بيانات الحركات'!$G:$G,0)),"")</f>
        <v/>
      </c>
    </row>
    <row r="1365" spans="1:6" ht="21.95" customHeight="1">
      <c r="A1365" s="8" t="str">
        <f>IFERROR(INDEX('بيانات الحركات'!A:A,MATCH(1364,'بيانات الحركات'!$G:$G,0)),"")</f>
        <v/>
      </c>
      <c r="B1365" s="5" t="str">
        <f>IFERROR(INDEX('بيانات الحركات'!B:B,MATCH(1364,'بيانات الحركات'!$G:$G,0)),"")</f>
        <v/>
      </c>
      <c r="C1365" s="3" t="str">
        <f>IFERROR(INDEX('بيانات الحركات'!C:C,MATCH(1364,'بيانات الحركات'!$G:$G,0)),"")</f>
        <v/>
      </c>
      <c r="D1365" s="3" t="str">
        <f>IFERROR(INDEX('بيانات الحركات'!D:D,MATCH(1364,'بيانات الحركات'!$G:$G,0)),"")</f>
        <v/>
      </c>
      <c r="E1365" s="21" t="str">
        <f>IF($B1365="إنتاج طبخة","",IFERROR(INDEX('بيانات الحركات'!E:E,MATCH(1364,'بيانات الحركات'!$G:$G,0)),""))</f>
        <v/>
      </c>
      <c r="F1365" s="3" t="str">
        <f>IFERROR(INDEX('بيانات الحركات'!F:F,MATCH(1364,'بيانات الحركات'!$G:$G,0)),"")</f>
        <v/>
      </c>
    </row>
    <row r="1366" spans="1:6" ht="21.95" customHeight="1">
      <c r="A1366" s="8" t="str">
        <f>IFERROR(INDEX('بيانات الحركات'!A:A,MATCH(1365,'بيانات الحركات'!$G:$G,0)),"")</f>
        <v/>
      </c>
      <c r="B1366" s="5" t="str">
        <f>IFERROR(INDEX('بيانات الحركات'!B:B,MATCH(1365,'بيانات الحركات'!$G:$G,0)),"")</f>
        <v/>
      </c>
      <c r="C1366" s="3" t="str">
        <f>IFERROR(INDEX('بيانات الحركات'!C:C,MATCH(1365,'بيانات الحركات'!$G:$G,0)),"")</f>
        <v/>
      </c>
      <c r="D1366" s="3" t="str">
        <f>IFERROR(INDEX('بيانات الحركات'!D:D,MATCH(1365,'بيانات الحركات'!$G:$G,0)),"")</f>
        <v/>
      </c>
      <c r="E1366" s="21" t="str">
        <f>IF($B1366="إنتاج طبخة","",IFERROR(INDEX('بيانات الحركات'!E:E,MATCH(1365,'بيانات الحركات'!$G:$G,0)),""))</f>
        <v/>
      </c>
      <c r="F1366" s="3" t="str">
        <f>IFERROR(INDEX('بيانات الحركات'!F:F,MATCH(1365,'بيانات الحركات'!$G:$G,0)),"")</f>
        <v/>
      </c>
    </row>
    <row r="1367" spans="1:6" ht="21.95" customHeight="1">
      <c r="A1367" s="8" t="str">
        <f>IFERROR(INDEX('بيانات الحركات'!A:A,MATCH(1366,'بيانات الحركات'!$G:$G,0)),"")</f>
        <v/>
      </c>
      <c r="B1367" s="5" t="str">
        <f>IFERROR(INDEX('بيانات الحركات'!B:B,MATCH(1366,'بيانات الحركات'!$G:$G,0)),"")</f>
        <v/>
      </c>
      <c r="C1367" s="3" t="str">
        <f>IFERROR(INDEX('بيانات الحركات'!C:C,MATCH(1366,'بيانات الحركات'!$G:$G,0)),"")</f>
        <v/>
      </c>
      <c r="D1367" s="3" t="str">
        <f>IFERROR(INDEX('بيانات الحركات'!D:D,MATCH(1366,'بيانات الحركات'!$G:$G,0)),"")</f>
        <v/>
      </c>
      <c r="E1367" s="21" t="str">
        <f>IF($B1367="إنتاج طبخة","",IFERROR(INDEX('بيانات الحركات'!E:E,MATCH(1366,'بيانات الحركات'!$G:$G,0)),""))</f>
        <v/>
      </c>
      <c r="F1367" s="3" t="str">
        <f>IFERROR(INDEX('بيانات الحركات'!F:F,MATCH(1366,'بيانات الحركات'!$G:$G,0)),"")</f>
        <v/>
      </c>
    </row>
    <row r="1368" spans="1:6" ht="21.95" customHeight="1">
      <c r="A1368" s="8" t="str">
        <f>IFERROR(INDEX('بيانات الحركات'!A:A,MATCH(1367,'بيانات الحركات'!$G:$G,0)),"")</f>
        <v/>
      </c>
      <c r="B1368" s="5" t="str">
        <f>IFERROR(INDEX('بيانات الحركات'!B:B,MATCH(1367,'بيانات الحركات'!$G:$G,0)),"")</f>
        <v/>
      </c>
      <c r="C1368" s="3" t="str">
        <f>IFERROR(INDEX('بيانات الحركات'!C:C,MATCH(1367,'بيانات الحركات'!$G:$G,0)),"")</f>
        <v/>
      </c>
      <c r="D1368" s="3" t="str">
        <f>IFERROR(INDEX('بيانات الحركات'!D:D,MATCH(1367,'بيانات الحركات'!$G:$G,0)),"")</f>
        <v/>
      </c>
      <c r="E1368" s="21" t="str">
        <f>IF($B1368="إنتاج طبخة","",IFERROR(INDEX('بيانات الحركات'!E:E,MATCH(1367,'بيانات الحركات'!$G:$G,0)),""))</f>
        <v/>
      </c>
      <c r="F1368" s="3" t="str">
        <f>IFERROR(INDEX('بيانات الحركات'!F:F,MATCH(1367,'بيانات الحركات'!$G:$G,0)),"")</f>
        <v/>
      </c>
    </row>
    <row r="1369" spans="1:6" ht="21.95" customHeight="1">
      <c r="A1369" s="8" t="str">
        <f>IFERROR(INDEX('بيانات الحركات'!A:A,MATCH(1368,'بيانات الحركات'!$G:$G,0)),"")</f>
        <v/>
      </c>
      <c r="B1369" s="5" t="str">
        <f>IFERROR(INDEX('بيانات الحركات'!B:B,MATCH(1368,'بيانات الحركات'!$G:$G,0)),"")</f>
        <v/>
      </c>
      <c r="C1369" s="3" t="str">
        <f>IFERROR(INDEX('بيانات الحركات'!C:C,MATCH(1368,'بيانات الحركات'!$G:$G,0)),"")</f>
        <v/>
      </c>
      <c r="D1369" s="3" t="str">
        <f>IFERROR(INDEX('بيانات الحركات'!D:D,MATCH(1368,'بيانات الحركات'!$G:$G,0)),"")</f>
        <v/>
      </c>
      <c r="E1369" s="21" t="str">
        <f>IF($B1369="إنتاج طبخة","",IFERROR(INDEX('بيانات الحركات'!E:E,MATCH(1368,'بيانات الحركات'!$G:$G,0)),""))</f>
        <v/>
      </c>
      <c r="F1369" s="3" t="str">
        <f>IFERROR(INDEX('بيانات الحركات'!F:F,MATCH(1368,'بيانات الحركات'!$G:$G,0)),"")</f>
        <v/>
      </c>
    </row>
    <row r="1370" spans="1:6" ht="21.95" customHeight="1">
      <c r="A1370" s="8" t="str">
        <f>IFERROR(INDEX('بيانات الحركات'!A:A,MATCH(1369,'بيانات الحركات'!$G:$G,0)),"")</f>
        <v/>
      </c>
      <c r="B1370" s="5" t="str">
        <f>IFERROR(INDEX('بيانات الحركات'!B:B,MATCH(1369,'بيانات الحركات'!$G:$G,0)),"")</f>
        <v/>
      </c>
      <c r="C1370" s="3" t="str">
        <f>IFERROR(INDEX('بيانات الحركات'!C:C,MATCH(1369,'بيانات الحركات'!$G:$G,0)),"")</f>
        <v/>
      </c>
      <c r="D1370" s="3" t="str">
        <f>IFERROR(INDEX('بيانات الحركات'!D:D,MATCH(1369,'بيانات الحركات'!$G:$G,0)),"")</f>
        <v/>
      </c>
      <c r="E1370" s="21" t="str">
        <f>IF($B1370="إنتاج طبخة","",IFERROR(INDEX('بيانات الحركات'!E:E,MATCH(1369,'بيانات الحركات'!$G:$G,0)),""))</f>
        <v/>
      </c>
      <c r="F1370" s="3" t="str">
        <f>IFERROR(INDEX('بيانات الحركات'!F:F,MATCH(1369,'بيانات الحركات'!$G:$G,0)),"")</f>
        <v/>
      </c>
    </row>
    <row r="1371" spans="1:6" ht="21.95" customHeight="1">
      <c r="A1371" s="8" t="str">
        <f>IFERROR(INDEX('بيانات الحركات'!A:A,MATCH(1370,'بيانات الحركات'!$G:$G,0)),"")</f>
        <v/>
      </c>
      <c r="B1371" s="5" t="str">
        <f>IFERROR(INDEX('بيانات الحركات'!B:B,MATCH(1370,'بيانات الحركات'!$G:$G,0)),"")</f>
        <v/>
      </c>
      <c r="C1371" s="3" t="str">
        <f>IFERROR(INDEX('بيانات الحركات'!C:C,MATCH(1370,'بيانات الحركات'!$G:$G,0)),"")</f>
        <v/>
      </c>
      <c r="D1371" s="3" t="str">
        <f>IFERROR(INDEX('بيانات الحركات'!D:D,MATCH(1370,'بيانات الحركات'!$G:$G,0)),"")</f>
        <v/>
      </c>
      <c r="E1371" s="21" t="str">
        <f>IF($B1371="إنتاج طبخة","",IFERROR(INDEX('بيانات الحركات'!E:E,MATCH(1370,'بيانات الحركات'!$G:$G,0)),""))</f>
        <v/>
      </c>
      <c r="F1371" s="3" t="str">
        <f>IFERROR(INDEX('بيانات الحركات'!F:F,MATCH(1370,'بيانات الحركات'!$G:$G,0)),"")</f>
        <v/>
      </c>
    </row>
    <row r="1372" spans="1:6" ht="21.95" customHeight="1">
      <c r="A1372" s="8" t="str">
        <f>IFERROR(INDEX('بيانات الحركات'!A:A,MATCH(1371,'بيانات الحركات'!$G:$G,0)),"")</f>
        <v/>
      </c>
      <c r="B1372" s="5" t="str">
        <f>IFERROR(INDEX('بيانات الحركات'!B:B,MATCH(1371,'بيانات الحركات'!$G:$G,0)),"")</f>
        <v/>
      </c>
      <c r="C1372" s="3" t="str">
        <f>IFERROR(INDEX('بيانات الحركات'!C:C,MATCH(1371,'بيانات الحركات'!$G:$G,0)),"")</f>
        <v/>
      </c>
      <c r="D1372" s="3" t="str">
        <f>IFERROR(INDEX('بيانات الحركات'!D:D,MATCH(1371,'بيانات الحركات'!$G:$G,0)),"")</f>
        <v/>
      </c>
      <c r="E1372" s="21" t="str">
        <f>IF($B1372="إنتاج طبخة","",IFERROR(INDEX('بيانات الحركات'!E:E,MATCH(1371,'بيانات الحركات'!$G:$G,0)),""))</f>
        <v/>
      </c>
      <c r="F1372" s="3" t="str">
        <f>IFERROR(INDEX('بيانات الحركات'!F:F,MATCH(1371,'بيانات الحركات'!$G:$G,0)),"")</f>
        <v/>
      </c>
    </row>
    <row r="1373" spans="1:6" ht="21.95" customHeight="1">
      <c r="A1373" s="8" t="str">
        <f>IFERROR(INDEX('بيانات الحركات'!A:A,MATCH(1372,'بيانات الحركات'!$G:$G,0)),"")</f>
        <v/>
      </c>
      <c r="B1373" s="5" t="str">
        <f>IFERROR(INDEX('بيانات الحركات'!B:B,MATCH(1372,'بيانات الحركات'!$G:$G,0)),"")</f>
        <v/>
      </c>
      <c r="C1373" s="3" t="str">
        <f>IFERROR(INDEX('بيانات الحركات'!C:C,MATCH(1372,'بيانات الحركات'!$G:$G,0)),"")</f>
        <v/>
      </c>
      <c r="D1373" s="3" t="str">
        <f>IFERROR(INDEX('بيانات الحركات'!D:D,MATCH(1372,'بيانات الحركات'!$G:$G,0)),"")</f>
        <v/>
      </c>
      <c r="E1373" s="21" t="str">
        <f>IF($B1373="إنتاج طبخة","",IFERROR(INDEX('بيانات الحركات'!E:E,MATCH(1372,'بيانات الحركات'!$G:$G,0)),""))</f>
        <v/>
      </c>
      <c r="F1373" s="3" t="str">
        <f>IFERROR(INDEX('بيانات الحركات'!F:F,MATCH(1372,'بيانات الحركات'!$G:$G,0)),"")</f>
        <v/>
      </c>
    </row>
    <row r="1374" spans="1:6" ht="21.95" customHeight="1">
      <c r="A1374" s="8" t="str">
        <f>IFERROR(INDEX('بيانات الحركات'!A:A,MATCH(1373,'بيانات الحركات'!$G:$G,0)),"")</f>
        <v/>
      </c>
      <c r="B1374" s="5" t="str">
        <f>IFERROR(INDEX('بيانات الحركات'!B:B,MATCH(1373,'بيانات الحركات'!$G:$G,0)),"")</f>
        <v/>
      </c>
      <c r="C1374" s="3" t="str">
        <f>IFERROR(INDEX('بيانات الحركات'!C:C,MATCH(1373,'بيانات الحركات'!$G:$G,0)),"")</f>
        <v/>
      </c>
      <c r="D1374" s="3" t="str">
        <f>IFERROR(INDEX('بيانات الحركات'!D:D,MATCH(1373,'بيانات الحركات'!$G:$G,0)),"")</f>
        <v/>
      </c>
      <c r="E1374" s="21" t="str">
        <f>IF($B1374="إنتاج طبخة","",IFERROR(INDEX('بيانات الحركات'!E:E,MATCH(1373,'بيانات الحركات'!$G:$G,0)),""))</f>
        <v/>
      </c>
      <c r="F1374" s="3" t="str">
        <f>IFERROR(INDEX('بيانات الحركات'!F:F,MATCH(1373,'بيانات الحركات'!$G:$G,0)),"")</f>
        <v/>
      </c>
    </row>
    <row r="1375" spans="1:6" ht="21.95" customHeight="1">
      <c r="A1375" s="8" t="str">
        <f>IFERROR(INDEX('بيانات الحركات'!A:A,MATCH(1374,'بيانات الحركات'!$G:$G,0)),"")</f>
        <v/>
      </c>
      <c r="B1375" s="5" t="str">
        <f>IFERROR(INDEX('بيانات الحركات'!B:B,MATCH(1374,'بيانات الحركات'!$G:$G,0)),"")</f>
        <v/>
      </c>
      <c r="C1375" s="3" t="str">
        <f>IFERROR(INDEX('بيانات الحركات'!C:C,MATCH(1374,'بيانات الحركات'!$G:$G,0)),"")</f>
        <v/>
      </c>
      <c r="D1375" s="3" t="str">
        <f>IFERROR(INDEX('بيانات الحركات'!D:D,MATCH(1374,'بيانات الحركات'!$G:$G,0)),"")</f>
        <v/>
      </c>
      <c r="E1375" s="21" t="str">
        <f>IF($B1375="إنتاج طبخة","",IFERROR(INDEX('بيانات الحركات'!E:E,MATCH(1374,'بيانات الحركات'!$G:$G,0)),""))</f>
        <v/>
      </c>
      <c r="F1375" s="3" t="str">
        <f>IFERROR(INDEX('بيانات الحركات'!F:F,MATCH(1374,'بيانات الحركات'!$G:$G,0)),"")</f>
        <v/>
      </c>
    </row>
    <row r="1376" spans="1:6" ht="21.95" customHeight="1">
      <c r="A1376" s="8" t="str">
        <f>IFERROR(INDEX('بيانات الحركات'!A:A,MATCH(1375,'بيانات الحركات'!$G:$G,0)),"")</f>
        <v/>
      </c>
      <c r="B1376" s="5" t="str">
        <f>IFERROR(INDEX('بيانات الحركات'!B:B,MATCH(1375,'بيانات الحركات'!$G:$G,0)),"")</f>
        <v/>
      </c>
      <c r="C1376" s="3" t="str">
        <f>IFERROR(INDEX('بيانات الحركات'!C:C,MATCH(1375,'بيانات الحركات'!$G:$G,0)),"")</f>
        <v/>
      </c>
      <c r="D1376" s="3" t="str">
        <f>IFERROR(INDEX('بيانات الحركات'!D:D,MATCH(1375,'بيانات الحركات'!$G:$G,0)),"")</f>
        <v/>
      </c>
      <c r="E1376" s="21" t="str">
        <f>IF($B1376="إنتاج طبخة","",IFERROR(INDEX('بيانات الحركات'!E:E,MATCH(1375,'بيانات الحركات'!$G:$G,0)),""))</f>
        <v/>
      </c>
      <c r="F1376" s="3" t="str">
        <f>IFERROR(INDEX('بيانات الحركات'!F:F,MATCH(1375,'بيانات الحركات'!$G:$G,0)),"")</f>
        <v/>
      </c>
    </row>
    <row r="1377" spans="1:6" ht="21.95" customHeight="1">
      <c r="A1377" s="8" t="str">
        <f>IFERROR(INDEX('بيانات الحركات'!A:A,MATCH(1376,'بيانات الحركات'!$G:$G,0)),"")</f>
        <v/>
      </c>
      <c r="B1377" s="5" t="str">
        <f>IFERROR(INDEX('بيانات الحركات'!B:B,MATCH(1376,'بيانات الحركات'!$G:$G,0)),"")</f>
        <v/>
      </c>
      <c r="C1377" s="3" t="str">
        <f>IFERROR(INDEX('بيانات الحركات'!C:C,MATCH(1376,'بيانات الحركات'!$G:$G,0)),"")</f>
        <v/>
      </c>
      <c r="D1377" s="3" t="str">
        <f>IFERROR(INDEX('بيانات الحركات'!D:D,MATCH(1376,'بيانات الحركات'!$G:$G,0)),"")</f>
        <v/>
      </c>
      <c r="E1377" s="21" t="str">
        <f>IF($B1377="إنتاج طبخة","",IFERROR(INDEX('بيانات الحركات'!E:E,MATCH(1376,'بيانات الحركات'!$G:$G,0)),""))</f>
        <v/>
      </c>
      <c r="F1377" s="3" t="str">
        <f>IFERROR(INDEX('بيانات الحركات'!F:F,MATCH(1376,'بيانات الحركات'!$G:$G,0)),"")</f>
        <v/>
      </c>
    </row>
    <row r="1378" spans="1:6" ht="21.95" customHeight="1">
      <c r="A1378" s="8" t="str">
        <f>IFERROR(INDEX('بيانات الحركات'!A:A,MATCH(1377,'بيانات الحركات'!$G:$G,0)),"")</f>
        <v/>
      </c>
      <c r="B1378" s="5" t="str">
        <f>IFERROR(INDEX('بيانات الحركات'!B:B,MATCH(1377,'بيانات الحركات'!$G:$G,0)),"")</f>
        <v/>
      </c>
      <c r="C1378" s="3" t="str">
        <f>IFERROR(INDEX('بيانات الحركات'!C:C,MATCH(1377,'بيانات الحركات'!$G:$G,0)),"")</f>
        <v/>
      </c>
      <c r="D1378" s="3" t="str">
        <f>IFERROR(INDEX('بيانات الحركات'!D:D,MATCH(1377,'بيانات الحركات'!$G:$G,0)),"")</f>
        <v/>
      </c>
      <c r="E1378" s="21" t="str">
        <f>IF($B1378="إنتاج طبخة","",IFERROR(INDEX('بيانات الحركات'!E:E,MATCH(1377,'بيانات الحركات'!$G:$G,0)),""))</f>
        <v/>
      </c>
      <c r="F1378" s="3" t="str">
        <f>IFERROR(INDEX('بيانات الحركات'!F:F,MATCH(1377,'بيانات الحركات'!$G:$G,0)),"")</f>
        <v/>
      </c>
    </row>
    <row r="1379" spans="1:6" ht="21.95" customHeight="1">
      <c r="A1379" s="8" t="str">
        <f>IFERROR(INDEX('بيانات الحركات'!A:A,MATCH(1378,'بيانات الحركات'!$G:$G,0)),"")</f>
        <v/>
      </c>
      <c r="B1379" s="5" t="str">
        <f>IFERROR(INDEX('بيانات الحركات'!B:B,MATCH(1378,'بيانات الحركات'!$G:$G,0)),"")</f>
        <v/>
      </c>
      <c r="C1379" s="3" t="str">
        <f>IFERROR(INDEX('بيانات الحركات'!C:C,MATCH(1378,'بيانات الحركات'!$G:$G,0)),"")</f>
        <v/>
      </c>
      <c r="D1379" s="3" t="str">
        <f>IFERROR(INDEX('بيانات الحركات'!D:D,MATCH(1378,'بيانات الحركات'!$G:$G,0)),"")</f>
        <v/>
      </c>
      <c r="E1379" s="21" t="str">
        <f>IF($B1379="إنتاج طبخة","",IFERROR(INDEX('بيانات الحركات'!E:E,MATCH(1378,'بيانات الحركات'!$G:$G,0)),""))</f>
        <v/>
      </c>
      <c r="F1379" s="3" t="str">
        <f>IFERROR(INDEX('بيانات الحركات'!F:F,MATCH(1378,'بيانات الحركات'!$G:$G,0)),"")</f>
        <v/>
      </c>
    </row>
    <row r="1380" spans="1:6" ht="21.95" customHeight="1">
      <c r="A1380" s="8" t="str">
        <f>IFERROR(INDEX('بيانات الحركات'!A:A,MATCH(1379,'بيانات الحركات'!$G:$G,0)),"")</f>
        <v/>
      </c>
      <c r="B1380" s="5" t="str">
        <f>IFERROR(INDEX('بيانات الحركات'!B:B,MATCH(1379,'بيانات الحركات'!$G:$G,0)),"")</f>
        <v/>
      </c>
      <c r="C1380" s="3" t="str">
        <f>IFERROR(INDEX('بيانات الحركات'!C:C,MATCH(1379,'بيانات الحركات'!$G:$G,0)),"")</f>
        <v/>
      </c>
      <c r="D1380" s="3" t="str">
        <f>IFERROR(INDEX('بيانات الحركات'!D:D,MATCH(1379,'بيانات الحركات'!$G:$G,0)),"")</f>
        <v/>
      </c>
      <c r="E1380" s="21" t="str">
        <f>IF($B1380="إنتاج طبخة","",IFERROR(INDEX('بيانات الحركات'!E:E,MATCH(1379,'بيانات الحركات'!$G:$G,0)),""))</f>
        <v/>
      </c>
      <c r="F1380" s="3" t="str">
        <f>IFERROR(INDEX('بيانات الحركات'!F:F,MATCH(1379,'بيانات الحركات'!$G:$G,0)),"")</f>
        <v/>
      </c>
    </row>
    <row r="1381" spans="1:6" ht="21.95" customHeight="1">
      <c r="A1381" s="8" t="str">
        <f>IFERROR(INDEX('بيانات الحركات'!A:A,MATCH(1380,'بيانات الحركات'!$G:$G,0)),"")</f>
        <v/>
      </c>
      <c r="B1381" s="5" t="str">
        <f>IFERROR(INDEX('بيانات الحركات'!B:B,MATCH(1380,'بيانات الحركات'!$G:$G,0)),"")</f>
        <v/>
      </c>
      <c r="C1381" s="3" t="str">
        <f>IFERROR(INDEX('بيانات الحركات'!C:C,MATCH(1380,'بيانات الحركات'!$G:$G,0)),"")</f>
        <v/>
      </c>
      <c r="D1381" s="3" t="str">
        <f>IFERROR(INDEX('بيانات الحركات'!D:D,MATCH(1380,'بيانات الحركات'!$G:$G,0)),"")</f>
        <v/>
      </c>
      <c r="E1381" s="21" t="str">
        <f>IF($B1381="إنتاج طبخة","",IFERROR(INDEX('بيانات الحركات'!E:E,MATCH(1380,'بيانات الحركات'!$G:$G,0)),""))</f>
        <v/>
      </c>
      <c r="F1381" s="3" t="str">
        <f>IFERROR(INDEX('بيانات الحركات'!F:F,MATCH(1380,'بيانات الحركات'!$G:$G,0)),"")</f>
        <v/>
      </c>
    </row>
    <row r="1382" spans="1:6" ht="21.95" customHeight="1">
      <c r="A1382" s="8" t="str">
        <f>IFERROR(INDEX('بيانات الحركات'!A:A,MATCH(1381,'بيانات الحركات'!$G:$G,0)),"")</f>
        <v/>
      </c>
      <c r="B1382" s="5" t="str">
        <f>IFERROR(INDEX('بيانات الحركات'!B:B,MATCH(1381,'بيانات الحركات'!$G:$G,0)),"")</f>
        <v/>
      </c>
      <c r="C1382" s="3" t="str">
        <f>IFERROR(INDEX('بيانات الحركات'!C:C,MATCH(1381,'بيانات الحركات'!$G:$G,0)),"")</f>
        <v/>
      </c>
      <c r="D1382" s="3" t="str">
        <f>IFERROR(INDEX('بيانات الحركات'!D:D,MATCH(1381,'بيانات الحركات'!$G:$G,0)),"")</f>
        <v/>
      </c>
      <c r="E1382" s="21" t="str">
        <f>IF($B1382="إنتاج طبخة","",IFERROR(INDEX('بيانات الحركات'!E:E,MATCH(1381,'بيانات الحركات'!$G:$G,0)),""))</f>
        <v/>
      </c>
      <c r="F1382" s="3" t="str">
        <f>IFERROR(INDEX('بيانات الحركات'!F:F,MATCH(1381,'بيانات الحركات'!$G:$G,0)),"")</f>
        <v/>
      </c>
    </row>
    <row r="1383" spans="1:6" ht="21.95" customHeight="1">
      <c r="A1383" s="8" t="str">
        <f>IFERROR(INDEX('بيانات الحركات'!A:A,MATCH(1382,'بيانات الحركات'!$G:$G,0)),"")</f>
        <v/>
      </c>
      <c r="B1383" s="5" t="str">
        <f>IFERROR(INDEX('بيانات الحركات'!B:B,MATCH(1382,'بيانات الحركات'!$G:$G,0)),"")</f>
        <v/>
      </c>
      <c r="C1383" s="3" t="str">
        <f>IFERROR(INDEX('بيانات الحركات'!C:C,MATCH(1382,'بيانات الحركات'!$G:$G,0)),"")</f>
        <v/>
      </c>
      <c r="D1383" s="3" t="str">
        <f>IFERROR(INDEX('بيانات الحركات'!D:D,MATCH(1382,'بيانات الحركات'!$G:$G,0)),"")</f>
        <v/>
      </c>
      <c r="E1383" s="21" t="str">
        <f>IF($B1383="إنتاج طبخة","",IFERROR(INDEX('بيانات الحركات'!E:E,MATCH(1382,'بيانات الحركات'!$G:$G,0)),""))</f>
        <v/>
      </c>
      <c r="F1383" s="3" t="str">
        <f>IFERROR(INDEX('بيانات الحركات'!F:F,MATCH(1382,'بيانات الحركات'!$G:$G,0)),"")</f>
        <v/>
      </c>
    </row>
    <row r="1384" spans="1:6" ht="21.95" customHeight="1">
      <c r="A1384" s="8" t="str">
        <f>IFERROR(INDEX('بيانات الحركات'!A:A,MATCH(1383,'بيانات الحركات'!$G:$G,0)),"")</f>
        <v/>
      </c>
      <c r="B1384" s="5" t="str">
        <f>IFERROR(INDEX('بيانات الحركات'!B:B,MATCH(1383,'بيانات الحركات'!$G:$G,0)),"")</f>
        <v/>
      </c>
      <c r="C1384" s="3" t="str">
        <f>IFERROR(INDEX('بيانات الحركات'!C:C,MATCH(1383,'بيانات الحركات'!$G:$G,0)),"")</f>
        <v/>
      </c>
      <c r="D1384" s="3" t="str">
        <f>IFERROR(INDEX('بيانات الحركات'!D:D,MATCH(1383,'بيانات الحركات'!$G:$G,0)),"")</f>
        <v/>
      </c>
      <c r="E1384" s="21" t="str">
        <f>IF($B1384="إنتاج طبخة","",IFERROR(INDEX('بيانات الحركات'!E:E,MATCH(1383,'بيانات الحركات'!$G:$G,0)),""))</f>
        <v/>
      </c>
      <c r="F1384" s="3" t="str">
        <f>IFERROR(INDEX('بيانات الحركات'!F:F,MATCH(1383,'بيانات الحركات'!$G:$G,0)),"")</f>
        <v/>
      </c>
    </row>
    <row r="1385" spans="1:6" ht="21.95" customHeight="1">
      <c r="A1385" s="8" t="str">
        <f>IFERROR(INDEX('بيانات الحركات'!A:A,MATCH(1384,'بيانات الحركات'!$G:$G,0)),"")</f>
        <v/>
      </c>
      <c r="B1385" s="5" t="str">
        <f>IFERROR(INDEX('بيانات الحركات'!B:B,MATCH(1384,'بيانات الحركات'!$G:$G,0)),"")</f>
        <v/>
      </c>
      <c r="C1385" s="3" t="str">
        <f>IFERROR(INDEX('بيانات الحركات'!C:C,MATCH(1384,'بيانات الحركات'!$G:$G,0)),"")</f>
        <v/>
      </c>
      <c r="D1385" s="3" t="str">
        <f>IFERROR(INDEX('بيانات الحركات'!D:D,MATCH(1384,'بيانات الحركات'!$G:$G,0)),"")</f>
        <v/>
      </c>
      <c r="E1385" s="21" t="str">
        <f>IF($B1385="إنتاج طبخة","",IFERROR(INDEX('بيانات الحركات'!E:E,MATCH(1384,'بيانات الحركات'!$G:$G,0)),""))</f>
        <v/>
      </c>
      <c r="F1385" s="3" t="str">
        <f>IFERROR(INDEX('بيانات الحركات'!F:F,MATCH(1384,'بيانات الحركات'!$G:$G,0)),"")</f>
        <v/>
      </c>
    </row>
    <row r="1386" spans="1:6" ht="21.95" customHeight="1">
      <c r="A1386" s="8" t="str">
        <f>IFERROR(INDEX('بيانات الحركات'!A:A,MATCH(1385,'بيانات الحركات'!$G:$G,0)),"")</f>
        <v/>
      </c>
      <c r="B1386" s="5" t="str">
        <f>IFERROR(INDEX('بيانات الحركات'!B:B,MATCH(1385,'بيانات الحركات'!$G:$G,0)),"")</f>
        <v/>
      </c>
      <c r="C1386" s="3" t="str">
        <f>IFERROR(INDEX('بيانات الحركات'!C:C,MATCH(1385,'بيانات الحركات'!$G:$G,0)),"")</f>
        <v/>
      </c>
      <c r="D1386" s="3" t="str">
        <f>IFERROR(INDEX('بيانات الحركات'!D:D,MATCH(1385,'بيانات الحركات'!$G:$G,0)),"")</f>
        <v/>
      </c>
      <c r="E1386" s="21" t="str">
        <f>IF($B1386="إنتاج طبخة","",IFERROR(INDEX('بيانات الحركات'!E:E,MATCH(1385,'بيانات الحركات'!$G:$G,0)),""))</f>
        <v/>
      </c>
      <c r="F1386" s="3" t="str">
        <f>IFERROR(INDEX('بيانات الحركات'!F:F,MATCH(1385,'بيانات الحركات'!$G:$G,0)),"")</f>
        <v/>
      </c>
    </row>
    <row r="1387" spans="1:6" ht="21.95" customHeight="1">
      <c r="A1387" s="8" t="str">
        <f>IFERROR(INDEX('بيانات الحركات'!A:A,MATCH(1386,'بيانات الحركات'!$G:$G,0)),"")</f>
        <v/>
      </c>
      <c r="B1387" s="5" t="str">
        <f>IFERROR(INDEX('بيانات الحركات'!B:B,MATCH(1386,'بيانات الحركات'!$G:$G,0)),"")</f>
        <v/>
      </c>
      <c r="C1387" s="3" t="str">
        <f>IFERROR(INDEX('بيانات الحركات'!C:C,MATCH(1386,'بيانات الحركات'!$G:$G,0)),"")</f>
        <v/>
      </c>
      <c r="D1387" s="3" t="str">
        <f>IFERROR(INDEX('بيانات الحركات'!D:D,MATCH(1386,'بيانات الحركات'!$G:$G,0)),"")</f>
        <v/>
      </c>
      <c r="E1387" s="21" t="str">
        <f>IF($B1387="إنتاج طبخة","",IFERROR(INDEX('بيانات الحركات'!E:E,MATCH(1386,'بيانات الحركات'!$G:$G,0)),""))</f>
        <v/>
      </c>
      <c r="F1387" s="3" t="str">
        <f>IFERROR(INDEX('بيانات الحركات'!F:F,MATCH(1386,'بيانات الحركات'!$G:$G,0)),"")</f>
        <v/>
      </c>
    </row>
    <row r="1388" spans="1:6" ht="21.95" customHeight="1">
      <c r="A1388" s="8" t="str">
        <f>IFERROR(INDEX('بيانات الحركات'!A:A,MATCH(1387,'بيانات الحركات'!$G:$G,0)),"")</f>
        <v/>
      </c>
      <c r="B1388" s="5" t="str">
        <f>IFERROR(INDEX('بيانات الحركات'!B:B,MATCH(1387,'بيانات الحركات'!$G:$G,0)),"")</f>
        <v/>
      </c>
      <c r="C1388" s="3" t="str">
        <f>IFERROR(INDEX('بيانات الحركات'!C:C,MATCH(1387,'بيانات الحركات'!$G:$G,0)),"")</f>
        <v/>
      </c>
      <c r="D1388" s="3" t="str">
        <f>IFERROR(INDEX('بيانات الحركات'!D:D,MATCH(1387,'بيانات الحركات'!$G:$G,0)),"")</f>
        <v/>
      </c>
      <c r="E1388" s="21" t="str">
        <f>IF($B1388="إنتاج طبخة","",IFERROR(INDEX('بيانات الحركات'!E:E,MATCH(1387,'بيانات الحركات'!$G:$G,0)),""))</f>
        <v/>
      </c>
      <c r="F1388" s="3" t="str">
        <f>IFERROR(INDEX('بيانات الحركات'!F:F,MATCH(1387,'بيانات الحركات'!$G:$G,0)),"")</f>
        <v/>
      </c>
    </row>
    <row r="1389" spans="1:6" ht="21.95" customHeight="1">
      <c r="A1389" s="8" t="str">
        <f>IFERROR(INDEX('بيانات الحركات'!A:A,MATCH(1388,'بيانات الحركات'!$G:$G,0)),"")</f>
        <v/>
      </c>
      <c r="B1389" s="5" t="str">
        <f>IFERROR(INDEX('بيانات الحركات'!B:B,MATCH(1388,'بيانات الحركات'!$G:$G,0)),"")</f>
        <v/>
      </c>
      <c r="C1389" s="3" t="str">
        <f>IFERROR(INDEX('بيانات الحركات'!C:C,MATCH(1388,'بيانات الحركات'!$G:$G,0)),"")</f>
        <v/>
      </c>
      <c r="D1389" s="3" t="str">
        <f>IFERROR(INDEX('بيانات الحركات'!D:D,MATCH(1388,'بيانات الحركات'!$G:$G,0)),"")</f>
        <v/>
      </c>
      <c r="E1389" s="21" t="str">
        <f>IF($B1389="إنتاج طبخة","",IFERROR(INDEX('بيانات الحركات'!E:E,MATCH(1388,'بيانات الحركات'!$G:$G,0)),""))</f>
        <v/>
      </c>
      <c r="F1389" s="3" t="str">
        <f>IFERROR(INDEX('بيانات الحركات'!F:F,MATCH(1388,'بيانات الحركات'!$G:$G,0)),"")</f>
        <v/>
      </c>
    </row>
    <row r="1390" spans="1:6" ht="21.95" customHeight="1">
      <c r="A1390" s="8" t="str">
        <f>IFERROR(INDEX('بيانات الحركات'!A:A,MATCH(1389,'بيانات الحركات'!$G:$G,0)),"")</f>
        <v/>
      </c>
      <c r="B1390" s="5" t="str">
        <f>IFERROR(INDEX('بيانات الحركات'!B:B,MATCH(1389,'بيانات الحركات'!$G:$G,0)),"")</f>
        <v/>
      </c>
      <c r="C1390" s="3" t="str">
        <f>IFERROR(INDEX('بيانات الحركات'!C:C,MATCH(1389,'بيانات الحركات'!$G:$G,0)),"")</f>
        <v/>
      </c>
      <c r="D1390" s="3" t="str">
        <f>IFERROR(INDEX('بيانات الحركات'!D:D,MATCH(1389,'بيانات الحركات'!$G:$G,0)),"")</f>
        <v/>
      </c>
      <c r="E1390" s="21" t="str">
        <f>IF($B1390="إنتاج طبخة","",IFERROR(INDEX('بيانات الحركات'!E:E,MATCH(1389,'بيانات الحركات'!$G:$G,0)),""))</f>
        <v/>
      </c>
      <c r="F1390" s="3" t="str">
        <f>IFERROR(INDEX('بيانات الحركات'!F:F,MATCH(1389,'بيانات الحركات'!$G:$G,0)),"")</f>
        <v/>
      </c>
    </row>
    <row r="1391" spans="1:6" ht="21.95" customHeight="1">
      <c r="A1391" s="8" t="str">
        <f>IFERROR(INDEX('بيانات الحركات'!A:A,MATCH(1390,'بيانات الحركات'!$G:$G,0)),"")</f>
        <v/>
      </c>
      <c r="B1391" s="5" t="str">
        <f>IFERROR(INDEX('بيانات الحركات'!B:B,MATCH(1390,'بيانات الحركات'!$G:$G,0)),"")</f>
        <v/>
      </c>
      <c r="C1391" s="3" t="str">
        <f>IFERROR(INDEX('بيانات الحركات'!C:C,MATCH(1390,'بيانات الحركات'!$G:$G,0)),"")</f>
        <v/>
      </c>
      <c r="D1391" s="3" t="str">
        <f>IFERROR(INDEX('بيانات الحركات'!D:D,MATCH(1390,'بيانات الحركات'!$G:$G,0)),"")</f>
        <v/>
      </c>
      <c r="E1391" s="21" t="str">
        <f>IF($B1391="إنتاج طبخة","",IFERROR(INDEX('بيانات الحركات'!E:E,MATCH(1390,'بيانات الحركات'!$G:$G,0)),""))</f>
        <v/>
      </c>
      <c r="F1391" s="3" t="str">
        <f>IFERROR(INDEX('بيانات الحركات'!F:F,MATCH(1390,'بيانات الحركات'!$G:$G,0)),"")</f>
        <v/>
      </c>
    </row>
    <row r="1392" spans="1:6" ht="21.95" customHeight="1">
      <c r="A1392" s="8" t="str">
        <f>IFERROR(INDEX('بيانات الحركات'!A:A,MATCH(1391,'بيانات الحركات'!$G:$G,0)),"")</f>
        <v/>
      </c>
      <c r="B1392" s="5" t="str">
        <f>IFERROR(INDEX('بيانات الحركات'!B:B,MATCH(1391,'بيانات الحركات'!$G:$G,0)),"")</f>
        <v/>
      </c>
      <c r="C1392" s="3" t="str">
        <f>IFERROR(INDEX('بيانات الحركات'!C:C,MATCH(1391,'بيانات الحركات'!$G:$G,0)),"")</f>
        <v/>
      </c>
      <c r="D1392" s="3" t="str">
        <f>IFERROR(INDEX('بيانات الحركات'!D:D,MATCH(1391,'بيانات الحركات'!$G:$G,0)),"")</f>
        <v/>
      </c>
      <c r="E1392" s="21" t="str">
        <f>IF($B1392="إنتاج طبخة","",IFERROR(INDEX('بيانات الحركات'!E:E,MATCH(1391,'بيانات الحركات'!$G:$G,0)),""))</f>
        <v/>
      </c>
      <c r="F1392" s="3" t="str">
        <f>IFERROR(INDEX('بيانات الحركات'!F:F,MATCH(1391,'بيانات الحركات'!$G:$G,0)),"")</f>
        <v/>
      </c>
    </row>
    <row r="1393" spans="1:6" ht="21.95" customHeight="1">
      <c r="A1393" s="8" t="str">
        <f>IFERROR(INDEX('بيانات الحركات'!A:A,MATCH(1392,'بيانات الحركات'!$G:$G,0)),"")</f>
        <v/>
      </c>
      <c r="B1393" s="5" t="str">
        <f>IFERROR(INDEX('بيانات الحركات'!B:B,MATCH(1392,'بيانات الحركات'!$G:$G,0)),"")</f>
        <v/>
      </c>
      <c r="C1393" s="3" t="str">
        <f>IFERROR(INDEX('بيانات الحركات'!C:C,MATCH(1392,'بيانات الحركات'!$G:$G,0)),"")</f>
        <v/>
      </c>
      <c r="D1393" s="3" t="str">
        <f>IFERROR(INDEX('بيانات الحركات'!D:D,MATCH(1392,'بيانات الحركات'!$G:$G,0)),"")</f>
        <v/>
      </c>
      <c r="E1393" s="21" t="str">
        <f>IF($B1393="إنتاج طبخة","",IFERROR(INDEX('بيانات الحركات'!E:E,MATCH(1392,'بيانات الحركات'!$G:$G,0)),""))</f>
        <v/>
      </c>
      <c r="F1393" s="3" t="str">
        <f>IFERROR(INDEX('بيانات الحركات'!F:F,MATCH(1392,'بيانات الحركات'!$G:$G,0)),"")</f>
        <v/>
      </c>
    </row>
    <row r="1394" spans="1:6" ht="21.95" customHeight="1">
      <c r="A1394" s="8" t="str">
        <f>IFERROR(INDEX('بيانات الحركات'!A:A,MATCH(1393,'بيانات الحركات'!$G:$G,0)),"")</f>
        <v/>
      </c>
      <c r="B1394" s="5" t="str">
        <f>IFERROR(INDEX('بيانات الحركات'!B:B,MATCH(1393,'بيانات الحركات'!$G:$G,0)),"")</f>
        <v/>
      </c>
      <c r="C1394" s="3" t="str">
        <f>IFERROR(INDEX('بيانات الحركات'!C:C,MATCH(1393,'بيانات الحركات'!$G:$G,0)),"")</f>
        <v/>
      </c>
      <c r="D1394" s="3" t="str">
        <f>IFERROR(INDEX('بيانات الحركات'!D:D,MATCH(1393,'بيانات الحركات'!$G:$G,0)),"")</f>
        <v/>
      </c>
      <c r="E1394" s="21" t="str">
        <f>IF($B1394="إنتاج طبخة","",IFERROR(INDEX('بيانات الحركات'!E:E,MATCH(1393,'بيانات الحركات'!$G:$G,0)),""))</f>
        <v/>
      </c>
      <c r="F1394" s="3" t="str">
        <f>IFERROR(INDEX('بيانات الحركات'!F:F,MATCH(1393,'بيانات الحركات'!$G:$G,0)),"")</f>
        <v/>
      </c>
    </row>
    <row r="1395" spans="1:6" ht="21.95" customHeight="1">
      <c r="A1395" s="8" t="str">
        <f>IFERROR(INDEX('بيانات الحركات'!A:A,MATCH(1394,'بيانات الحركات'!$G:$G,0)),"")</f>
        <v/>
      </c>
      <c r="B1395" s="5" t="str">
        <f>IFERROR(INDEX('بيانات الحركات'!B:B,MATCH(1394,'بيانات الحركات'!$G:$G,0)),"")</f>
        <v/>
      </c>
      <c r="C1395" s="3" t="str">
        <f>IFERROR(INDEX('بيانات الحركات'!C:C,MATCH(1394,'بيانات الحركات'!$G:$G,0)),"")</f>
        <v/>
      </c>
      <c r="D1395" s="3" t="str">
        <f>IFERROR(INDEX('بيانات الحركات'!D:D,MATCH(1394,'بيانات الحركات'!$G:$G,0)),"")</f>
        <v/>
      </c>
      <c r="E1395" s="21" t="str">
        <f>IF($B1395="إنتاج طبخة","",IFERROR(INDEX('بيانات الحركات'!E:E,MATCH(1394,'بيانات الحركات'!$G:$G,0)),""))</f>
        <v/>
      </c>
      <c r="F1395" s="3" t="str">
        <f>IFERROR(INDEX('بيانات الحركات'!F:F,MATCH(1394,'بيانات الحركات'!$G:$G,0)),"")</f>
        <v/>
      </c>
    </row>
    <row r="1396" spans="1:6" ht="21.95" customHeight="1">
      <c r="A1396" s="8" t="str">
        <f>IFERROR(INDEX('بيانات الحركات'!A:A,MATCH(1395,'بيانات الحركات'!$G:$G,0)),"")</f>
        <v/>
      </c>
      <c r="B1396" s="5" t="str">
        <f>IFERROR(INDEX('بيانات الحركات'!B:B,MATCH(1395,'بيانات الحركات'!$G:$G,0)),"")</f>
        <v/>
      </c>
      <c r="C1396" s="3" t="str">
        <f>IFERROR(INDEX('بيانات الحركات'!C:C,MATCH(1395,'بيانات الحركات'!$G:$G,0)),"")</f>
        <v/>
      </c>
      <c r="D1396" s="3" t="str">
        <f>IFERROR(INDEX('بيانات الحركات'!D:D,MATCH(1395,'بيانات الحركات'!$G:$G,0)),"")</f>
        <v/>
      </c>
      <c r="E1396" s="21" t="str">
        <f>IF($B1396="إنتاج طبخة","",IFERROR(INDEX('بيانات الحركات'!E:E,MATCH(1395,'بيانات الحركات'!$G:$G,0)),""))</f>
        <v/>
      </c>
      <c r="F1396" s="3" t="str">
        <f>IFERROR(INDEX('بيانات الحركات'!F:F,MATCH(1395,'بيانات الحركات'!$G:$G,0)),"")</f>
        <v/>
      </c>
    </row>
    <row r="1397" spans="1:6" ht="21.95" customHeight="1">
      <c r="A1397" s="8" t="str">
        <f>IFERROR(INDEX('بيانات الحركات'!A:A,MATCH(1396,'بيانات الحركات'!$G:$G,0)),"")</f>
        <v/>
      </c>
      <c r="B1397" s="5" t="str">
        <f>IFERROR(INDEX('بيانات الحركات'!B:B,MATCH(1396,'بيانات الحركات'!$G:$G,0)),"")</f>
        <v/>
      </c>
      <c r="C1397" s="3" t="str">
        <f>IFERROR(INDEX('بيانات الحركات'!C:C,MATCH(1396,'بيانات الحركات'!$G:$G,0)),"")</f>
        <v/>
      </c>
      <c r="D1397" s="3" t="str">
        <f>IFERROR(INDEX('بيانات الحركات'!D:D,MATCH(1396,'بيانات الحركات'!$G:$G,0)),"")</f>
        <v/>
      </c>
      <c r="E1397" s="21" t="str">
        <f>IF($B1397="إنتاج طبخة","",IFERROR(INDEX('بيانات الحركات'!E:E,MATCH(1396,'بيانات الحركات'!$G:$G,0)),""))</f>
        <v/>
      </c>
      <c r="F1397" s="3" t="str">
        <f>IFERROR(INDEX('بيانات الحركات'!F:F,MATCH(1396,'بيانات الحركات'!$G:$G,0)),"")</f>
        <v/>
      </c>
    </row>
    <row r="1398" spans="1:6" ht="21.95" customHeight="1">
      <c r="A1398" s="8" t="str">
        <f>IFERROR(INDEX('بيانات الحركات'!A:A,MATCH(1397,'بيانات الحركات'!$G:$G,0)),"")</f>
        <v/>
      </c>
      <c r="B1398" s="5" t="str">
        <f>IFERROR(INDEX('بيانات الحركات'!B:B,MATCH(1397,'بيانات الحركات'!$G:$G,0)),"")</f>
        <v/>
      </c>
      <c r="C1398" s="3" t="str">
        <f>IFERROR(INDEX('بيانات الحركات'!C:C,MATCH(1397,'بيانات الحركات'!$G:$G,0)),"")</f>
        <v/>
      </c>
      <c r="D1398" s="3" t="str">
        <f>IFERROR(INDEX('بيانات الحركات'!D:D,MATCH(1397,'بيانات الحركات'!$G:$G,0)),"")</f>
        <v/>
      </c>
      <c r="E1398" s="21" t="str">
        <f>IF($B1398="إنتاج طبخة","",IFERROR(INDEX('بيانات الحركات'!E:E,MATCH(1397,'بيانات الحركات'!$G:$G,0)),""))</f>
        <v/>
      </c>
      <c r="F1398" s="3" t="str">
        <f>IFERROR(INDEX('بيانات الحركات'!F:F,MATCH(1397,'بيانات الحركات'!$G:$G,0)),"")</f>
        <v/>
      </c>
    </row>
    <row r="1399" spans="1:6" ht="21.95" customHeight="1">
      <c r="A1399" s="8" t="str">
        <f>IFERROR(INDEX('بيانات الحركات'!A:A,MATCH(1398,'بيانات الحركات'!$G:$G,0)),"")</f>
        <v/>
      </c>
      <c r="B1399" s="5" t="str">
        <f>IFERROR(INDEX('بيانات الحركات'!B:B,MATCH(1398,'بيانات الحركات'!$G:$G,0)),"")</f>
        <v/>
      </c>
      <c r="C1399" s="3" t="str">
        <f>IFERROR(INDEX('بيانات الحركات'!C:C,MATCH(1398,'بيانات الحركات'!$G:$G,0)),"")</f>
        <v/>
      </c>
      <c r="D1399" s="3" t="str">
        <f>IFERROR(INDEX('بيانات الحركات'!D:D,MATCH(1398,'بيانات الحركات'!$G:$G,0)),"")</f>
        <v/>
      </c>
      <c r="E1399" s="21" t="str">
        <f>IF($B1399="إنتاج طبخة","",IFERROR(INDEX('بيانات الحركات'!E:E,MATCH(1398,'بيانات الحركات'!$G:$G,0)),""))</f>
        <v/>
      </c>
      <c r="F1399" s="3" t="str">
        <f>IFERROR(INDEX('بيانات الحركات'!F:F,MATCH(1398,'بيانات الحركات'!$G:$G,0)),"")</f>
        <v/>
      </c>
    </row>
    <row r="1400" spans="1:6" ht="21.95" customHeight="1">
      <c r="A1400" s="8" t="str">
        <f>IFERROR(INDEX('بيانات الحركات'!A:A,MATCH(1399,'بيانات الحركات'!$G:$G,0)),"")</f>
        <v/>
      </c>
      <c r="B1400" s="5" t="str">
        <f>IFERROR(INDEX('بيانات الحركات'!B:B,MATCH(1399,'بيانات الحركات'!$G:$G,0)),"")</f>
        <v/>
      </c>
      <c r="C1400" s="3" t="str">
        <f>IFERROR(INDEX('بيانات الحركات'!C:C,MATCH(1399,'بيانات الحركات'!$G:$G,0)),"")</f>
        <v/>
      </c>
      <c r="D1400" s="3" t="str">
        <f>IFERROR(INDEX('بيانات الحركات'!D:D,MATCH(1399,'بيانات الحركات'!$G:$G,0)),"")</f>
        <v/>
      </c>
      <c r="E1400" s="21" t="str">
        <f>IF($B1400="إنتاج طبخة","",IFERROR(INDEX('بيانات الحركات'!E:E,MATCH(1399,'بيانات الحركات'!$G:$G,0)),""))</f>
        <v/>
      </c>
      <c r="F1400" s="3" t="str">
        <f>IFERROR(INDEX('بيانات الحركات'!F:F,MATCH(1399,'بيانات الحركات'!$G:$G,0)),"")</f>
        <v/>
      </c>
    </row>
    <row r="1401" spans="1:6" ht="21.95" customHeight="1">
      <c r="A1401" s="8" t="str">
        <f>IFERROR(INDEX('بيانات الحركات'!A:A,MATCH(1400,'بيانات الحركات'!$G:$G,0)),"")</f>
        <v/>
      </c>
      <c r="B1401" s="5" t="str">
        <f>IFERROR(INDEX('بيانات الحركات'!B:B,MATCH(1400,'بيانات الحركات'!$G:$G,0)),"")</f>
        <v/>
      </c>
      <c r="C1401" s="3" t="str">
        <f>IFERROR(INDEX('بيانات الحركات'!C:C,MATCH(1400,'بيانات الحركات'!$G:$G,0)),"")</f>
        <v/>
      </c>
      <c r="D1401" s="3" t="str">
        <f>IFERROR(INDEX('بيانات الحركات'!D:D,MATCH(1400,'بيانات الحركات'!$G:$G,0)),"")</f>
        <v/>
      </c>
      <c r="E1401" s="21" t="str">
        <f>IF($B1401="إنتاج طبخة","",IFERROR(INDEX('بيانات الحركات'!E:E,MATCH(1400,'بيانات الحركات'!$G:$G,0)),""))</f>
        <v/>
      </c>
      <c r="F1401" s="3" t="str">
        <f>IFERROR(INDEX('بيانات الحركات'!F:F,MATCH(1400,'بيانات الحركات'!$G:$G,0)),"")</f>
        <v/>
      </c>
    </row>
    <row r="1402" spans="1:6" ht="21.95" customHeight="1">
      <c r="A1402" s="8" t="str">
        <f>IFERROR(INDEX('بيانات الحركات'!A:A,MATCH(1401,'بيانات الحركات'!$G:$G,0)),"")</f>
        <v/>
      </c>
      <c r="B1402" s="5" t="str">
        <f>IFERROR(INDEX('بيانات الحركات'!B:B,MATCH(1401,'بيانات الحركات'!$G:$G,0)),"")</f>
        <v/>
      </c>
      <c r="C1402" s="3" t="str">
        <f>IFERROR(INDEX('بيانات الحركات'!C:C,MATCH(1401,'بيانات الحركات'!$G:$G,0)),"")</f>
        <v/>
      </c>
      <c r="D1402" s="3" t="str">
        <f>IFERROR(INDEX('بيانات الحركات'!D:D,MATCH(1401,'بيانات الحركات'!$G:$G,0)),"")</f>
        <v/>
      </c>
      <c r="E1402" s="21" t="str">
        <f>IF($B1402="إنتاج طبخة","",IFERROR(INDEX('بيانات الحركات'!E:E,MATCH(1401,'بيانات الحركات'!$G:$G,0)),""))</f>
        <v/>
      </c>
      <c r="F1402" s="3" t="str">
        <f>IFERROR(INDEX('بيانات الحركات'!F:F,MATCH(1401,'بيانات الحركات'!$G:$G,0)),"")</f>
        <v/>
      </c>
    </row>
    <row r="1403" spans="1:6" ht="21.95" customHeight="1">
      <c r="A1403" s="8" t="str">
        <f>IFERROR(INDEX('بيانات الحركات'!A:A,MATCH(1402,'بيانات الحركات'!$G:$G,0)),"")</f>
        <v/>
      </c>
      <c r="B1403" s="5" t="str">
        <f>IFERROR(INDEX('بيانات الحركات'!B:B,MATCH(1402,'بيانات الحركات'!$G:$G,0)),"")</f>
        <v/>
      </c>
      <c r="C1403" s="3" t="str">
        <f>IFERROR(INDEX('بيانات الحركات'!C:C,MATCH(1402,'بيانات الحركات'!$G:$G,0)),"")</f>
        <v/>
      </c>
      <c r="D1403" s="3" t="str">
        <f>IFERROR(INDEX('بيانات الحركات'!D:D,MATCH(1402,'بيانات الحركات'!$G:$G,0)),"")</f>
        <v/>
      </c>
      <c r="E1403" s="21" t="str">
        <f>IF($B1403="إنتاج طبخة","",IFERROR(INDEX('بيانات الحركات'!E:E,MATCH(1402,'بيانات الحركات'!$G:$G,0)),""))</f>
        <v/>
      </c>
      <c r="F1403" s="3" t="str">
        <f>IFERROR(INDEX('بيانات الحركات'!F:F,MATCH(1402,'بيانات الحركات'!$G:$G,0)),"")</f>
        <v/>
      </c>
    </row>
    <row r="1404" spans="1:6" ht="21.95" customHeight="1">
      <c r="A1404" s="8" t="str">
        <f>IFERROR(INDEX('بيانات الحركات'!A:A,MATCH(1403,'بيانات الحركات'!$G:$G,0)),"")</f>
        <v/>
      </c>
      <c r="B1404" s="5" t="str">
        <f>IFERROR(INDEX('بيانات الحركات'!B:B,MATCH(1403,'بيانات الحركات'!$G:$G,0)),"")</f>
        <v/>
      </c>
      <c r="C1404" s="3" t="str">
        <f>IFERROR(INDEX('بيانات الحركات'!C:C,MATCH(1403,'بيانات الحركات'!$G:$G,0)),"")</f>
        <v/>
      </c>
      <c r="D1404" s="3" t="str">
        <f>IFERROR(INDEX('بيانات الحركات'!D:D,MATCH(1403,'بيانات الحركات'!$G:$G,0)),"")</f>
        <v/>
      </c>
      <c r="E1404" s="21" t="str">
        <f>IF($B1404="إنتاج طبخة","",IFERROR(INDEX('بيانات الحركات'!E:E,MATCH(1403,'بيانات الحركات'!$G:$G,0)),""))</f>
        <v/>
      </c>
      <c r="F1404" s="3" t="str">
        <f>IFERROR(INDEX('بيانات الحركات'!F:F,MATCH(1403,'بيانات الحركات'!$G:$G,0)),"")</f>
        <v/>
      </c>
    </row>
    <row r="1405" spans="1:6" ht="21.95" customHeight="1">
      <c r="A1405" s="8" t="str">
        <f>IFERROR(INDEX('بيانات الحركات'!A:A,MATCH(1404,'بيانات الحركات'!$G:$G,0)),"")</f>
        <v/>
      </c>
      <c r="B1405" s="5" t="str">
        <f>IFERROR(INDEX('بيانات الحركات'!B:B,MATCH(1404,'بيانات الحركات'!$G:$G,0)),"")</f>
        <v/>
      </c>
      <c r="C1405" s="3" t="str">
        <f>IFERROR(INDEX('بيانات الحركات'!C:C,MATCH(1404,'بيانات الحركات'!$G:$G,0)),"")</f>
        <v/>
      </c>
      <c r="D1405" s="3" t="str">
        <f>IFERROR(INDEX('بيانات الحركات'!D:D,MATCH(1404,'بيانات الحركات'!$G:$G,0)),"")</f>
        <v/>
      </c>
      <c r="E1405" s="21" t="str">
        <f>IF($B1405="إنتاج طبخة","",IFERROR(INDEX('بيانات الحركات'!E:E,MATCH(1404,'بيانات الحركات'!$G:$G,0)),""))</f>
        <v/>
      </c>
      <c r="F1405" s="3" t="str">
        <f>IFERROR(INDEX('بيانات الحركات'!F:F,MATCH(1404,'بيانات الحركات'!$G:$G,0)),"")</f>
        <v/>
      </c>
    </row>
    <row r="1406" spans="1:6" ht="21.95" customHeight="1">
      <c r="A1406" s="8" t="str">
        <f>IFERROR(INDEX('بيانات الحركات'!A:A,MATCH(1405,'بيانات الحركات'!$G:$G,0)),"")</f>
        <v/>
      </c>
      <c r="B1406" s="5" t="str">
        <f>IFERROR(INDEX('بيانات الحركات'!B:B,MATCH(1405,'بيانات الحركات'!$G:$G,0)),"")</f>
        <v/>
      </c>
      <c r="C1406" s="3" t="str">
        <f>IFERROR(INDEX('بيانات الحركات'!C:C,MATCH(1405,'بيانات الحركات'!$G:$G,0)),"")</f>
        <v/>
      </c>
      <c r="D1406" s="3" t="str">
        <f>IFERROR(INDEX('بيانات الحركات'!D:D,MATCH(1405,'بيانات الحركات'!$G:$G,0)),"")</f>
        <v/>
      </c>
      <c r="E1406" s="21" t="str">
        <f>IF($B1406="إنتاج طبخة","",IFERROR(INDEX('بيانات الحركات'!E:E,MATCH(1405,'بيانات الحركات'!$G:$G,0)),""))</f>
        <v/>
      </c>
      <c r="F1406" s="3" t="str">
        <f>IFERROR(INDEX('بيانات الحركات'!F:F,MATCH(1405,'بيانات الحركات'!$G:$G,0)),"")</f>
        <v/>
      </c>
    </row>
    <row r="1407" spans="1:6" ht="21.95" customHeight="1">
      <c r="A1407" s="8" t="str">
        <f>IFERROR(INDEX('بيانات الحركات'!A:A,MATCH(1406,'بيانات الحركات'!$G:$G,0)),"")</f>
        <v/>
      </c>
      <c r="B1407" s="5" t="str">
        <f>IFERROR(INDEX('بيانات الحركات'!B:B,MATCH(1406,'بيانات الحركات'!$G:$G,0)),"")</f>
        <v/>
      </c>
      <c r="C1407" s="3" t="str">
        <f>IFERROR(INDEX('بيانات الحركات'!C:C,MATCH(1406,'بيانات الحركات'!$G:$G,0)),"")</f>
        <v/>
      </c>
      <c r="D1407" s="3" t="str">
        <f>IFERROR(INDEX('بيانات الحركات'!D:D,MATCH(1406,'بيانات الحركات'!$G:$G,0)),"")</f>
        <v/>
      </c>
      <c r="E1407" s="21" t="str">
        <f>IF($B1407="إنتاج طبخة","",IFERROR(INDEX('بيانات الحركات'!E:E,MATCH(1406,'بيانات الحركات'!$G:$G,0)),""))</f>
        <v/>
      </c>
      <c r="F1407" s="3" t="str">
        <f>IFERROR(INDEX('بيانات الحركات'!F:F,MATCH(1406,'بيانات الحركات'!$G:$G,0)),"")</f>
        <v/>
      </c>
    </row>
    <row r="1408" spans="1:6" ht="21.95" customHeight="1">
      <c r="A1408" s="8" t="str">
        <f>IFERROR(INDEX('بيانات الحركات'!A:A,MATCH(1407,'بيانات الحركات'!$G:$G,0)),"")</f>
        <v/>
      </c>
      <c r="B1408" s="5" t="str">
        <f>IFERROR(INDEX('بيانات الحركات'!B:B,MATCH(1407,'بيانات الحركات'!$G:$G,0)),"")</f>
        <v/>
      </c>
      <c r="C1408" s="3" t="str">
        <f>IFERROR(INDEX('بيانات الحركات'!C:C,MATCH(1407,'بيانات الحركات'!$G:$G,0)),"")</f>
        <v/>
      </c>
      <c r="D1408" s="3" t="str">
        <f>IFERROR(INDEX('بيانات الحركات'!D:D,MATCH(1407,'بيانات الحركات'!$G:$G,0)),"")</f>
        <v/>
      </c>
      <c r="E1408" s="21" t="str">
        <f>IF($B1408="إنتاج طبخة","",IFERROR(INDEX('بيانات الحركات'!E:E,MATCH(1407,'بيانات الحركات'!$G:$G,0)),""))</f>
        <v/>
      </c>
      <c r="F1408" s="3" t="str">
        <f>IFERROR(INDEX('بيانات الحركات'!F:F,MATCH(1407,'بيانات الحركات'!$G:$G,0)),"")</f>
        <v/>
      </c>
    </row>
    <row r="1409" spans="1:6" ht="21.95" customHeight="1">
      <c r="A1409" s="8" t="str">
        <f>IFERROR(INDEX('بيانات الحركات'!A:A,MATCH(1408,'بيانات الحركات'!$G:$G,0)),"")</f>
        <v/>
      </c>
      <c r="B1409" s="5" t="str">
        <f>IFERROR(INDEX('بيانات الحركات'!B:B,MATCH(1408,'بيانات الحركات'!$G:$G,0)),"")</f>
        <v/>
      </c>
      <c r="C1409" s="3" t="str">
        <f>IFERROR(INDEX('بيانات الحركات'!C:C,MATCH(1408,'بيانات الحركات'!$G:$G,0)),"")</f>
        <v/>
      </c>
      <c r="D1409" s="3" t="str">
        <f>IFERROR(INDEX('بيانات الحركات'!D:D,MATCH(1408,'بيانات الحركات'!$G:$G,0)),"")</f>
        <v/>
      </c>
      <c r="E1409" s="21" t="str">
        <f>IF($B1409="إنتاج طبخة","",IFERROR(INDEX('بيانات الحركات'!E:E,MATCH(1408,'بيانات الحركات'!$G:$G,0)),""))</f>
        <v/>
      </c>
      <c r="F1409" s="3" t="str">
        <f>IFERROR(INDEX('بيانات الحركات'!F:F,MATCH(1408,'بيانات الحركات'!$G:$G,0)),"")</f>
        <v/>
      </c>
    </row>
    <row r="1410" spans="1:6" ht="21.95" customHeight="1">
      <c r="A1410" s="8" t="str">
        <f>IFERROR(INDEX('بيانات الحركات'!A:A,MATCH(1409,'بيانات الحركات'!$G:$G,0)),"")</f>
        <v/>
      </c>
      <c r="B1410" s="5" t="str">
        <f>IFERROR(INDEX('بيانات الحركات'!B:B,MATCH(1409,'بيانات الحركات'!$G:$G,0)),"")</f>
        <v/>
      </c>
      <c r="C1410" s="3" t="str">
        <f>IFERROR(INDEX('بيانات الحركات'!C:C,MATCH(1409,'بيانات الحركات'!$G:$G,0)),"")</f>
        <v/>
      </c>
      <c r="D1410" s="3" t="str">
        <f>IFERROR(INDEX('بيانات الحركات'!D:D,MATCH(1409,'بيانات الحركات'!$G:$G,0)),"")</f>
        <v/>
      </c>
      <c r="E1410" s="21" t="str">
        <f>IF($B1410="إنتاج طبخة","",IFERROR(INDEX('بيانات الحركات'!E:E,MATCH(1409,'بيانات الحركات'!$G:$G,0)),""))</f>
        <v/>
      </c>
      <c r="F1410" s="3" t="str">
        <f>IFERROR(INDEX('بيانات الحركات'!F:F,MATCH(1409,'بيانات الحركات'!$G:$G,0)),"")</f>
        <v/>
      </c>
    </row>
    <row r="1411" spans="1:6" ht="21.95" customHeight="1">
      <c r="A1411" s="8" t="str">
        <f>IFERROR(INDEX('بيانات الحركات'!A:A,MATCH(1410,'بيانات الحركات'!$G:$G,0)),"")</f>
        <v/>
      </c>
      <c r="B1411" s="5" t="str">
        <f>IFERROR(INDEX('بيانات الحركات'!B:B,MATCH(1410,'بيانات الحركات'!$G:$G,0)),"")</f>
        <v/>
      </c>
      <c r="C1411" s="3" t="str">
        <f>IFERROR(INDEX('بيانات الحركات'!C:C,MATCH(1410,'بيانات الحركات'!$G:$G,0)),"")</f>
        <v/>
      </c>
      <c r="D1411" s="3" t="str">
        <f>IFERROR(INDEX('بيانات الحركات'!D:D,MATCH(1410,'بيانات الحركات'!$G:$G,0)),"")</f>
        <v/>
      </c>
      <c r="E1411" s="21" t="str">
        <f>IF($B1411="إنتاج طبخة","",IFERROR(INDEX('بيانات الحركات'!E:E,MATCH(1410,'بيانات الحركات'!$G:$G,0)),""))</f>
        <v/>
      </c>
      <c r="F1411" s="3" t="str">
        <f>IFERROR(INDEX('بيانات الحركات'!F:F,MATCH(1410,'بيانات الحركات'!$G:$G,0)),"")</f>
        <v/>
      </c>
    </row>
    <row r="1412" spans="1:6" ht="21.95" customHeight="1">
      <c r="A1412" s="8" t="str">
        <f>IFERROR(INDEX('بيانات الحركات'!A:A,MATCH(1411,'بيانات الحركات'!$G:$G,0)),"")</f>
        <v/>
      </c>
      <c r="B1412" s="5" t="str">
        <f>IFERROR(INDEX('بيانات الحركات'!B:B,MATCH(1411,'بيانات الحركات'!$G:$G,0)),"")</f>
        <v/>
      </c>
      <c r="C1412" s="3" t="str">
        <f>IFERROR(INDEX('بيانات الحركات'!C:C,MATCH(1411,'بيانات الحركات'!$G:$G,0)),"")</f>
        <v/>
      </c>
      <c r="D1412" s="3" t="str">
        <f>IFERROR(INDEX('بيانات الحركات'!D:D,MATCH(1411,'بيانات الحركات'!$G:$G,0)),"")</f>
        <v/>
      </c>
      <c r="E1412" s="21" t="str">
        <f>IF($B1412="إنتاج طبخة","",IFERROR(INDEX('بيانات الحركات'!E:E,MATCH(1411,'بيانات الحركات'!$G:$G,0)),""))</f>
        <v/>
      </c>
      <c r="F1412" s="3" t="str">
        <f>IFERROR(INDEX('بيانات الحركات'!F:F,MATCH(1411,'بيانات الحركات'!$G:$G,0)),"")</f>
        <v/>
      </c>
    </row>
    <row r="1413" spans="1:6" ht="21.95" customHeight="1">
      <c r="A1413" s="8" t="str">
        <f>IFERROR(INDEX('بيانات الحركات'!A:A,MATCH(1412,'بيانات الحركات'!$G:$G,0)),"")</f>
        <v/>
      </c>
      <c r="B1413" s="5" t="str">
        <f>IFERROR(INDEX('بيانات الحركات'!B:B,MATCH(1412,'بيانات الحركات'!$G:$G,0)),"")</f>
        <v/>
      </c>
      <c r="C1413" s="3" t="str">
        <f>IFERROR(INDEX('بيانات الحركات'!C:C,MATCH(1412,'بيانات الحركات'!$G:$G,0)),"")</f>
        <v/>
      </c>
      <c r="D1413" s="3" t="str">
        <f>IFERROR(INDEX('بيانات الحركات'!D:D,MATCH(1412,'بيانات الحركات'!$G:$G,0)),"")</f>
        <v/>
      </c>
      <c r="E1413" s="21" t="str">
        <f>IF($B1413="إنتاج طبخة","",IFERROR(INDEX('بيانات الحركات'!E:E,MATCH(1412,'بيانات الحركات'!$G:$G,0)),""))</f>
        <v/>
      </c>
      <c r="F1413" s="3" t="str">
        <f>IFERROR(INDEX('بيانات الحركات'!F:F,MATCH(1412,'بيانات الحركات'!$G:$G,0)),"")</f>
        <v/>
      </c>
    </row>
    <row r="1414" spans="1:6" ht="21.95" customHeight="1">
      <c r="A1414" s="8" t="str">
        <f>IFERROR(INDEX('بيانات الحركات'!A:A,MATCH(1413,'بيانات الحركات'!$G:$G,0)),"")</f>
        <v/>
      </c>
      <c r="B1414" s="5" t="str">
        <f>IFERROR(INDEX('بيانات الحركات'!B:B,MATCH(1413,'بيانات الحركات'!$G:$G,0)),"")</f>
        <v/>
      </c>
      <c r="C1414" s="3" t="str">
        <f>IFERROR(INDEX('بيانات الحركات'!C:C,MATCH(1413,'بيانات الحركات'!$G:$G,0)),"")</f>
        <v/>
      </c>
      <c r="D1414" s="3" t="str">
        <f>IFERROR(INDEX('بيانات الحركات'!D:D,MATCH(1413,'بيانات الحركات'!$G:$G,0)),"")</f>
        <v/>
      </c>
      <c r="E1414" s="21" t="str">
        <f>IF($B1414="إنتاج طبخة","",IFERROR(INDEX('بيانات الحركات'!E:E,MATCH(1413,'بيانات الحركات'!$G:$G,0)),""))</f>
        <v/>
      </c>
      <c r="F1414" s="3" t="str">
        <f>IFERROR(INDEX('بيانات الحركات'!F:F,MATCH(1413,'بيانات الحركات'!$G:$G,0)),"")</f>
        <v/>
      </c>
    </row>
    <row r="1415" spans="1:6" ht="21.95" customHeight="1">
      <c r="A1415" s="8" t="str">
        <f>IFERROR(INDEX('بيانات الحركات'!A:A,MATCH(1414,'بيانات الحركات'!$G:$G,0)),"")</f>
        <v/>
      </c>
      <c r="B1415" s="5" t="str">
        <f>IFERROR(INDEX('بيانات الحركات'!B:B,MATCH(1414,'بيانات الحركات'!$G:$G,0)),"")</f>
        <v/>
      </c>
      <c r="C1415" s="3" t="str">
        <f>IFERROR(INDEX('بيانات الحركات'!C:C,MATCH(1414,'بيانات الحركات'!$G:$G,0)),"")</f>
        <v/>
      </c>
      <c r="D1415" s="3" t="str">
        <f>IFERROR(INDEX('بيانات الحركات'!D:D,MATCH(1414,'بيانات الحركات'!$G:$G,0)),"")</f>
        <v/>
      </c>
      <c r="E1415" s="21" t="str">
        <f>IF($B1415="إنتاج طبخة","",IFERROR(INDEX('بيانات الحركات'!E:E,MATCH(1414,'بيانات الحركات'!$G:$G,0)),""))</f>
        <v/>
      </c>
      <c r="F1415" s="3" t="str">
        <f>IFERROR(INDEX('بيانات الحركات'!F:F,MATCH(1414,'بيانات الحركات'!$G:$G,0)),"")</f>
        <v/>
      </c>
    </row>
    <row r="1416" spans="1:6" ht="21.95" customHeight="1">
      <c r="A1416" s="8" t="str">
        <f>IFERROR(INDEX('بيانات الحركات'!A:A,MATCH(1415,'بيانات الحركات'!$G:$G,0)),"")</f>
        <v/>
      </c>
      <c r="B1416" s="5" t="str">
        <f>IFERROR(INDEX('بيانات الحركات'!B:B,MATCH(1415,'بيانات الحركات'!$G:$G,0)),"")</f>
        <v/>
      </c>
      <c r="C1416" s="3" t="str">
        <f>IFERROR(INDEX('بيانات الحركات'!C:C,MATCH(1415,'بيانات الحركات'!$G:$G,0)),"")</f>
        <v/>
      </c>
      <c r="D1416" s="3" t="str">
        <f>IFERROR(INDEX('بيانات الحركات'!D:D,MATCH(1415,'بيانات الحركات'!$G:$G,0)),"")</f>
        <v/>
      </c>
      <c r="E1416" s="21" t="str">
        <f>IF($B1416="إنتاج طبخة","",IFERROR(INDEX('بيانات الحركات'!E:E,MATCH(1415,'بيانات الحركات'!$G:$G,0)),""))</f>
        <v/>
      </c>
      <c r="F1416" s="3" t="str">
        <f>IFERROR(INDEX('بيانات الحركات'!F:F,MATCH(1415,'بيانات الحركات'!$G:$G,0)),"")</f>
        <v/>
      </c>
    </row>
    <row r="1417" spans="1:6" ht="21.95" customHeight="1">
      <c r="A1417" s="8" t="str">
        <f>IFERROR(INDEX('بيانات الحركات'!A:A,MATCH(1416,'بيانات الحركات'!$G:$G,0)),"")</f>
        <v/>
      </c>
      <c r="B1417" s="5" t="str">
        <f>IFERROR(INDEX('بيانات الحركات'!B:B,MATCH(1416,'بيانات الحركات'!$G:$G,0)),"")</f>
        <v/>
      </c>
      <c r="C1417" s="3" t="str">
        <f>IFERROR(INDEX('بيانات الحركات'!C:C,MATCH(1416,'بيانات الحركات'!$G:$G,0)),"")</f>
        <v/>
      </c>
      <c r="D1417" s="3" t="str">
        <f>IFERROR(INDEX('بيانات الحركات'!D:D,MATCH(1416,'بيانات الحركات'!$G:$G,0)),"")</f>
        <v/>
      </c>
      <c r="E1417" s="21" t="str">
        <f>IF($B1417="إنتاج طبخة","",IFERROR(INDEX('بيانات الحركات'!E:E,MATCH(1416,'بيانات الحركات'!$G:$G,0)),""))</f>
        <v/>
      </c>
      <c r="F1417" s="3" t="str">
        <f>IFERROR(INDEX('بيانات الحركات'!F:F,MATCH(1416,'بيانات الحركات'!$G:$G,0)),"")</f>
        <v/>
      </c>
    </row>
    <row r="1418" spans="1:6" ht="21.95" customHeight="1">
      <c r="A1418" s="8" t="str">
        <f>IFERROR(INDEX('بيانات الحركات'!A:A,MATCH(1417,'بيانات الحركات'!$G:$G,0)),"")</f>
        <v/>
      </c>
      <c r="B1418" s="5" t="str">
        <f>IFERROR(INDEX('بيانات الحركات'!B:B,MATCH(1417,'بيانات الحركات'!$G:$G,0)),"")</f>
        <v/>
      </c>
      <c r="C1418" s="3" t="str">
        <f>IFERROR(INDEX('بيانات الحركات'!C:C,MATCH(1417,'بيانات الحركات'!$G:$G,0)),"")</f>
        <v/>
      </c>
      <c r="D1418" s="3" t="str">
        <f>IFERROR(INDEX('بيانات الحركات'!D:D,MATCH(1417,'بيانات الحركات'!$G:$G,0)),"")</f>
        <v/>
      </c>
      <c r="E1418" s="21" t="str">
        <f>IF($B1418="إنتاج طبخة","",IFERROR(INDEX('بيانات الحركات'!E:E,MATCH(1417,'بيانات الحركات'!$G:$G,0)),""))</f>
        <v/>
      </c>
      <c r="F1418" s="3" t="str">
        <f>IFERROR(INDEX('بيانات الحركات'!F:F,MATCH(1417,'بيانات الحركات'!$G:$G,0)),"")</f>
        <v/>
      </c>
    </row>
    <row r="1419" spans="1:6" ht="21.95" customHeight="1">
      <c r="A1419" s="8" t="str">
        <f>IFERROR(INDEX('بيانات الحركات'!A:A,MATCH(1418,'بيانات الحركات'!$G:$G,0)),"")</f>
        <v/>
      </c>
      <c r="B1419" s="5" t="str">
        <f>IFERROR(INDEX('بيانات الحركات'!B:B,MATCH(1418,'بيانات الحركات'!$G:$G,0)),"")</f>
        <v/>
      </c>
      <c r="C1419" s="3" t="str">
        <f>IFERROR(INDEX('بيانات الحركات'!C:C,MATCH(1418,'بيانات الحركات'!$G:$G,0)),"")</f>
        <v/>
      </c>
      <c r="D1419" s="3" t="str">
        <f>IFERROR(INDEX('بيانات الحركات'!D:D,MATCH(1418,'بيانات الحركات'!$G:$G,0)),"")</f>
        <v/>
      </c>
      <c r="E1419" s="21" t="str">
        <f>IF($B1419="إنتاج طبخة","",IFERROR(INDEX('بيانات الحركات'!E:E,MATCH(1418,'بيانات الحركات'!$G:$G,0)),""))</f>
        <v/>
      </c>
      <c r="F1419" s="3" t="str">
        <f>IFERROR(INDEX('بيانات الحركات'!F:F,MATCH(1418,'بيانات الحركات'!$G:$G,0)),"")</f>
        <v/>
      </c>
    </row>
    <row r="1420" spans="1:6" ht="21.95" customHeight="1">
      <c r="A1420" s="8" t="str">
        <f>IFERROR(INDEX('بيانات الحركات'!A:A,MATCH(1419,'بيانات الحركات'!$G:$G,0)),"")</f>
        <v/>
      </c>
      <c r="B1420" s="5" t="str">
        <f>IFERROR(INDEX('بيانات الحركات'!B:B,MATCH(1419,'بيانات الحركات'!$G:$G,0)),"")</f>
        <v/>
      </c>
      <c r="C1420" s="3" t="str">
        <f>IFERROR(INDEX('بيانات الحركات'!C:C,MATCH(1419,'بيانات الحركات'!$G:$G,0)),"")</f>
        <v/>
      </c>
      <c r="D1420" s="3" t="str">
        <f>IFERROR(INDEX('بيانات الحركات'!D:D,MATCH(1419,'بيانات الحركات'!$G:$G,0)),"")</f>
        <v/>
      </c>
      <c r="E1420" s="21" t="str">
        <f>IF($B1420="إنتاج طبخة","",IFERROR(INDEX('بيانات الحركات'!E:E,MATCH(1419,'بيانات الحركات'!$G:$G,0)),""))</f>
        <v/>
      </c>
      <c r="F1420" s="3" t="str">
        <f>IFERROR(INDEX('بيانات الحركات'!F:F,MATCH(1419,'بيانات الحركات'!$G:$G,0)),"")</f>
        <v/>
      </c>
    </row>
    <row r="1421" spans="1:6" ht="21.95" customHeight="1">
      <c r="A1421" s="8" t="str">
        <f>IFERROR(INDEX('بيانات الحركات'!A:A,MATCH(1420,'بيانات الحركات'!$G:$G,0)),"")</f>
        <v/>
      </c>
      <c r="B1421" s="5" t="str">
        <f>IFERROR(INDEX('بيانات الحركات'!B:B,MATCH(1420,'بيانات الحركات'!$G:$G,0)),"")</f>
        <v/>
      </c>
      <c r="C1421" s="3" t="str">
        <f>IFERROR(INDEX('بيانات الحركات'!C:C,MATCH(1420,'بيانات الحركات'!$G:$G,0)),"")</f>
        <v/>
      </c>
      <c r="D1421" s="3" t="str">
        <f>IFERROR(INDEX('بيانات الحركات'!D:D,MATCH(1420,'بيانات الحركات'!$G:$G,0)),"")</f>
        <v/>
      </c>
      <c r="E1421" s="21" t="str">
        <f>IF($B1421="إنتاج طبخة","",IFERROR(INDEX('بيانات الحركات'!E:E,MATCH(1420,'بيانات الحركات'!$G:$G,0)),""))</f>
        <v/>
      </c>
      <c r="F1421" s="3" t="str">
        <f>IFERROR(INDEX('بيانات الحركات'!F:F,MATCH(1420,'بيانات الحركات'!$G:$G,0)),"")</f>
        <v/>
      </c>
    </row>
    <row r="1422" spans="1:6" ht="21.95" customHeight="1">
      <c r="A1422" s="8" t="str">
        <f>IFERROR(INDEX('بيانات الحركات'!A:A,MATCH(1421,'بيانات الحركات'!$G:$G,0)),"")</f>
        <v/>
      </c>
      <c r="B1422" s="5" t="str">
        <f>IFERROR(INDEX('بيانات الحركات'!B:B,MATCH(1421,'بيانات الحركات'!$G:$G,0)),"")</f>
        <v/>
      </c>
      <c r="C1422" s="3" t="str">
        <f>IFERROR(INDEX('بيانات الحركات'!C:C,MATCH(1421,'بيانات الحركات'!$G:$G,0)),"")</f>
        <v/>
      </c>
      <c r="D1422" s="3" t="str">
        <f>IFERROR(INDEX('بيانات الحركات'!D:D,MATCH(1421,'بيانات الحركات'!$G:$G,0)),"")</f>
        <v/>
      </c>
      <c r="E1422" s="21" t="str">
        <f>IF($B1422="إنتاج طبخة","",IFERROR(INDEX('بيانات الحركات'!E:E,MATCH(1421,'بيانات الحركات'!$G:$G,0)),""))</f>
        <v/>
      </c>
      <c r="F1422" s="3" t="str">
        <f>IFERROR(INDEX('بيانات الحركات'!F:F,MATCH(1421,'بيانات الحركات'!$G:$G,0)),"")</f>
        <v/>
      </c>
    </row>
    <row r="1423" spans="1:6" ht="21.95" customHeight="1">
      <c r="A1423" s="8" t="str">
        <f>IFERROR(INDEX('بيانات الحركات'!A:A,MATCH(1422,'بيانات الحركات'!$G:$G,0)),"")</f>
        <v/>
      </c>
      <c r="B1423" s="5" t="str">
        <f>IFERROR(INDEX('بيانات الحركات'!B:B,MATCH(1422,'بيانات الحركات'!$G:$G,0)),"")</f>
        <v/>
      </c>
      <c r="C1423" s="3" t="str">
        <f>IFERROR(INDEX('بيانات الحركات'!C:C,MATCH(1422,'بيانات الحركات'!$G:$G,0)),"")</f>
        <v/>
      </c>
      <c r="D1423" s="3" t="str">
        <f>IFERROR(INDEX('بيانات الحركات'!D:D,MATCH(1422,'بيانات الحركات'!$G:$G,0)),"")</f>
        <v/>
      </c>
      <c r="E1423" s="21" t="str">
        <f>IF($B1423="إنتاج طبخة","",IFERROR(INDEX('بيانات الحركات'!E:E,MATCH(1422,'بيانات الحركات'!$G:$G,0)),""))</f>
        <v/>
      </c>
      <c r="F1423" s="3" t="str">
        <f>IFERROR(INDEX('بيانات الحركات'!F:F,MATCH(1422,'بيانات الحركات'!$G:$G,0)),"")</f>
        <v/>
      </c>
    </row>
    <row r="1424" spans="1:6" ht="21.95" customHeight="1">
      <c r="A1424" s="8" t="str">
        <f>IFERROR(INDEX('بيانات الحركات'!A:A,MATCH(1423,'بيانات الحركات'!$G:$G,0)),"")</f>
        <v/>
      </c>
      <c r="B1424" s="5" t="str">
        <f>IFERROR(INDEX('بيانات الحركات'!B:B,MATCH(1423,'بيانات الحركات'!$G:$G,0)),"")</f>
        <v/>
      </c>
      <c r="C1424" s="3" t="str">
        <f>IFERROR(INDEX('بيانات الحركات'!C:C,MATCH(1423,'بيانات الحركات'!$G:$G,0)),"")</f>
        <v/>
      </c>
      <c r="D1424" s="3" t="str">
        <f>IFERROR(INDEX('بيانات الحركات'!D:D,MATCH(1423,'بيانات الحركات'!$G:$G,0)),"")</f>
        <v/>
      </c>
      <c r="E1424" s="21" t="str">
        <f>IF($B1424="إنتاج طبخة","",IFERROR(INDEX('بيانات الحركات'!E:E,MATCH(1423,'بيانات الحركات'!$G:$G,0)),""))</f>
        <v/>
      </c>
      <c r="F1424" s="3" t="str">
        <f>IFERROR(INDEX('بيانات الحركات'!F:F,MATCH(1423,'بيانات الحركات'!$G:$G,0)),"")</f>
        <v/>
      </c>
    </row>
    <row r="1425" spans="1:6" ht="21.95" customHeight="1">
      <c r="A1425" s="8" t="str">
        <f>IFERROR(INDEX('بيانات الحركات'!A:A,MATCH(1424,'بيانات الحركات'!$G:$G,0)),"")</f>
        <v/>
      </c>
      <c r="B1425" s="5" t="str">
        <f>IFERROR(INDEX('بيانات الحركات'!B:B,MATCH(1424,'بيانات الحركات'!$G:$G,0)),"")</f>
        <v/>
      </c>
      <c r="C1425" s="3" t="str">
        <f>IFERROR(INDEX('بيانات الحركات'!C:C,MATCH(1424,'بيانات الحركات'!$G:$G,0)),"")</f>
        <v/>
      </c>
      <c r="D1425" s="3" t="str">
        <f>IFERROR(INDEX('بيانات الحركات'!D:D,MATCH(1424,'بيانات الحركات'!$G:$G,0)),"")</f>
        <v/>
      </c>
      <c r="E1425" s="21" t="str">
        <f>IF($B1425="إنتاج طبخة","",IFERROR(INDEX('بيانات الحركات'!E:E,MATCH(1424,'بيانات الحركات'!$G:$G,0)),""))</f>
        <v/>
      </c>
      <c r="F1425" s="3" t="str">
        <f>IFERROR(INDEX('بيانات الحركات'!F:F,MATCH(1424,'بيانات الحركات'!$G:$G,0)),"")</f>
        <v/>
      </c>
    </row>
    <row r="1426" spans="1:6" ht="21.95" customHeight="1">
      <c r="A1426" s="8" t="str">
        <f>IFERROR(INDEX('بيانات الحركات'!A:A,MATCH(1425,'بيانات الحركات'!$G:$G,0)),"")</f>
        <v/>
      </c>
      <c r="B1426" s="5" t="str">
        <f>IFERROR(INDEX('بيانات الحركات'!B:B,MATCH(1425,'بيانات الحركات'!$G:$G,0)),"")</f>
        <v/>
      </c>
      <c r="C1426" s="3" t="str">
        <f>IFERROR(INDEX('بيانات الحركات'!C:C,MATCH(1425,'بيانات الحركات'!$G:$G,0)),"")</f>
        <v/>
      </c>
      <c r="D1426" s="3" t="str">
        <f>IFERROR(INDEX('بيانات الحركات'!D:D,MATCH(1425,'بيانات الحركات'!$G:$G,0)),"")</f>
        <v/>
      </c>
      <c r="E1426" s="21" t="str">
        <f>IF($B1426="إنتاج طبخة","",IFERROR(INDEX('بيانات الحركات'!E:E,MATCH(1425,'بيانات الحركات'!$G:$G,0)),""))</f>
        <v/>
      </c>
      <c r="F1426" s="3" t="str">
        <f>IFERROR(INDEX('بيانات الحركات'!F:F,MATCH(1425,'بيانات الحركات'!$G:$G,0)),"")</f>
        <v/>
      </c>
    </row>
    <row r="1427" spans="1:6" ht="21.95" customHeight="1">
      <c r="A1427" s="8" t="str">
        <f>IFERROR(INDEX('بيانات الحركات'!A:A,MATCH(1426,'بيانات الحركات'!$G:$G,0)),"")</f>
        <v/>
      </c>
      <c r="B1427" s="5" t="str">
        <f>IFERROR(INDEX('بيانات الحركات'!B:B,MATCH(1426,'بيانات الحركات'!$G:$G,0)),"")</f>
        <v/>
      </c>
      <c r="C1427" s="3" t="str">
        <f>IFERROR(INDEX('بيانات الحركات'!C:C,MATCH(1426,'بيانات الحركات'!$G:$G,0)),"")</f>
        <v/>
      </c>
      <c r="D1427" s="3" t="str">
        <f>IFERROR(INDEX('بيانات الحركات'!D:D,MATCH(1426,'بيانات الحركات'!$G:$G,0)),"")</f>
        <v/>
      </c>
      <c r="E1427" s="21" t="str">
        <f>IF($B1427="إنتاج طبخة","",IFERROR(INDEX('بيانات الحركات'!E:E,MATCH(1426,'بيانات الحركات'!$G:$G,0)),""))</f>
        <v/>
      </c>
      <c r="F1427" s="3" t="str">
        <f>IFERROR(INDEX('بيانات الحركات'!F:F,MATCH(1426,'بيانات الحركات'!$G:$G,0)),"")</f>
        <v/>
      </c>
    </row>
    <row r="1428" spans="1:6" ht="21.95" customHeight="1">
      <c r="A1428" s="8" t="str">
        <f>IFERROR(INDEX('بيانات الحركات'!A:A,MATCH(1427,'بيانات الحركات'!$G:$G,0)),"")</f>
        <v/>
      </c>
      <c r="B1428" s="5" t="str">
        <f>IFERROR(INDEX('بيانات الحركات'!B:B,MATCH(1427,'بيانات الحركات'!$G:$G,0)),"")</f>
        <v/>
      </c>
      <c r="C1428" s="3" t="str">
        <f>IFERROR(INDEX('بيانات الحركات'!C:C,MATCH(1427,'بيانات الحركات'!$G:$G,0)),"")</f>
        <v/>
      </c>
      <c r="D1428" s="3" t="str">
        <f>IFERROR(INDEX('بيانات الحركات'!D:D,MATCH(1427,'بيانات الحركات'!$G:$G,0)),"")</f>
        <v/>
      </c>
      <c r="E1428" s="21" t="str">
        <f>IF($B1428="إنتاج طبخة","",IFERROR(INDEX('بيانات الحركات'!E:E,MATCH(1427,'بيانات الحركات'!$G:$G,0)),""))</f>
        <v/>
      </c>
      <c r="F1428" s="3" t="str">
        <f>IFERROR(INDEX('بيانات الحركات'!F:F,MATCH(1427,'بيانات الحركات'!$G:$G,0)),"")</f>
        <v/>
      </c>
    </row>
    <row r="1429" spans="1:6" ht="21.95" customHeight="1">
      <c r="A1429" s="8" t="str">
        <f>IFERROR(INDEX('بيانات الحركات'!A:A,MATCH(1428,'بيانات الحركات'!$G:$G,0)),"")</f>
        <v/>
      </c>
      <c r="B1429" s="5" t="str">
        <f>IFERROR(INDEX('بيانات الحركات'!B:B,MATCH(1428,'بيانات الحركات'!$G:$G,0)),"")</f>
        <v/>
      </c>
      <c r="C1429" s="3" t="str">
        <f>IFERROR(INDEX('بيانات الحركات'!C:C,MATCH(1428,'بيانات الحركات'!$G:$G,0)),"")</f>
        <v/>
      </c>
      <c r="D1429" s="3" t="str">
        <f>IFERROR(INDEX('بيانات الحركات'!D:D,MATCH(1428,'بيانات الحركات'!$G:$G,0)),"")</f>
        <v/>
      </c>
      <c r="E1429" s="21" t="str">
        <f>IF($B1429="إنتاج طبخة","",IFERROR(INDEX('بيانات الحركات'!E:E,MATCH(1428,'بيانات الحركات'!$G:$G,0)),""))</f>
        <v/>
      </c>
      <c r="F1429" s="3" t="str">
        <f>IFERROR(INDEX('بيانات الحركات'!F:F,MATCH(1428,'بيانات الحركات'!$G:$G,0)),"")</f>
        <v/>
      </c>
    </row>
    <row r="1430" spans="1:6" ht="21.95" customHeight="1">
      <c r="A1430" s="8" t="str">
        <f>IFERROR(INDEX('بيانات الحركات'!A:A,MATCH(1429,'بيانات الحركات'!$G:$G,0)),"")</f>
        <v/>
      </c>
      <c r="B1430" s="5" t="str">
        <f>IFERROR(INDEX('بيانات الحركات'!B:B,MATCH(1429,'بيانات الحركات'!$G:$G,0)),"")</f>
        <v/>
      </c>
      <c r="C1430" s="3" t="str">
        <f>IFERROR(INDEX('بيانات الحركات'!C:C,MATCH(1429,'بيانات الحركات'!$G:$G,0)),"")</f>
        <v/>
      </c>
      <c r="D1430" s="3" t="str">
        <f>IFERROR(INDEX('بيانات الحركات'!D:D,MATCH(1429,'بيانات الحركات'!$G:$G,0)),"")</f>
        <v/>
      </c>
      <c r="E1430" s="21" t="str">
        <f>IF($B1430="إنتاج طبخة","",IFERROR(INDEX('بيانات الحركات'!E:E,MATCH(1429,'بيانات الحركات'!$G:$G,0)),""))</f>
        <v/>
      </c>
      <c r="F1430" s="3" t="str">
        <f>IFERROR(INDEX('بيانات الحركات'!F:F,MATCH(1429,'بيانات الحركات'!$G:$G,0)),"")</f>
        <v/>
      </c>
    </row>
    <row r="1431" spans="1:6" ht="21.95" customHeight="1">
      <c r="A1431" s="8" t="str">
        <f>IFERROR(INDEX('بيانات الحركات'!A:A,MATCH(1430,'بيانات الحركات'!$G:$G,0)),"")</f>
        <v/>
      </c>
      <c r="B1431" s="5" t="str">
        <f>IFERROR(INDEX('بيانات الحركات'!B:B,MATCH(1430,'بيانات الحركات'!$G:$G,0)),"")</f>
        <v/>
      </c>
      <c r="C1431" s="3" t="str">
        <f>IFERROR(INDEX('بيانات الحركات'!C:C,MATCH(1430,'بيانات الحركات'!$G:$G,0)),"")</f>
        <v/>
      </c>
      <c r="D1431" s="3" t="str">
        <f>IFERROR(INDEX('بيانات الحركات'!D:D,MATCH(1430,'بيانات الحركات'!$G:$G,0)),"")</f>
        <v/>
      </c>
      <c r="E1431" s="21" t="str">
        <f>IF($B1431="إنتاج طبخة","",IFERROR(INDEX('بيانات الحركات'!E:E,MATCH(1430,'بيانات الحركات'!$G:$G,0)),""))</f>
        <v/>
      </c>
      <c r="F1431" s="3" t="str">
        <f>IFERROR(INDEX('بيانات الحركات'!F:F,MATCH(1430,'بيانات الحركات'!$G:$G,0)),"")</f>
        <v/>
      </c>
    </row>
    <row r="1432" spans="1:6" ht="21.95" customHeight="1">
      <c r="A1432" s="8" t="str">
        <f>IFERROR(INDEX('بيانات الحركات'!A:A,MATCH(1431,'بيانات الحركات'!$G:$G,0)),"")</f>
        <v/>
      </c>
      <c r="B1432" s="5" t="str">
        <f>IFERROR(INDEX('بيانات الحركات'!B:B,MATCH(1431,'بيانات الحركات'!$G:$G,0)),"")</f>
        <v/>
      </c>
      <c r="C1432" s="3" t="str">
        <f>IFERROR(INDEX('بيانات الحركات'!C:C,MATCH(1431,'بيانات الحركات'!$G:$G,0)),"")</f>
        <v/>
      </c>
      <c r="D1432" s="3" t="str">
        <f>IFERROR(INDEX('بيانات الحركات'!D:D,MATCH(1431,'بيانات الحركات'!$G:$G,0)),"")</f>
        <v/>
      </c>
      <c r="E1432" s="21" t="str">
        <f>IF($B1432="إنتاج طبخة","",IFERROR(INDEX('بيانات الحركات'!E:E,MATCH(1431,'بيانات الحركات'!$G:$G,0)),""))</f>
        <v/>
      </c>
      <c r="F1432" s="3" t="str">
        <f>IFERROR(INDEX('بيانات الحركات'!F:F,MATCH(1431,'بيانات الحركات'!$G:$G,0)),"")</f>
        <v/>
      </c>
    </row>
    <row r="1433" spans="1:6" ht="21.95" customHeight="1">
      <c r="A1433" s="8" t="str">
        <f>IFERROR(INDEX('بيانات الحركات'!A:A,MATCH(1432,'بيانات الحركات'!$G:$G,0)),"")</f>
        <v/>
      </c>
      <c r="B1433" s="5" t="str">
        <f>IFERROR(INDEX('بيانات الحركات'!B:B,MATCH(1432,'بيانات الحركات'!$G:$G,0)),"")</f>
        <v/>
      </c>
      <c r="C1433" s="3" t="str">
        <f>IFERROR(INDEX('بيانات الحركات'!C:C,MATCH(1432,'بيانات الحركات'!$G:$G,0)),"")</f>
        <v/>
      </c>
      <c r="D1433" s="3" t="str">
        <f>IFERROR(INDEX('بيانات الحركات'!D:D,MATCH(1432,'بيانات الحركات'!$G:$G,0)),"")</f>
        <v/>
      </c>
      <c r="E1433" s="21" t="str">
        <f>IF($B1433="إنتاج طبخة","",IFERROR(INDEX('بيانات الحركات'!E:E,MATCH(1432,'بيانات الحركات'!$G:$G,0)),""))</f>
        <v/>
      </c>
      <c r="F1433" s="3" t="str">
        <f>IFERROR(INDEX('بيانات الحركات'!F:F,MATCH(1432,'بيانات الحركات'!$G:$G,0)),"")</f>
        <v/>
      </c>
    </row>
    <row r="1434" spans="1:6" ht="21.95" customHeight="1">
      <c r="A1434" s="8" t="str">
        <f>IFERROR(INDEX('بيانات الحركات'!A:A,MATCH(1433,'بيانات الحركات'!$G:$G,0)),"")</f>
        <v/>
      </c>
      <c r="B1434" s="5" t="str">
        <f>IFERROR(INDEX('بيانات الحركات'!B:B,MATCH(1433,'بيانات الحركات'!$G:$G,0)),"")</f>
        <v/>
      </c>
      <c r="C1434" s="3" t="str">
        <f>IFERROR(INDEX('بيانات الحركات'!C:C,MATCH(1433,'بيانات الحركات'!$G:$G,0)),"")</f>
        <v/>
      </c>
      <c r="D1434" s="3" t="str">
        <f>IFERROR(INDEX('بيانات الحركات'!D:D,MATCH(1433,'بيانات الحركات'!$G:$G,0)),"")</f>
        <v/>
      </c>
      <c r="E1434" s="21" t="str">
        <f>IF($B1434="إنتاج طبخة","",IFERROR(INDEX('بيانات الحركات'!E:E,MATCH(1433,'بيانات الحركات'!$G:$G,0)),""))</f>
        <v/>
      </c>
      <c r="F1434" s="3" t="str">
        <f>IFERROR(INDEX('بيانات الحركات'!F:F,MATCH(1433,'بيانات الحركات'!$G:$G,0)),"")</f>
        <v/>
      </c>
    </row>
    <row r="1435" spans="1:6" ht="21.95" customHeight="1">
      <c r="A1435" s="8" t="str">
        <f>IFERROR(INDEX('بيانات الحركات'!A:A,MATCH(1434,'بيانات الحركات'!$G:$G,0)),"")</f>
        <v/>
      </c>
      <c r="B1435" s="5" t="str">
        <f>IFERROR(INDEX('بيانات الحركات'!B:B,MATCH(1434,'بيانات الحركات'!$G:$G,0)),"")</f>
        <v/>
      </c>
      <c r="C1435" s="3" t="str">
        <f>IFERROR(INDEX('بيانات الحركات'!C:C,MATCH(1434,'بيانات الحركات'!$G:$G,0)),"")</f>
        <v/>
      </c>
      <c r="D1435" s="3" t="str">
        <f>IFERROR(INDEX('بيانات الحركات'!D:D,MATCH(1434,'بيانات الحركات'!$G:$G,0)),"")</f>
        <v/>
      </c>
      <c r="E1435" s="21" t="str">
        <f>IF($B1435="إنتاج طبخة","",IFERROR(INDEX('بيانات الحركات'!E:E,MATCH(1434,'بيانات الحركات'!$G:$G,0)),""))</f>
        <v/>
      </c>
      <c r="F1435" s="3" t="str">
        <f>IFERROR(INDEX('بيانات الحركات'!F:F,MATCH(1434,'بيانات الحركات'!$G:$G,0)),"")</f>
        <v/>
      </c>
    </row>
    <row r="1436" spans="1:6" ht="21.95" customHeight="1">
      <c r="A1436" s="8" t="str">
        <f>IFERROR(INDEX('بيانات الحركات'!A:A,MATCH(1435,'بيانات الحركات'!$G:$G,0)),"")</f>
        <v/>
      </c>
      <c r="B1436" s="5" t="str">
        <f>IFERROR(INDEX('بيانات الحركات'!B:B,MATCH(1435,'بيانات الحركات'!$G:$G,0)),"")</f>
        <v/>
      </c>
      <c r="C1436" s="3" t="str">
        <f>IFERROR(INDEX('بيانات الحركات'!C:C,MATCH(1435,'بيانات الحركات'!$G:$G,0)),"")</f>
        <v/>
      </c>
      <c r="D1436" s="3" t="str">
        <f>IFERROR(INDEX('بيانات الحركات'!D:D,MATCH(1435,'بيانات الحركات'!$G:$G,0)),"")</f>
        <v/>
      </c>
      <c r="E1436" s="21" t="str">
        <f>IF($B1436="إنتاج طبخة","",IFERROR(INDEX('بيانات الحركات'!E:E,MATCH(1435,'بيانات الحركات'!$G:$G,0)),""))</f>
        <v/>
      </c>
      <c r="F1436" s="3" t="str">
        <f>IFERROR(INDEX('بيانات الحركات'!F:F,MATCH(1435,'بيانات الحركات'!$G:$G,0)),"")</f>
        <v/>
      </c>
    </row>
    <row r="1437" spans="1:6" ht="21.95" customHeight="1">
      <c r="A1437" s="8" t="str">
        <f>IFERROR(INDEX('بيانات الحركات'!A:A,MATCH(1436,'بيانات الحركات'!$G:$G,0)),"")</f>
        <v/>
      </c>
      <c r="B1437" s="5" t="str">
        <f>IFERROR(INDEX('بيانات الحركات'!B:B,MATCH(1436,'بيانات الحركات'!$G:$G,0)),"")</f>
        <v/>
      </c>
      <c r="C1437" s="3" t="str">
        <f>IFERROR(INDEX('بيانات الحركات'!C:C,MATCH(1436,'بيانات الحركات'!$G:$G,0)),"")</f>
        <v/>
      </c>
      <c r="D1437" s="3" t="str">
        <f>IFERROR(INDEX('بيانات الحركات'!D:D,MATCH(1436,'بيانات الحركات'!$G:$G,0)),"")</f>
        <v/>
      </c>
      <c r="E1437" s="21" t="str">
        <f>IF($B1437="إنتاج طبخة","",IFERROR(INDEX('بيانات الحركات'!E:E,MATCH(1436,'بيانات الحركات'!$G:$G,0)),""))</f>
        <v/>
      </c>
      <c r="F1437" s="3" t="str">
        <f>IFERROR(INDEX('بيانات الحركات'!F:F,MATCH(1436,'بيانات الحركات'!$G:$G,0)),"")</f>
        <v/>
      </c>
    </row>
    <row r="1438" spans="1:6" ht="21.95" customHeight="1">
      <c r="A1438" s="8" t="str">
        <f>IFERROR(INDEX('بيانات الحركات'!A:A,MATCH(1437,'بيانات الحركات'!$G:$G,0)),"")</f>
        <v/>
      </c>
      <c r="B1438" s="5" t="str">
        <f>IFERROR(INDEX('بيانات الحركات'!B:B,MATCH(1437,'بيانات الحركات'!$G:$G,0)),"")</f>
        <v/>
      </c>
      <c r="C1438" s="3" t="str">
        <f>IFERROR(INDEX('بيانات الحركات'!C:C,MATCH(1437,'بيانات الحركات'!$G:$G,0)),"")</f>
        <v/>
      </c>
      <c r="D1438" s="3" t="str">
        <f>IFERROR(INDEX('بيانات الحركات'!D:D,MATCH(1437,'بيانات الحركات'!$G:$G,0)),"")</f>
        <v/>
      </c>
      <c r="E1438" s="21" t="str">
        <f>IF($B1438="إنتاج طبخة","",IFERROR(INDEX('بيانات الحركات'!E:E,MATCH(1437,'بيانات الحركات'!$G:$G,0)),""))</f>
        <v/>
      </c>
      <c r="F1438" s="3" t="str">
        <f>IFERROR(INDEX('بيانات الحركات'!F:F,MATCH(1437,'بيانات الحركات'!$G:$G,0)),"")</f>
        <v/>
      </c>
    </row>
    <row r="1439" spans="1:6" ht="21.95" customHeight="1">
      <c r="A1439" s="8" t="str">
        <f>IFERROR(INDEX('بيانات الحركات'!A:A,MATCH(1438,'بيانات الحركات'!$G:$G,0)),"")</f>
        <v/>
      </c>
      <c r="B1439" s="5" t="str">
        <f>IFERROR(INDEX('بيانات الحركات'!B:B,MATCH(1438,'بيانات الحركات'!$G:$G,0)),"")</f>
        <v/>
      </c>
      <c r="C1439" s="3" t="str">
        <f>IFERROR(INDEX('بيانات الحركات'!C:C,MATCH(1438,'بيانات الحركات'!$G:$G,0)),"")</f>
        <v/>
      </c>
      <c r="D1439" s="3" t="str">
        <f>IFERROR(INDEX('بيانات الحركات'!D:D,MATCH(1438,'بيانات الحركات'!$G:$G,0)),"")</f>
        <v/>
      </c>
      <c r="E1439" s="21" t="str">
        <f>IF($B1439="إنتاج طبخة","",IFERROR(INDEX('بيانات الحركات'!E:E,MATCH(1438,'بيانات الحركات'!$G:$G,0)),""))</f>
        <v/>
      </c>
      <c r="F1439" s="3" t="str">
        <f>IFERROR(INDEX('بيانات الحركات'!F:F,MATCH(1438,'بيانات الحركات'!$G:$G,0)),"")</f>
        <v/>
      </c>
    </row>
    <row r="1440" spans="1:6" ht="21.95" customHeight="1">
      <c r="A1440" s="8" t="str">
        <f>IFERROR(INDEX('بيانات الحركات'!A:A,MATCH(1439,'بيانات الحركات'!$G:$G,0)),"")</f>
        <v/>
      </c>
      <c r="B1440" s="5" t="str">
        <f>IFERROR(INDEX('بيانات الحركات'!B:B,MATCH(1439,'بيانات الحركات'!$G:$G,0)),"")</f>
        <v/>
      </c>
      <c r="C1440" s="3" t="str">
        <f>IFERROR(INDEX('بيانات الحركات'!C:C,MATCH(1439,'بيانات الحركات'!$G:$G,0)),"")</f>
        <v/>
      </c>
      <c r="D1440" s="3" t="str">
        <f>IFERROR(INDEX('بيانات الحركات'!D:D,MATCH(1439,'بيانات الحركات'!$G:$G,0)),"")</f>
        <v/>
      </c>
      <c r="E1440" s="21" t="str">
        <f>IF($B1440="إنتاج طبخة","",IFERROR(INDEX('بيانات الحركات'!E:E,MATCH(1439,'بيانات الحركات'!$G:$G,0)),""))</f>
        <v/>
      </c>
      <c r="F1440" s="3" t="str">
        <f>IFERROR(INDEX('بيانات الحركات'!F:F,MATCH(1439,'بيانات الحركات'!$G:$G,0)),"")</f>
        <v/>
      </c>
    </row>
    <row r="1441" spans="1:6" ht="21.95" customHeight="1">
      <c r="A1441" s="8" t="str">
        <f>IFERROR(INDEX('بيانات الحركات'!A:A,MATCH(1440,'بيانات الحركات'!$G:$G,0)),"")</f>
        <v/>
      </c>
      <c r="B1441" s="5" t="str">
        <f>IFERROR(INDEX('بيانات الحركات'!B:B,MATCH(1440,'بيانات الحركات'!$G:$G,0)),"")</f>
        <v/>
      </c>
      <c r="C1441" s="3" t="str">
        <f>IFERROR(INDEX('بيانات الحركات'!C:C,MATCH(1440,'بيانات الحركات'!$G:$G,0)),"")</f>
        <v/>
      </c>
      <c r="D1441" s="3" t="str">
        <f>IFERROR(INDEX('بيانات الحركات'!D:D,MATCH(1440,'بيانات الحركات'!$G:$G,0)),"")</f>
        <v/>
      </c>
      <c r="E1441" s="21" t="str">
        <f>IF($B1441="إنتاج طبخة","",IFERROR(INDEX('بيانات الحركات'!E:E,MATCH(1440,'بيانات الحركات'!$G:$G,0)),""))</f>
        <v/>
      </c>
      <c r="F1441" s="3" t="str">
        <f>IFERROR(INDEX('بيانات الحركات'!F:F,MATCH(1440,'بيانات الحركات'!$G:$G,0)),"")</f>
        <v/>
      </c>
    </row>
    <row r="1442" spans="1:6" ht="21.95" customHeight="1">
      <c r="A1442" s="8" t="str">
        <f>IFERROR(INDEX('بيانات الحركات'!A:A,MATCH(1441,'بيانات الحركات'!$G:$G,0)),"")</f>
        <v/>
      </c>
      <c r="B1442" s="5" t="str">
        <f>IFERROR(INDEX('بيانات الحركات'!B:B,MATCH(1441,'بيانات الحركات'!$G:$G,0)),"")</f>
        <v/>
      </c>
      <c r="C1442" s="3" t="str">
        <f>IFERROR(INDEX('بيانات الحركات'!C:C,MATCH(1441,'بيانات الحركات'!$G:$G,0)),"")</f>
        <v/>
      </c>
      <c r="D1442" s="3" t="str">
        <f>IFERROR(INDEX('بيانات الحركات'!D:D,MATCH(1441,'بيانات الحركات'!$G:$G,0)),"")</f>
        <v/>
      </c>
      <c r="E1442" s="21" t="str">
        <f>IF($B1442="إنتاج طبخة","",IFERROR(INDEX('بيانات الحركات'!E:E,MATCH(1441,'بيانات الحركات'!$G:$G,0)),""))</f>
        <v/>
      </c>
      <c r="F1442" s="3" t="str">
        <f>IFERROR(INDEX('بيانات الحركات'!F:F,MATCH(1441,'بيانات الحركات'!$G:$G,0)),"")</f>
        <v/>
      </c>
    </row>
    <row r="1443" spans="1:6" ht="21.95" customHeight="1">
      <c r="A1443" s="8" t="str">
        <f>IFERROR(INDEX('بيانات الحركات'!A:A,MATCH(1442,'بيانات الحركات'!$G:$G,0)),"")</f>
        <v/>
      </c>
      <c r="B1443" s="5" t="str">
        <f>IFERROR(INDEX('بيانات الحركات'!B:B,MATCH(1442,'بيانات الحركات'!$G:$G,0)),"")</f>
        <v/>
      </c>
      <c r="C1443" s="3" t="str">
        <f>IFERROR(INDEX('بيانات الحركات'!C:C,MATCH(1442,'بيانات الحركات'!$G:$G,0)),"")</f>
        <v/>
      </c>
      <c r="D1443" s="3" t="str">
        <f>IFERROR(INDEX('بيانات الحركات'!D:D,MATCH(1442,'بيانات الحركات'!$G:$G,0)),"")</f>
        <v/>
      </c>
      <c r="E1443" s="21" t="str">
        <f>IF($B1443="إنتاج طبخة","",IFERROR(INDEX('بيانات الحركات'!E:E,MATCH(1442,'بيانات الحركات'!$G:$G,0)),""))</f>
        <v/>
      </c>
      <c r="F1443" s="3" t="str">
        <f>IFERROR(INDEX('بيانات الحركات'!F:F,MATCH(1442,'بيانات الحركات'!$G:$G,0)),"")</f>
        <v/>
      </c>
    </row>
    <row r="1444" spans="1:6" ht="21.95" customHeight="1">
      <c r="A1444" s="8" t="str">
        <f>IFERROR(INDEX('بيانات الحركات'!A:A,MATCH(1443,'بيانات الحركات'!$G:$G,0)),"")</f>
        <v/>
      </c>
      <c r="B1444" s="5" t="str">
        <f>IFERROR(INDEX('بيانات الحركات'!B:B,MATCH(1443,'بيانات الحركات'!$G:$G,0)),"")</f>
        <v/>
      </c>
      <c r="C1444" s="3" t="str">
        <f>IFERROR(INDEX('بيانات الحركات'!C:C,MATCH(1443,'بيانات الحركات'!$G:$G,0)),"")</f>
        <v/>
      </c>
      <c r="D1444" s="3" t="str">
        <f>IFERROR(INDEX('بيانات الحركات'!D:D,MATCH(1443,'بيانات الحركات'!$G:$G,0)),"")</f>
        <v/>
      </c>
      <c r="E1444" s="21" t="str">
        <f>IF($B1444="إنتاج طبخة","",IFERROR(INDEX('بيانات الحركات'!E:E,MATCH(1443,'بيانات الحركات'!$G:$G,0)),""))</f>
        <v/>
      </c>
      <c r="F1444" s="3" t="str">
        <f>IFERROR(INDEX('بيانات الحركات'!F:F,MATCH(1443,'بيانات الحركات'!$G:$G,0)),"")</f>
        <v/>
      </c>
    </row>
    <row r="1445" spans="1:6" ht="21.95" customHeight="1">
      <c r="A1445" s="8" t="str">
        <f>IFERROR(INDEX('بيانات الحركات'!A:A,MATCH(1444,'بيانات الحركات'!$G:$G,0)),"")</f>
        <v/>
      </c>
      <c r="B1445" s="5" t="str">
        <f>IFERROR(INDEX('بيانات الحركات'!B:B,MATCH(1444,'بيانات الحركات'!$G:$G,0)),"")</f>
        <v/>
      </c>
      <c r="C1445" s="3" t="str">
        <f>IFERROR(INDEX('بيانات الحركات'!C:C,MATCH(1444,'بيانات الحركات'!$G:$G,0)),"")</f>
        <v/>
      </c>
      <c r="D1445" s="3" t="str">
        <f>IFERROR(INDEX('بيانات الحركات'!D:D,MATCH(1444,'بيانات الحركات'!$G:$G,0)),"")</f>
        <v/>
      </c>
      <c r="E1445" s="21" t="str">
        <f>IF($B1445="إنتاج طبخة","",IFERROR(INDEX('بيانات الحركات'!E:E,MATCH(1444,'بيانات الحركات'!$G:$G,0)),""))</f>
        <v/>
      </c>
      <c r="F1445" s="3" t="str">
        <f>IFERROR(INDEX('بيانات الحركات'!F:F,MATCH(1444,'بيانات الحركات'!$G:$G,0)),"")</f>
        <v/>
      </c>
    </row>
    <row r="1446" spans="1:6" ht="21.95" customHeight="1">
      <c r="A1446" s="8" t="str">
        <f>IFERROR(INDEX('بيانات الحركات'!A:A,MATCH(1445,'بيانات الحركات'!$G:$G,0)),"")</f>
        <v/>
      </c>
      <c r="B1446" s="5" t="str">
        <f>IFERROR(INDEX('بيانات الحركات'!B:B,MATCH(1445,'بيانات الحركات'!$G:$G,0)),"")</f>
        <v/>
      </c>
      <c r="C1446" s="3" t="str">
        <f>IFERROR(INDEX('بيانات الحركات'!C:C,MATCH(1445,'بيانات الحركات'!$G:$G,0)),"")</f>
        <v/>
      </c>
      <c r="D1446" s="3" t="str">
        <f>IFERROR(INDEX('بيانات الحركات'!D:D,MATCH(1445,'بيانات الحركات'!$G:$G,0)),"")</f>
        <v/>
      </c>
      <c r="E1446" s="21" t="str">
        <f>IF($B1446="إنتاج طبخة","",IFERROR(INDEX('بيانات الحركات'!E:E,MATCH(1445,'بيانات الحركات'!$G:$G,0)),""))</f>
        <v/>
      </c>
      <c r="F1446" s="3" t="str">
        <f>IFERROR(INDEX('بيانات الحركات'!F:F,MATCH(1445,'بيانات الحركات'!$G:$G,0)),"")</f>
        <v/>
      </c>
    </row>
    <row r="1447" spans="1:6" ht="21.95" customHeight="1">
      <c r="A1447" s="8" t="str">
        <f>IFERROR(INDEX('بيانات الحركات'!A:A,MATCH(1446,'بيانات الحركات'!$G:$G,0)),"")</f>
        <v/>
      </c>
      <c r="B1447" s="5" t="str">
        <f>IFERROR(INDEX('بيانات الحركات'!B:B,MATCH(1446,'بيانات الحركات'!$G:$G,0)),"")</f>
        <v/>
      </c>
      <c r="C1447" s="3" t="str">
        <f>IFERROR(INDEX('بيانات الحركات'!C:C,MATCH(1446,'بيانات الحركات'!$G:$G,0)),"")</f>
        <v/>
      </c>
      <c r="D1447" s="3" t="str">
        <f>IFERROR(INDEX('بيانات الحركات'!D:D,MATCH(1446,'بيانات الحركات'!$G:$G,0)),"")</f>
        <v/>
      </c>
      <c r="E1447" s="21" t="str">
        <f>IF($B1447="إنتاج طبخة","",IFERROR(INDEX('بيانات الحركات'!E:E,MATCH(1446,'بيانات الحركات'!$G:$G,0)),""))</f>
        <v/>
      </c>
      <c r="F1447" s="3" t="str">
        <f>IFERROR(INDEX('بيانات الحركات'!F:F,MATCH(1446,'بيانات الحركات'!$G:$G,0)),"")</f>
        <v/>
      </c>
    </row>
    <row r="1448" spans="1:6" ht="21.95" customHeight="1">
      <c r="A1448" s="8" t="str">
        <f>IFERROR(INDEX('بيانات الحركات'!A:A,MATCH(1447,'بيانات الحركات'!$G:$G,0)),"")</f>
        <v/>
      </c>
      <c r="B1448" s="5" t="str">
        <f>IFERROR(INDEX('بيانات الحركات'!B:B,MATCH(1447,'بيانات الحركات'!$G:$G,0)),"")</f>
        <v/>
      </c>
      <c r="C1448" s="3" t="str">
        <f>IFERROR(INDEX('بيانات الحركات'!C:C,MATCH(1447,'بيانات الحركات'!$G:$G,0)),"")</f>
        <v/>
      </c>
      <c r="D1448" s="3" t="str">
        <f>IFERROR(INDEX('بيانات الحركات'!D:D,MATCH(1447,'بيانات الحركات'!$G:$G,0)),"")</f>
        <v/>
      </c>
      <c r="E1448" s="21" t="str">
        <f>IF($B1448="إنتاج طبخة","",IFERROR(INDEX('بيانات الحركات'!E:E,MATCH(1447,'بيانات الحركات'!$G:$G,0)),""))</f>
        <v/>
      </c>
      <c r="F1448" s="3" t="str">
        <f>IFERROR(INDEX('بيانات الحركات'!F:F,MATCH(1447,'بيانات الحركات'!$G:$G,0)),"")</f>
        <v/>
      </c>
    </row>
    <row r="1449" spans="1:6" ht="21.95" customHeight="1">
      <c r="A1449" s="8" t="str">
        <f>IFERROR(INDEX('بيانات الحركات'!A:A,MATCH(1448,'بيانات الحركات'!$G:$G,0)),"")</f>
        <v/>
      </c>
      <c r="B1449" s="5" t="str">
        <f>IFERROR(INDEX('بيانات الحركات'!B:B,MATCH(1448,'بيانات الحركات'!$G:$G,0)),"")</f>
        <v/>
      </c>
      <c r="C1449" s="3" t="str">
        <f>IFERROR(INDEX('بيانات الحركات'!C:C,MATCH(1448,'بيانات الحركات'!$G:$G,0)),"")</f>
        <v/>
      </c>
      <c r="D1449" s="3" t="str">
        <f>IFERROR(INDEX('بيانات الحركات'!D:D,MATCH(1448,'بيانات الحركات'!$G:$G,0)),"")</f>
        <v/>
      </c>
      <c r="E1449" s="21" t="str">
        <f>IF($B1449="إنتاج طبخة","",IFERROR(INDEX('بيانات الحركات'!E:E,MATCH(1448,'بيانات الحركات'!$G:$G,0)),""))</f>
        <v/>
      </c>
      <c r="F1449" s="3" t="str">
        <f>IFERROR(INDEX('بيانات الحركات'!F:F,MATCH(1448,'بيانات الحركات'!$G:$G,0)),"")</f>
        <v/>
      </c>
    </row>
    <row r="1450" spans="1:6" ht="21.95" customHeight="1">
      <c r="A1450" s="8" t="str">
        <f>IFERROR(INDEX('بيانات الحركات'!A:A,MATCH(1449,'بيانات الحركات'!$G:$G,0)),"")</f>
        <v/>
      </c>
      <c r="B1450" s="5" t="str">
        <f>IFERROR(INDEX('بيانات الحركات'!B:B,MATCH(1449,'بيانات الحركات'!$G:$G,0)),"")</f>
        <v/>
      </c>
      <c r="C1450" s="3" t="str">
        <f>IFERROR(INDEX('بيانات الحركات'!C:C,MATCH(1449,'بيانات الحركات'!$G:$G,0)),"")</f>
        <v/>
      </c>
      <c r="D1450" s="3" t="str">
        <f>IFERROR(INDEX('بيانات الحركات'!D:D,MATCH(1449,'بيانات الحركات'!$G:$G,0)),"")</f>
        <v/>
      </c>
      <c r="E1450" s="21" t="str">
        <f>IF($B1450="إنتاج طبخة","",IFERROR(INDEX('بيانات الحركات'!E:E,MATCH(1449,'بيانات الحركات'!$G:$G,0)),""))</f>
        <v/>
      </c>
      <c r="F1450" s="3" t="str">
        <f>IFERROR(INDEX('بيانات الحركات'!F:F,MATCH(1449,'بيانات الحركات'!$G:$G,0)),"")</f>
        <v/>
      </c>
    </row>
    <row r="1451" spans="1:6" ht="21.95" customHeight="1">
      <c r="A1451" s="8" t="str">
        <f>IFERROR(INDEX('بيانات الحركات'!A:A,MATCH(1450,'بيانات الحركات'!$G:$G,0)),"")</f>
        <v/>
      </c>
      <c r="B1451" s="5" t="str">
        <f>IFERROR(INDEX('بيانات الحركات'!B:B,MATCH(1450,'بيانات الحركات'!$G:$G,0)),"")</f>
        <v/>
      </c>
      <c r="C1451" s="3" t="str">
        <f>IFERROR(INDEX('بيانات الحركات'!C:C,MATCH(1450,'بيانات الحركات'!$G:$G,0)),"")</f>
        <v/>
      </c>
      <c r="D1451" s="3" t="str">
        <f>IFERROR(INDEX('بيانات الحركات'!D:D,MATCH(1450,'بيانات الحركات'!$G:$G,0)),"")</f>
        <v/>
      </c>
      <c r="E1451" s="21" t="str">
        <f>IF($B1451="إنتاج طبخة","",IFERROR(INDEX('بيانات الحركات'!E:E,MATCH(1450,'بيانات الحركات'!$G:$G,0)),""))</f>
        <v/>
      </c>
      <c r="F1451" s="3" t="str">
        <f>IFERROR(INDEX('بيانات الحركات'!F:F,MATCH(1450,'بيانات الحركات'!$G:$G,0)),"")</f>
        <v/>
      </c>
    </row>
    <row r="1452" spans="1:6" ht="21.95" customHeight="1">
      <c r="A1452" s="8" t="str">
        <f>IFERROR(INDEX('بيانات الحركات'!A:A,MATCH(1451,'بيانات الحركات'!$G:$G,0)),"")</f>
        <v/>
      </c>
      <c r="B1452" s="5" t="str">
        <f>IFERROR(INDEX('بيانات الحركات'!B:B,MATCH(1451,'بيانات الحركات'!$G:$G,0)),"")</f>
        <v/>
      </c>
      <c r="C1452" s="3" t="str">
        <f>IFERROR(INDEX('بيانات الحركات'!C:C,MATCH(1451,'بيانات الحركات'!$G:$G,0)),"")</f>
        <v/>
      </c>
      <c r="D1452" s="3" t="str">
        <f>IFERROR(INDEX('بيانات الحركات'!D:D,MATCH(1451,'بيانات الحركات'!$G:$G,0)),"")</f>
        <v/>
      </c>
      <c r="E1452" s="21" t="str">
        <f>IF($B1452="إنتاج طبخة","",IFERROR(INDEX('بيانات الحركات'!E:E,MATCH(1451,'بيانات الحركات'!$G:$G,0)),""))</f>
        <v/>
      </c>
      <c r="F1452" s="3" t="str">
        <f>IFERROR(INDEX('بيانات الحركات'!F:F,MATCH(1451,'بيانات الحركات'!$G:$G,0)),"")</f>
        <v/>
      </c>
    </row>
    <row r="1453" spans="1:6" ht="21.95" customHeight="1">
      <c r="A1453" s="8" t="str">
        <f>IFERROR(INDEX('بيانات الحركات'!A:A,MATCH(1452,'بيانات الحركات'!$G:$G,0)),"")</f>
        <v/>
      </c>
      <c r="B1453" s="5" t="str">
        <f>IFERROR(INDEX('بيانات الحركات'!B:B,MATCH(1452,'بيانات الحركات'!$G:$G,0)),"")</f>
        <v/>
      </c>
      <c r="C1453" s="3" t="str">
        <f>IFERROR(INDEX('بيانات الحركات'!C:C,MATCH(1452,'بيانات الحركات'!$G:$G,0)),"")</f>
        <v/>
      </c>
      <c r="D1453" s="3" t="str">
        <f>IFERROR(INDEX('بيانات الحركات'!D:D,MATCH(1452,'بيانات الحركات'!$G:$G,0)),"")</f>
        <v/>
      </c>
      <c r="E1453" s="21" t="str">
        <f>IF($B1453="إنتاج طبخة","",IFERROR(INDEX('بيانات الحركات'!E:E,MATCH(1452,'بيانات الحركات'!$G:$G,0)),""))</f>
        <v/>
      </c>
      <c r="F1453" s="3" t="str">
        <f>IFERROR(INDEX('بيانات الحركات'!F:F,MATCH(1452,'بيانات الحركات'!$G:$G,0)),"")</f>
        <v/>
      </c>
    </row>
    <row r="1454" spans="1:6" ht="21.95" customHeight="1">
      <c r="A1454" s="8" t="str">
        <f>IFERROR(INDEX('بيانات الحركات'!A:A,MATCH(1453,'بيانات الحركات'!$G:$G,0)),"")</f>
        <v/>
      </c>
      <c r="B1454" s="5" t="str">
        <f>IFERROR(INDEX('بيانات الحركات'!B:B,MATCH(1453,'بيانات الحركات'!$G:$G,0)),"")</f>
        <v/>
      </c>
      <c r="C1454" s="3" t="str">
        <f>IFERROR(INDEX('بيانات الحركات'!C:C,MATCH(1453,'بيانات الحركات'!$G:$G,0)),"")</f>
        <v/>
      </c>
      <c r="D1454" s="3" t="str">
        <f>IFERROR(INDEX('بيانات الحركات'!D:D,MATCH(1453,'بيانات الحركات'!$G:$G,0)),"")</f>
        <v/>
      </c>
      <c r="E1454" s="21" t="str">
        <f>IF($B1454="إنتاج طبخة","",IFERROR(INDEX('بيانات الحركات'!E:E,MATCH(1453,'بيانات الحركات'!$G:$G,0)),""))</f>
        <v/>
      </c>
      <c r="F1454" s="3" t="str">
        <f>IFERROR(INDEX('بيانات الحركات'!F:F,MATCH(1453,'بيانات الحركات'!$G:$G,0)),"")</f>
        <v/>
      </c>
    </row>
    <row r="1455" spans="1:6" ht="21.95" customHeight="1">
      <c r="A1455" s="8" t="str">
        <f>IFERROR(INDEX('بيانات الحركات'!A:A,MATCH(1454,'بيانات الحركات'!$G:$G,0)),"")</f>
        <v/>
      </c>
      <c r="B1455" s="5" t="str">
        <f>IFERROR(INDEX('بيانات الحركات'!B:B,MATCH(1454,'بيانات الحركات'!$G:$G,0)),"")</f>
        <v/>
      </c>
      <c r="C1455" s="3" t="str">
        <f>IFERROR(INDEX('بيانات الحركات'!C:C,MATCH(1454,'بيانات الحركات'!$G:$G,0)),"")</f>
        <v/>
      </c>
      <c r="D1455" s="3" t="str">
        <f>IFERROR(INDEX('بيانات الحركات'!D:D,MATCH(1454,'بيانات الحركات'!$G:$G,0)),"")</f>
        <v/>
      </c>
      <c r="E1455" s="21" t="str">
        <f>IF($B1455="إنتاج طبخة","",IFERROR(INDEX('بيانات الحركات'!E:E,MATCH(1454,'بيانات الحركات'!$G:$G,0)),""))</f>
        <v/>
      </c>
      <c r="F1455" s="3" t="str">
        <f>IFERROR(INDEX('بيانات الحركات'!F:F,MATCH(1454,'بيانات الحركات'!$G:$G,0)),"")</f>
        <v/>
      </c>
    </row>
    <row r="1456" spans="1:6" ht="21.95" customHeight="1">
      <c r="A1456" s="8" t="str">
        <f>IFERROR(INDEX('بيانات الحركات'!A:A,MATCH(1455,'بيانات الحركات'!$G:$G,0)),"")</f>
        <v/>
      </c>
      <c r="B1456" s="5" t="str">
        <f>IFERROR(INDEX('بيانات الحركات'!B:B,MATCH(1455,'بيانات الحركات'!$G:$G,0)),"")</f>
        <v/>
      </c>
      <c r="C1456" s="3" t="str">
        <f>IFERROR(INDEX('بيانات الحركات'!C:C,MATCH(1455,'بيانات الحركات'!$G:$G,0)),"")</f>
        <v/>
      </c>
      <c r="D1456" s="3" t="str">
        <f>IFERROR(INDEX('بيانات الحركات'!D:D,MATCH(1455,'بيانات الحركات'!$G:$G,0)),"")</f>
        <v/>
      </c>
      <c r="E1456" s="21" t="str">
        <f>IF($B1456="إنتاج طبخة","",IFERROR(INDEX('بيانات الحركات'!E:E,MATCH(1455,'بيانات الحركات'!$G:$G,0)),""))</f>
        <v/>
      </c>
      <c r="F1456" s="3" t="str">
        <f>IFERROR(INDEX('بيانات الحركات'!F:F,MATCH(1455,'بيانات الحركات'!$G:$G,0)),"")</f>
        <v/>
      </c>
    </row>
    <row r="1457" spans="1:6" ht="21.95" customHeight="1">
      <c r="A1457" s="8" t="str">
        <f>IFERROR(INDEX('بيانات الحركات'!A:A,MATCH(1456,'بيانات الحركات'!$G:$G,0)),"")</f>
        <v/>
      </c>
      <c r="B1457" s="5" t="str">
        <f>IFERROR(INDEX('بيانات الحركات'!B:B,MATCH(1456,'بيانات الحركات'!$G:$G,0)),"")</f>
        <v/>
      </c>
      <c r="C1457" s="3" t="str">
        <f>IFERROR(INDEX('بيانات الحركات'!C:C,MATCH(1456,'بيانات الحركات'!$G:$G,0)),"")</f>
        <v/>
      </c>
      <c r="D1457" s="3" t="str">
        <f>IFERROR(INDEX('بيانات الحركات'!D:D,MATCH(1456,'بيانات الحركات'!$G:$G,0)),"")</f>
        <v/>
      </c>
      <c r="E1457" s="21" t="str">
        <f>IF($B1457="إنتاج طبخة","",IFERROR(INDEX('بيانات الحركات'!E:E,MATCH(1456,'بيانات الحركات'!$G:$G,0)),""))</f>
        <v/>
      </c>
      <c r="F1457" s="3" t="str">
        <f>IFERROR(INDEX('بيانات الحركات'!F:F,MATCH(1456,'بيانات الحركات'!$G:$G,0)),"")</f>
        <v/>
      </c>
    </row>
    <row r="1458" spans="1:6" ht="21.95" customHeight="1">
      <c r="A1458" s="8" t="str">
        <f>IFERROR(INDEX('بيانات الحركات'!A:A,MATCH(1457,'بيانات الحركات'!$G:$G,0)),"")</f>
        <v/>
      </c>
      <c r="B1458" s="5" t="str">
        <f>IFERROR(INDEX('بيانات الحركات'!B:B,MATCH(1457,'بيانات الحركات'!$G:$G,0)),"")</f>
        <v/>
      </c>
      <c r="C1458" s="3" t="str">
        <f>IFERROR(INDEX('بيانات الحركات'!C:C,MATCH(1457,'بيانات الحركات'!$G:$G,0)),"")</f>
        <v/>
      </c>
      <c r="D1458" s="3" t="str">
        <f>IFERROR(INDEX('بيانات الحركات'!D:D,MATCH(1457,'بيانات الحركات'!$G:$G,0)),"")</f>
        <v/>
      </c>
      <c r="E1458" s="21" t="str">
        <f>IF($B1458="إنتاج طبخة","",IFERROR(INDEX('بيانات الحركات'!E:E,MATCH(1457,'بيانات الحركات'!$G:$G,0)),""))</f>
        <v/>
      </c>
      <c r="F1458" s="3" t="str">
        <f>IFERROR(INDEX('بيانات الحركات'!F:F,MATCH(1457,'بيانات الحركات'!$G:$G,0)),"")</f>
        <v/>
      </c>
    </row>
    <row r="1459" spans="1:6" ht="21.95" customHeight="1">
      <c r="A1459" s="8" t="str">
        <f>IFERROR(INDEX('بيانات الحركات'!A:A,MATCH(1458,'بيانات الحركات'!$G:$G,0)),"")</f>
        <v/>
      </c>
      <c r="B1459" s="5" t="str">
        <f>IFERROR(INDEX('بيانات الحركات'!B:B,MATCH(1458,'بيانات الحركات'!$G:$G,0)),"")</f>
        <v/>
      </c>
      <c r="C1459" s="3" t="str">
        <f>IFERROR(INDEX('بيانات الحركات'!C:C,MATCH(1458,'بيانات الحركات'!$G:$G,0)),"")</f>
        <v/>
      </c>
      <c r="D1459" s="3" t="str">
        <f>IFERROR(INDEX('بيانات الحركات'!D:D,MATCH(1458,'بيانات الحركات'!$G:$G,0)),"")</f>
        <v/>
      </c>
      <c r="E1459" s="21" t="str">
        <f>IF($B1459="إنتاج طبخة","",IFERROR(INDEX('بيانات الحركات'!E:E,MATCH(1458,'بيانات الحركات'!$G:$G,0)),""))</f>
        <v/>
      </c>
      <c r="F1459" s="3" t="str">
        <f>IFERROR(INDEX('بيانات الحركات'!F:F,MATCH(1458,'بيانات الحركات'!$G:$G,0)),"")</f>
        <v/>
      </c>
    </row>
    <row r="1460" spans="1:6" ht="21.95" customHeight="1">
      <c r="A1460" s="8" t="str">
        <f>IFERROR(INDEX('بيانات الحركات'!A:A,MATCH(1459,'بيانات الحركات'!$G:$G,0)),"")</f>
        <v/>
      </c>
      <c r="B1460" s="5" t="str">
        <f>IFERROR(INDEX('بيانات الحركات'!B:B,MATCH(1459,'بيانات الحركات'!$G:$G,0)),"")</f>
        <v/>
      </c>
      <c r="C1460" s="3" t="str">
        <f>IFERROR(INDEX('بيانات الحركات'!C:C,MATCH(1459,'بيانات الحركات'!$G:$G,0)),"")</f>
        <v/>
      </c>
      <c r="D1460" s="3" t="str">
        <f>IFERROR(INDEX('بيانات الحركات'!D:D,MATCH(1459,'بيانات الحركات'!$G:$G,0)),"")</f>
        <v/>
      </c>
      <c r="E1460" s="21" t="str">
        <f>IF($B1460="إنتاج طبخة","",IFERROR(INDEX('بيانات الحركات'!E:E,MATCH(1459,'بيانات الحركات'!$G:$G,0)),""))</f>
        <v/>
      </c>
      <c r="F1460" s="3" t="str">
        <f>IFERROR(INDEX('بيانات الحركات'!F:F,MATCH(1459,'بيانات الحركات'!$G:$G,0)),"")</f>
        <v/>
      </c>
    </row>
    <row r="1461" spans="1:6" ht="21.95" customHeight="1">
      <c r="A1461" s="8" t="str">
        <f>IFERROR(INDEX('بيانات الحركات'!A:A,MATCH(1460,'بيانات الحركات'!$G:$G,0)),"")</f>
        <v/>
      </c>
      <c r="B1461" s="5" t="str">
        <f>IFERROR(INDEX('بيانات الحركات'!B:B,MATCH(1460,'بيانات الحركات'!$G:$G,0)),"")</f>
        <v/>
      </c>
      <c r="C1461" s="3" t="str">
        <f>IFERROR(INDEX('بيانات الحركات'!C:C,MATCH(1460,'بيانات الحركات'!$G:$G,0)),"")</f>
        <v/>
      </c>
      <c r="D1461" s="3" t="str">
        <f>IFERROR(INDEX('بيانات الحركات'!D:D,MATCH(1460,'بيانات الحركات'!$G:$G,0)),"")</f>
        <v/>
      </c>
      <c r="E1461" s="21" t="str">
        <f>IF($B1461="إنتاج طبخة","",IFERROR(INDEX('بيانات الحركات'!E:E,MATCH(1460,'بيانات الحركات'!$G:$G,0)),""))</f>
        <v/>
      </c>
      <c r="F1461" s="3" t="str">
        <f>IFERROR(INDEX('بيانات الحركات'!F:F,MATCH(1460,'بيانات الحركات'!$G:$G,0)),"")</f>
        <v/>
      </c>
    </row>
    <row r="1462" spans="1:6" ht="21.95" customHeight="1">
      <c r="A1462" s="8" t="str">
        <f>IFERROR(INDEX('بيانات الحركات'!A:A,MATCH(1461,'بيانات الحركات'!$G:$G,0)),"")</f>
        <v/>
      </c>
      <c r="B1462" s="5" t="str">
        <f>IFERROR(INDEX('بيانات الحركات'!B:B,MATCH(1461,'بيانات الحركات'!$G:$G,0)),"")</f>
        <v/>
      </c>
      <c r="C1462" s="3" t="str">
        <f>IFERROR(INDEX('بيانات الحركات'!C:C,MATCH(1461,'بيانات الحركات'!$G:$G,0)),"")</f>
        <v/>
      </c>
      <c r="D1462" s="3" t="str">
        <f>IFERROR(INDEX('بيانات الحركات'!D:D,MATCH(1461,'بيانات الحركات'!$G:$G,0)),"")</f>
        <v/>
      </c>
      <c r="E1462" s="21" t="str">
        <f>IF($B1462="إنتاج طبخة","",IFERROR(INDEX('بيانات الحركات'!E:E,MATCH(1461,'بيانات الحركات'!$G:$G,0)),""))</f>
        <v/>
      </c>
      <c r="F1462" s="3" t="str">
        <f>IFERROR(INDEX('بيانات الحركات'!F:F,MATCH(1461,'بيانات الحركات'!$G:$G,0)),"")</f>
        <v/>
      </c>
    </row>
    <row r="1463" spans="1:6" ht="21.95" customHeight="1">
      <c r="A1463" s="8" t="str">
        <f>IFERROR(INDEX('بيانات الحركات'!A:A,MATCH(1462,'بيانات الحركات'!$G:$G,0)),"")</f>
        <v/>
      </c>
      <c r="B1463" s="5" t="str">
        <f>IFERROR(INDEX('بيانات الحركات'!B:B,MATCH(1462,'بيانات الحركات'!$G:$G,0)),"")</f>
        <v/>
      </c>
      <c r="C1463" s="3" t="str">
        <f>IFERROR(INDEX('بيانات الحركات'!C:C,MATCH(1462,'بيانات الحركات'!$G:$G,0)),"")</f>
        <v/>
      </c>
      <c r="D1463" s="3" t="str">
        <f>IFERROR(INDEX('بيانات الحركات'!D:D,MATCH(1462,'بيانات الحركات'!$G:$G,0)),"")</f>
        <v/>
      </c>
      <c r="E1463" s="21" t="str">
        <f>IF($B1463="إنتاج طبخة","",IFERROR(INDEX('بيانات الحركات'!E:E,MATCH(1462,'بيانات الحركات'!$G:$G,0)),""))</f>
        <v/>
      </c>
      <c r="F1463" s="3" t="str">
        <f>IFERROR(INDEX('بيانات الحركات'!F:F,MATCH(1462,'بيانات الحركات'!$G:$G,0)),"")</f>
        <v/>
      </c>
    </row>
    <row r="1464" spans="1:6" ht="21.95" customHeight="1">
      <c r="A1464" s="8" t="str">
        <f>IFERROR(INDEX('بيانات الحركات'!A:A,MATCH(1463,'بيانات الحركات'!$G:$G,0)),"")</f>
        <v/>
      </c>
      <c r="B1464" s="5" t="str">
        <f>IFERROR(INDEX('بيانات الحركات'!B:B,MATCH(1463,'بيانات الحركات'!$G:$G,0)),"")</f>
        <v/>
      </c>
      <c r="C1464" s="3" t="str">
        <f>IFERROR(INDEX('بيانات الحركات'!C:C,MATCH(1463,'بيانات الحركات'!$G:$G,0)),"")</f>
        <v/>
      </c>
      <c r="D1464" s="3" t="str">
        <f>IFERROR(INDEX('بيانات الحركات'!D:D,MATCH(1463,'بيانات الحركات'!$G:$G,0)),"")</f>
        <v/>
      </c>
      <c r="E1464" s="21" t="str">
        <f>IF($B1464="إنتاج طبخة","",IFERROR(INDEX('بيانات الحركات'!E:E,MATCH(1463,'بيانات الحركات'!$G:$G,0)),""))</f>
        <v/>
      </c>
      <c r="F1464" s="3" t="str">
        <f>IFERROR(INDEX('بيانات الحركات'!F:F,MATCH(1463,'بيانات الحركات'!$G:$G,0)),"")</f>
        <v/>
      </c>
    </row>
    <row r="1465" spans="1:6" ht="21.95" customHeight="1">
      <c r="A1465" s="8" t="str">
        <f>IFERROR(INDEX('بيانات الحركات'!A:A,MATCH(1464,'بيانات الحركات'!$G:$G,0)),"")</f>
        <v/>
      </c>
      <c r="B1465" s="5" t="str">
        <f>IFERROR(INDEX('بيانات الحركات'!B:B,MATCH(1464,'بيانات الحركات'!$G:$G,0)),"")</f>
        <v/>
      </c>
      <c r="C1465" s="3" t="str">
        <f>IFERROR(INDEX('بيانات الحركات'!C:C,MATCH(1464,'بيانات الحركات'!$G:$G,0)),"")</f>
        <v/>
      </c>
      <c r="D1465" s="3" t="str">
        <f>IFERROR(INDEX('بيانات الحركات'!D:D,MATCH(1464,'بيانات الحركات'!$G:$G,0)),"")</f>
        <v/>
      </c>
      <c r="E1465" s="21" t="str">
        <f>IF($B1465="إنتاج طبخة","",IFERROR(INDEX('بيانات الحركات'!E:E,MATCH(1464,'بيانات الحركات'!$G:$G,0)),""))</f>
        <v/>
      </c>
      <c r="F1465" s="3" t="str">
        <f>IFERROR(INDEX('بيانات الحركات'!F:F,MATCH(1464,'بيانات الحركات'!$G:$G,0)),"")</f>
        <v/>
      </c>
    </row>
    <row r="1466" spans="1:6" ht="21.95" customHeight="1">
      <c r="A1466" s="8" t="str">
        <f>IFERROR(INDEX('بيانات الحركات'!A:A,MATCH(1465,'بيانات الحركات'!$G:$G,0)),"")</f>
        <v/>
      </c>
      <c r="B1466" s="5" t="str">
        <f>IFERROR(INDEX('بيانات الحركات'!B:B,MATCH(1465,'بيانات الحركات'!$G:$G,0)),"")</f>
        <v/>
      </c>
      <c r="C1466" s="3" t="str">
        <f>IFERROR(INDEX('بيانات الحركات'!C:C,MATCH(1465,'بيانات الحركات'!$G:$G,0)),"")</f>
        <v/>
      </c>
      <c r="D1466" s="3" t="str">
        <f>IFERROR(INDEX('بيانات الحركات'!D:D,MATCH(1465,'بيانات الحركات'!$G:$G,0)),"")</f>
        <v/>
      </c>
      <c r="E1466" s="21" t="str">
        <f>IF($B1466="إنتاج طبخة","",IFERROR(INDEX('بيانات الحركات'!E:E,MATCH(1465,'بيانات الحركات'!$G:$G,0)),""))</f>
        <v/>
      </c>
      <c r="F1466" s="3" t="str">
        <f>IFERROR(INDEX('بيانات الحركات'!F:F,MATCH(1465,'بيانات الحركات'!$G:$G,0)),"")</f>
        <v/>
      </c>
    </row>
    <row r="1467" spans="1:6" ht="21.95" customHeight="1">
      <c r="A1467" s="8" t="str">
        <f>IFERROR(INDEX('بيانات الحركات'!A:A,MATCH(1466,'بيانات الحركات'!$G:$G,0)),"")</f>
        <v/>
      </c>
      <c r="B1467" s="5" t="str">
        <f>IFERROR(INDEX('بيانات الحركات'!B:B,MATCH(1466,'بيانات الحركات'!$G:$G,0)),"")</f>
        <v/>
      </c>
      <c r="C1467" s="3" t="str">
        <f>IFERROR(INDEX('بيانات الحركات'!C:C,MATCH(1466,'بيانات الحركات'!$G:$G,0)),"")</f>
        <v/>
      </c>
      <c r="D1467" s="3" t="str">
        <f>IFERROR(INDEX('بيانات الحركات'!D:D,MATCH(1466,'بيانات الحركات'!$G:$G,0)),"")</f>
        <v/>
      </c>
      <c r="E1467" s="21" t="str">
        <f>IF($B1467="إنتاج طبخة","",IFERROR(INDEX('بيانات الحركات'!E:E,MATCH(1466,'بيانات الحركات'!$G:$G,0)),""))</f>
        <v/>
      </c>
      <c r="F1467" s="3" t="str">
        <f>IFERROR(INDEX('بيانات الحركات'!F:F,MATCH(1466,'بيانات الحركات'!$G:$G,0)),"")</f>
        <v/>
      </c>
    </row>
    <row r="1468" spans="1:6" ht="21.95" customHeight="1">
      <c r="A1468" s="8" t="str">
        <f>IFERROR(INDEX('بيانات الحركات'!A:A,MATCH(1467,'بيانات الحركات'!$G:$G,0)),"")</f>
        <v/>
      </c>
      <c r="B1468" s="5" t="str">
        <f>IFERROR(INDEX('بيانات الحركات'!B:B,MATCH(1467,'بيانات الحركات'!$G:$G,0)),"")</f>
        <v/>
      </c>
      <c r="C1468" s="3" t="str">
        <f>IFERROR(INDEX('بيانات الحركات'!C:C,MATCH(1467,'بيانات الحركات'!$G:$G,0)),"")</f>
        <v/>
      </c>
      <c r="D1468" s="3" t="str">
        <f>IFERROR(INDEX('بيانات الحركات'!D:D,MATCH(1467,'بيانات الحركات'!$G:$G,0)),"")</f>
        <v/>
      </c>
      <c r="E1468" s="21" t="str">
        <f>IF($B1468="إنتاج طبخة","",IFERROR(INDEX('بيانات الحركات'!E:E,MATCH(1467,'بيانات الحركات'!$G:$G,0)),""))</f>
        <v/>
      </c>
      <c r="F1468" s="3" t="str">
        <f>IFERROR(INDEX('بيانات الحركات'!F:F,MATCH(1467,'بيانات الحركات'!$G:$G,0)),"")</f>
        <v/>
      </c>
    </row>
    <row r="1469" spans="1:6" ht="21.95" customHeight="1">
      <c r="A1469" s="8" t="str">
        <f>IFERROR(INDEX('بيانات الحركات'!A:A,MATCH(1468,'بيانات الحركات'!$G:$G,0)),"")</f>
        <v/>
      </c>
      <c r="B1469" s="5" t="str">
        <f>IFERROR(INDEX('بيانات الحركات'!B:B,MATCH(1468,'بيانات الحركات'!$G:$G,0)),"")</f>
        <v/>
      </c>
      <c r="C1469" s="3" t="str">
        <f>IFERROR(INDEX('بيانات الحركات'!C:C,MATCH(1468,'بيانات الحركات'!$G:$G,0)),"")</f>
        <v/>
      </c>
      <c r="D1469" s="3" t="str">
        <f>IFERROR(INDEX('بيانات الحركات'!D:D,MATCH(1468,'بيانات الحركات'!$G:$G,0)),"")</f>
        <v/>
      </c>
      <c r="E1469" s="21" t="str">
        <f>IF($B1469="إنتاج طبخة","",IFERROR(INDEX('بيانات الحركات'!E:E,MATCH(1468,'بيانات الحركات'!$G:$G,0)),""))</f>
        <v/>
      </c>
      <c r="F1469" s="3" t="str">
        <f>IFERROR(INDEX('بيانات الحركات'!F:F,MATCH(1468,'بيانات الحركات'!$G:$G,0)),"")</f>
        <v/>
      </c>
    </row>
    <row r="1470" spans="1:6" ht="21.95" customHeight="1">
      <c r="A1470" s="8" t="str">
        <f>IFERROR(INDEX('بيانات الحركات'!A:A,MATCH(1469,'بيانات الحركات'!$G:$G,0)),"")</f>
        <v/>
      </c>
      <c r="B1470" s="5" t="str">
        <f>IFERROR(INDEX('بيانات الحركات'!B:B,MATCH(1469,'بيانات الحركات'!$G:$G,0)),"")</f>
        <v/>
      </c>
      <c r="C1470" s="3" t="str">
        <f>IFERROR(INDEX('بيانات الحركات'!C:C,MATCH(1469,'بيانات الحركات'!$G:$G,0)),"")</f>
        <v/>
      </c>
      <c r="D1470" s="3" t="str">
        <f>IFERROR(INDEX('بيانات الحركات'!D:D,MATCH(1469,'بيانات الحركات'!$G:$G,0)),"")</f>
        <v/>
      </c>
      <c r="E1470" s="21" t="str">
        <f>IF($B1470="إنتاج طبخة","",IFERROR(INDEX('بيانات الحركات'!E:E,MATCH(1469,'بيانات الحركات'!$G:$G,0)),""))</f>
        <v/>
      </c>
      <c r="F1470" s="3" t="str">
        <f>IFERROR(INDEX('بيانات الحركات'!F:F,MATCH(1469,'بيانات الحركات'!$G:$G,0)),"")</f>
        <v/>
      </c>
    </row>
    <row r="1471" spans="1:6" ht="21.95" customHeight="1">
      <c r="A1471" s="8" t="str">
        <f>IFERROR(INDEX('بيانات الحركات'!A:A,MATCH(1470,'بيانات الحركات'!$G:$G,0)),"")</f>
        <v/>
      </c>
      <c r="B1471" s="5" t="str">
        <f>IFERROR(INDEX('بيانات الحركات'!B:B,MATCH(1470,'بيانات الحركات'!$G:$G,0)),"")</f>
        <v/>
      </c>
      <c r="C1471" s="3" t="str">
        <f>IFERROR(INDEX('بيانات الحركات'!C:C,MATCH(1470,'بيانات الحركات'!$G:$G,0)),"")</f>
        <v/>
      </c>
      <c r="D1471" s="3" t="str">
        <f>IFERROR(INDEX('بيانات الحركات'!D:D,MATCH(1470,'بيانات الحركات'!$G:$G,0)),"")</f>
        <v/>
      </c>
      <c r="E1471" s="21" t="str">
        <f>IF($B1471="إنتاج طبخة","",IFERROR(INDEX('بيانات الحركات'!E:E,MATCH(1470,'بيانات الحركات'!$G:$G,0)),""))</f>
        <v/>
      </c>
      <c r="F1471" s="3" t="str">
        <f>IFERROR(INDEX('بيانات الحركات'!F:F,MATCH(1470,'بيانات الحركات'!$G:$G,0)),"")</f>
        <v/>
      </c>
    </row>
    <row r="1472" spans="1:6" ht="21.95" customHeight="1">
      <c r="A1472" s="8" t="str">
        <f>IFERROR(INDEX('بيانات الحركات'!A:A,MATCH(1471,'بيانات الحركات'!$G:$G,0)),"")</f>
        <v/>
      </c>
      <c r="B1472" s="5" t="str">
        <f>IFERROR(INDEX('بيانات الحركات'!B:B,MATCH(1471,'بيانات الحركات'!$G:$G,0)),"")</f>
        <v/>
      </c>
      <c r="C1472" s="3" t="str">
        <f>IFERROR(INDEX('بيانات الحركات'!C:C,MATCH(1471,'بيانات الحركات'!$G:$G,0)),"")</f>
        <v/>
      </c>
      <c r="D1472" s="3" t="str">
        <f>IFERROR(INDEX('بيانات الحركات'!D:D,MATCH(1471,'بيانات الحركات'!$G:$G,0)),"")</f>
        <v/>
      </c>
      <c r="E1472" s="21" t="str">
        <f>IF($B1472="إنتاج طبخة","",IFERROR(INDEX('بيانات الحركات'!E:E,MATCH(1471,'بيانات الحركات'!$G:$G,0)),""))</f>
        <v/>
      </c>
      <c r="F1472" s="3" t="str">
        <f>IFERROR(INDEX('بيانات الحركات'!F:F,MATCH(1471,'بيانات الحركات'!$G:$G,0)),"")</f>
        <v/>
      </c>
    </row>
    <row r="1473" spans="1:6" ht="21.95" customHeight="1">
      <c r="A1473" s="8" t="str">
        <f>IFERROR(INDEX('بيانات الحركات'!A:A,MATCH(1472,'بيانات الحركات'!$G:$G,0)),"")</f>
        <v/>
      </c>
      <c r="B1473" s="5" t="str">
        <f>IFERROR(INDEX('بيانات الحركات'!B:B,MATCH(1472,'بيانات الحركات'!$G:$G,0)),"")</f>
        <v/>
      </c>
      <c r="C1473" s="3" t="str">
        <f>IFERROR(INDEX('بيانات الحركات'!C:C,MATCH(1472,'بيانات الحركات'!$G:$G,0)),"")</f>
        <v/>
      </c>
      <c r="D1473" s="3" t="str">
        <f>IFERROR(INDEX('بيانات الحركات'!D:D,MATCH(1472,'بيانات الحركات'!$G:$G,0)),"")</f>
        <v/>
      </c>
      <c r="E1473" s="21" t="str">
        <f>IF($B1473="إنتاج طبخة","",IFERROR(INDEX('بيانات الحركات'!E:E,MATCH(1472,'بيانات الحركات'!$G:$G,0)),""))</f>
        <v/>
      </c>
      <c r="F1473" s="3" t="str">
        <f>IFERROR(INDEX('بيانات الحركات'!F:F,MATCH(1472,'بيانات الحركات'!$G:$G,0)),"")</f>
        <v/>
      </c>
    </row>
    <row r="1474" spans="1:6" ht="21.95" customHeight="1">
      <c r="A1474" s="8" t="str">
        <f>IFERROR(INDEX('بيانات الحركات'!A:A,MATCH(1473,'بيانات الحركات'!$G:$G,0)),"")</f>
        <v/>
      </c>
      <c r="B1474" s="5" t="str">
        <f>IFERROR(INDEX('بيانات الحركات'!B:B,MATCH(1473,'بيانات الحركات'!$G:$G,0)),"")</f>
        <v/>
      </c>
      <c r="C1474" s="3" t="str">
        <f>IFERROR(INDEX('بيانات الحركات'!C:C,MATCH(1473,'بيانات الحركات'!$G:$G,0)),"")</f>
        <v/>
      </c>
      <c r="D1474" s="3" t="str">
        <f>IFERROR(INDEX('بيانات الحركات'!D:D,MATCH(1473,'بيانات الحركات'!$G:$G,0)),"")</f>
        <v/>
      </c>
      <c r="E1474" s="21" t="str">
        <f>IF($B1474="إنتاج طبخة","",IFERROR(INDEX('بيانات الحركات'!E:E,MATCH(1473,'بيانات الحركات'!$G:$G,0)),""))</f>
        <v/>
      </c>
      <c r="F1474" s="3" t="str">
        <f>IFERROR(INDEX('بيانات الحركات'!F:F,MATCH(1473,'بيانات الحركات'!$G:$G,0)),"")</f>
        <v/>
      </c>
    </row>
    <row r="1475" spans="1:6" ht="21.95" customHeight="1">
      <c r="A1475" s="8" t="str">
        <f>IFERROR(INDEX('بيانات الحركات'!A:A,MATCH(1474,'بيانات الحركات'!$G:$G,0)),"")</f>
        <v/>
      </c>
      <c r="B1475" s="5" t="str">
        <f>IFERROR(INDEX('بيانات الحركات'!B:B,MATCH(1474,'بيانات الحركات'!$G:$G,0)),"")</f>
        <v/>
      </c>
      <c r="C1475" s="3" t="str">
        <f>IFERROR(INDEX('بيانات الحركات'!C:C,MATCH(1474,'بيانات الحركات'!$G:$G,0)),"")</f>
        <v/>
      </c>
      <c r="D1475" s="3" t="str">
        <f>IFERROR(INDEX('بيانات الحركات'!D:D,MATCH(1474,'بيانات الحركات'!$G:$G,0)),"")</f>
        <v/>
      </c>
      <c r="E1475" s="21" t="str">
        <f>IF($B1475="إنتاج طبخة","",IFERROR(INDEX('بيانات الحركات'!E:E,MATCH(1474,'بيانات الحركات'!$G:$G,0)),""))</f>
        <v/>
      </c>
      <c r="F1475" s="3" t="str">
        <f>IFERROR(INDEX('بيانات الحركات'!F:F,MATCH(1474,'بيانات الحركات'!$G:$G,0)),"")</f>
        <v/>
      </c>
    </row>
    <row r="1476" spans="1:6" ht="21.95" customHeight="1">
      <c r="A1476" s="8" t="str">
        <f>IFERROR(INDEX('بيانات الحركات'!A:A,MATCH(1475,'بيانات الحركات'!$G:$G,0)),"")</f>
        <v/>
      </c>
      <c r="B1476" s="5" t="str">
        <f>IFERROR(INDEX('بيانات الحركات'!B:B,MATCH(1475,'بيانات الحركات'!$G:$G,0)),"")</f>
        <v/>
      </c>
      <c r="C1476" s="3" t="str">
        <f>IFERROR(INDEX('بيانات الحركات'!C:C,MATCH(1475,'بيانات الحركات'!$G:$G,0)),"")</f>
        <v/>
      </c>
      <c r="D1476" s="3" t="str">
        <f>IFERROR(INDEX('بيانات الحركات'!D:D,MATCH(1475,'بيانات الحركات'!$G:$G,0)),"")</f>
        <v/>
      </c>
      <c r="E1476" s="21" t="str">
        <f>IF($B1476="إنتاج طبخة","",IFERROR(INDEX('بيانات الحركات'!E:E,MATCH(1475,'بيانات الحركات'!$G:$G,0)),""))</f>
        <v/>
      </c>
      <c r="F1476" s="3" t="str">
        <f>IFERROR(INDEX('بيانات الحركات'!F:F,MATCH(1475,'بيانات الحركات'!$G:$G,0)),"")</f>
        <v/>
      </c>
    </row>
    <row r="1477" spans="1:6" ht="21.95" customHeight="1">
      <c r="A1477" s="8" t="str">
        <f>IFERROR(INDEX('بيانات الحركات'!A:A,MATCH(1476,'بيانات الحركات'!$G:$G,0)),"")</f>
        <v/>
      </c>
      <c r="B1477" s="5" t="str">
        <f>IFERROR(INDEX('بيانات الحركات'!B:B,MATCH(1476,'بيانات الحركات'!$G:$G,0)),"")</f>
        <v/>
      </c>
      <c r="C1477" s="3" t="str">
        <f>IFERROR(INDEX('بيانات الحركات'!C:C,MATCH(1476,'بيانات الحركات'!$G:$G,0)),"")</f>
        <v/>
      </c>
      <c r="D1477" s="3" t="str">
        <f>IFERROR(INDEX('بيانات الحركات'!D:D,MATCH(1476,'بيانات الحركات'!$G:$G,0)),"")</f>
        <v/>
      </c>
      <c r="E1477" s="21" t="str">
        <f>IF($B1477="إنتاج طبخة","",IFERROR(INDEX('بيانات الحركات'!E:E,MATCH(1476,'بيانات الحركات'!$G:$G,0)),""))</f>
        <v/>
      </c>
      <c r="F1477" s="3" t="str">
        <f>IFERROR(INDEX('بيانات الحركات'!F:F,MATCH(1476,'بيانات الحركات'!$G:$G,0)),"")</f>
        <v/>
      </c>
    </row>
    <row r="1478" spans="1:6" ht="21.95" customHeight="1">
      <c r="A1478" s="8" t="str">
        <f>IFERROR(INDEX('بيانات الحركات'!A:A,MATCH(1477,'بيانات الحركات'!$G:$G,0)),"")</f>
        <v/>
      </c>
      <c r="B1478" s="5" t="str">
        <f>IFERROR(INDEX('بيانات الحركات'!B:B,MATCH(1477,'بيانات الحركات'!$G:$G,0)),"")</f>
        <v/>
      </c>
      <c r="C1478" s="3" t="str">
        <f>IFERROR(INDEX('بيانات الحركات'!C:C,MATCH(1477,'بيانات الحركات'!$G:$G,0)),"")</f>
        <v/>
      </c>
      <c r="D1478" s="3" t="str">
        <f>IFERROR(INDEX('بيانات الحركات'!D:D,MATCH(1477,'بيانات الحركات'!$G:$G,0)),"")</f>
        <v/>
      </c>
      <c r="E1478" s="21" t="str">
        <f>IF($B1478="إنتاج طبخة","",IFERROR(INDEX('بيانات الحركات'!E:E,MATCH(1477,'بيانات الحركات'!$G:$G,0)),""))</f>
        <v/>
      </c>
      <c r="F1478" s="3" t="str">
        <f>IFERROR(INDEX('بيانات الحركات'!F:F,MATCH(1477,'بيانات الحركات'!$G:$G,0)),"")</f>
        <v/>
      </c>
    </row>
    <row r="1479" spans="1:6" ht="21.95" customHeight="1">
      <c r="A1479" s="8" t="str">
        <f>IFERROR(INDEX('بيانات الحركات'!A:A,MATCH(1478,'بيانات الحركات'!$G:$G,0)),"")</f>
        <v/>
      </c>
      <c r="B1479" s="5" t="str">
        <f>IFERROR(INDEX('بيانات الحركات'!B:B,MATCH(1478,'بيانات الحركات'!$G:$G,0)),"")</f>
        <v/>
      </c>
      <c r="C1479" s="3" t="str">
        <f>IFERROR(INDEX('بيانات الحركات'!C:C,MATCH(1478,'بيانات الحركات'!$G:$G,0)),"")</f>
        <v/>
      </c>
      <c r="D1479" s="3" t="str">
        <f>IFERROR(INDEX('بيانات الحركات'!D:D,MATCH(1478,'بيانات الحركات'!$G:$G,0)),"")</f>
        <v/>
      </c>
      <c r="E1479" s="21" t="str">
        <f>IF($B1479="إنتاج طبخة","",IFERROR(INDEX('بيانات الحركات'!E:E,MATCH(1478,'بيانات الحركات'!$G:$G,0)),""))</f>
        <v/>
      </c>
      <c r="F1479" s="3" t="str">
        <f>IFERROR(INDEX('بيانات الحركات'!F:F,MATCH(1478,'بيانات الحركات'!$G:$G,0)),"")</f>
        <v/>
      </c>
    </row>
    <row r="1480" spans="1:6" ht="21.95" customHeight="1">
      <c r="A1480" s="8" t="str">
        <f>IFERROR(INDEX('بيانات الحركات'!A:A,MATCH(1479,'بيانات الحركات'!$G:$G,0)),"")</f>
        <v/>
      </c>
      <c r="B1480" s="5" t="str">
        <f>IFERROR(INDEX('بيانات الحركات'!B:B,MATCH(1479,'بيانات الحركات'!$G:$G,0)),"")</f>
        <v/>
      </c>
      <c r="C1480" s="3" t="str">
        <f>IFERROR(INDEX('بيانات الحركات'!C:C,MATCH(1479,'بيانات الحركات'!$G:$G,0)),"")</f>
        <v/>
      </c>
      <c r="D1480" s="3" t="str">
        <f>IFERROR(INDEX('بيانات الحركات'!D:D,MATCH(1479,'بيانات الحركات'!$G:$G,0)),"")</f>
        <v/>
      </c>
      <c r="E1480" s="21" t="str">
        <f>IF($B1480="إنتاج طبخة","",IFERROR(INDEX('بيانات الحركات'!E:E,MATCH(1479,'بيانات الحركات'!$G:$G,0)),""))</f>
        <v/>
      </c>
      <c r="F1480" s="3" t="str">
        <f>IFERROR(INDEX('بيانات الحركات'!F:F,MATCH(1479,'بيانات الحركات'!$G:$G,0)),"")</f>
        <v/>
      </c>
    </row>
    <row r="1481" spans="1:6" ht="21.95" customHeight="1">
      <c r="A1481" s="8" t="str">
        <f>IFERROR(INDEX('بيانات الحركات'!A:A,MATCH(1480,'بيانات الحركات'!$G:$G,0)),"")</f>
        <v/>
      </c>
      <c r="B1481" s="5" t="str">
        <f>IFERROR(INDEX('بيانات الحركات'!B:B,MATCH(1480,'بيانات الحركات'!$G:$G,0)),"")</f>
        <v/>
      </c>
      <c r="C1481" s="3" t="str">
        <f>IFERROR(INDEX('بيانات الحركات'!C:C,MATCH(1480,'بيانات الحركات'!$G:$G,0)),"")</f>
        <v/>
      </c>
      <c r="D1481" s="3" t="str">
        <f>IFERROR(INDEX('بيانات الحركات'!D:D,MATCH(1480,'بيانات الحركات'!$G:$G,0)),"")</f>
        <v/>
      </c>
      <c r="E1481" s="21" t="str">
        <f>IF($B1481="إنتاج طبخة","",IFERROR(INDEX('بيانات الحركات'!E:E,MATCH(1480,'بيانات الحركات'!$G:$G,0)),""))</f>
        <v/>
      </c>
      <c r="F1481" s="3" t="str">
        <f>IFERROR(INDEX('بيانات الحركات'!F:F,MATCH(1480,'بيانات الحركات'!$G:$G,0)),"")</f>
        <v/>
      </c>
    </row>
    <row r="1482" spans="1:6" ht="21.95" customHeight="1">
      <c r="A1482" s="8" t="str">
        <f>IFERROR(INDEX('بيانات الحركات'!A:A,MATCH(1481,'بيانات الحركات'!$G:$G,0)),"")</f>
        <v/>
      </c>
      <c r="B1482" s="5" t="str">
        <f>IFERROR(INDEX('بيانات الحركات'!B:B,MATCH(1481,'بيانات الحركات'!$G:$G,0)),"")</f>
        <v/>
      </c>
      <c r="C1482" s="3" t="str">
        <f>IFERROR(INDEX('بيانات الحركات'!C:C,MATCH(1481,'بيانات الحركات'!$G:$G,0)),"")</f>
        <v/>
      </c>
      <c r="D1482" s="3" t="str">
        <f>IFERROR(INDEX('بيانات الحركات'!D:D,MATCH(1481,'بيانات الحركات'!$G:$G,0)),"")</f>
        <v/>
      </c>
      <c r="E1482" s="21" t="str">
        <f>IF($B1482="إنتاج طبخة","",IFERROR(INDEX('بيانات الحركات'!E:E,MATCH(1481,'بيانات الحركات'!$G:$G,0)),""))</f>
        <v/>
      </c>
      <c r="F1482" s="3" t="str">
        <f>IFERROR(INDEX('بيانات الحركات'!F:F,MATCH(1481,'بيانات الحركات'!$G:$G,0)),"")</f>
        <v/>
      </c>
    </row>
    <row r="1483" spans="1:6" ht="21.95" customHeight="1">
      <c r="A1483" s="8" t="str">
        <f>IFERROR(INDEX('بيانات الحركات'!A:A,MATCH(1482,'بيانات الحركات'!$G:$G,0)),"")</f>
        <v/>
      </c>
      <c r="B1483" s="5" t="str">
        <f>IFERROR(INDEX('بيانات الحركات'!B:B,MATCH(1482,'بيانات الحركات'!$G:$G,0)),"")</f>
        <v/>
      </c>
      <c r="C1483" s="3" t="str">
        <f>IFERROR(INDEX('بيانات الحركات'!C:C,MATCH(1482,'بيانات الحركات'!$G:$G,0)),"")</f>
        <v/>
      </c>
      <c r="D1483" s="3" t="str">
        <f>IFERROR(INDEX('بيانات الحركات'!D:D,MATCH(1482,'بيانات الحركات'!$G:$G,0)),"")</f>
        <v/>
      </c>
      <c r="E1483" s="21" t="str">
        <f>IF($B1483="إنتاج طبخة","",IFERROR(INDEX('بيانات الحركات'!E:E,MATCH(1482,'بيانات الحركات'!$G:$G,0)),""))</f>
        <v/>
      </c>
      <c r="F1483" s="3" t="str">
        <f>IFERROR(INDEX('بيانات الحركات'!F:F,MATCH(1482,'بيانات الحركات'!$G:$G,0)),"")</f>
        <v/>
      </c>
    </row>
    <row r="1484" spans="1:6" ht="21.95" customHeight="1">
      <c r="A1484" s="8" t="str">
        <f>IFERROR(INDEX('بيانات الحركات'!A:A,MATCH(1483,'بيانات الحركات'!$G:$G,0)),"")</f>
        <v/>
      </c>
      <c r="B1484" s="5" t="str">
        <f>IFERROR(INDEX('بيانات الحركات'!B:B,MATCH(1483,'بيانات الحركات'!$G:$G,0)),"")</f>
        <v/>
      </c>
      <c r="C1484" s="3" t="str">
        <f>IFERROR(INDEX('بيانات الحركات'!C:C,MATCH(1483,'بيانات الحركات'!$G:$G,0)),"")</f>
        <v/>
      </c>
      <c r="D1484" s="3" t="str">
        <f>IFERROR(INDEX('بيانات الحركات'!D:D,MATCH(1483,'بيانات الحركات'!$G:$G,0)),"")</f>
        <v/>
      </c>
      <c r="E1484" s="21" t="str">
        <f>IF($B1484="إنتاج طبخة","",IFERROR(INDEX('بيانات الحركات'!E:E,MATCH(1483,'بيانات الحركات'!$G:$G,0)),""))</f>
        <v/>
      </c>
      <c r="F1484" s="3" t="str">
        <f>IFERROR(INDEX('بيانات الحركات'!F:F,MATCH(1483,'بيانات الحركات'!$G:$G,0)),"")</f>
        <v/>
      </c>
    </row>
    <row r="1485" spans="1:6" ht="21.95" customHeight="1">
      <c r="A1485" s="8" t="str">
        <f>IFERROR(INDEX('بيانات الحركات'!A:A,MATCH(1484,'بيانات الحركات'!$G:$G,0)),"")</f>
        <v/>
      </c>
      <c r="B1485" s="5" t="str">
        <f>IFERROR(INDEX('بيانات الحركات'!B:B,MATCH(1484,'بيانات الحركات'!$G:$G,0)),"")</f>
        <v/>
      </c>
      <c r="C1485" s="3" t="str">
        <f>IFERROR(INDEX('بيانات الحركات'!C:C,MATCH(1484,'بيانات الحركات'!$G:$G,0)),"")</f>
        <v/>
      </c>
      <c r="D1485" s="3" t="str">
        <f>IFERROR(INDEX('بيانات الحركات'!D:D,MATCH(1484,'بيانات الحركات'!$G:$G,0)),"")</f>
        <v/>
      </c>
      <c r="E1485" s="21" t="str">
        <f>IF($B1485="إنتاج طبخة","",IFERROR(INDEX('بيانات الحركات'!E:E,MATCH(1484,'بيانات الحركات'!$G:$G,0)),""))</f>
        <v/>
      </c>
      <c r="F1485" s="3" t="str">
        <f>IFERROR(INDEX('بيانات الحركات'!F:F,MATCH(1484,'بيانات الحركات'!$G:$G,0)),"")</f>
        <v/>
      </c>
    </row>
    <row r="1486" spans="1:6" ht="21.95" customHeight="1">
      <c r="A1486" s="8" t="str">
        <f>IFERROR(INDEX('بيانات الحركات'!A:A,MATCH(1485,'بيانات الحركات'!$G:$G,0)),"")</f>
        <v/>
      </c>
      <c r="B1486" s="5" t="str">
        <f>IFERROR(INDEX('بيانات الحركات'!B:B,MATCH(1485,'بيانات الحركات'!$G:$G,0)),"")</f>
        <v/>
      </c>
      <c r="C1486" s="3" t="str">
        <f>IFERROR(INDEX('بيانات الحركات'!C:C,MATCH(1485,'بيانات الحركات'!$G:$G,0)),"")</f>
        <v/>
      </c>
      <c r="D1486" s="3" t="str">
        <f>IFERROR(INDEX('بيانات الحركات'!D:D,MATCH(1485,'بيانات الحركات'!$G:$G,0)),"")</f>
        <v/>
      </c>
      <c r="E1486" s="21" t="str">
        <f>IF($B1486="إنتاج طبخة","",IFERROR(INDEX('بيانات الحركات'!E:E,MATCH(1485,'بيانات الحركات'!$G:$G,0)),""))</f>
        <v/>
      </c>
      <c r="F1486" s="3" t="str">
        <f>IFERROR(INDEX('بيانات الحركات'!F:F,MATCH(1485,'بيانات الحركات'!$G:$G,0)),"")</f>
        <v/>
      </c>
    </row>
    <row r="1487" spans="1:6" ht="21.95" customHeight="1">
      <c r="A1487" s="8" t="str">
        <f>IFERROR(INDEX('بيانات الحركات'!A:A,MATCH(1486,'بيانات الحركات'!$G:$G,0)),"")</f>
        <v/>
      </c>
      <c r="B1487" s="5" t="str">
        <f>IFERROR(INDEX('بيانات الحركات'!B:B,MATCH(1486,'بيانات الحركات'!$G:$G,0)),"")</f>
        <v/>
      </c>
      <c r="C1487" s="3" t="str">
        <f>IFERROR(INDEX('بيانات الحركات'!C:C,MATCH(1486,'بيانات الحركات'!$G:$G,0)),"")</f>
        <v/>
      </c>
      <c r="D1487" s="3" t="str">
        <f>IFERROR(INDEX('بيانات الحركات'!D:D,MATCH(1486,'بيانات الحركات'!$G:$G,0)),"")</f>
        <v/>
      </c>
      <c r="E1487" s="21" t="str">
        <f>IF($B1487="إنتاج طبخة","",IFERROR(INDEX('بيانات الحركات'!E:E,MATCH(1486,'بيانات الحركات'!$G:$G,0)),""))</f>
        <v/>
      </c>
      <c r="F1487" s="3" t="str">
        <f>IFERROR(INDEX('بيانات الحركات'!F:F,MATCH(1486,'بيانات الحركات'!$G:$G,0)),"")</f>
        <v/>
      </c>
    </row>
    <row r="1488" spans="1:6" ht="21.95" customHeight="1">
      <c r="A1488" s="8" t="str">
        <f>IFERROR(INDEX('بيانات الحركات'!A:A,MATCH(1487,'بيانات الحركات'!$G:$G,0)),"")</f>
        <v/>
      </c>
      <c r="B1488" s="5" t="str">
        <f>IFERROR(INDEX('بيانات الحركات'!B:B,MATCH(1487,'بيانات الحركات'!$G:$G,0)),"")</f>
        <v/>
      </c>
      <c r="C1488" s="3" t="str">
        <f>IFERROR(INDEX('بيانات الحركات'!C:C,MATCH(1487,'بيانات الحركات'!$G:$G,0)),"")</f>
        <v/>
      </c>
      <c r="D1488" s="3" t="str">
        <f>IFERROR(INDEX('بيانات الحركات'!D:D,MATCH(1487,'بيانات الحركات'!$G:$G,0)),"")</f>
        <v/>
      </c>
      <c r="E1488" s="21" t="str">
        <f>IF($B1488="إنتاج طبخة","",IFERROR(INDEX('بيانات الحركات'!E:E,MATCH(1487,'بيانات الحركات'!$G:$G,0)),""))</f>
        <v/>
      </c>
      <c r="F1488" s="3" t="str">
        <f>IFERROR(INDEX('بيانات الحركات'!F:F,MATCH(1487,'بيانات الحركات'!$G:$G,0)),"")</f>
        <v/>
      </c>
    </row>
    <row r="1489" spans="1:6" ht="21.95" customHeight="1">
      <c r="A1489" s="8" t="str">
        <f>IFERROR(INDEX('بيانات الحركات'!A:A,MATCH(1488,'بيانات الحركات'!$G:$G,0)),"")</f>
        <v/>
      </c>
      <c r="B1489" s="5" t="str">
        <f>IFERROR(INDEX('بيانات الحركات'!B:B,MATCH(1488,'بيانات الحركات'!$G:$G,0)),"")</f>
        <v/>
      </c>
      <c r="C1489" s="3" t="str">
        <f>IFERROR(INDEX('بيانات الحركات'!C:C,MATCH(1488,'بيانات الحركات'!$G:$G,0)),"")</f>
        <v/>
      </c>
      <c r="D1489" s="3" t="str">
        <f>IFERROR(INDEX('بيانات الحركات'!D:D,MATCH(1488,'بيانات الحركات'!$G:$G,0)),"")</f>
        <v/>
      </c>
      <c r="E1489" s="21" t="str">
        <f>IF($B1489="إنتاج طبخة","",IFERROR(INDEX('بيانات الحركات'!E:E,MATCH(1488,'بيانات الحركات'!$G:$G,0)),""))</f>
        <v/>
      </c>
      <c r="F1489" s="3" t="str">
        <f>IFERROR(INDEX('بيانات الحركات'!F:F,MATCH(1488,'بيانات الحركات'!$G:$G,0)),"")</f>
        <v/>
      </c>
    </row>
    <row r="1490" spans="1:6" ht="21.95" customHeight="1">
      <c r="A1490" s="8" t="str">
        <f>IFERROR(INDEX('بيانات الحركات'!A:A,MATCH(1489,'بيانات الحركات'!$G:$G,0)),"")</f>
        <v/>
      </c>
      <c r="B1490" s="5" t="str">
        <f>IFERROR(INDEX('بيانات الحركات'!B:B,MATCH(1489,'بيانات الحركات'!$G:$G,0)),"")</f>
        <v/>
      </c>
      <c r="C1490" s="3" t="str">
        <f>IFERROR(INDEX('بيانات الحركات'!C:C,MATCH(1489,'بيانات الحركات'!$G:$G,0)),"")</f>
        <v/>
      </c>
      <c r="D1490" s="3" t="str">
        <f>IFERROR(INDEX('بيانات الحركات'!D:D,MATCH(1489,'بيانات الحركات'!$G:$G,0)),"")</f>
        <v/>
      </c>
      <c r="E1490" s="21" t="str">
        <f>IF($B1490="إنتاج طبخة","",IFERROR(INDEX('بيانات الحركات'!E:E,MATCH(1489,'بيانات الحركات'!$G:$G,0)),""))</f>
        <v/>
      </c>
      <c r="F1490" s="3" t="str">
        <f>IFERROR(INDEX('بيانات الحركات'!F:F,MATCH(1489,'بيانات الحركات'!$G:$G,0)),"")</f>
        <v/>
      </c>
    </row>
    <row r="1491" spans="1:6" ht="21.95" customHeight="1">
      <c r="A1491" s="8" t="str">
        <f>IFERROR(INDEX('بيانات الحركات'!A:A,MATCH(1490,'بيانات الحركات'!$G:$G,0)),"")</f>
        <v/>
      </c>
      <c r="B1491" s="5" t="str">
        <f>IFERROR(INDEX('بيانات الحركات'!B:B,MATCH(1490,'بيانات الحركات'!$G:$G,0)),"")</f>
        <v/>
      </c>
      <c r="C1491" s="3" t="str">
        <f>IFERROR(INDEX('بيانات الحركات'!C:C,MATCH(1490,'بيانات الحركات'!$G:$G,0)),"")</f>
        <v/>
      </c>
      <c r="D1491" s="3" t="str">
        <f>IFERROR(INDEX('بيانات الحركات'!D:D,MATCH(1490,'بيانات الحركات'!$G:$G,0)),"")</f>
        <v/>
      </c>
      <c r="E1491" s="21" t="str">
        <f>IF($B1491="إنتاج طبخة","",IFERROR(INDEX('بيانات الحركات'!E:E,MATCH(1490,'بيانات الحركات'!$G:$G,0)),""))</f>
        <v/>
      </c>
      <c r="F1491" s="3" t="str">
        <f>IFERROR(INDEX('بيانات الحركات'!F:F,MATCH(1490,'بيانات الحركات'!$G:$G,0)),"")</f>
        <v/>
      </c>
    </row>
    <row r="1492" spans="1:6" ht="21.95" customHeight="1">
      <c r="A1492" s="8" t="str">
        <f>IFERROR(INDEX('بيانات الحركات'!A:A,MATCH(1491,'بيانات الحركات'!$G:$G,0)),"")</f>
        <v/>
      </c>
      <c r="B1492" s="5" t="str">
        <f>IFERROR(INDEX('بيانات الحركات'!B:B,MATCH(1491,'بيانات الحركات'!$G:$G,0)),"")</f>
        <v/>
      </c>
      <c r="C1492" s="3" t="str">
        <f>IFERROR(INDEX('بيانات الحركات'!C:C,MATCH(1491,'بيانات الحركات'!$G:$G,0)),"")</f>
        <v/>
      </c>
      <c r="D1492" s="3" t="str">
        <f>IFERROR(INDEX('بيانات الحركات'!D:D,MATCH(1491,'بيانات الحركات'!$G:$G,0)),"")</f>
        <v/>
      </c>
      <c r="E1492" s="21" t="str">
        <f>IF($B1492="إنتاج طبخة","",IFERROR(INDEX('بيانات الحركات'!E:E,MATCH(1491,'بيانات الحركات'!$G:$G,0)),""))</f>
        <v/>
      </c>
      <c r="F1492" s="3" t="str">
        <f>IFERROR(INDEX('بيانات الحركات'!F:F,MATCH(1491,'بيانات الحركات'!$G:$G,0)),"")</f>
        <v/>
      </c>
    </row>
    <row r="1493" spans="1:6" ht="21.95" customHeight="1">
      <c r="A1493" s="8" t="str">
        <f>IFERROR(INDEX('بيانات الحركات'!A:A,MATCH(1492,'بيانات الحركات'!$G:$G,0)),"")</f>
        <v/>
      </c>
      <c r="B1493" s="5" t="str">
        <f>IFERROR(INDEX('بيانات الحركات'!B:B,MATCH(1492,'بيانات الحركات'!$G:$G,0)),"")</f>
        <v/>
      </c>
      <c r="C1493" s="3" t="str">
        <f>IFERROR(INDEX('بيانات الحركات'!C:C,MATCH(1492,'بيانات الحركات'!$G:$G,0)),"")</f>
        <v/>
      </c>
      <c r="D1493" s="3" t="str">
        <f>IFERROR(INDEX('بيانات الحركات'!D:D,MATCH(1492,'بيانات الحركات'!$G:$G,0)),"")</f>
        <v/>
      </c>
      <c r="E1493" s="21" t="str">
        <f>IF($B1493="إنتاج طبخة","",IFERROR(INDEX('بيانات الحركات'!E:E,MATCH(1492,'بيانات الحركات'!$G:$G,0)),""))</f>
        <v/>
      </c>
      <c r="F1493" s="3" t="str">
        <f>IFERROR(INDEX('بيانات الحركات'!F:F,MATCH(1492,'بيانات الحركات'!$G:$G,0)),"")</f>
        <v/>
      </c>
    </row>
    <row r="1494" spans="1:6" ht="21.95" customHeight="1">
      <c r="A1494" s="8" t="str">
        <f>IFERROR(INDEX('بيانات الحركات'!A:A,MATCH(1493,'بيانات الحركات'!$G:$G,0)),"")</f>
        <v/>
      </c>
      <c r="B1494" s="5" t="str">
        <f>IFERROR(INDEX('بيانات الحركات'!B:B,MATCH(1493,'بيانات الحركات'!$G:$G,0)),"")</f>
        <v/>
      </c>
      <c r="C1494" s="3" t="str">
        <f>IFERROR(INDEX('بيانات الحركات'!C:C,MATCH(1493,'بيانات الحركات'!$G:$G,0)),"")</f>
        <v/>
      </c>
      <c r="D1494" s="3" t="str">
        <f>IFERROR(INDEX('بيانات الحركات'!D:D,MATCH(1493,'بيانات الحركات'!$G:$G,0)),"")</f>
        <v/>
      </c>
      <c r="E1494" s="21" t="str">
        <f>IF($B1494="إنتاج طبخة","",IFERROR(INDEX('بيانات الحركات'!E:E,MATCH(1493,'بيانات الحركات'!$G:$G,0)),""))</f>
        <v/>
      </c>
      <c r="F1494" s="3" t="str">
        <f>IFERROR(INDEX('بيانات الحركات'!F:F,MATCH(1493,'بيانات الحركات'!$G:$G,0)),"")</f>
        <v/>
      </c>
    </row>
    <row r="1495" spans="1:6" ht="21.95" customHeight="1">
      <c r="A1495" s="8" t="str">
        <f>IFERROR(INDEX('بيانات الحركات'!A:A,MATCH(1494,'بيانات الحركات'!$G:$G,0)),"")</f>
        <v/>
      </c>
      <c r="B1495" s="5" t="str">
        <f>IFERROR(INDEX('بيانات الحركات'!B:B,MATCH(1494,'بيانات الحركات'!$G:$G,0)),"")</f>
        <v/>
      </c>
      <c r="C1495" s="3" t="str">
        <f>IFERROR(INDEX('بيانات الحركات'!C:C,MATCH(1494,'بيانات الحركات'!$G:$G,0)),"")</f>
        <v/>
      </c>
      <c r="D1495" s="3" t="str">
        <f>IFERROR(INDEX('بيانات الحركات'!D:D,MATCH(1494,'بيانات الحركات'!$G:$G,0)),"")</f>
        <v/>
      </c>
      <c r="E1495" s="21" t="str">
        <f>IF($B1495="إنتاج طبخة","",IFERROR(INDEX('بيانات الحركات'!E:E,MATCH(1494,'بيانات الحركات'!$G:$G,0)),""))</f>
        <v/>
      </c>
      <c r="F1495" s="3" t="str">
        <f>IFERROR(INDEX('بيانات الحركات'!F:F,MATCH(1494,'بيانات الحركات'!$G:$G,0)),"")</f>
        <v/>
      </c>
    </row>
    <row r="1496" spans="1:6" ht="21.95" customHeight="1">
      <c r="A1496" s="8" t="str">
        <f>IFERROR(INDEX('بيانات الحركات'!A:A,MATCH(1495,'بيانات الحركات'!$G:$G,0)),"")</f>
        <v/>
      </c>
      <c r="B1496" s="5" t="str">
        <f>IFERROR(INDEX('بيانات الحركات'!B:B,MATCH(1495,'بيانات الحركات'!$G:$G,0)),"")</f>
        <v/>
      </c>
      <c r="C1496" s="3" t="str">
        <f>IFERROR(INDEX('بيانات الحركات'!C:C,MATCH(1495,'بيانات الحركات'!$G:$G,0)),"")</f>
        <v/>
      </c>
      <c r="D1496" s="3" t="str">
        <f>IFERROR(INDEX('بيانات الحركات'!D:D,MATCH(1495,'بيانات الحركات'!$G:$G,0)),"")</f>
        <v/>
      </c>
      <c r="E1496" s="21" t="str">
        <f>IF($B1496="إنتاج طبخة","",IFERROR(INDEX('بيانات الحركات'!E:E,MATCH(1495,'بيانات الحركات'!$G:$G,0)),""))</f>
        <v/>
      </c>
      <c r="F1496" s="3" t="str">
        <f>IFERROR(INDEX('بيانات الحركات'!F:F,MATCH(1495,'بيانات الحركات'!$G:$G,0)),"")</f>
        <v/>
      </c>
    </row>
    <row r="1497" spans="1:6" ht="21.95" customHeight="1">
      <c r="A1497" s="8" t="str">
        <f>IFERROR(INDEX('بيانات الحركات'!A:A,MATCH(1496,'بيانات الحركات'!$G:$G,0)),"")</f>
        <v/>
      </c>
      <c r="B1497" s="5" t="str">
        <f>IFERROR(INDEX('بيانات الحركات'!B:B,MATCH(1496,'بيانات الحركات'!$G:$G,0)),"")</f>
        <v/>
      </c>
      <c r="C1497" s="3" t="str">
        <f>IFERROR(INDEX('بيانات الحركات'!C:C,MATCH(1496,'بيانات الحركات'!$G:$G,0)),"")</f>
        <v/>
      </c>
      <c r="D1497" s="3" t="str">
        <f>IFERROR(INDEX('بيانات الحركات'!D:D,MATCH(1496,'بيانات الحركات'!$G:$G,0)),"")</f>
        <v/>
      </c>
      <c r="E1497" s="21" t="str">
        <f>IF($B1497="إنتاج طبخة","",IFERROR(INDEX('بيانات الحركات'!E:E,MATCH(1496,'بيانات الحركات'!$G:$G,0)),""))</f>
        <v/>
      </c>
      <c r="F1497" s="3" t="str">
        <f>IFERROR(INDEX('بيانات الحركات'!F:F,MATCH(1496,'بيانات الحركات'!$G:$G,0)),"")</f>
        <v/>
      </c>
    </row>
    <row r="1498" spans="1:6" ht="21.95" customHeight="1">
      <c r="A1498" s="8" t="str">
        <f>IFERROR(INDEX('بيانات الحركات'!A:A,MATCH(1497,'بيانات الحركات'!$G:$G,0)),"")</f>
        <v/>
      </c>
      <c r="B1498" s="5" t="str">
        <f>IFERROR(INDEX('بيانات الحركات'!B:B,MATCH(1497,'بيانات الحركات'!$G:$G,0)),"")</f>
        <v/>
      </c>
      <c r="C1498" s="3" t="str">
        <f>IFERROR(INDEX('بيانات الحركات'!C:C,MATCH(1497,'بيانات الحركات'!$G:$G,0)),"")</f>
        <v/>
      </c>
      <c r="D1498" s="3" t="str">
        <f>IFERROR(INDEX('بيانات الحركات'!D:D,MATCH(1497,'بيانات الحركات'!$G:$G,0)),"")</f>
        <v/>
      </c>
      <c r="E1498" s="21" t="str">
        <f>IF($B1498="إنتاج طبخة","",IFERROR(INDEX('بيانات الحركات'!E:E,MATCH(1497,'بيانات الحركات'!$G:$G,0)),""))</f>
        <v/>
      </c>
      <c r="F1498" s="3" t="str">
        <f>IFERROR(INDEX('بيانات الحركات'!F:F,MATCH(1497,'بيانات الحركات'!$G:$G,0)),"")</f>
        <v/>
      </c>
    </row>
    <row r="1499" spans="1:6" ht="21.95" customHeight="1">
      <c r="A1499" s="8" t="str">
        <f>IFERROR(INDEX('بيانات الحركات'!A:A,MATCH(1498,'بيانات الحركات'!$G:$G,0)),"")</f>
        <v/>
      </c>
      <c r="B1499" s="5" t="str">
        <f>IFERROR(INDEX('بيانات الحركات'!B:B,MATCH(1498,'بيانات الحركات'!$G:$G,0)),"")</f>
        <v/>
      </c>
      <c r="C1499" s="3" t="str">
        <f>IFERROR(INDEX('بيانات الحركات'!C:C,MATCH(1498,'بيانات الحركات'!$G:$G,0)),"")</f>
        <v/>
      </c>
      <c r="D1499" s="3" t="str">
        <f>IFERROR(INDEX('بيانات الحركات'!D:D,MATCH(1498,'بيانات الحركات'!$G:$G,0)),"")</f>
        <v/>
      </c>
      <c r="E1499" s="21" t="str">
        <f>IF($B1499="إنتاج طبخة","",IFERROR(INDEX('بيانات الحركات'!E:E,MATCH(1498,'بيانات الحركات'!$G:$G,0)),""))</f>
        <v/>
      </c>
      <c r="F1499" s="3" t="str">
        <f>IFERROR(INDEX('بيانات الحركات'!F:F,MATCH(1498,'بيانات الحركات'!$G:$G,0)),"")</f>
        <v/>
      </c>
    </row>
    <row r="1500" spans="1:6" ht="21.95" customHeight="1">
      <c r="A1500" s="8" t="str">
        <f>IFERROR(INDEX('بيانات الحركات'!A:A,MATCH(1499,'بيانات الحركات'!$G:$G,0)),"")</f>
        <v/>
      </c>
      <c r="B1500" s="5" t="str">
        <f>IFERROR(INDEX('بيانات الحركات'!B:B,MATCH(1499,'بيانات الحركات'!$G:$G,0)),"")</f>
        <v/>
      </c>
      <c r="C1500" s="3" t="str">
        <f>IFERROR(INDEX('بيانات الحركات'!C:C,MATCH(1499,'بيانات الحركات'!$G:$G,0)),"")</f>
        <v/>
      </c>
      <c r="D1500" s="3" t="str">
        <f>IFERROR(INDEX('بيانات الحركات'!D:D,MATCH(1499,'بيانات الحركات'!$G:$G,0)),"")</f>
        <v/>
      </c>
      <c r="E1500" s="21" t="str">
        <f>IF($B1500="إنتاج طبخة","",IFERROR(INDEX('بيانات الحركات'!E:E,MATCH(1499,'بيانات الحركات'!$G:$G,0)),""))</f>
        <v/>
      </c>
      <c r="F1500" s="3" t="str">
        <f>IFERROR(INDEX('بيانات الحركات'!F:F,MATCH(1499,'بيانات الحركات'!$G:$G,0)),"")</f>
        <v/>
      </c>
    </row>
    <row r="1501" spans="1:6" ht="21.95" customHeight="1">
      <c r="A1501" s="8" t="str">
        <f>IFERROR(INDEX('بيانات الحركات'!A:A,MATCH(1500,'بيانات الحركات'!$G:$G,0)),"")</f>
        <v/>
      </c>
      <c r="B1501" s="5" t="str">
        <f>IFERROR(INDEX('بيانات الحركات'!B:B,MATCH(1500,'بيانات الحركات'!$G:$G,0)),"")</f>
        <v/>
      </c>
      <c r="C1501" s="3" t="str">
        <f>IFERROR(INDEX('بيانات الحركات'!C:C,MATCH(1500,'بيانات الحركات'!$G:$G,0)),"")</f>
        <v/>
      </c>
      <c r="D1501" s="3" t="str">
        <f>IFERROR(INDEX('بيانات الحركات'!D:D,MATCH(1500,'بيانات الحركات'!$G:$G,0)),"")</f>
        <v/>
      </c>
      <c r="E1501" s="21" t="str">
        <f>IF($B1501="إنتاج طبخة","",IFERROR(INDEX('بيانات الحركات'!E:E,MATCH(1500,'بيانات الحركات'!$G:$G,0)),""))</f>
        <v/>
      </c>
      <c r="F1501" s="3" t="str">
        <f>IFERROR(INDEX('بيانات الحركات'!F:F,MATCH(1500,'بيانات الحركات'!$G:$G,0)),"")</f>
        <v/>
      </c>
    </row>
    <row r="1502" spans="1:6" ht="21.95" customHeight="1">
      <c r="A1502" s="8" t="str">
        <f>IFERROR(INDEX('بيانات الحركات'!A:A,MATCH(1501,'بيانات الحركات'!$G:$G,0)),"")</f>
        <v/>
      </c>
      <c r="B1502" s="5" t="str">
        <f>IFERROR(INDEX('بيانات الحركات'!B:B,MATCH(1501,'بيانات الحركات'!$G:$G,0)),"")</f>
        <v/>
      </c>
      <c r="C1502" s="3" t="str">
        <f>IFERROR(INDEX('بيانات الحركات'!C:C,MATCH(1501,'بيانات الحركات'!$G:$G,0)),"")</f>
        <v/>
      </c>
      <c r="D1502" s="3" t="str">
        <f>IFERROR(INDEX('بيانات الحركات'!D:D,MATCH(1501,'بيانات الحركات'!$G:$G,0)),"")</f>
        <v/>
      </c>
      <c r="E1502" s="21" t="str">
        <f>IF($B1502="إنتاج طبخة","",IFERROR(INDEX('بيانات الحركات'!E:E,MATCH(1501,'بيانات الحركات'!$G:$G,0)),""))</f>
        <v/>
      </c>
      <c r="F1502" s="3" t="str">
        <f>IFERROR(INDEX('بيانات الحركات'!F:F,MATCH(1501,'بيانات الحركات'!$G:$G,0)),"")</f>
        <v/>
      </c>
    </row>
    <row r="1503" spans="1:6" ht="21.95" customHeight="1">
      <c r="A1503" s="8" t="str">
        <f>IFERROR(INDEX('بيانات الحركات'!A:A,MATCH(1502,'بيانات الحركات'!$G:$G,0)),"")</f>
        <v/>
      </c>
      <c r="B1503" s="5" t="str">
        <f>IFERROR(INDEX('بيانات الحركات'!B:B,MATCH(1502,'بيانات الحركات'!$G:$G,0)),"")</f>
        <v/>
      </c>
      <c r="C1503" s="3" t="str">
        <f>IFERROR(INDEX('بيانات الحركات'!C:C,MATCH(1502,'بيانات الحركات'!$G:$G,0)),"")</f>
        <v/>
      </c>
      <c r="D1503" s="3" t="str">
        <f>IFERROR(INDEX('بيانات الحركات'!D:D,MATCH(1502,'بيانات الحركات'!$G:$G,0)),"")</f>
        <v/>
      </c>
      <c r="E1503" s="21" t="str">
        <f>IF($B1503="إنتاج طبخة","",IFERROR(INDEX('بيانات الحركات'!E:E,MATCH(1502,'بيانات الحركات'!$G:$G,0)),""))</f>
        <v/>
      </c>
      <c r="F1503" s="3" t="str">
        <f>IFERROR(INDEX('بيانات الحركات'!F:F,MATCH(1502,'بيانات الحركات'!$G:$G,0)),"")</f>
        <v/>
      </c>
    </row>
    <row r="1504" spans="1:6" ht="21.95" customHeight="1">
      <c r="A1504" s="8" t="str">
        <f>IFERROR(INDEX('بيانات الحركات'!A:A,MATCH(1503,'بيانات الحركات'!$G:$G,0)),"")</f>
        <v/>
      </c>
      <c r="B1504" s="5" t="str">
        <f>IFERROR(INDEX('بيانات الحركات'!B:B,MATCH(1503,'بيانات الحركات'!$G:$G,0)),"")</f>
        <v/>
      </c>
      <c r="C1504" s="3" t="str">
        <f>IFERROR(INDEX('بيانات الحركات'!C:C,MATCH(1503,'بيانات الحركات'!$G:$G,0)),"")</f>
        <v/>
      </c>
      <c r="D1504" s="3" t="str">
        <f>IFERROR(INDEX('بيانات الحركات'!D:D,MATCH(1503,'بيانات الحركات'!$G:$G,0)),"")</f>
        <v/>
      </c>
      <c r="E1504" s="21" t="str">
        <f>IF($B1504="إنتاج طبخة","",IFERROR(INDEX('بيانات الحركات'!E:E,MATCH(1503,'بيانات الحركات'!$G:$G,0)),""))</f>
        <v/>
      </c>
      <c r="F1504" s="3" t="str">
        <f>IFERROR(INDEX('بيانات الحركات'!F:F,MATCH(1503,'بيانات الحركات'!$G:$G,0)),"")</f>
        <v/>
      </c>
    </row>
    <row r="1505" spans="1:6" ht="21.95" customHeight="1">
      <c r="A1505" s="8" t="str">
        <f>IFERROR(INDEX('بيانات الحركات'!A:A,MATCH(1504,'بيانات الحركات'!$G:$G,0)),"")</f>
        <v/>
      </c>
      <c r="B1505" s="5" t="str">
        <f>IFERROR(INDEX('بيانات الحركات'!B:B,MATCH(1504,'بيانات الحركات'!$G:$G,0)),"")</f>
        <v/>
      </c>
      <c r="C1505" s="3" t="str">
        <f>IFERROR(INDEX('بيانات الحركات'!C:C,MATCH(1504,'بيانات الحركات'!$G:$G,0)),"")</f>
        <v/>
      </c>
      <c r="D1505" s="3" t="str">
        <f>IFERROR(INDEX('بيانات الحركات'!D:D,MATCH(1504,'بيانات الحركات'!$G:$G,0)),"")</f>
        <v/>
      </c>
      <c r="E1505" s="21" t="str">
        <f>IF($B1505="إنتاج طبخة","",IFERROR(INDEX('بيانات الحركات'!E:E,MATCH(1504,'بيانات الحركات'!$G:$G,0)),""))</f>
        <v/>
      </c>
      <c r="F1505" s="3" t="str">
        <f>IFERROR(INDEX('بيانات الحركات'!F:F,MATCH(1504,'بيانات الحركات'!$G:$G,0)),"")</f>
        <v/>
      </c>
    </row>
    <row r="1506" spans="1:6" ht="21.95" customHeight="1">
      <c r="A1506" s="8" t="str">
        <f>IFERROR(INDEX('بيانات الحركات'!A:A,MATCH(1505,'بيانات الحركات'!$G:$G,0)),"")</f>
        <v/>
      </c>
      <c r="B1506" s="5" t="str">
        <f>IFERROR(INDEX('بيانات الحركات'!B:B,MATCH(1505,'بيانات الحركات'!$G:$G,0)),"")</f>
        <v/>
      </c>
      <c r="C1506" s="3" t="str">
        <f>IFERROR(INDEX('بيانات الحركات'!C:C,MATCH(1505,'بيانات الحركات'!$G:$G,0)),"")</f>
        <v/>
      </c>
      <c r="D1506" s="3" t="str">
        <f>IFERROR(INDEX('بيانات الحركات'!D:D,MATCH(1505,'بيانات الحركات'!$G:$G,0)),"")</f>
        <v/>
      </c>
      <c r="E1506" s="21" t="str">
        <f>IF($B1506="إنتاج طبخة","",IFERROR(INDEX('بيانات الحركات'!E:E,MATCH(1505,'بيانات الحركات'!$G:$G,0)),""))</f>
        <v/>
      </c>
      <c r="F1506" s="3" t="str">
        <f>IFERROR(INDEX('بيانات الحركات'!F:F,MATCH(1505,'بيانات الحركات'!$G:$G,0)),"")</f>
        <v/>
      </c>
    </row>
    <row r="1507" spans="1:6" ht="21.95" customHeight="1">
      <c r="A1507" s="8" t="str">
        <f>IFERROR(INDEX('بيانات الحركات'!A:A,MATCH(1506,'بيانات الحركات'!$G:$G,0)),"")</f>
        <v/>
      </c>
      <c r="B1507" s="5" t="str">
        <f>IFERROR(INDEX('بيانات الحركات'!B:B,MATCH(1506,'بيانات الحركات'!$G:$G,0)),"")</f>
        <v/>
      </c>
      <c r="C1507" s="3" t="str">
        <f>IFERROR(INDEX('بيانات الحركات'!C:C,MATCH(1506,'بيانات الحركات'!$G:$G,0)),"")</f>
        <v/>
      </c>
      <c r="D1507" s="3" t="str">
        <f>IFERROR(INDEX('بيانات الحركات'!D:D,MATCH(1506,'بيانات الحركات'!$G:$G,0)),"")</f>
        <v/>
      </c>
      <c r="E1507" s="21" t="str">
        <f>IF($B1507="إنتاج طبخة","",IFERROR(INDEX('بيانات الحركات'!E:E,MATCH(1506,'بيانات الحركات'!$G:$G,0)),""))</f>
        <v/>
      </c>
      <c r="F1507" s="3" t="str">
        <f>IFERROR(INDEX('بيانات الحركات'!F:F,MATCH(1506,'بيانات الحركات'!$G:$G,0)),"")</f>
        <v/>
      </c>
    </row>
    <row r="1508" spans="1:6" ht="21.95" customHeight="1">
      <c r="A1508" s="8" t="str">
        <f>IFERROR(INDEX('بيانات الحركات'!A:A,MATCH(1507,'بيانات الحركات'!$G:$G,0)),"")</f>
        <v/>
      </c>
      <c r="B1508" s="5" t="str">
        <f>IFERROR(INDEX('بيانات الحركات'!B:B,MATCH(1507,'بيانات الحركات'!$G:$G,0)),"")</f>
        <v/>
      </c>
      <c r="C1508" s="3" t="str">
        <f>IFERROR(INDEX('بيانات الحركات'!C:C,MATCH(1507,'بيانات الحركات'!$G:$G,0)),"")</f>
        <v/>
      </c>
      <c r="D1508" s="3" t="str">
        <f>IFERROR(INDEX('بيانات الحركات'!D:D,MATCH(1507,'بيانات الحركات'!$G:$G,0)),"")</f>
        <v/>
      </c>
      <c r="E1508" s="21" t="str">
        <f>IF($B1508="إنتاج طبخة","",IFERROR(INDEX('بيانات الحركات'!E:E,MATCH(1507,'بيانات الحركات'!$G:$G,0)),""))</f>
        <v/>
      </c>
      <c r="F1508" s="3" t="str">
        <f>IFERROR(INDEX('بيانات الحركات'!F:F,MATCH(1507,'بيانات الحركات'!$G:$G,0)),"")</f>
        <v/>
      </c>
    </row>
    <row r="1509" spans="1:6" ht="21.95" customHeight="1">
      <c r="A1509" s="8" t="str">
        <f>IFERROR(INDEX('بيانات الحركات'!A:A,MATCH(1508,'بيانات الحركات'!$G:$G,0)),"")</f>
        <v/>
      </c>
      <c r="B1509" s="5" t="str">
        <f>IFERROR(INDEX('بيانات الحركات'!B:B,MATCH(1508,'بيانات الحركات'!$G:$G,0)),"")</f>
        <v/>
      </c>
      <c r="C1509" s="3" t="str">
        <f>IFERROR(INDEX('بيانات الحركات'!C:C,MATCH(1508,'بيانات الحركات'!$G:$G,0)),"")</f>
        <v/>
      </c>
      <c r="D1509" s="3" t="str">
        <f>IFERROR(INDEX('بيانات الحركات'!D:D,MATCH(1508,'بيانات الحركات'!$G:$G,0)),"")</f>
        <v/>
      </c>
      <c r="E1509" s="21" t="str">
        <f>IF($B1509="إنتاج طبخة","",IFERROR(INDEX('بيانات الحركات'!E:E,MATCH(1508,'بيانات الحركات'!$G:$G,0)),""))</f>
        <v/>
      </c>
      <c r="F1509" s="3" t="str">
        <f>IFERROR(INDEX('بيانات الحركات'!F:F,MATCH(1508,'بيانات الحركات'!$G:$G,0)),"")</f>
        <v/>
      </c>
    </row>
    <row r="1510" spans="1:6" ht="21.95" customHeight="1">
      <c r="A1510" s="8" t="str">
        <f>IFERROR(INDEX('بيانات الحركات'!A:A,MATCH(1509,'بيانات الحركات'!$G:$G,0)),"")</f>
        <v/>
      </c>
      <c r="B1510" s="5" t="str">
        <f>IFERROR(INDEX('بيانات الحركات'!B:B,MATCH(1509,'بيانات الحركات'!$G:$G,0)),"")</f>
        <v/>
      </c>
      <c r="C1510" s="3" t="str">
        <f>IFERROR(INDEX('بيانات الحركات'!C:C,MATCH(1509,'بيانات الحركات'!$G:$G,0)),"")</f>
        <v/>
      </c>
      <c r="D1510" s="3" t="str">
        <f>IFERROR(INDEX('بيانات الحركات'!D:D,MATCH(1509,'بيانات الحركات'!$G:$G,0)),"")</f>
        <v/>
      </c>
      <c r="E1510" s="21" t="str">
        <f>IF($B1510="إنتاج طبخة","",IFERROR(INDEX('بيانات الحركات'!E:E,MATCH(1509,'بيانات الحركات'!$G:$G,0)),""))</f>
        <v/>
      </c>
      <c r="F1510" s="3" t="str">
        <f>IFERROR(INDEX('بيانات الحركات'!F:F,MATCH(1509,'بيانات الحركات'!$G:$G,0)),"")</f>
        <v/>
      </c>
    </row>
    <row r="1511" spans="1:6" ht="21.95" customHeight="1">
      <c r="A1511" s="8" t="str">
        <f>IFERROR(INDEX('بيانات الحركات'!A:A,MATCH(1510,'بيانات الحركات'!$G:$G,0)),"")</f>
        <v/>
      </c>
      <c r="B1511" s="5" t="str">
        <f>IFERROR(INDEX('بيانات الحركات'!B:B,MATCH(1510,'بيانات الحركات'!$G:$G,0)),"")</f>
        <v/>
      </c>
      <c r="C1511" s="3" t="str">
        <f>IFERROR(INDEX('بيانات الحركات'!C:C,MATCH(1510,'بيانات الحركات'!$G:$G,0)),"")</f>
        <v/>
      </c>
      <c r="D1511" s="3" t="str">
        <f>IFERROR(INDEX('بيانات الحركات'!D:D,MATCH(1510,'بيانات الحركات'!$G:$G,0)),"")</f>
        <v/>
      </c>
      <c r="E1511" s="21" t="str">
        <f>IF($B1511="إنتاج طبخة","",IFERROR(INDEX('بيانات الحركات'!E:E,MATCH(1510,'بيانات الحركات'!$G:$G,0)),""))</f>
        <v/>
      </c>
      <c r="F1511" s="3" t="str">
        <f>IFERROR(INDEX('بيانات الحركات'!F:F,MATCH(1510,'بيانات الحركات'!$G:$G,0)),"")</f>
        <v/>
      </c>
    </row>
    <row r="1512" spans="1:6" ht="21.95" customHeight="1">
      <c r="A1512" s="8" t="str">
        <f>IFERROR(INDEX('بيانات الحركات'!A:A,MATCH(1511,'بيانات الحركات'!$G:$G,0)),"")</f>
        <v/>
      </c>
      <c r="B1512" s="5" t="str">
        <f>IFERROR(INDEX('بيانات الحركات'!B:B,MATCH(1511,'بيانات الحركات'!$G:$G,0)),"")</f>
        <v/>
      </c>
      <c r="C1512" s="3" t="str">
        <f>IFERROR(INDEX('بيانات الحركات'!C:C,MATCH(1511,'بيانات الحركات'!$G:$G,0)),"")</f>
        <v/>
      </c>
      <c r="D1512" s="3" t="str">
        <f>IFERROR(INDEX('بيانات الحركات'!D:D,MATCH(1511,'بيانات الحركات'!$G:$G,0)),"")</f>
        <v/>
      </c>
      <c r="E1512" s="21" t="str">
        <f>IF($B1512="إنتاج طبخة","",IFERROR(INDEX('بيانات الحركات'!E:E,MATCH(1511,'بيانات الحركات'!$G:$G,0)),""))</f>
        <v/>
      </c>
      <c r="F1512" s="3" t="str">
        <f>IFERROR(INDEX('بيانات الحركات'!F:F,MATCH(1511,'بيانات الحركات'!$G:$G,0)),"")</f>
        <v/>
      </c>
    </row>
    <row r="1513" spans="1:6" ht="21.95" customHeight="1">
      <c r="A1513" s="8" t="str">
        <f>IFERROR(INDEX('بيانات الحركات'!A:A,MATCH(1512,'بيانات الحركات'!$G:$G,0)),"")</f>
        <v/>
      </c>
      <c r="B1513" s="5" t="str">
        <f>IFERROR(INDEX('بيانات الحركات'!B:B,MATCH(1512,'بيانات الحركات'!$G:$G,0)),"")</f>
        <v/>
      </c>
      <c r="C1513" s="3" t="str">
        <f>IFERROR(INDEX('بيانات الحركات'!C:C,MATCH(1512,'بيانات الحركات'!$G:$G,0)),"")</f>
        <v/>
      </c>
      <c r="D1513" s="3" t="str">
        <f>IFERROR(INDEX('بيانات الحركات'!D:D,MATCH(1512,'بيانات الحركات'!$G:$G,0)),"")</f>
        <v/>
      </c>
      <c r="E1513" s="21" t="str">
        <f>IF($B1513="إنتاج طبخة","",IFERROR(INDEX('بيانات الحركات'!E:E,MATCH(1512,'بيانات الحركات'!$G:$G,0)),""))</f>
        <v/>
      </c>
      <c r="F1513" s="3" t="str">
        <f>IFERROR(INDEX('بيانات الحركات'!F:F,MATCH(1512,'بيانات الحركات'!$G:$G,0)),"")</f>
        <v/>
      </c>
    </row>
    <row r="1514" spans="1:6" ht="21.95" customHeight="1">
      <c r="A1514" s="8" t="str">
        <f>IFERROR(INDEX('بيانات الحركات'!A:A,MATCH(1513,'بيانات الحركات'!$G:$G,0)),"")</f>
        <v/>
      </c>
      <c r="B1514" s="5" t="str">
        <f>IFERROR(INDEX('بيانات الحركات'!B:B,MATCH(1513,'بيانات الحركات'!$G:$G,0)),"")</f>
        <v/>
      </c>
      <c r="C1514" s="3" t="str">
        <f>IFERROR(INDEX('بيانات الحركات'!C:C,MATCH(1513,'بيانات الحركات'!$G:$G,0)),"")</f>
        <v/>
      </c>
      <c r="D1514" s="3" t="str">
        <f>IFERROR(INDEX('بيانات الحركات'!D:D,MATCH(1513,'بيانات الحركات'!$G:$G,0)),"")</f>
        <v/>
      </c>
      <c r="E1514" s="21" t="str">
        <f>IF($B1514="إنتاج طبخة","",IFERROR(INDEX('بيانات الحركات'!E:E,MATCH(1513,'بيانات الحركات'!$G:$G,0)),""))</f>
        <v/>
      </c>
      <c r="F1514" s="3" t="str">
        <f>IFERROR(INDEX('بيانات الحركات'!F:F,MATCH(1513,'بيانات الحركات'!$G:$G,0)),"")</f>
        <v/>
      </c>
    </row>
    <row r="1515" spans="1:6" ht="21.95" customHeight="1">
      <c r="A1515" s="8" t="str">
        <f>IFERROR(INDEX('بيانات الحركات'!A:A,MATCH(1514,'بيانات الحركات'!$G:$G,0)),"")</f>
        <v/>
      </c>
      <c r="B1515" s="5" t="str">
        <f>IFERROR(INDEX('بيانات الحركات'!B:B,MATCH(1514,'بيانات الحركات'!$G:$G,0)),"")</f>
        <v/>
      </c>
      <c r="C1515" s="3" t="str">
        <f>IFERROR(INDEX('بيانات الحركات'!C:C,MATCH(1514,'بيانات الحركات'!$G:$G,0)),"")</f>
        <v/>
      </c>
      <c r="D1515" s="3" t="str">
        <f>IFERROR(INDEX('بيانات الحركات'!D:D,MATCH(1514,'بيانات الحركات'!$G:$G,0)),"")</f>
        <v/>
      </c>
      <c r="E1515" s="21" t="str">
        <f>IF($B1515="إنتاج طبخة","",IFERROR(INDEX('بيانات الحركات'!E:E,MATCH(1514,'بيانات الحركات'!$G:$G,0)),""))</f>
        <v/>
      </c>
      <c r="F1515" s="3" t="str">
        <f>IFERROR(INDEX('بيانات الحركات'!F:F,MATCH(1514,'بيانات الحركات'!$G:$G,0)),"")</f>
        <v/>
      </c>
    </row>
    <row r="1516" spans="1:6" ht="21.95" customHeight="1">
      <c r="A1516" s="8" t="str">
        <f>IFERROR(INDEX('بيانات الحركات'!A:A,MATCH(1515,'بيانات الحركات'!$G:$G,0)),"")</f>
        <v/>
      </c>
      <c r="B1516" s="5" t="str">
        <f>IFERROR(INDEX('بيانات الحركات'!B:B,MATCH(1515,'بيانات الحركات'!$G:$G,0)),"")</f>
        <v/>
      </c>
      <c r="C1516" s="3" t="str">
        <f>IFERROR(INDEX('بيانات الحركات'!C:C,MATCH(1515,'بيانات الحركات'!$G:$G,0)),"")</f>
        <v/>
      </c>
      <c r="D1516" s="3" t="str">
        <f>IFERROR(INDEX('بيانات الحركات'!D:D,MATCH(1515,'بيانات الحركات'!$G:$G,0)),"")</f>
        <v/>
      </c>
      <c r="E1516" s="21" t="str">
        <f>IF($B1516="إنتاج طبخة","",IFERROR(INDEX('بيانات الحركات'!E:E,MATCH(1515,'بيانات الحركات'!$G:$G,0)),""))</f>
        <v/>
      </c>
      <c r="F1516" s="3" t="str">
        <f>IFERROR(INDEX('بيانات الحركات'!F:F,MATCH(1515,'بيانات الحركات'!$G:$G,0)),"")</f>
        <v/>
      </c>
    </row>
    <row r="1517" spans="1:6" ht="21.95" customHeight="1">
      <c r="A1517" s="8" t="str">
        <f>IFERROR(INDEX('بيانات الحركات'!A:A,MATCH(1516,'بيانات الحركات'!$G:$G,0)),"")</f>
        <v/>
      </c>
      <c r="B1517" s="5" t="str">
        <f>IFERROR(INDEX('بيانات الحركات'!B:B,MATCH(1516,'بيانات الحركات'!$G:$G,0)),"")</f>
        <v/>
      </c>
      <c r="C1517" s="3" t="str">
        <f>IFERROR(INDEX('بيانات الحركات'!C:C,MATCH(1516,'بيانات الحركات'!$G:$G,0)),"")</f>
        <v/>
      </c>
      <c r="D1517" s="3" t="str">
        <f>IFERROR(INDEX('بيانات الحركات'!D:D,MATCH(1516,'بيانات الحركات'!$G:$G,0)),"")</f>
        <v/>
      </c>
      <c r="E1517" s="21" t="str">
        <f>IF($B1517="إنتاج طبخة","",IFERROR(INDEX('بيانات الحركات'!E:E,MATCH(1516,'بيانات الحركات'!$G:$G,0)),""))</f>
        <v/>
      </c>
      <c r="F1517" s="3" t="str">
        <f>IFERROR(INDEX('بيانات الحركات'!F:F,MATCH(1516,'بيانات الحركات'!$G:$G,0)),"")</f>
        <v/>
      </c>
    </row>
    <row r="1518" spans="1:6" ht="21.95" customHeight="1">
      <c r="A1518" s="8" t="str">
        <f>IFERROR(INDEX('بيانات الحركات'!A:A,MATCH(1517,'بيانات الحركات'!$G:$G,0)),"")</f>
        <v/>
      </c>
      <c r="B1518" s="5" t="str">
        <f>IFERROR(INDEX('بيانات الحركات'!B:B,MATCH(1517,'بيانات الحركات'!$G:$G,0)),"")</f>
        <v/>
      </c>
      <c r="C1518" s="3" t="str">
        <f>IFERROR(INDEX('بيانات الحركات'!C:C,MATCH(1517,'بيانات الحركات'!$G:$G,0)),"")</f>
        <v/>
      </c>
      <c r="D1518" s="3" t="str">
        <f>IFERROR(INDEX('بيانات الحركات'!D:D,MATCH(1517,'بيانات الحركات'!$G:$G,0)),"")</f>
        <v/>
      </c>
      <c r="E1518" s="21" t="str">
        <f>IF($B1518="إنتاج طبخة","",IFERROR(INDEX('بيانات الحركات'!E:E,MATCH(1517,'بيانات الحركات'!$G:$G,0)),""))</f>
        <v/>
      </c>
      <c r="F1518" s="3" t="str">
        <f>IFERROR(INDEX('بيانات الحركات'!F:F,MATCH(1517,'بيانات الحركات'!$G:$G,0)),"")</f>
        <v/>
      </c>
    </row>
    <row r="1519" spans="1:6" ht="21.95" customHeight="1">
      <c r="A1519" s="8" t="str">
        <f>IFERROR(INDEX('بيانات الحركات'!A:A,MATCH(1518,'بيانات الحركات'!$G:$G,0)),"")</f>
        <v/>
      </c>
      <c r="B1519" s="5" t="str">
        <f>IFERROR(INDEX('بيانات الحركات'!B:B,MATCH(1518,'بيانات الحركات'!$G:$G,0)),"")</f>
        <v/>
      </c>
      <c r="C1519" s="3" t="str">
        <f>IFERROR(INDEX('بيانات الحركات'!C:C,MATCH(1518,'بيانات الحركات'!$G:$G,0)),"")</f>
        <v/>
      </c>
      <c r="D1519" s="3" t="str">
        <f>IFERROR(INDEX('بيانات الحركات'!D:D,MATCH(1518,'بيانات الحركات'!$G:$G,0)),"")</f>
        <v/>
      </c>
      <c r="E1519" s="21" t="str">
        <f>IF($B1519="إنتاج طبخة","",IFERROR(INDEX('بيانات الحركات'!E:E,MATCH(1518,'بيانات الحركات'!$G:$G,0)),""))</f>
        <v/>
      </c>
      <c r="F1519" s="3" t="str">
        <f>IFERROR(INDEX('بيانات الحركات'!F:F,MATCH(1518,'بيانات الحركات'!$G:$G,0)),"")</f>
        <v/>
      </c>
    </row>
    <row r="1520" spans="1:6" ht="21.95" customHeight="1">
      <c r="A1520" s="8" t="str">
        <f>IFERROR(INDEX('بيانات الحركات'!A:A,MATCH(1519,'بيانات الحركات'!$G:$G,0)),"")</f>
        <v/>
      </c>
      <c r="B1520" s="5" t="str">
        <f>IFERROR(INDEX('بيانات الحركات'!B:B,MATCH(1519,'بيانات الحركات'!$G:$G,0)),"")</f>
        <v/>
      </c>
      <c r="C1520" s="3" t="str">
        <f>IFERROR(INDEX('بيانات الحركات'!C:C,MATCH(1519,'بيانات الحركات'!$G:$G,0)),"")</f>
        <v/>
      </c>
      <c r="D1520" s="3" t="str">
        <f>IFERROR(INDEX('بيانات الحركات'!D:D,MATCH(1519,'بيانات الحركات'!$G:$G,0)),"")</f>
        <v/>
      </c>
      <c r="E1520" s="21" t="str">
        <f>IF($B1520="إنتاج طبخة","",IFERROR(INDEX('بيانات الحركات'!E:E,MATCH(1519,'بيانات الحركات'!$G:$G,0)),""))</f>
        <v/>
      </c>
      <c r="F1520" s="3" t="str">
        <f>IFERROR(INDEX('بيانات الحركات'!F:F,MATCH(1519,'بيانات الحركات'!$G:$G,0)),"")</f>
        <v/>
      </c>
    </row>
    <row r="1521" spans="1:6" ht="21.95" customHeight="1">
      <c r="A1521" s="8" t="str">
        <f>IFERROR(INDEX('بيانات الحركات'!A:A,MATCH(1520,'بيانات الحركات'!$G:$G,0)),"")</f>
        <v/>
      </c>
      <c r="B1521" s="5" t="str">
        <f>IFERROR(INDEX('بيانات الحركات'!B:B,MATCH(1520,'بيانات الحركات'!$G:$G,0)),"")</f>
        <v/>
      </c>
      <c r="C1521" s="3" t="str">
        <f>IFERROR(INDEX('بيانات الحركات'!C:C,MATCH(1520,'بيانات الحركات'!$G:$G,0)),"")</f>
        <v/>
      </c>
      <c r="D1521" s="3" t="str">
        <f>IFERROR(INDEX('بيانات الحركات'!D:D,MATCH(1520,'بيانات الحركات'!$G:$G,0)),"")</f>
        <v/>
      </c>
      <c r="E1521" s="21" t="str">
        <f>IF($B1521="إنتاج طبخة","",IFERROR(INDEX('بيانات الحركات'!E:E,MATCH(1520,'بيانات الحركات'!$G:$G,0)),""))</f>
        <v/>
      </c>
      <c r="F1521" s="3" t="str">
        <f>IFERROR(INDEX('بيانات الحركات'!F:F,MATCH(1520,'بيانات الحركات'!$G:$G,0)),"")</f>
        <v/>
      </c>
    </row>
    <row r="1522" spans="1:6" ht="21.95" customHeight="1">
      <c r="A1522" s="8" t="str">
        <f>IFERROR(INDEX('بيانات الحركات'!A:A,MATCH(1521,'بيانات الحركات'!$G:$G,0)),"")</f>
        <v/>
      </c>
      <c r="B1522" s="5" t="str">
        <f>IFERROR(INDEX('بيانات الحركات'!B:B,MATCH(1521,'بيانات الحركات'!$G:$G,0)),"")</f>
        <v/>
      </c>
      <c r="C1522" s="3" t="str">
        <f>IFERROR(INDEX('بيانات الحركات'!C:C,MATCH(1521,'بيانات الحركات'!$G:$G,0)),"")</f>
        <v/>
      </c>
      <c r="D1522" s="3" t="str">
        <f>IFERROR(INDEX('بيانات الحركات'!D:D,MATCH(1521,'بيانات الحركات'!$G:$G,0)),"")</f>
        <v/>
      </c>
      <c r="E1522" s="21" t="str">
        <f>IF($B1522="إنتاج طبخة","",IFERROR(INDEX('بيانات الحركات'!E:E,MATCH(1521,'بيانات الحركات'!$G:$G,0)),""))</f>
        <v/>
      </c>
      <c r="F1522" s="3" t="str">
        <f>IFERROR(INDEX('بيانات الحركات'!F:F,MATCH(1521,'بيانات الحركات'!$G:$G,0)),"")</f>
        <v/>
      </c>
    </row>
    <row r="1523" spans="1:6" ht="21.95" customHeight="1">
      <c r="A1523" s="8" t="str">
        <f>IFERROR(INDEX('بيانات الحركات'!A:A,MATCH(1522,'بيانات الحركات'!$G:$G,0)),"")</f>
        <v/>
      </c>
      <c r="B1523" s="5" t="str">
        <f>IFERROR(INDEX('بيانات الحركات'!B:B,MATCH(1522,'بيانات الحركات'!$G:$G,0)),"")</f>
        <v/>
      </c>
      <c r="C1523" s="3" t="str">
        <f>IFERROR(INDEX('بيانات الحركات'!C:C,MATCH(1522,'بيانات الحركات'!$G:$G,0)),"")</f>
        <v/>
      </c>
      <c r="D1523" s="3" t="str">
        <f>IFERROR(INDEX('بيانات الحركات'!D:D,MATCH(1522,'بيانات الحركات'!$G:$G,0)),"")</f>
        <v/>
      </c>
      <c r="E1523" s="21" t="str">
        <f>IF($B1523="إنتاج طبخة","",IFERROR(INDEX('بيانات الحركات'!E:E,MATCH(1522,'بيانات الحركات'!$G:$G,0)),""))</f>
        <v/>
      </c>
      <c r="F1523" s="3" t="str">
        <f>IFERROR(INDEX('بيانات الحركات'!F:F,MATCH(1522,'بيانات الحركات'!$G:$G,0)),"")</f>
        <v/>
      </c>
    </row>
    <row r="1524" spans="1:6" ht="21.95" customHeight="1">
      <c r="A1524" s="8" t="str">
        <f>IFERROR(INDEX('بيانات الحركات'!A:A,MATCH(1523,'بيانات الحركات'!$G:$G,0)),"")</f>
        <v/>
      </c>
      <c r="B1524" s="5" t="str">
        <f>IFERROR(INDEX('بيانات الحركات'!B:B,MATCH(1523,'بيانات الحركات'!$G:$G,0)),"")</f>
        <v/>
      </c>
      <c r="C1524" s="3" t="str">
        <f>IFERROR(INDEX('بيانات الحركات'!C:C,MATCH(1523,'بيانات الحركات'!$G:$G,0)),"")</f>
        <v/>
      </c>
      <c r="D1524" s="3" t="str">
        <f>IFERROR(INDEX('بيانات الحركات'!D:D,MATCH(1523,'بيانات الحركات'!$G:$G,0)),"")</f>
        <v/>
      </c>
      <c r="E1524" s="21" t="str">
        <f>IF($B1524="إنتاج طبخة","",IFERROR(INDEX('بيانات الحركات'!E:E,MATCH(1523,'بيانات الحركات'!$G:$G,0)),""))</f>
        <v/>
      </c>
      <c r="F1524" s="3" t="str">
        <f>IFERROR(INDEX('بيانات الحركات'!F:F,MATCH(1523,'بيانات الحركات'!$G:$G,0)),"")</f>
        <v/>
      </c>
    </row>
    <row r="1525" spans="1:6" ht="21.95" customHeight="1">
      <c r="A1525" s="8" t="str">
        <f>IFERROR(INDEX('بيانات الحركات'!A:A,MATCH(1524,'بيانات الحركات'!$G:$G,0)),"")</f>
        <v/>
      </c>
      <c r="B1525" s="5" t="str">
        <f>IFERROR(INDEX('بيانات الحركات'!B:B,MATCH(1524,'بيانات الحركات'!$G:$G,0)),"")</f>
        <v/>
      </c>
      <c r="C1525" s="3" t="str">
        <f>IFERROR(INDEX('بيانات الحركات'!C:C,MATCH(1524,'بيانات الحركات'!$G:$G,0)),"")</f>
        <v/>
      </c>
      <c r="D1525" s="3" t="str">
        <f>IFERROR(INDEX('بيانات الحركات'!D:D,MATCH(1524,'بيانات الحركات'!$G:$G,0)),"")</f>
        <v/>
      </c>
      <c r="E1525" s="21" t="str">
        <f>IF($B1525="إنتاج طبخة","",IFERROR(INDEX('بيانات الحركات'!E:E,MATCH(1524,'بيانات الحركات'!$G:$G,0)),""))</f>
        <v/>
      </c>
      <c r="F1525" s="3" t="str">
        <f>IFERROR(INDEX('بيانات الحركات'!F:F,MATCH(1524,'بيانات الحركات'!$G:$G,0)),"")</f>
        <v/>
      </c>
    </row>
    <row r="1526" spans="1:6" ht="21.95" customHeight="1">
      <c r="A1526" s="8" t="str">
        <f>IFERROR(INDEX('بيانات الحركات'!A:A,MATCH(1525,'بيانات الحركات'!$G:$G,0)),"")</f>
        <v/>
      </c>
      <c r="B1526" s="5" t="str">
        <f>IFERROR(INDEX('بيانات الحركات'!B:B,MATCH(1525,'بيانات الحركات'!$G:$G,0)),"")</f>
        <v/>
      </c>
      <c r="C1526" s="3" t="str">
        <f>IFERROR(INDEX('بيانات الحركات'!C:C,MATCH(1525,'بيانات الحركات'!$G:$G,0)),"")</f>
        <v/>
      </c>
      <c r="D1526" s="3" t="str">
        <f>IFERROR(INDEX('بيانات الحركات'!D:D,MATCH(1525,'بيانات الحركات'!$G:$G,0)),"")</f>
        <v/>
      </c>
      <c r="E1526" s="21" t="str">
        <f>IF($B1526="إنتاج طبخة","",IFERROR(INDEX('بيانات الحركات'!E:E,MATCH(1525,'بيانات الحركات'!$G:$G,0)),""))</f>
        <v/>
      </c>
      <c r="F1526" s="3" t="str">
        <f>IFERROR(INDEX('بيانات الحركات'!F:F,MATCH(1525,'بيانات الحركات'!$G:$G,0)),"")</f>
        <v/>
      </c>
    </row>
    <row r="1527" spans="1:6" ht="21.95" customHeight="1">
      <c r="A1527" s="8" t="str">
        <f>IFERROR(INDEX('بيانات الحركات'!A:A,MATCH(1526,'بيانات الحركات'!$G:$G,0)),"")</f>
        <v/>
      </c>
      <c r="B1527" s="5" t="str">
        <f>IFERROR(INDEX('بيانات الحركات'!B:B,MATCH(1526,'بيانات الحركات'!$G:$G,0)),"")</f>
        <v/>
      </c>
      <c r="C1527" s="3" t="str">
        <f>IFERROR(INDEX('بيانات الحركات'!C:C,MATCH(1526,'بيانات الحركات'!$G:$G,0)),"")</f>
        <v/>
      </c>
      <c r="D1527" s="3" t="str">
        <f>IFERROR(INDEX('بيانات الحركات'!D:D,MATCH(1526,'بيانات الحركات'!$G:$G,0)),"")</f>
        <v/>
      </c>
      <c r="E1527" s="21" t="str">
        <f>IF($B1527="إنتاج طبخة","",IFERROR(INDEX('بيانات الحركات'!E:E,MATCH(1526,'بيانات الحركات'!$G:$G,0)),""))</f>
        <v/>
      </c>
      <c r="F1527" s="3" t="str">
        <f>IFERROR(INDEX('بيانات الحركات'!F:F,MATCH(1526,'بيانات الحركات'!$G:$G,0)),"")</f>
        <v/>
      </c>
    </row>
    <row r="1528" spans="1:6" ht="21.95" customHeight="1">
      <c r="A1528" s="8" t="str">
        <f>IFERROR(INDEX('بيانات الحركات'!A:A,MATCH(1527,'بيانات الحركات'!$G:$G,0)),"")</f>
        <v/>
      </c>
      <c r="B1528" s="5" t="str">
        <f>IFERROR(INDEX('بيانات الحركات'!B:B,MATCH(1527,'بيانات الحركات'!$G:$G,0)),"")</f>
        <v/>
      </c>
      <c r="C1528" s="3" t="str">
        <f>IFERROR(INDEX('بيانات الحركات'!C:C,MATCH(1527,'بيانات الحركات'!$G:$G,0)),"")</f>
        <v/>
      </c>
      <c r="D1528" s="3" t="str">
        <f>IFERROR(INDEX('بيانات الحركات'!D:D,MATCH(1527,'بيانات الحركات'!$G:$G,0)),"")</f>
        <v/>
      </c>
      <c r="E1528" s="21" t="str">
        <f>IF($B1528="إنتاج طبخة","",IFERROR(INDEX('بيانات الحركات'!E:E,MATCH(1527,'بيانات الحركات'!$G:$G,0)),""))</f>
        <v/>
      </c>
      <c r="F1528" s="3" t="str">
        <f>IFERROR(INDEX('بيانات الحركات'!F:F,MATCH(1527,'بيانات الحركات'!$G:$G,0)),"")</f>
        <v/>
      </c>
    </row>
    <row r="1529" spans="1:6" ht="21.95" customHeight="1">
      <c r="A1529" s="8" t="str">
        <f>IFERROR(INDEX('بيانات الحركات'!A:A,MATCH(1528,'بيانات الحركات'!$G:$G,0)),"")</f>
        <v/>
      </c>
      <c r="B1529" s="5" t="str">
        <f>IFERROR(INDEX('بيانات الحركات'!B:B,MATCH(1528,'بيانات الحركات'!$G:$G,0)),"")</f>
        <v/>
      </c>
      <c r="C1529" s="3" t="str">
        <f>IFERROR(INDEX('بيانات الحركات'!C:C,MATCH(1528,'بيانات الحركات'!$G:$G,0)),"")</f>
        <v/>
      </c>
      <c r="D1529" s="3" t="str">
        <f>IFERROR(INDEX('بيانات الحركات'!D:D,MATCH(1528,'بيانات الحركات'!$G:$G,0)),"")</f>
        <v/>
      </c>
      <c r="E1529" s="21" t="str">
        <f>IF($B1529="إنتاج طبخة","",IFERROR(INDEX('بيانات الحركات'!E:E,MATCH(1528,'بيانات الحركات'!$G:$G,0)),""))</f>
        <v/>
      </c>
      <c r="F1529" s="3" t="str">
        <f>IFERROR(INDEX('بيانات الحركات'!F:F,MATCH(1528,'بيانات الحركات'!$G:$G,0)),"")</f>
        <v/>
      </c>
    </row>
    <row r="1530" spans="1:6" ht="21.95" customHeight="1">
      <c r="A1530" s="8" t="str">
        <f>IFERROR(INDEX('بيانات الحركات'!A:A,MATCH(1529,'بيانات الحركات'!$G:$G,0)),"")</f>
        <v/>
      </c>
      <c r="B1530" s="5" t="str">
        <f>IFERROR(INDEX('بيانات الحركات'!B:B,MATCH(1529,'بيانات الحركات'!$G:$G,0)),"")</f>
        <v/>
      </c>
      <c r="C1530" s="3" t="str">
        <f>IFERROR(INDEX('بيانات الحركات'!C:C,MATCH(1529,'بيانات الحركات'!$G:$G,0)),"")</f>
        <v/>
      </c>
      <c r="D1530" s="3" t="str">
        <f>IFERROR(INDEX('بيانات الحركات'!D:D,MATCH(1529,'بيانات الحركات'!$G:$G,0)),"")</f>
        <v/>
      </c>
      <c r="E1530" s="21" t="str">
        <f>IF($B1530="إنتاج طبخة","",IFERROR(INDEX('بيانات الحركات'!E:E,MATCH(1529,'بيانات الحركات'!$G:$G,0)),""))</f>
        <v/>
      </c>
      <c r="F1530" s="3" t="str">
        <f>IFERROR(INDEX('بيانات الحركات'!F:F,MATCH(1529,'بيانات الحركات'!$G:$G,0)),"")</f>
        <v/>
      </c>
    </row>
    <row r="1531" spans="1:6" ht="21.95" customHeight="1">
      <c r="A1531" s="8" t="str">
        <f>IFERROR(INDEX('بيانات الحركات'!A:A,MATCH(1530,'بيانات الحركات'!$G:$G,0)),"")</f>
        <v/>
      </c>
      <c r="B1531" s="5" t="str">
        <f>IFERROR(INDEX('بيانات الحركات'!B:B,MATCH(1530,'بيانات الحركات'!$G:$G,0)),"")</f>
        <v/>
      </c>
      <c r="C1531" s="3" t="str">
        <f>IFERROR(INDEX('بيانات الحركات'!C:C,MATCH(1530,'بيانات الحركات'!$G:$G,0)),"")</f>
        <v/>
      </c>
      <c r="D1531" s="3" t="str">
        <f>IFERROR(INDEX('بيانات الحركات'!D:D,MATCH(1530,'بيانات الحركات'!$G:$G,0)),"")</f>
        <v/>
      </c>
      <c r="E1531" s="21" t="str">
        <f>IF($B1531="إنتاج طبخة","",IFERROR(INDEX('بيانات الحركات'!E:E,MATCH(1530,'بيانات الحركات'!$G:$G,0)),""))</f>
        <v/>
      </c>
      <c r="F1531" s="3" t="str">
        <f>IFERROR(INDEX('بيانات الحركات'!F:F,MATCH(1530,'بيانات الحركات'!$G:$G,0)),"")</f>
        <v/>
      </c>
    </row>
    <row r="1532" spans="1:6" ht="21.95" customHeight="1">
      <c r="A1532" s="8" t="str">
        <f>IFERROR(INDEX('بيانات الحركات'!A:A,MATCH(1531,'بيانات الحركات'!$G:$G,0)),"")</f>
        <v/>
      </c>
      <c r="B1532" s="5" t="str">
        <f>IFERROR(INDEX('بيانات الحركات'!B:B,MATCH(1531,'بيانات الحركات'!$G:$G,0)),"")</f>
        <v/>
      </c>
      <c r="C1532" s="3" t="str">
        <f>IFERROR(INDEX('بيانات الحركات'!C:C,MATCH(1531,'بيانات الحركات'!$G:$G,0)),"")</f>
        <v/>
      </c>
      <c r="D1532" s="3" t="str">
        <f>IFERROR(INDEX('بيانات الحركات'!D:D,MATCH(1531,'بيانات الحركات'!$G:$G,0)),"")</f>
        <v/>
      </c>
      <c r="E1532" s="21" t="str">
        <f>IF($B1532="إنتاج طبخة","",IFERROR(INDEX('بيانات الحركات'!E:E,MATCH(1531,'بيانات الحركات'!$G:$G,0)),""))</f>
        <v/>
      </c>
      <c r="F1532" s="3" t="str">
        <f>IFERROR(INDEX('بيانات الحركات'!F:F,MATCH(1531,'بيانات الحركات'!$G:$G,0)),"")</f>
        <v/>
      </c>
    </row>
    <row r="1533" spans="1:6" ht="21.95" customHeight="1">
      <c r="A1533" s="8" t="str">
        <f>IFERROR(INDEX('بيانات الحركات'!A:A,MATCH(1532,'بيانات الحركات'!$G:$G,0)),"")</f>
        <v/>
      </c>
      <c r="B1533" s="5" t="str">
        <f>IFERROR(INDEX('بيانات الحركات'!B:B,MATCH(1532,'بيانات الحركات'!$G:$G,0)),"")</f>
        <v/>
      </c>
      <c r="C1533" s="3" t="str">
        <f>IFERROR(INDEX('بيانات الحركات'!C:C,MATCH(1532,'بيانات الحركات'!$G:$G,0)),"")</f>
        <v/>
      </c>
      <c r="D1533" s="3" t="str">
        <f>IFERROR(INDEX('بيانات الحركات'!D:D,MATCH(1532,'بيانات الحركات'!$G:$G,0)),"")</f>
        <v/>
      </c>
      <c r="E1533" s="21" t="str">
        <f>IF($B1533="إنتاج طبخة","",IFERROR(INDEX('بيانات الحركات'!E:E,MATCH(1532,'بيانات الحركات'!$G:$G,0)),""))</f>
        <v/>
      </c>
      <c r="F1533" s="3" t="str">
        <f>IFERROR(INDEX('بيانات الحركات'!F:F,MATCH(1532,'بيانات الحركات'!$G:$G,0)),"")</f>
        <v/>
      </c>
    </row>
    <row r="1534" spans="1:6" ht="21.95" customHeight="1">
      <c r="A1534" s="8" t="str">
        <f>IFERROR(INDEX('بيانات الحركات'!A:A,MATCH(1533,'بيانات الحركات'!$G:$G,0)),"")</f>
        <v/>
      </c>
      <c r="B1534" s="5" t="str">
        <f>IFERROR(INDEX('بيانات الحركات'!B:B,MATCH(1533,'بيانات الحركات'!$G:$G,0)),"")</f>
        <v/>
      </c>
      <c r="C1534" s="3" t="str">
        <f>IFERROR(INDEX('بيانات الحركات'!C:C,MATCH(1533,'بيانات الحركات'!$G:$G,0)),"")</f>
        <v/>
      </c>
      <c r="D1534" s="3" t="str">
        <f>IFERROR(INDEX('بيانات الحركات'!D:D,MATCH(1533,'بيانات الحركات'!$G:$G,0)),"")</f>
        <v/>
      </c>
      <c r="E1534" s="21" t="str">
        <f>IF($B1534="إنتاج طبخة","",IFERROR(INDEX('بيانات الحركات'!E:E,MATCH(1533,'بيانات الحركات'!$G:$G,0)),""))</f>
        <v/>
      </c>
      <c r="F1534" s="3" t="str">
        <f>IFERROR(INDEX('بيانات الحركات'!F:F,MATCH(1533,'بيانات الحركات'!$G:$G,0)),"")</f>
        <v/>
      </c>
    </row>
    <row r="1535" spans="1:6" ht="21.95" customHeight="1">
      <c r="A1535" s="8" t="str">
        <f>IFERROR(INDEX('بيانات الحركات'!A:A,MATCH(1534,'بيانات الحركات'!$G:$G,0)),"")</f>
        <v/>
      </c>
      <c r="B1535" s="5" t="str">
        <f>IFERROR(INDEX('بيانات الحركات'!B:B,MATCH(1534,'بيانات الحركات'!$G:$G,0)),"")</f>
        <v/>
      </c>
      <c r="C1535" s="3" t="str">
        <f>IFERROR(INDEX('بيانات الحركات'!C:C,MATCH(1534,'بيانات الحركات'!$G:$G,0)),"")</f>
        <v/>
      </c>
      <c r="D1535" s="3" t="str">
        <f>IFERROR(INDEX('بيانات الحركات'!D:D,MATCH(1534,'بيانات الحركات'!$G:$G,0)),"")</f>
        <v/>
      </c>
      <c r="E1535" s="21" t="str">
        <f>IF($B1535="إنتاج طبخة","",IFERROR(INDEX('بيانات الحركات'!E:E,MATCH(1534,'بيانات الحركات'!$G:$G,0)),""))</f>
        <v/>
      </c>
      <c r="F1535" s="3" t="str">
        <f>IFERROR(INDEX('بيانات الحركات'!F:F,MATCH(1534,'بيانات الحركات'!$G:$G,0)),"")</f>
        <v/>
      </c>
    </row>
    <row r="1536" spans="1:6" ht="21.95" customHeight="1">
      <c r="A1536" s="8" t="str">
        <f>IFERROR(INDEX('بيانات الحركات'!A:A,MATCH(1535,'بيانات الحركات'!$G:$G,0)),"")</f>
        <v/>
      </c>
      <c r="B1536" s="5" t="str">
        <f>IFERROR(INDEX('بيانات الحركات'!B:B,MATCH(1535,'بيانات الحركات'!$G:$G,0)),"")</f>
        <v/>
      </c>
      <c r="C1536" s="3" t="str">
        <f>IFERROR(INDEX('بيانات الحركات'!C:C,MATCH(1535,'بيانات الحركات'!$G:$G,0)),"")</f>
        <v/>
      </c>
      <c r="D1536" s="3" t="str">
        <f>IFERROR(INDEX('بيانات الحركات'!D:D,MATCH(1535,'بيانات الحركات'!$G:$G,0)),"")</f>
        <v/>
      </c>
      <c r="E1536" s="21" t="str">
        <f>IF($B1536="إنتاج طبخة","",IFERROR(INDEX('بيانات الحركات'!E:E,MATCH(1535,'بيانات الحركات'!$G:$G,0)),""))</f>
        <v/>
      </c>
      <c r="F1536" s="3" t="str">
        <f>IFERROR(INDEX('بيانات الحركات'!F:F,MATCH(1535,'بيانات الحركات'!$G:$G,0)),"")</f>
        <v/>
      </c>
    </row>
    <row r="1537" spans="1:6" ht="21.95" customHeight="1">
      <c r="A1537" s="8" t="str">
        <f>IFERROR(INDEX('بيانات الحركات'!A:A,MATCH(1536,'بيانات الحركات'!$G:$G,0)),"")</f>
        <v/>
      </c>
      <c r="B1537" s="5" t="str">
        <f>IFERROR(INDEX('بيانات الحركات'!B:B,MATCH(1536,'بيانات الحركات'!$G:$G,0)),"")</f>
        <v/>
      </c>
      <c r="C1537" s="3" t="str">
        <f>IFERROR(INDEX('بيانات الحركات'!C:C,MATCH(1536,'بيانات الحركات'!$G:$G,0)),"")</f>
        <v/>
      </c>
      <c r="D1537" s="3" t="str">
        <f>IFERROR(INDEX('بيانات الحركات'!D:D,MATCH(1536,'بيانات الحركات'!$G:$G,0)),"")</f>
        <v/>
      </c>
      <c r="E1537" s="21" t="str">
        <f>IF($B1537="إنتاج طبخة","",IFERROR(INDEX('بيانات الحركات'!E:E,MATCH(1536,'بيانات الحركات'!$G:$G,0)),""))</f>
        <v/>
      </c>
      <c r="F1537" s="3" t="str">
        <f>IFERROR(INDEX('بيانات الحركات'!F:F,MATCH(1536,'بيانات الحركات'!$G:$G,0)),"")</f>
        <v/>
      </c>
    </row>
    <row r="1538" spans="1:6" ht="21.95" customHeight="1">
      <c r="A1538" s="8" t="str">
        <f>IFERROR(INDEX('بيانات الحركات'!A:A,MATCH(1537,'بيانات الحركات'!$G:$G,0)),"")</f>
        <v/>
      </c>
      <c r="B1538" s="5" t="str">
        <f>IFERROR(INDEX('بيانات الحركات'!B:B,MATCH(1537,'بيانات الحركات'!$G:$G,0)),"")</f>
        <v/>
      </c>
      <c r="C1538" s="3" t="str">
        <f>IFERROR(INDEX('بيانات الحركات'!C:C,MATCH(1537,'بيانات الحركات'!$G:$G,0)),"")</f>
        <v/>
      </c>
      <c r="D1538" s="3" t="str">
        <f>IFERROR(INDEX('بيانات الحركات'!D:D,MATCH(1537,'بيانات الحركات'!$G:$G,0)),"")</f>
        <v/>
      </c>
      <c r="E1538" s="21" t="str">
        <f>IF($B1538="إنتاج طبخة","",IFERROR(INDEX('بيانات الحركات'!E:E,MATCH(1537,'بيانات الحركات'!$G:$G,0)),""))</f>
        <v/>
      </c>
      <c r="F1538" s="3" t="str">
        <f>IFERROR(INDEX('بيانات الحركات'!F:F,MATCH(1537,'بيانات الحركات'!$G:$G,0)),"")</f>
        <v/>
      </c>
    </row>
    <row r="1539" spans="1:6" ht="21.95" customHeight="1">
      <c r="A1539" s="8" t="str">
        <f>IFERROR(INDEX('بيانات الحركات'!A:A,MATCH(1538,'بيانات الحركات'!$G:$G,0)),"")</f>
        <v/>
      </c>
      <c r="B1539" s="5" t="str">
        <f>IFERROR(INDEX('بيانات الحركات'!B:B,MATCH(1538,'بيانات الحركات'!$G:$G,0)),"")</f>
        <v/>
      </c>
      <c r="C1539" s="3" t="str">
        <f>IFERROR(INDEX('بيانات الحركات'!C:C,MATCH(1538,'بيانات الحركات'!$G:$G,0)),"")</f>
        <v/>
      </c>
      <c r="D1539" s="3" t="str">
        <f>IFERROR(INDEX('بيانات الحركات'!D:D,MATCH(1538,'بيانات الحركات'!$G:$G,0)),"")</f>
        <v/>
      </c>
      <c r="E1539" s="21" t="str">
        <f>IF($B1539="إنتاج طبخة","",IFERROR(INDEX('بيانات الحركات'!E:E,MATCH(1538,'بيانات الحركات'!$G:$G,0)),""))</f>
        <v/>
      </c>
      <c r="F1539" s="3" t="str">
        <f>IFERROR(INDEX('بيانات الحركات'!F:F,MATCH(1538,'بيانات الحركات'!$G:$G,0)),"")</f>
        <v/>
      </c>
    </row>
    <row r="1540" spans="1:6" ht="21.95" customHeight="1">
      <c r="A1540" s="8" t="str">
        <f>IFERROR(INDEX('بيانات الحركات'!A:A,MATCH(1539,'بيانات الحركات'!$G:$G,0)),"")</f>
        <v/>
      </c>
      <c r="B1540" s="5" t="str">
        <f>IFERROR(INDEX('بيانات الحركات'!B:B,MATCH(1539,'بيانات الحركات'!$G:$G,0)),"")</f>
        <v/>
      </c>
      <c r="C1540" s="3" t="str">
        <f>IFERROR(INDEX('بيانات الحركات'!C:C,MATCH(1539,'بيانات الحركات'!$G:$G,0)),"")</f>
        <v/>
      </c>
      <c r="D1540" s="3" t="str">
        <f>IFERROR(INDEX('بيانات الحركات'!D:D,MATCH(1539,'بيانات الحركات'!$G:$G,0)),"")</f>
        <v/>
      </c>
      <c r="E1540" s="21" t="str">
        <f>IF($B1540="إنتاج طبخة","",IFERROR(INDEX('بيانات الحركات'!E:E,MATCH(1539,'بيانات الحركات'!$G:$G,0)),""))</f>
        <v/>
      </c>
      <c r="F1540" s="3" t="str">
        <f>IFERROR(INDEX('بيانات الحركات'!F:F,MATCH(1539,'بيانات الحركات'!$G:$G,0)),"")</f>
        <v/>
      </c>
    </row>
    <row r="1541" spans="1:6" ht="21.95" customHeight="1">
      <c r="A1541" s="8" t="str">
        <f>IFERROR(INDEX('بيانات الحركات'!A:A,MATCH(1540,'بيانات الحركات'!$G:$G,0)),"")</f>
        <v/>
      </c>
      <c r="B1541" s="5" t="str">
        <f>IFERROR(INDEX('بيانات الحركات'!B:B,MATCH(1540,'بيانات الحركات'!$G:$G,0)),"")</f>
        <v/>
      </c>
      <c r="C1541" s="3" t="str">
        <f>IFERROR(INDEX('بيانات الحركات'!C:C,MATCH(1540,'بيانات الحركات'!$G:$G,0)),"")</f>
        <v/>
      </c>
      <c r="D1541" s="3" t="str">
        <f>IFERROR(INDEX('بيانات الحركات'!D:D,MATCH(1540,'بيانات الحركات'!$G:$G,0)),"")</f>
        <v/>
      </c>
      <c r="E1541" s="21" t="str">
        <f>IF($B1541="إنتاج طبخة","",IFERROR(INDEX('بيانات الحركات'!E:E,MATCH(1540,'بيانات الحركات'!$G:$G,0)),""))</f>
        <v/>
      </c>
      <c r="F1541" s="3" t="str">
        <f>IFERROR(INDEX('بيانات الحركات'!F:F,MATCH(1540,'بيانات الحركات'!$G:$G,0)),"")</f>
        <v/>
      </c>
    </row>
    <row r="1542" spans="1:6" ht="21.95" customHeight="1">
      <c r="A1542" s="8" t="str">
        <f>IFERROR(INDEX('بيانات الحركات'!A:A,MATCH(1541,'بيانات الحركات'!$G:$G,0)),"")</f>
        <v/>
      </c>
      <c r="B1542" s="5" t="str">
        <f>IFERROR(INDEX('بيانات الحركات'!B:B,MATCH(1541,'بيانات الحركات'!$G:$G,0)),"")</f>
        <v/>
      </c>
      <c r="C1542" s="3" t="str">
        <f>IFERROR(INDEX('بيانات الحركات'!C:C,MATCH(1541,'بيانات الحركات'!$G:$G,0)),"")</f>
        <v/>
      </c>
      <c r="D1542" s="3" t="str">
        <f>IFERROR(INDEX('بيانات الحركات'!D:D,MATCH(1541,'بيانات الحركات'!$G:$G,0)),"")</f>
        <v/>
      </c>
      <c r="E1542" s="21" t="str">
        <f>IF($B1542="إنتاج طبخة","",IFERROR(INDEX('بيانات الحركات'!E:E,MATCH(1541,'بيانات الحركات'!$G:$G,0)),""))</f>
        <v/>
      </c>
      <c r="F1542" s="3" t="str">
        <f>IFERROR(INDEX('بيانات الحركات'!F:F,MATCH(1541,'بيانات الحركات'!$G:$G,0)),"")</f>
        <v/>
      </c>
    </row>
    <row r="1543" spans="1:6" ht="21.95" customHeight="1">
      <c r="A1543" s="8" t="str">
        <f>IFERROR(INDEX('بيانات الحركات'!A:A,MATCH(1542,'بيانات الحركات'!$G:$G,0)),"")</f>
        <v/>
      </c>
      <c r="B1543" s="5" t="str">
        <f>IFERROR(INDEX('بيانات الحركات'!B:B,MATCH(1542,'بيانات الحركات'!$G:$G,0)),"")</f>
        <v/>
      </c>
      <c r="C1543" s="3" t="str">
        <f>IFERROR(INDEX('بيانات الحركات'!C:C,MATCH(1542,'بيانات الحركات'!$G:$G,0)),"")</f>
        <v/>
      </c>
      <c r="D1543" s="3" t="str">
        <f>IFERROR(INDEX('بيانات الحركات'!D:D,MATCH(1542,'بيانات الحركات'!$G:$G,0)),"")</f>
        <v/>
      </c>
      <c r="E1543" s="21" t="str">
        <f>IF($B1543="إنتاج طبخة","",IFERROR(INDEX('بيانات الحركات'!E:E,MATCH(1542,'بيانات الحركات'!$G:$G,0)),""))</f>
        <v/>
      </c>
      <c r="F1543" s="3" t="str">
        <f>IFERROR(INDEX('بيانات الحركات'!F:F,MATCH(1542,'بيانات الحركات'!$G:$G,0)),"")</f>
        <v/>
      </c>
    </row>
    <row r="1544" spans="1:6" ht="21.95" customHeight="1">
      <c r="A1544" s="8" t="str">
        <f>IFERROR(INDEX('بيانات الحركات'!A:A,MATCH(1543,'بيانات الحركات'!$G:$G,0)),"")</f>
        <v/>
      </c>
      <c r="B1544" s="5" t="str">
        <f>IFERROR(INDEX('بيانات الحركات'!B:B,MATCH(1543,'بيانات الحركات'!$G:$G,0)),"")</f>
        <v/>
      </c>
      <c r="C1544" s="3" t="str">
        <f>IFERROR(INDEX('بيانات الحركات'!C:C,MATCH(1543,'بيانات الحركات'!$G:$G,0)),"")</f>
        <v/>
      </c>
      <c r="D1544" s="3" t="str">
        <f>IFERROR(INDEX('بيانات الحركات'!D:D,MATCH(1543,'بيانات الحركات'!$G:$G,0)),"")</f>
        <v/>
      </c>
      <c r="E1544" s="21" t="str">
        <f>IF($B1544="إنتاج طبخة","",IFERROR(INDEX('بيانات الحركات'!E:E,MATCH(1543,'بيانات الحركات'!$G:$G,0)),""))</f>
        <v/>
      </c>
      <c r="F1544" s="3" t="str">
        <f>IFERROR(INDEX('بيانات الحركات'!F:F,MATCH(1543,'بيانات الحركات'!$G:$G,0)),"")</f>
        <v/>
      </c>
    </row>
    <row r="1545" spans="1:6" ht="21.95" customHeight="1">
      <c r="A1545" s="8" t="str">
        <f>IFERROR(INDEX('بيانات الحركات'!A:A,MATCH(1544,'بيانات الحركات'!$G:$G,0)),"")</f>
        <v/>
      </c>
      <c r="B1545" s="5" t="str">
        <f>IFERROR(INDEX('بيانات الحركات'!B:B,MATCH(1544,'بيانات الحركات'!$G:$G,0)),"")</f>
        <v/>
      </c>
      <c r="C1545" s="3" t="str">
        <f>IFERROR(INDEX('بيانات الحركات'!C:C,MATCH(1544,'بيانات الحركات'!$G:$G,0)),"")</f>
        <v/>
      </c>
      <c r="D1545" s="3" t="str">
        <f>IFERROR(INDEX('بيانات الحركات'!D:D,MATCH(1544,'بيانات الحركات'!$G:$G,0)),"")</f>
        <v/>
      </c>
      <c r="E1545" s="21" t="str">
        <f>IF($B1545="إنتاج طبخة","",IFERROR(INDEX('بيانات الحركات'!E:E,MATCH(1544,'بيانات الحركات'!$G:$G,0)),""))</f>
        <v/>
      </c>
      <c r="F1545" s="3" t="str">
        <f>IFERROR(INDEX('بيانات الحركات'!F:F,MATCH(1544,'بيانات الحركات'!$G:$G,0)),"")</f>
        <v/>
      </c>
    </row>
    <row r="1546" spans="1:6" ht="21.95" customHeight="1">
      <c r="A1546" s="8" t="str">
        <f>IFERROR(INDEX('بيانات الحركات'!A:A,MATCH(1545,'بيانات الحركات'!$G:$G,0)),"")</f>
        <v/>
      </c>
      <c r="B1546" s="5" t="str">
        <f>IFERROR(INDEX('بيانات الحركات'!B:B,MATCH(1545,'بيانات الحركات'!$G:$G,0)),"")</f>
        <v/>
      </c>
      <c r="C1546" s="3" t="str">
        <f>IFERROR(INDEX('بيانات الحركات'!C:C,MATCH(1545,'بيانات الحركات'!$G:$G,0)),"")</f>
        <v/>
      </c>
      <c r="D1546" s="3" t="str">
        <f>IFERROR(INDEX('بيانات الحركات'!D:D,MATCH(1545,'بيانات الحركات'!$G:$G,0)),"")</f>
        <v/>
      </c>
      <c r="E1546" s="21" t="str">
        <f>IF($B1546="إنتاج طبخة","",IFERROR(INDEX('بيانات الحركات'!E:E,MATCH(1545,'بيانات الحركات'!$G:$G,0)),""))</f>
        <v/>
      </c>
      <c r="F1546" s="3" t="str">
        <f>IFERROR(INDEX('بيانات الحركات'!F:F,MATCH(1545,'بيانات الحركات'!$G:$G,0)),"")</f>
        <v/>
      </c>
    </row>
    <row r="1547" spans="1:6" ht="21.95" customHeight="1">
      <c r="A1547" s="8" t="str">
        <f>IFERROR(INDEX('بيانات الحركات'!A:A,MATCH(1546,'بيانات الحركات'!$G:$G,0)),"")</f>
        <v/>
      </c>
      <c r="B1547" s="5" t="str">
        <f>IFERROR(INDEX('بيانات الحركات'!B:B,MATCH(1546,'بيانات الحركات'!$G:$G,0)),"")</f>
        <v/>
      </c>
      <c r="C1547" s="3" t="str">
        <f>IFERROR(INDEX('بيانات الحركات'!C:C,MATCH(1546,'بيانات الحركات'!$G:$G,0)),"")</f>
        <v/>
      </c>
      <c r="D1547" s="3" t="str">
        <f>IFERROR(INDEX('بيانات الحركات'!D:D,MATCH(1546,'بيانات الحركات'!$G:$G,0)),"")</f>
        <v/>
      </c>
      <c r="E1547" s="21" t="str">
        <f>IF($B1547="إنتاج طبخة","",IFERROR(INDEX('بيانات الحركات'!E:E,MATCH(1546,'بيانات الحركات'!$G:$G,0)),""))</f>
        <v/>
      </c>
      <c r="F1547" s="3" t="str">
        <f>IFERROR(INDEX('بيانات الحركات'!F:F,MATCH(1546,'بيانات الحركات'!$G:$G,0)),"")</f>
        <v/>
      </c>
    </row>
    <row r="1548" spans="1:6" ht="21.95" customHeight="1">
      <c r="A1548" s="8" t="str">
        <f>IFERROR(INDEX('بيانات الحركات'!A:A,MATCH(1547,'بيانات الحركات'!$G:$G,0)),"")</f>
        <v/>
      </c>
      <c r="B1548" s="5" t="str">
        <f>IFERROR(INDEX('بيانات الحركات'!B:B,MATCH(1547,'بيانات الحركات'!$G:$G,0)),"")</f>
        <v/>
      </c>
      <c r="C1548" s="3" t="str">
        <f>IFERROR(INDEX('بيانات الحركات'!C:C,MATCH(1547,'بيانات الحركات'!$G:$G,0)),"")</f>
        <v/>
      </c>
      <c r="D1548" s="3" t="str">
        <f>IFERROR(INDEX('بيانات الحركات'!D:D,MATCH(1547,'بيانات الحركات'!$G:$G,0)),"")</f>
        <v/>
      </c>
      <c r="E1548" s="21" t="str">
        <f>IF($B1548="إنتاج طبخة","",IFERROR(INDEX('بيانات الحركات'!E:E,MATCH(1547,'بيانات الحركات'!$G:$G,0)),""))</f>
        <v/>
      </c>
      <c r="F1548" s="3" t="str">
        <f>IFERROR(INDEX('بيانات الحركات'!F:F,MATCH(1547,'بيانات الحركات'!$G:$G,0)),"")</f>
        <v/>
      </c>
    </row>
    <row r="1549" spans="1:6" ht="21.95" customHeight="1">
      <c r="A1549" s="8" t="str">
        <f>IFERROR(INDEX('بيانات الحركات'!A:A,MATCH(1548,'بيانات الحركات'!$G:$G,0)),"")</f>
        <v/>
      </c>
      <c r="B1549" s="5" t="str">
        <f>IFERROR(INDEX('بيانات الحركات'!B:B,MATCH(1548,'بيانات الحركات'!$G:$G,0)),"")</f>
        <v/>
      </c>
      <c r="C1549" s="3" t="str">
        <f>IFERROR(INDEX('بيانات الحركات'!C:C,MATCH(1548,'بيانات الحركات'!$G:$G,0)),"")</f>
        <v/>
      </c>
      <c r="D1549" s="3" t="str">
        <f>IFERROR(INDEX('بيانات الحركات'!D:D,MATCH(1548,'بيانات الحركات'!$G:$G,0)),"")</f>
        <v/>
      </c>
      <c r="E1549" s="21" t="str">
        <f>IF($B1549="إنتاج طبخة","",IFERROR(INDEX('بيانات الحركات'!E:E,MATCH(1548,'بيانات الحركات'!$G:$G,0)),""))</f>
        <v/>
      </c>
      <c r="F1549" s="3" t="str">
        <f>IFERROR(INDEX('بيانات الحركات'!F:F,MATCH(1548,'بيانات الحركات'!$G:$G,0)),"")</f>
        <v/>
      </c>
    </row>
    <row r="1550" spans="1:6" ht="21.95" customHeight="1">
      <c r="A1550" s="8" t="str">
        <f>IFERROR(INDEX('بيانات الحركات'!A:A,MATCH(1549,'بيانات الحركات'!$G:$G,0)),"")</f>
        <v/>
      </c>
      <c r="B1550" s="5" t="str">
        <f>IFERROR(INDEX('بيانات الحركات'!B:B,MATCH(1549,'بيانات الحركات'!$G:$G,0)),"")</f>
        <v/>
      </c>
      <c r="C1550" s="3" t="str">
        <f>IFERROR(INDEX('بيانات الحركات'!C:C,MATCH(1549,'بيانات الحركات'!$G:$G,0)),"")</f>
        <v/>
      </c>
      <c r="D1550" s="3" t="str">
        <f>IFERROR(INDEX('بيانات الحركات'!D:D,MATCH(1549,'بيانات الحركات'!$G:$G,0)),"")</f>
        <v/>
      </c>
      <c r="E1550" s="21" t="str">
        <f>IF($B1550="إنتاج طبخة","",IFERROR(INDEX('بيانات الحركات'!E:E,MATCH(1549,'بيانات الحركات'!$G:$G,0)),""))</f>
        <v/>
      </c>
      <c r="F1550" s="3" t="str">
        <f>IFERROR(INDEX('بيانات الحركات'!F:F,MATCH(1549,'بيانات الحركات'!$G:$G,0)),"")</f>
        <v/>
      </c>
    </row>
    <row r="1551" spans="1:6" ht="21.95" customHeight="1">
      <c r="A1551" s="8" t="str">
        <f>IFERROR(INDEX('بيانات الحركات'!A:A,MATCH(1550,'بيانات الحركات'!$G:$G,0)),"")</f>
        <v/>
      </c>
      <c r="B1551" s="5" t="str">
        <f>IFERROR(INDEX('بيانات الحركات'!B:B,MATCH(1550,'بيانات الحركات'!$G:$G,0)),"")</f>
        <v/>
      </c>
      <c r="C1551" s="3" t="str">
        <f>IFERROR(INDEX('بيانات الحركات'!C:C,MATCH(1550,'بيانات الحركات'!$G:$G,0)),"")</f>
        <v/>
      </c>
      <c r="D1551" s="3" t="str">
        <f>IFERROR(INDEX('بيانات الحركات'!D:D,MATCH(1550,'بيانات الحركات'!$G:$G,0)),"")</f>
        <v/>
      </c>
      <c r="E1551" s="21" t="str">
        <f>IF($B1551="إنتاج طبخة","",IFERROR(INDEX('بيانات الحركات'!E:E,MATCH(1550,'بيانات الحركات'!$G:$G,0)),""))</f>
        <v/>
      </c>
      <c r="F1551" s="3" t="str">
        <f>IFERROR(INDEX('بيانات الحركات'!F:F,MATCH(1550,'بيانات الحركات'!$G:$G,0)),"")</f>
        <v/>
      </c>
    </row>
    <row r="1552" spans="1:6" ht="21.95" customHeight="1">
      <c r="A1552" s="8" t="str">
        <f>IFERROR(INDEX('بيانات الحركات'!A:A,MATCH(1551,'بيانات الحركات'!$G:$G,0)),"")</f>
        <v/>
      </c>
      <c r="B1552" s="5" t="str">
        <f>IFERROR(INDEX('بيانات الحركات'!B:B,MATCH(1551,'بيانات الحركات'!$G:$G,0)),"")</f>
        <v/>
      </c>
      <c r="C1552" s="3" t="str">
        <f>IFERROR(INDEX('بيانات الحركات'!C:C,MATCH(1551,'بيانات الحركات'!$G:$G,0)),"")</f>
        <v/>
      </c>
      <c r="D1552" s="3" t="str">
        <f>IFERROR(INDEX('بيانات الحركات'!D:D,MATCH(1551,'بيانات الحركات'!$G:$G,0)),"")</f>
        <v/>
      </c>
      <c r="E1552" s="21" t="str">
        <f>IF($B1552="إنتاج طبخة","",IFERROR(INDEX('بيانات الحركات'!E:E,MATCH(1551,'بيانات الحركات'!$G:$G,0)),""))</f>
        <v/>
      </c>
      <c r="F1552" s="3" t="str">
        <f>IFERROR(INDEX('بيانات الحركات'!F:F,MATCH(1551,'بيانات الحركات'!$G:$G,0)),"")</f>
        <v/>
      </c>
    </row>
    <row r="1553" spans="1:6" ht="21.95" customHeight="1">
      <c r="A1553" s="8" t="str">
        <f>IFERROR(INDEX('بيانات الحركات'!A:A,MATCH(1552,'بيانات الحركات'!$G:$G,0)),"")</f>
        <v/>
      </c>
      <c r="B1553" s="5" t="str">
        <f>IFERROR(INDEX('بيانات الحركات'!B:B,MATCH(1552,'بيانات الحركات'!$G:$G,0)),"")</f>
        <v/>
      </c>
      <c r="C1553" s="3" t="str">
        <f>IFERROR(INDEX('بيانات الحركات'!C:C,MATCH(1552,'بيانات الحركات'!$G:$G,0)),"")</f>
        <v/>
      </c>
      <c r="D1553" s="3" t="str">
        <f>IFERROR(INDEX('بيانات الحركات'!D:D,MATCH(1552,'بيانات الحركات'!$G:$G,0)),"")</f>
        <v/>
      </c>
      <c r="E1553" s="21" t="str">
        <f>IF($B1553="إنتاج طبخة","",IFERROR(INDEX('بيانات الحركات'!E:E,MATCH(1552,'بيانات الحركات'!$G:$G,0)),""))</f>
        <v/>
      </c>
      <c r="F1553" s="3" t="str">
        <f>IFERROR(INDEX('بيانات الحركات'!F:F,MATCH(1552,'بيانات الحركات'!$G:$G,0)),"")</f>
        <v/>
      </c>
    </row>
    <row r="1554" spans="1:6" ht="21.95" customHeight="1">
      <c r="A1554" s="8" t="str">
        <f>IFERROR(INDEX('بيانات الحركات'!A:A,MATCH(1553,'بيانات الحركات'!$G:$G,0)),"")</f>
        <v/>
      </c>
      <c r="B1554" s="5" t="str">
        <f>IFERROR(INDEX('بيانات الحركات'!B:B,MATCH(1553,'بيانات الحركات'!$G:$G,0)),"")</f>
        <v/>
      </c>
      <c r="C1554" s="3" t="str">
        <f>IFERROR(INDEX('بيانات الحركات'!C:C,MATCH(1553,'بيانات الحركات'!$G:$G,0)),"")</f>
        <v/>
      </c>
      <c r="D1554" s="3" t="str">
        <f>IFERROR(INDEX('بيانات الحركات'!D:D,MATCH(1553,'بيانات الحركات'!$G:$G,0)),"")</f>
        <v/>
      </c>
      <c r="E1554" s="21" t="str">
        <f>IF($B1554="إنتاج طبخة","",IFERROR(INDEX('بيانات الحركات'!E:E,MATCH(1553,'بيانات الحركات'!$G:$G,0)),""))</f>
        <v/>
      </c>
      <c r="F1554" s="3" t="str">
        <f>IFERROR(INDEX('بيانات الحركات'!F:F,MATCH(1553,'بيانات الحركات'!$G:$G,0)),"")</f>
        <v/>
      </c>
    </row>
    <row r="1555" spans="1:6" ht="21.95" customHeight="1">
      <c r="A1555" s="8" t="str">
        <f>IFERROR(INDEX('بيانات الحركات'!A:A,MATCH(1554,'بيانات الحركات'!$G:$G,0)),"")</f>
        <v/>
      </c>
      <c r="B1555" s="5" t="str">
        <f>IFERROR(INDEX('بيانات الحركات'!B:B,MATCH(1554,'بيانات الحركات'!$G:$G,0)),"")</f>
        <v/>
      </c>
      <c r="C1555" s="3" t="str">
        <f>IFERROR(INDEX('بيانات الحركات'!C:C,MATCH(1554,'بيانات الحركات'!$G:$G,0)),"")</f>
        <v/>
      </c>
      <c r="D1555" s="3" t="str">
        <f>IFERROR(INDEX('بيانات الحركات'!D:D,MATCH(1554,'بيانات الحركات'!$G:$G,0)),"")</f>
        <v/>
      </c>
      <c r="E1555" s="21" t="str">
        <f>IF($B1555="إنتاج طبخة","",IFERROR(INDEX('بيانات الحركات'!E:E,MATCH(1554,'بيانات الحركات'!$G:$G,0)),""))</f>
        <v/>
      </c>
      <c r="F1555" s="3" t="str">
        <f>IFERROR(INDEX('بيانات الحركات'!F:F,MATCH(1554,'بيانات الحركات'!$G:$G,0)),"")</f>
        <v/>
      </c>
    </row>
    <row r="1556" spans="1:6" ht="21.95" customHeight="1">
      <c r="A1556" s="8" t="str">
        <f>IFERROR(INDEX('بيانات الحركات'!A:A,MATCH(1555,'بيانات الحركات'!$G:$G,0)),"")</f>
        <v/>
      </c>
      <c r="B1556" s="5" t="str">
        <f>IFERROR(INDEX('بيانات الحركات'!B:B,MATCH(1555,'بيانات الحركات'!$G:$G,0)),"")</f>
        <v/>
      </c>
      <c r="C1556" s="3" t="str">
        <f>IFERROR(INDEX('بيانات الحركات'!C:C,MATCH(1555,'بيانات الحركات'!$G:$G,0)),"")</f>
        <v/>
      </c>
      <c r="D1556" s="3" t="str">
        <f>IFERROR(INDEX('بيانات الحركات'!D:D,MATCH(1555,'بيانات الحركات'!$G:$G,0)),"")</f>
        <v/>
      </c>
      <c r="E1556" s="21" t="str">
        <f>IF($B1556="إنتاج طبخة","",IFERROR(INDEX('بيانات الحركات'!E:E,MATCH(1555,'بيانات الحركات'!$G:$G,0)),""))</f>
        <v/>
      </c>
      <c r="F1556" s="3" t="str">
        <f>IFERROR(INDEX('بيانات الحركات'!F:F,MATCH(1555,'بيانات الحركات'!$G:$G,0)),"")</f>
        <v/>
      </c>
    </row>
    <row r="1557" spans="1:6" ht="21.95" customHeight="1">
      <c r="A1557" s="8" t="str">
        <f>IFERROR(INDEX('بيانات الحركات'!A:A,MATCH(1556,'بيانات الحركات'!$G:$G,0)),"")</f>
        <v/>
      </c>
      <c r="B1557" s="5" t="str">
        <f>IFERROR(INDEX('بيانات الحركات'!B:B,MATCH(1556,'بيانات الحركات'!$G:$G,0)),"")</f>
        <v/>
      </c>
      <c r="C1557" s="3" t="str">
        <f>IFERROR(INDEX('بيانات الحركات'!C:C,MATCH(1556,'بيانات الحركات'!$G:$G,0)),"")</f>
        <v/>
      </c>
      <c r="D1557" s="3" t="str">
        <f>IFERROR(INDEX('بيانات الحركات'!D:D,MATCH(1556,'بيانات الحركات'!$G:$G,0)),"")</f>
        <v/>
      </c>
      <c r="E1557" s="21" t="str">
        <f>IF($B1557="إنتاج طبخة","",IFERROR(INDEX('بيانات الحركات'!E:E,MATCH(1556,'بيانات الحركات'!$G:$G,0)),""))</f>
        <v/>
      </c>
      <c r="F1557" s="3" t="str">
        <f>IFERROR(INDEX('بيانات الحركات'!F:F,MATCH(1556,'بيانات الحركات'!$G:$G,0)),"")</f>
        <v/>
      </c>
    </row>
    <row r="1558" spans="1:6" ht="21.95" customHeight="1">
      <c r="A1558" s="8" t="str">
        <f>IFERROR(INDEX('بيانات الحركات'!A:A,MATCH(1557,'بيانات الحركات'!$G:$G,0)),"")</f>
        <v/>
      </c>
      <c r="B1558" s="5" t="str">
        <f>IFERROR(INDEX('بيانات الحركات'!B:B,MATCH(1557,'بيانات الحركات'!$G:$G,0)),"")</f>
        <v/>
      </c>
      <c r="C1558" s="3" t="str">
        <f>IFERROR(INDEX('بيانات الحركات'!C:C,MATCH(1557,'بيانات الحركات'!$G:$G,0)),"")</f>
        <v/>
      </c>
      <c r="D1558" s="3" t="str">
        <f>IFERROR(INDEX('بيانات الحركات'!D:D,MATCH(1557,'بيانات الحركات'!$G:$G,0)),"")</f>
        <v/>
      </c>
      <c r="E1558" s="21" t="str">
        <f>IF($B1558="إنتاج طبخة","",IFERROR(INDEX('بيانات الحركات'!E:E,MATCH(1557,'بيانات الحركات'!$G:$G,0)),""))</f>
        <v/>
      </c>
      <c r="F1558" s="3" t="str">
        <f>IFERROR(INDEX('بيانات الحركات'!F:F,MATCH(1557,'بيانات الحركات'!$G:$G,0)),"")</f>
        <v/>
      </c>
    </row>
    <row r="1559" spans="1:6" ht="21.95" customHeight="1">
      <c r="A1559" s="8" t="str">
        <f>IFERROR(INDEX('بيانات الحركات'!A:A,MATCH(1558,'بيانات الحركات'!$G:$G,0)),"")</f>
        <v/>
      </c>
      <c r="B1559" s="5" t="str">
        <f>IFERROR(INDEX('بيانات الحركات'!B:B,MATCH(1558,'بيانات الحركات'!$G:$G,0)),"")</f>
        <v/>
      </c>
      <c r="C1559" s="3" t="str">
        <f>IFERROR(INDEX('بيانات الحركات'!C:C,MATCH(1558,'بيانات الحركات'!$G:$G,0)),"")</f>
        <v/>
      </c>
      <c r="D1559" s="3" t="str">
        <f>IFERROR(INDEX('بيانات الحركات'!D:D,MATCH(1558,'بيانات الحركات'!$G:$G,0)),"")</f>
        <v/>
      </c>
      <c r="E1559" s="21" t="str">
        <f>IF($B1559="إنتاج طبخة","",IFERROR(INDEX('بيانات الحركات'!E:E,MATCH(1558,'بيانات الحركات'!$G:$G,0)),""))</f>
        <v/>
      </c>
      <c r="F1559" s="3" t="str">
        <f>IFERROR(INDEX('بيانات الحركات'!F:F,MATCH(1558,'بيانات الحركات'!$G:$G,0)),"")</f>
        <v/>
      </c>
    </row>
    <row r="1560" spans="1:6" ht="21.95" customHeight="1">
      <c r="A1560" s="8" t="str">
        <f>IFERROR(INDEX('بيانات الحركات'!A:A,MATCH(1559,'بيانات الحركات'!$G:$G,0)),"")</f>
        <v/>
      </c>
      <c r="B1560" s="5" t="str">
        <f>IFERROR(INDEX('بيانات الحركات'!B:B,MATCH(1559,'بيانات الحركات'!$G:$G,0)),"")</f>
        <v/>
      </c>
      <c r="C1560" s="3" t="str">
        <f>IFERROR(INDEX('بيانات الحركات'!C:C,MATCH(1559,'بيانات الحركات'!$G:$G,0)),"")</f>
        <v/>
      </c>
      <c r="D1560" s="3" t="str">
        <f>IFERROR(INDEX('بيانات الحركات'!D:D,MATCH(1559,'بيانات الحركات'!$G:$G,0)),"")</f>
        <v/>
      </c>
      <c r="E1560" s="21" t="str">
        <f>IF($B1560="إنتاج طبخة","",IFERROR(INDEX('بيانات الحركات'!E:E,MATCH(1559,'بيانات الحركات'!$G:$G,0)),""))</f>
        <v/>
      </c>
      <c r="F1560" s="3" t="str">
        <f>IFERROR(INDEX('بيانات الحركات'!F:F,MATCH(1559,'بيانات الحركات'!$G:$G,0)),"")</f>
        <v/>
      </c>
    </row>
    <row r="1561" spans="1:6" ht="21.95" customHeight="1">
      <c r="A1561" s="8" t="str">
        <f>IFERROR(INDEX('بيانات الحركات'!A:A,MATCH(1560,'بيانات الحركات'!$G:$G,0)),"")</f>
        <v/>
      </c>
      <c r="B1561" s="5" t="str">
        <f>IFERROR(INDEX('بيانات الحركات'!B:B,MATCH(1560,'بيانات الحركات'!$G:$G,0)),"")</f>
        <v/>
      </c>
      <c r="C1561" s="3" t="str">
        <f>IFERROR(INDEX('بيانات الحركات'!C:C,MATCH(1560,'بيانات الحركات'!$G:$G,0)),"")</f>
        <v/>
      </c>
      <c r="D1561" s="3" t="str">
        <f>IFERROR(INDEX('بيانات الحركات'!D:D,MATCH(1560,'بيانات الحركات'!$G:$G,0)),"")</f>
        <v/>
      </c>
      <c r="E1561" s="21" t="str">
        <f>IF($B1561="إنتاج طبخة","",IFERROR(INDEX('بيانات الحركات'!E:E,MATCH(1560,'بيانات الحركات'!$G:$G,0)),""))</f>
        <v/>
      </c>
      <c r="F1561" s="3" t="str">
        <f>IFERROR(INDEX('بيانات الحركات'!F:F,MATCH(1560,'بيانات الحركات'!$G:$G,0)),"")</f>
        <v/>
      </c>
    </row>
    <row r="1562" spans="1:6" ht="21.95" customHeight="1">
      <c r="A1562" s="8" t="str">
        <f>IFERROR(INDEX('بيانات الحركات'!A:A,MATCH(1561,'بيانات الحركات'!$G:$G,0)),"")</f>
        <v/>
      </c>
      <c r="B1562" s="5" t="str">
        <f>IFERROR(INDEX('بيانات الحركات'!B:B,MATCH(1561,'بيانات الحركات'!$G:$G,0)),"")</f>
        <v/>
      </c>
      <c r="C1562" s="3" t="str">
        <f>IFERROR(INDEX('بيانات الحركات'!C:C,MATCH(1561,'بيانات الحركات'!$G:$G,0)),"")</f>
        <v/>
      </c>
      <c r="D1562" s="3" t="str">
        <f>IFERROR(INDEX('بيانات الحركات'!D:D,MATCH(1561,'بيانات الحركات'!$G:$G,0)),"")</f>
        <v/>
      </c>
      <c r="E1562" s="21" t="str">
        <f>IF($B1562="إنتاج طبخة","",IFERROR(INDEX('بيانات الحركات'!E:E,MATCH(1561,'بيانات الحركات'!$G:$G,0)),""))</f>
        <v/>
      </c>
      <c r="F1562" s="3" t="str">
        <f>IFERROR(INDEX('بيانات الحركات'!F:F,MATCH(1561,'بيانات الحركات'!$G:$G,0)),"")</f>
        <v/>
      </c>
    </row>
    <row r="1563" spans="1:6" ht="21.95" customHeight="1">
      <c r="A1563" s="8" t="str">
        <f>IFERROR(INDEX('بيانات الحركات'!A:A,MATCH(1562,'بيانات الحركات'!$G:$G,0)),"")</f>
        <v/>
      </c>
      <c r="B1563" s="5" t="str">
        <f>IFERROR(INDEX('بيانات الحركات'!B:B,MATCH(1562,'بيانات الحركات'!$G:$G,0)),"")</f>
        <v/>
      </c>
      <c r="C1563" s="3" t="str">
        <f>IFERROR(INDEX('بيانات الحركات'!C:C,MATCH(1562,'بيانات الحركات'!$G:$G,0)),"")</f>
        <v/>
      </c>
      <c r="D1563" s="3" t="str">
        <f>IFERROR(INDEX('بيانات الحركات'!D:D,MATCH(1562,'بيانات الحركات'!$G:$G,0)),"")</f>
        <v/>
      </c>
      <c r="E1563" s="21" t="str">
        <f>IF($B1563="إنتاج طبخة","",IFERROR(INDEX('بيانات الحركات'!E:E,MATCH(1562,'بيانات الحركات'!$G:$G,0)),""))</f>
        <v/>
      </c>
      <c r="F1563" s="3" t="str">
        <f>IFERROR(INDEX('بيانات الحركات'!F:F,MATCH(1562,'بيانات الحركات'!$G:$G,0)),"")</f>
        <v/>
      </c>
    </row>
    <row r="1564" spans="1:6" ht="21.95" customHeight="1">
      <c r="A1564" s="8" t="str">
        <f>IFERROR(INDEX('بيانات الحركات'!A:A,MATCH(1563,'بيانات الحركات'!$G:$G,0)),"")</f>
        <v/>
      </c>
      <c r="B1564" s="5" t="str">
        <f>IFERROR(INDEX('بيانات الحركات'!B:B,MATCH(1563,'بيانات الحركات'!$G:$G,0)),"")</f>
        <v/>
      </c>
      <c r="C1564" s="3" t="str">
        <f>IFERROR(INDEX('بيانات الحركات'!C:C,MATCH(1563,'بيانات الحركات'!$G:$G,0)),"")</f>
        <v/>
      </c>
      <c r="D1564" s="3" t="str">
        <f>IFERROR(INDEX('بيانات الحركات'!D:D,MATCH(1563,'بيانات الحركات'!$G:$G,0)),"")</f>
        <v/>
      </c>
      <c r="E1564" s="21" t="str">
        <f>IF($B1564="إنتاج طبخة","",IFERROR(INDEX('بيانات الحركات'!E:E,MATCH(1563,'بيانات الحركات'!$G:$G,0)),""))</f>
        <v/>
      </c>
      <c r="F1564" s="3" t="str">
        <f>IFERROR(INDEX('بيانات الحركات'!F:F,MATCH(1563,'بيانات الحركات'!$G:$G,0)),"")</f>
        <v/>
      </c>
    </row>
    <row r="1565" spans="1:6" ht="21.95" customHeight="1">
      <c r="A1565" s="8" t="str">
        <f>IFERROR(INDEX('بيانات الحركات'!A:A,MATCH(1564,'بيانات الحركات'!$G:$G,0)),"")</f>
        <v/>
      </c>
      <c r="B1565" s="5" t="str">
        <f>IFERROR(INDEX('بيانات الحركات'!B:B,MATCH(1564,'بيانات الحركات'!$G:$G,0)),"")</f>
        <v/>
      </c>
      <c r="C1565" s="3" t="str">
        <f>IFERROR(INDEX('بيانات الحركات'!C:C,MATCH(1564,'بيانات الحركات'!$G:$G,0)),"")</f>
        <v/>
      </c>
      <c r="D1565" s="3" t="str">
        <f>IFERROR(INDEX('بيانات الحركات'!D:D,MATCH(1564,'بيانات الحركات'!$G:$G,0)),"")</f>
        <v/>
      </c>
      <c r="E1565" s="21" t="str">
        <f>IF($B1565="إنتاج طبخة","",IFERROR(INDEX('بيانات الحركات'!E:E,MATCH(1564,'بيانات الحركات'!$G:$G,0)),""))</f>
        <v/>
      </c>
      <c r="F1565" s="3" t="str">
        <f>IFERROR(INDEX('بيانات الحركات'!F:F,MATCH(1564,'بيانات الحركات'!$G:$G,0)),"")</f>
        <v/>
      </c>
    </row>
    <row r="1566" spans="1:6" ht="21.95" customHeight="1">
      <c r="A1566" s="8" t="str">
        <f>IFERROR(INDEX('بيانات الحركات'!A:A,MATCH(1565,'بيانات الحركات'!$G:$G,0)),"")</f>
        <v/>
      </c>
      <c r="B1566" s="5" t="str">
        <f>IFERROR(INDEX('بيانات الحركات'!B:B,MATCH(1565,'بيانات الحركات'!$G:$G,0)),"")</f>
        <v/>
      </c>
      <c r="C1566" s="3" t="str">
        <f>IFERROR(INDEX('بيانات الحركات'!C:C,MATCH(1565,'بيانات الحركات'!$G:$G,0)),"")</f>
        <v/>
      </c>
      <c r="D1566" s="3" t="str">
        <f>IFERROR(INDEX('بيانات الحركات'!D:D,MATCH(1565,'بيانات الحركات'!$G:$G,0)),"")</f>
        <v/>
      </c>
      <c r="E1566" s="21" t="str">
        <f>IF($B1566="إنتاج طبخة","",IFERROR(INDEX('بيانات الحركات'!E:E,MATCH(1565,'بيانات الحركات'!$G:$G,0)),""))</f>
        <v/>
      </c>
      <c r="F1566" s="3" t="str">
        <f>IFERROR(INDEX('بيانات الحركات'!F:F,MATCH(1565,'بيانات الحركات'!$G:$G,0)),"")</f>
        <v/>
      </c>
    </row>
    <row r="1567" spans="1:6" ht="21.95" customHeight="1">
      <c r="A1567" s="8" t="str">
        <f>IFERROR(INDEX('بيانات الحركات'!A:A,MATCH(1566,'بيانات الحركات'!$G:$G,0)),"")</f>
        <v/>
      </c>
      <c r="B1567" s="5" t="str">
        <f>IFERROR(INDEX('بيانات الحركات'!B:B,MATCH(1566,'بيانات الحركات'!$G:$G,0)),"")</f>
        <v/>
      </c>
      <c r="C1567" s="3" t="str">
        <f>IFERROR(INDEX('بيانات الحركات'!C:C,MATCH(1566,'بيانات الحركات'!$G:$G,0)),"")</f>
        <v/>
      </c>
      <c r="D1567" s="3" t="str">
        <f>IFERROR(INDEX('بيانات الحركات'!D:D,MATCH(1566,'بيانات الحركات'!$G:$G,0)),"")</f>
        <v/>
      </c>
      <c r="E1567" s="21" t="str">
        <f>IF($B1567="إنتاج طبخة","",IFERROR(INDEX('بيانات الحركات'!E:E,MATCH(1566,'بيانات الحركات'!$G:$G,0)),""))</f>
        <v/>
      </c>
      <c r="F1567" s="3" t="str">
        <f>IFERROR(INDEX('بيانات الحركات'!F:F,MATCH(1566,'بيانات الحركات'!$G:$G,0)),"")</f>
        <v/>
      </c>
    </row>
    <row r="1568" spans="1:6" ht="21.95" customHeight="1">
      <c r="A1568" s="8" t="str">
        <f>IFERROR(INDEX('بيانات الحركات'!A:A,MATCH(1567,'بيانات الحركات'!$G:$G,0)),"")</f>
        <v/>
      </c>
      <c r="B1568" s="5" t="str">
        <f>IFERROR(INDEX('بيانات الحركات'!B:B,MATCH(1567,'بيانات الحركات'!$G:$G,0)),"")</f>
        <v/>
      </c>
      <c r="C1568" s="3" t="str">
        <f>IFERROR(INDEX('بيانات الحركات'!C:C,MATCH(1567,'بيانات الحركات'!$G:$G,0)),"")</f>
        <v/>
      </c>
      <c r="D1568" s="3" t="str">
        <f>IFERROR(INDEX('بيانات الحركات'!D:D,MATCH(1567,'بيانات الحركات'!$G:$G,0)),"")</f>
        <v/>
      </c>
      <c r="E1568" s="21" t="str">
        <f>IF($B1568="إنتاج طبخة","",IFERROR(INDEX('بيانات الحركات'!E:E,MATCH(1567,'بيانات الحركات'!$G:$G,0)),""))</f>
        <v/>
      </c>
      <c r="F1568" s="3" t="str">
        <f>IFERROR(INDEX('بيانات الحركات'!F:F,MATCH(1567,'بيانات الحركات'!$G:$G,0)),"")</f>
        <v/>
      </c>
    </row>
    <row r="1569" spans="1:6" ht="21.95" customHeight="1">
      <c r="A1569" s="8" t="str">
        <f>IFERROR(INDEX('بيانات الحركات'!A:A,MATCH(1568,'بيانات الحركات'!$G:$G,0)),"")</f>
        <v/>
      </c>
      <c r="B1569" s="5" t="str">
        <f>IFERROR(INDEX('بيانات الحركات'!B:B,MATCH(1568,'بيانات الحركات'!$G:$G,0)),"")</f>
        <v/>
      </c>
      <c r="C1569" s="3" t="str">
        <f>IFERROR(INDEX('بيانات الحركات'!C:C,MATCH(1568,'بيانات الحركات'!$G:$G,0)),"")</f>
        <v/>
      </c>
      <c r="D1569" s="3" t="str">
        <f>IFERROR(INDEX('بيانات الحركات'!D:D,MATCH(1568,'بيانات الحركات'!$G:$G,0)),"")</f>
        <v/>
      </c>
      <c r="E1569" s="21" t="str">
        <f>IF($B1569="إنتاج طبخة","",IFERROR(INDEX('بيانات الحركات'!E:E,MATCH(1568,'بيانات الحركات'!$G:$G,0)),""))</f>
        <v/>
      </c>
      <c r="F1569" s="3" t="str">
        <f>IFERROR(INDEX('بيانات الحركات'!F:F,MATCH(1568,'بيانات الحركات'!$G:$G,0)),"")</f>
        <v/>
      </c>
    </row>
    <row r="1570" spans="1:6" ht="21.95" customHeight="1">
      <c r="A1570" s="8" t="str">
        <f>IFERROR(INDEX('بيانات الحركات'!A:A,MATCH(1569,'بيانات الحركات'!$G:$G,0)),"")</f>
        <v/>
      </c>
      <c r="B1570" s="5" t="str">
        <f>IFERROR(INDEX('بيانات الحركات'!B:B,MATCH(1569,'بيانات الحركات'!$G:$G,0)),"")</f>
        <v/>
      </c>
      <c r="C1570" s="3" t="str">
        <f>IFERROR(INDEX('بيانات الحركات'!C:C,MATCH(1569,'بيانات الحركات'!$G:$G,0)),"")</f>
        <v/>
      </c>
      <c r="D1570" s="3" t="str">
        <f>IFERROR(INDEX('بيانات الحركات'!D:D,MATCH(1569,'بيانات الحركات'!$G:$G,0)),"")</f>
        <v/>
      </c>
      <c r="E1570" s="21" t="str">
        <f>IF($B1570="إنتاج طبخة","",IFERROR(INDEX('بيانات الحركات'!E:E,MATCH(1569,'بيانات الحركات'!$G:$G,0)),""))</f>
        <v/>
      </c>
      <c r="F1570" s="3" t="str">
        <f>IFERROR(INDEX('بيانات الحركات'!F:F,MATCH(1569,'بيانات الحركات'!$G:$G,0)),"")</f>
        <v/>
      </c>
    </row>
    <row r="1571" spans="1:6" ht="21.95" customHeight="1">
      <c r="A1571" s="8" t="str">
        <f>IFERROR(INDEX('بيانات الحركات'!A:A,MATCH(1570,'بيانات الحركات'!$G:$G,0)),"")</f>
        <v/>
      </c>
      <c r="B1571" s="5" t="str">
        <f>IFERROR(INDEX('بيانات الحركات'!B:B,MATCH(1570,'بيانات الحركات'!$G:$G,0)),"")</f>
        <v/>
      </c>
      <c r="C1571" s="3" t="str">
        <f>IFERROR(INDEX('بيانات الحركات'!C:C,MATCH(1570,'بيانات الحركات'!$G:$G,0)),"")</f>
        <v/>
      </c>
      <c r="D1571" s="3" t="str">
        <f>IFERROR(INDEX('بيانات الحركات'!D:D,MATCH(1570,'بيانات الحركات'!$G:$G,0)),"")</f>
        <v/>
      </c>
      <c r="E1571" s="21" t="str">
        <f>IF($B1571="إنتاج طبخة","",IFERROR(INDEX('بيانات الحركات'!E:E,MATCH(1570,'بيانات الحركات'!$G:$G,0)),""))</f>
        <v/>
      </c>
      <c r="F1571" s="3" t="str">
        <f>IFERROR(INDEX('بيانات الحركات'!F:F,MATCH(1570,'بيانات الحركات'!$G:$G,0)),"")</f>
        <v/>
      </c>
    </row>
    <row r="1572" spans="1:6" ht="21.95" customHeight="1">
      <c r="A1572" s="8" t="str">
        <f>IFERROR(INDEX('بيانات الحركات'!A:A,MATCH(1571,'بيانات الحركات'!$G:$G,0)),"")</f>
        <v/>
      </c>
      <c r="B1572" s="5" t="str">
        <f>IFERROR(INDEX('بيانات الحركات'!B:B,MATCH(1571,'بيانات الحركات'!$G:$G,0)),"")</f>
        <v/>
      </c>
      <c r="C1572" s="3" t="str">
        <f>IFERROR(INDEX('بيانات الحركات'!C:C,MATCH(1571,'بيانات الحركات'!$G:$G,0)),"")</f>
        <v/>
      </c>
      <c r="D1572" s="3" t="str">
        <f>IFERROR(INDEX('بيانات الحركات'!D:D,MATCH(1571,'بيانات الحركات'!$G:$G,0)),"")</f>
        <v/>
      </c>
      <c r="E1572" s="21" t="str">
        <f>IF($B1572="إنتاج طبخة","",IFERROR(INDEX('بيانات الحركات'!E:E,MATCH(1571,'بيانات الحركات'!$G:$G,0)),""))</f>
        <v/>
      </c>
      <c r="F1572" s="3" t="str">
        <f>IFERROR(INDEX('بيانات الحركات'!F:F,MATCH(1571,'بيانات الحركات'!$G:$G,0)),"")</f>
        <v/>
      </c>
    </row>
    <row r="1573" spans="1:6" ht="21.95" customHeight="1">
      <c r="A1573" s="8" t="str">
        <f>IFERROR(INDEX('بيانات الحركات'!A:A,MATCH(1572,'بيانات الحركات'!$G:$G,0)),"")</f>
        <v/>
      </c>
      <c r="B1573" s="5" t="str">
        <f>IFERROR(INDEX('بيانات الحركات'!B:B,MATCH(1572,'بيانات الحركات'!$G:$G,0)),"")</f>
        <v/>
      </c>
      <c r="C1573" s="3" t="str">
        <f>IFERROR(INDEX('بيانات الحركات'!C:C,MATCH(1572,'بيانات الحركات'!$G:$G,0)),"")</f>
        <v/>
      </c>
      <c r="D1573" s="3" t="str">
        <f>IFERROR(INDEX('بيانات الحركات'!D:D,MATCH(1572,'بيانات الحركات'!$G:$G,0)),"")</f>
        <v/>
      </c>
      <c r="E1573" s="21" t="str">
        <f>IF($B1573="إنتاج طبخة","",IFERROR(INDEX('بيانات الحركات'!E:E,MATCH(1572,'بيانات الحركات'!$G:$G,0)),""))</f>
        <v/>
      </c>
      <c r="F1573" s="3" t="str">
        <f>IFERROR(INDEX('بيانات الحركات'!F:F,MATCH(1572,'بيانات الحركات'!$G:$G,0)),"")</f>
        <v/>
      </c>
    </row>
    <row r="1574" spans="1:6" ht="21.95" customHeight="1">
      <c r="A1574" s="8" t="str">
        <f>IFERROR(INDEX('بيانات الحركات'!A:A,MATCH(1573,'بيانات الحركات'!$G:$G,0)),"")</f>
        <v/>
      </c>
      <c r="B1574" s="5" t="str">
        <f>IFERROR(INDEX('بيانات الحركات'!B:B,MATCH(1573,'بيانات الحركات'!$G:$G,0)),"")</f>
        <v/>
      </c>
      <c r="C1574" s="3" t="str">
        <f>IFERROR(INDEX('بيانات الحركات'!C:C,MATCH(1573,'بيانات الحركات'!$G:$G,0)),"")</f>
        <v/>
      </c>
      <c r="D1574" s="3" t="str">
        <f>IFERROR(INDEX('بيانات الحركات'!D:D,MATCH(1573,'بيانات الحركات'!$G:$G,0)),"")</f>
        <v/>
      </c>
      <c r="E1574" s="21" t="str">
        <f>IF($B1574="إنتاج طبخة","",IFERROR(INDEX('بيانات الحركات'!E:E,MATCH(1573,'بيانات الحركات'!$G:$G,0)),""))</f>
        <v/>
      </c>
      <c r="F1574" s="3" t="str">
        <f>IFERROR(INDEX('بيانات الحركات'!F:F,MATCH(1573,'بيانات الحركات'!$G:$G,0)),"")</f>
        <v/>
      </c>
    </row>
    <row r="1575" spans="1:6" ht="21.95" customHeight="1">
      <c r="A1575" s="8" t="str">
        <f>IFERROR(INDEX('بيانات الحركات'!A:A,MATCH(1574,'بيانات الحركات'!$G:$G,0)),"")</f>
        <v/>
      </c>
      <c r="B1575" s="5" t="str">
        <f>IFERROR(INDEX('بيانات الحركات'!B:B,MATCH(1574,'بيانات الحركات'!$G:$G,0)),"")</f>
        <v/>
      </c>
      <c r="C1575" s="3" t="str">
        <f>IFERROR(INDEX('بيانات الحركات'!C:C,MATCH(1574,'بيانات الحركات'!$G:$G,0)),"")</f>
        <v/>
      </c>
      <c r="D1575" s="3" t="str">
        <f>IFERROR(INDEX('بيانات الحركات'!D:D,MATCH(1574,'بيانات الحركات'!$G:$G,0)),"")</f>
        <v/>
      </c>
      <c r="E1575" s="21" t="str">
        <f>IF($B1575="إنتاج طبخة","",IFERROR(INDEX('بيانات الحركات'!E:E,MATCH(1574,'بيانات الحركات'!$G:$G,0)),""))</f>
        <v/>
      </c>
      <c r="F1575" s="3" t="str">
        <f>IFERROR(INDEX('بيانات الحركات'!F:F,MATCH(1574,'بيانات الحركات'!$G:$G,0)),"")</f>
        <v/>
      </c>
    </row>
    <row r="1576" spans="1:6" ht="21.95" customHeight="1">
      <c r="A1576" s="8" t="str">
        <f>IFERROR(INDEX('بيانات الحركات'!A:A,MATCH(1575,'بيانات الحركات'!$G:$G,0)),"")</f>
        <v/>
      </c>
      <c r="B1576" s="5" t="str">
        <f>IFERROR(INDEX('بيانات الحركات'!B:B,MATCH(1575,'بيانات الحركات'!$G:$G,0)),"")</f>
        <v/>
      </c>
      <c r="C1576" s="3" t="str">
        <f>IFERROR(INDEX('بيانات الحركات'!C:C,MATCH(1575,'بيانات الحركات'!$G:$G,0)),"")</f>
        <v/>
      </c>
      <c r="D1576" s="3" t="str">
        <f>IFERROR(INDEX('بيانات الحركات'!D:D,MATCH(1575,'بيانات الحركات'!$G:$G,0)),"")</f>
        <v/>
      </c>
      <c r="E1576" s="21" t="str">
        <f>IF($B1576="إنتاج طبخة","",IFERROR(INDEX('بيانات الحركات'!E:E,MATCH(1575,'بيانات الحركات'!$G:$G,0)),""))</f>
        <v/>
      </c>
      <c r="F1576" s="3" t="str">
        <f>IFERROR(INDEX('بيانات الحركات'!F:F,MATCH(1575,'بيانات الحركات'!$G:$G,0)),"")</f>
        <v/>
      </c>
    </row>
    <row r="1577" spans="1:6" ht="21.95" customHeight="1">
      <c r="A1577" s="8" t="str">
        <f>IFERROR(INDEX('بيانات الحركات'!A:A,MATCH(1576,'بيانات الحركات'!$G:$G,0)),"")</f>
        <v/>
      </c>
      <c r="B1577" s="5" t="str">
        <f>IFERROR(INDEX('بيانات الحركات'!B:B,MATCH(1576,'بيانات الحركات'!$G:$G,0)),"")</f>
        <v/>
      </c>
      <c r="C1577" s="3" t="str">
        <f>IFERROR(INDEX('بيانات الحركات'!C:C,MATCH(1576,'بيانات الحركات'!$G:$G,0)),"")</f>
        <v/>
      </c>
      <c r="D1577" s="3" t="str">
        <f>IFERROR(INDEX('بيانات الحركات'!D:D,MATCH(1576,'بيانات الحركات'!$G:$G,0)),"")</f>
        <v/>
      </c>
      <c r="E1577" s="21" t="str">
        <f>IF($B1577="إنتاج طبخة","",IFERROR(INDEX('بيانات الحركات'!E:E,MATCH(1576,'بيانات الحركات'!$G:$G,0)),""))</f>
        <v/>
      </c>
      <c r="F1577" s="3" t="str">
        <f>IFERROR(INDEX('بيانات الحركات'!F:F,MATCH(1576,'بيانات الحركات'!$G:$G,0)),"")</f>
        <v/>
      </c>
    </row>
    <row r="1578" spans="1:6" ht="21.95" customHeight="1">
      <c r="A1578" s="8" t="str">
        <f>IFERROR(INDEX('بيانات الحركات'!A:A,MATCH(1577,'بيانات الحركات'!$G:$G,0)),"")</f>
        <v/>
      </c>
      <c r="B1578" s="5" t="str">
        <f>IFERROR(INDEX('بيانات الحركات'!B:B,MATCH(1577,'بيانات الحركات'!$G:$G,0)),"")</f>
        <v/>
      </c>
      <c r="C1578" s="3" t="str">
        <f>IFERROR(INDEX('بيانات الحركات'!C:C,MATCH(1577,'بيانات الحركات'!$G:$G,0)),"")</f>
        <v/>
      </c>
      <c r="D1578" s="3" t="str">
        <f>IFERROR(INDEX('بيانات الحركات'!D:D,MATCH(1577,'بيانات الحركات'!$G:$G,0)),"")</f>
        <v/>
      </c>
      <c r="E1578" s="21" t="str">
        <f>IF($B1578="إنتاج طبخة","",IFERROR(INDEX('بيانات الحركات'!E:E,MATCH(1577,'بيانات الحركات'!$G:$G,0)),""))</f>
        <v/>
      </c>
      <c r="F1578" s="3" t="str">
        <f>IFERROR(INDEX('بيانات الحركات'!F:F,MATCH(1577,'بيانات الحركات'!$G:$G,0)),"")</f>
        <v/>
      </c>
    </row>
    <row r="1579" spans="1:6" ht="21.95" customHeight="1">
      <c r="A1579" s="8" t="str">
        <f>IFERROR(INDEX('بيانات الحركات'!A:A,MATCH(1578,'بيانات الحركات'!$G:$G,0)),"")</f>
        <v/>
      </c>
      <c r="B1579" s="5" t="str">
        <f>IFERROR(INDEX('بيانات الحركات'!B:B,MATCH(1578,'بيانات الحركات'!$G:$G,0)),"")</f>
        <v/>
      </c>
      <c r="C1579" s="3" t="str">
        <f>IFERROR(INDEX('بيانات الحركات'!C:C,MATCH(1578,'بيانات الحركات'!$G:$G,0)),"")</f>
        <v/>
      </c>
      <c r="D1579" s="3" t="str">
        <f>IFERROR(INDEX('بيانات الحركات'!D:D,MATCH(1578,'بيانات الحركات'!$G:$G,0)),"")</f>
        <v/>
      </c>
      <c r="E1579" s="21" t="str">
        <f>IF($B1579="إنتاج طبخة","",IFERROR(INDEX('بيانات الحركات'!E:E,MATCH(1578,'بيانات الحركات'!$G:$G,0)),""))</f>
        <v/>
      </c>
      <c r="F1579" s="3" t="str">
        <f>IFERROR(INDEX('بيانات الحركات'!F:F,MATCH(1578,'بيانات الحركات'!$G:$G,0)),"")</f>
        <v/>
      </c>
    </row>
    <row r="1580" spans="1:6" ht="21.95" customHeight="1">
      <c r="A1580" s="8" t="str">
        <f>IFERROR(INDEX('بيانات الحركات'!A:A,MATCH(1579,'بيانات الحركات'!$G:$G,0)),"")</f>
        <v/>
      </c>
      <c r="B1580" s="5" t="str">
        <f>IFERROR(INDEX('بيانات الحركات'!B:B,MATCH(1579,'بيانات الحركات'!$G:$G,0)),"")</f>
        <v/>
      </c>
      <c r="C1580" s="3" t="str">
        <f>IFERROR(INDEX('بيانات الحركات'!C:C,MATCH(1579,'بيانات الحركات'!$G:$G,0)),"")</f>
        <v/>
      </c>
      <c r="D1580" s="3" t="str">
        <f>IFERROR(INDEX('بيانات الحركات'!D:D,MATCH(1579,'بيانات الحركات'!$G:$G,0)),"")</f>
        <v/>
      </c>
      <c r="E1580" s="21" t="str">
        <f>IF($B1580="إنتاج طبخة","",IFERROR(INDEX('بيانات الحركات'!E:E,MATCH(1579,'بيانات الحركات'!$G:$G,0)),""))</f>
        <v/>
      </c>
      <c r="F1580" s="3" t="str">
        <f>IFERROR(INDEX('بيانات الحركات'!F:F,MATCH(1579,'بيانات الحركات'!$G:$G,0)),"")</f>
        <v/>
      </c>
    </row>
    <row r="1581" spans="1:6" ht="21.95" customHeight="1">
      <c r="A1581" s="8" t="str">
        <f>IFERROR(INDEX('بيانات الحركات'!A:A,MATCH(1580,'بيانات الحركات'!$G:$G,0)),"")</f>
        <v/>
      </c>
      <c r="B1581" s="5" t="str">
        <f>IFERROR(INDEX('بيانات الحركات'!B:B,MATCH(1580,'بيانات الحركات'!$G:$G,0)),"")</f>
        <v/>
      </c>
      <c r="C1581" s="3" t="str">
        <f>IFERROR(INDEX('بيانات الحركات'!C:C,MATCH(1580,'بيانات الحركات'!$G:$G,0)),"")</f>
        <v/>
      </c>
      <c r="D1581" s="3" t="str">
        <f>IFERROR(INDEX('بيانات الحركات'!D:D,MATCH(1580,'بيانات الحركات'!$G:$G,0)),"")</f>
        <v/>
      </c>
      <c r="E1581" s="21" t="str">
        <f>IF($B1581="إنتاج طبخة","",IFERROR(INDEX('بيانات الحركات'!E:E,MATCH(1580,'بيانات الحركات'!$G:$G,0)),""))</f>
        <v/>
      </c>
      <c r="F1581" s="3" t="str">
        <f>IFERROR(INDEX('بيانات الحركات'!F:F,MATCH(1580,'بيانات الحركات'!$G:$G,0)),"")</f>
        <v/>
      </c>
    </row>
    <row r="1582" spans="1:6" ht="21.95" customHeight="1">
      <c r="A1582" s="8" t="str">
        <f>IFERROR(INDEX('بيانات الحركات'!A:A,MATCH(1581,'بيانات الحركات'!$G:$G,0)),"")</f>
        <v/>
      </c>
      <c r="B1582" s="5" t="str">
        <f>IFERROR(INDEX('بيانات الحركات'!B:B,MATCH(1581,'بيانات الحركات'!$G:$G,0)),"")</f>
        <v/>
      </c>
      <c r="C1582" s="3" t="str">
        <f>IFERROR(INDEX('بيانات الحركات'!C:C,MATCH(1581,'بيانات الحركات'!$G:$G,0)),"")</f>
        <v/>
      </c>
      <c r="D1582" s="3" t="str">
        <f>IFERROR(INDEX('بيانات الحركات'!D:D,MATCH(1581,'بيانات الحركات'!$G:$G,0)),"")</f>
        <v/>
      </c>
      <c r="E1582" s="21" t="str">
        <f>IF($B1582="إنتاج طبخة","",IFERROR(INDEX('بيانات الحركات'!E:E,MATCH(1581,'بيانات الحركات'!$G:$G,0)),""))</f>
        <v/>
      </c>
      <c r="F1582" s="3" t="str">
        <f>IFERROR(INDEX('بيانات الحركات'!F:F,MATCH(1581,'بيانات الحركات'!$G:$G,0)),"")</f>
        <v/>
      </c>
    </row>
    <row r="1583" spans="1:6" ht="21.95" customHeight="1">
      <c r="A1583" s="8" t="str">
        <f>IFERROR(INDEX('بيانات الحركات'!A:A,MATCH(1582,'بيانات الحركات'!$G:$G,0)),"")</f>
        <v/>
      </c>
      <c r="B1583" s="5" t="str">
        <f>IFERROR(INDEX('بيانات الحركات'!B:B,MATCH(1582,'بيانات الحركات'!$G:$G,0)),"")</f>
        <v/>
      </c>
      <c r="C1583" s="3" t="str">
        <f>IFERROR(INDEX('بيانات الحركات'!C:C,MATCH(1582,'بيانات الحركات'!$G:$G,0)),"")</f>
        <v/>
      </c>
      <c r="D1583" s="3" t="str">
        <f>IFERROR(INDEX('بيانات الحركات'!D:D,MATCH(1582,'بيانات الحركات'!$G:$G,0)),"")</f>
        <v/>
      </c>
      <c r="E1583" s="21" t="str">
        <f>IF($B1583="إنتاج طبخة","",IFERROR(INDEX('بيانات الحركات'!E:E,MATCH(1582,'بيانات الحركات'!$G:$G,0)),""))</f>
        <v/>
      </c>
      <c r="F1583" s="3" t="str">
        <f>IFERROR(INDEX('بيانات الحركات'!F:F,MATCH(1582,'بيانات الحركات'!$G:$G,0)),"")</f>
        <v/>
      </c>
    </row>
    <row r="1584" spans="1:6" ht="21.95" customHeight="1">
      <c r="A1584" s="8" t="str">
        <f>IFERROR(INDEX('بيانات الحركات'!A:A,MATCH(1583,'بيانات الحركات'!$G:$G,0)),"")</f>
        <v/>
      </c>
      <c r="B1584" s="5" t="str">
        <f>IFERROR(INDEX('بيانات الحركات'!B:B,MATCH(1583,'بيانات الحركات'!$G:$G,0)),"")</f>
        <v/>
      </c>
      <c r="C1584" s="3" t="str">
        <f>IFERROR(INDEX('بيانات الحركات'!C:C,MATCH(1583,'بيانات الحركات'!$G:$G,0)),"")</f>
        <v/>
      </c>
      <c r="D1584" s="3" t="str">
        <f>IFERROR(INDEX('بيانات الحركات'!D:D,MATCH(1583,'بيانات الحركات'!$G:$G,0)),"")</f>
        <v/>
      </c>
      <c r="E1584" s="21" t="str">
        <f>IF($B1584="إنتاج طبخة","",IFERROR(INDEX('بيانات الحركات'!E:E,MATCH(1583,'بيانات الحركات'!$G:$G,0)),""))</f>
        <v/>
      </c>
      <c r="F1584" s="3" t="str">
        <f>IFERROR(INDEX('بيانات الحركات'!F:F,MATCH(1583,'بيانات الحركات'!$G:$G,0)),"")</f>
        <v/>
      </c>
    </row>
    <row r="1585" spans="1:6" ht="21.95" customHeight="1">
      <c r="A1585" s="8" t="str">
        <f>IFERROR(INDEX('بيانات الحركات'!A:A,MATCH(1584,'بيانات الحركات'!$G:$G,0)),"")</f>
        <v/>
      </c>
      <c r="B1585" s="5" t="str">
        <f>IFERROR(INDEX('بيانات الحركات'!B:B,MATCH(1584,'بيانات الحركات'!$G:$G,0)),"")</f>
        <v/>
      </c>
      <c r="C1585" s="3" t="str">
        <f>IFERROR(INDEX('بيانات الحركات'!C:C,MATCH(1584,'بيانات الحركات'!$G:$G,0)),"")</f>
        <v/>
      </c>
      <c r="D1585" s="3" t="str">
        <f>IFERROR(INDEX('بيانات الحركات'!D:D,MATCH(1584,'بيانات الحركات'!$G:$G,0)),"")</f>
        <v/>
      </c>
      <c r="E1585" s="21" t="str">
        <f>IF($B1585="إنتاج طبخة","",IFERROR(INDEX('بيانات الحركات'!E:E,MATCH(1584,'بيانات الحركات'!$G:$G,0)),""))</f>
        <v/>
      </c>
      <c r="F1585" s="3" t="str">
        <f>IFERROR(INDEX('بيانات الحركات'!F:F,MATCH(1584,'بيانات الحركات'!$G:$G,0)),"")</f>
        <v/>
      </c>
    </row>
    <row r="1586" spans="1:6" ht="21.95" customHeight="1">
      <c r="A1586" s="8" t="str">
        <f>IFERROR(INDEX('بيانات الحركات'!A:A,MATCH(1585,'بيانات الحركات'!$G:$G,0)),"")</f>
        <v/>
      </c>
      <c r="B1586" s="5" t="str">
        <f>IFERROR(INDEX('بيانات الحركات'!B:B,MATCH(1585,'بيانات الحركات'!$G:$G,0)),"")</f>
        <v/>
      </c>
      <c r="C1586" s="3" t="str">
        <f>IFERROR(INDEX('بيانات الحركات'!C:C,MATCH(1585,'بيانات الحركات'!$G:$G,0)),"")</f>
        <v/>
      </c>
      <c r="D1586" s="3" t="str">
        <f>IFERROR(INDEX('بيانات الحركات'!D:D,MATCH(1585,'بيانات الحركات'!$G:$G,0)),"")</f>
        <v/>
      </c>
      <c r="E1586" s="21" t="str">
        <f>IF($B1586="إنتاج طبخة","",IFERROR(INDEX('بيانات الحركات'!E:E,MATCH(1585,'بيانات الحركات'!$G:$G,0)),""))</f>
        <v/>
      </c>
      <c r="F1586" s="3" t="str">
        <f>IFERROR(INDEX('بيانات الحركات'!F:F,MATCH(1585,'بيانات الحركات'!$G:$G,0)),"")</f>
        <v/>
      </c>
    </row>
    <row r="1587" spans="1:6" ht="21.95" customHeight="1">
      <c r="A1587" s="8" t="str">
        <f>IFERROR(INDEX('بيانات الحركات'!A:A,MATCH(1586,'بيانات الحركات'!$G:$G,0)),"")</f>
        <v/>
      </c>
      <c r="B1587" s="5" t="str">
        <f>IFERROR(INDEX('بيانات الحركات'!B:B,MATCH(1586,'بيانات الحركات'!$G:$G,0)),"")</f>
        <v/>
      </c>
      <c r="C1587" s="3" t="str">
        <f>IFERROR(INDEX('بيانات الحركات'!C:C,MATCH(1586,'بيانات الحركات'!$G:$G,0)),"")</f>
        <v/>
      </c>
      <c r="D1587" s="3" t="str">
        <f>IFERROR(INDEX('بيانات الحركات'!D:D,MATCH(1586,'بيانات الحركات'!$G:$G,0)),"")</f>
        <v/>
      </c>
      <c r="E1587" s="21" t="str">
        <f>IF($B1587="إنتاج طبخة","",IFERROR(INDEX('بيانات الحركات'!E:E,MATCH(1586,'بيانات الحركات'!$G:$G,0)),""))</f>
        <v/>
      </c>
      <c r="F1587" s="3" t="str">
        <f>IFERROR(INDEX('بيانات الحركات'!F:F,MATCH(1586,'بيانات الحركات'!$G:$G,0)),"")</f>
        <v/>
      </c>
    </row>
    <row r="1588" spans="1:6" ht="21.95" customHeight="1">
      <c r="A1588" s="8" t="str">
        <f>IFERROR(INDEX('بيانات الحركات'!A:A,MATCH(1587,'بيانات الحركات'!$G:$G,0)),"")</f>
        <v/>
      </c>
      <c r="B1588" s="5" t="str">
        <f>IFERROR(INDEX('بيانات الحركات'!B:B,MATCH(1587,'بيانات الحركات'!$G:$G,0)),"")</f>
        <v/>
      </c>
      <c r="C1588" s="3" t="str">
        <f>IFERROR(INDEX('بيانات الحركات'!C:C,MATCH(1587,'بيانات الحركات'!$G:$G,0)),"")</f>
        <v/>
      </c>
      <c r="D1588" s="3" t="str">
        <f>IFERROR(INDEX('بيانات الحركات'!D:D,MATCH(1587,'بيانات الحركات'!$G:$G,0)),"")</f>
        <v/>
      </c>
      <c r="E1588" s="21" t="str">
        <f>IF($B1588="إنتاج طبخة","",IFERROR(INDEX('بيانات الحركات'!E:E,MATCH(1587,'بيانات الحركات'!$G:$G,0)),""))</f>
        <v/>
      </c>
      <c r="F1588" s="3" t="str">
        <f>IFERROR(INDEX('بيانات الحركات'!F:F,MATCH(1587,'بيانات الحركات'!$G:$G,0)),"")</f>
        <v/>
      </c>
    </row>
    <row r="1589" spans="1:6" ht="21.95" customHeight="1">
      <c r="A1589" s="8" t="str">
        <f>IFERROR(INDEX('بيانات الحركات'!A:A,MATCH(1588,'بيانات الحركات'!$G:$G,0)),"")</f>
        <v/>
      </c>
      <c r="B1589" s="5" t="str">
        <f>IFERROR(INDEX('بيانات الحركات'!B:B,MATCH(1588,'بيانات الحركات'!$G:$G,0)),"")</f>
        <v/>
      </c>
      <c r="C1589" s="3" t="str">
        <f>IFERROR(INDEX('بيانات الحركات'!C:C,MATCH(1588,'بيانات الحركات'!$G:$G,0)),"")</f>
        <v/>
      </c>
      <c r="D1589" s="3" t="str">
        <f>IFERROR(INDEX('بيانات الحركات'!D:D,MATCH(1588,'بيانات الحركات'!$G:$G,0)),"")</f>
        <v/>
      </c>
      <c r="E1589" s="21" t="str">
        <f>IF($B1589="إنتاج طبخة","",IFERROR(INDEX('بيانات الحركات'!E:E,MATCH(1588,'بيانات الحركات'!$G:$G,0)),""))</f>
        <v/>
      </c>
      <c r="F1589" s="3" t="str">
        <f>IFERROR(INDEX('بيانات الحركات'!F:F,MATCH(1588,'بيانات الحركات'!$G:$G,0)),"")</f>
        <v/>
      </c>
    </row>
    <row r="1590" spans="1:6" ht="21.95" customHeight="1">
      <c r="A1590" s="8" t="str">
        <f>IFERROR(INDEX('بيانات الحركات'!A:A,MATCH(1589,'بيانات الحركات'!$G:$G,0)),"")</f>
        <v/>
      </c>
      <c r="B1590" s="5" t="str">
        <f>IFERROR(INDEX('بيانات الحركات'!B:B,MATCH(1589,'بيانات الحركات'!$G:$G,0)),"")</f>
        <v/>
      </c>
      <c r="C1590" s="3" t="str">
        <f>IFERROR(INDEX('بيانات الحركات'!C:C,MATCH(1589,'بيانات الحركات'!$G:$G,0)),"")</f>
        <v/>
      </c>
      <c r="D1590" s="3" t="str">
        <f>IFERROR(INDEX('بيانات الحركات'!D:D,MATCH(1589,'بيانات الحركات'!$G:$G,0)),"")</f>
        <v/>
      </c>
      <c r="E1590" s="21" t="str">
        <f>IF($B1590="إنتاج طبخة","",IFERROR(INDEX('بيانات الحركات'!E:E,MATCH(1589,'بيانات الحركات'!$G:$G,0)),""))</f>
        <v/>
      </c>
      <c r="F1590" s="3" t="str">
        <f>IFERROR(INDEX('بيانات الحركات'!F:F,MATCH(1589,'بيانات الحركات'!$G:$G,0)),"")</f>
        <v/>
      </c>
    </row>
    <row r="1591" spans="1:6" ht="21.95" customHeight="1">
      <c r="A1591" s="8" t="str">
        <f>IFERROR(INDEX('بيانات الحركات'!A:A,MATCH(1590,'بيانات الحركات'!$G:$G,0)),"")</f>
        <v/>
      </c>
      <c r="B1591" s="5" t="str">
        <f>IFERROR(INDEX('بيانات الحركات'!B:B,MATCH(1590,'بيانات الحركات'!$G:$G,0)),"")</f>
        <v/>
      </c>
      <c r="C1591" s="3" t="str">
        <f>IFERROR(INDEX('بيانات الحركات'!C:C,MATCH(1590,'بيانات الحركات'!$G:$G,0)),"")</f>
        <v/>
      </c>
      <c r="D1591" s="3" t="str">
        <f>IFERROR(INDEX('بيانات الحركات'!D:D,MATCH(1590,'بيانات الحركات'!$G:$G,0)),"")</f>
        <v/>
      </c>
      <c r="E1591" s="21" t="str">
        <f>IF($B1591="إنتاج طبخة","",IFERROR(INDEX('بيانات الحركات'!E:E,MATCH(1590,'بيانات الحركات'!$G:$G,0)),""))</f>
        <v/>
      </c>
      <c r="F1591" s="3" t="str">
        <f>IFERROR(INDEX('بيانات الحركات'!F:F,MATCH(1590,'بيانات الحركات'!$G:$G,0)),"")</f>
        <v/>
      </c>
    </row>
    <row r="1592" spans="1:6" ht="21.95" customHeight="1">
      <c r="A1592" s="8" t="str">
        <f>IFERROR(INDEX('بيانات الحركات'!A:A,MATCH(1591,'بيانات الحركات'!$G:$G,0)),"")</f>
        <v/>
      </c>
      <c r="B1592" s="5" t="str">
        <f>IFERROR(INDEX('بيانات الحركات'!B:B,MATCH(1591,'بيانات الحركات'!$G:$G,0)),"")</f>
        <v/>
      </c>
      <c r="C1592" s="3" t="str">
        <f>IFERROR(INDEX('بيانات الحركات'!C:C,MATCH(1591,'بيانات الحركات'!$G:$G,0)),"")</f>
        <v/>
      </c>
      <c r="D1592" s="3" t="str">
        <f>IFERROR(INDEX('بيانات الحركات'!D:D,MATCH(1591,'بيانات الحركات'!$G:$G,0)),"")</f>
        <v/>
      </c>
      <c r="E1592" s="21" t="str">
        <f>IF($B1592="إنتاج طبخة","",IFERROR(INDEX('بيانات الحركات'!E:E,MATCH(1591,'بيانات الحركات'!$G:$G,0)),""))</f>
        <v/>
      </c>
      <c r="F1592" s="3" t="str">
        <f>IFERROR(INDEX('بيانات الحركات'!F:F,MATCH(1591,'بيانات الحركات'!$G:$G,0)),"")</f>
        <v/>
      </c>
    </row>
    <row r="1593" spans="1:6" ht="21.95" customHeight="1">
      <c r="A1593" s="8" t="str">
        <f>IFERROR(INDEX('بيانات الحركات'!A:A,MATCH(1592,'بيانات الحركات'!$G:$G,0)),"")</f>
        <v/>
      </c>
      <c r="B1593" s="5" t="str">
        <f>IFERROR(INDEX('بيانات الحركات'!B:B,MATCH(1592,'بيانات الحركات'!$G:$G,0)),"")</f>
        <v/>
      </c>
      <c r="C1593" s="3" t="str">
        <f>IFERROR(INDEX('بيانات الحركات'!C:C,MATCH(1592,'بيانات الحركات'!$G:$G,0)),"")</f>
        <v/>
      </c>
      <c r="D1593" s="3" t="str">
        <f>IFERROR(INDEX('بيانات الحركات'!D:D,MATCH(1592,'بيانات الحركات'!$G:$G,0)),"")</f>
        <v/>
      </c>
      <c r="E1593" s="21" t="str">
        <f>IF($B1593="إنتاج طبخة","",IFERROR(INDEX('بيانات الحركات'!E:E,MATCH(1592,'بيانات الحركات'!$G:$G,0)),""))</f>
        <v/>
      </c>
      <c r="F1593" s="3" t="str">
        <f>IFERROR(INDEX('بيانات الحركات'!F:F,MATCH(1592,'بيانات الحركات'!$G:$G,0)),"")</f>
        <v/>
      </c>
    </row>
    <row r="1594" spans="1:6" ht="21.95" customHeight="1">
      <c r="A1594" s="8" t="str">
        <f>IFERROR(INDEX('بيانات الحركات'!A:A,MATCH(1593,'بيانات الحركات'!$G:$G,0)),"")</f>
        <v/>
      </c>
      <c r="B1594" s="5" t="str">
        <f>IFERROR(INDEX('بيانات الحركات'!B:B,MATCH(1593,'بيانات الحركات'!$G:$G,0)),"")</f>
        <v/>
      </c>
      <c r="C1594" s="3" t="str">
        <f>IFERROR(INDEX('بيانات الحركات'!C:C,MATCH(1593,'بيانات الحركات'!$G:$G,0)),"")</f>
        <v/>
      </c>
      <c r="D1594" s="3" t="str">
        <f>IFERROR(INDEX('بيانات الحركات'!D:D,MATCH(1593,'بيانات الحركات'!$G:$G,0)),"")</f>
        <v/>
      </c>
      <c r="E1594" s="21" t="str">
        <f>IF($B1594="إنتاج طبخة","",IFERROR(INDEX('بيانات الحركات'!E:E,MATCH(1593,'بيانات الحركات'!$G:$G,0)),""))</f>
        <v/>
      </c>
      <c r="F1594" s="3" t="str">
        <f>IFERROR(INDEX('بيانات الحركات'!F:F,MATCH(1593,'بيانات الحركات'!$G:$G,0)),"")</f>
        <v/>
      </c>
    </row>
    <row r="1595" spans="1:6" ht="21.95" customHeight="1">
      <c r="A1595" s="8" t="str">
        <f>IFERROR(INDEX('بيانات الحركات'!A:A,MATCH(1594,'بيانات الحركات'!$G:$G,0)),"")</f>
        <v/>
      </c>
      <c r="B1595" s="5" t="str">
        <f>IFERROR(INDEX('بيانات الحركات'!B:B,MATCH(1594,'بيانات الحركات'!$G:$G,0)),"")</f>
        <v/>
      </c>
      <c r="C1595" s="3" t="str">
        <f>IFERROR(INDEX('بيانات الحركات'!C:C,MATCH(1594,'بيانات الحركات'!$G:$G,0)),"")</f>
        <v/>
      </c>
      <c r="D1595" s="3" t="str">
        <f>IFERROR(INDEX('بيانات الحركات'!D:D,MATCH(1594,'بيانات الحركات'!$G:$G,0)),"")</f>
        <v/>
      </c>
      <c r="E1595" s="21" t="str">
        <f>IF($B1595="إنتاج طبخة","",IFERROR(INDEX('بيانات الحركات'!E:E,MATCH(1594,'بيانات الحركات'!$G:$G,0)),""))</f>
        <v/>
      </c>
      <c r="F1595" s="3" t="str">
        <f>IFERROR(INDEX('بيانات الحركات'!F:F,MATCH(1594,'بيانات الحركات'!$G:$G,0)),"")</f>
        <v/>
      </c>
    </row>
    <row r="1596" spans="1:6" ht="21.95" customHeight="1">
      <c r="A1596" s="8" t="str">
        <f>IFERROR(INDEX('بيانات الحركات'!A:A,MATCH(1595,'بيانات الحركات'!$G:$G,0)),"")</f>
        <v/>
      </c>
      <c r="B1596" s="5" t="str">
        <f>IFERROR(INDEX('بيانات الحركات'!B:B,MATCH(1595,'بيانات الحركات'!$G:$G,0)),"")</f>
        <v/>
      </c>
      <c r="C1596" s="3" t="str">
        <f>IFERROR(INDEX('بيانات الحركات'!C:C,MATCH(1595,'بيانات الحركات'!$G:$G,0)),"")</f>
        <v/>
      </c>
      <c r="D1596" s="3" t="str">
        <f>IFERROR(INDEX('بيانات الحركات'!D:D,MATCH(1595,'بيانات الحركات'!$G:$G,0)),"")</f>
        <v/>
      </c>
      <c r="E1596" s="21" t="str">
        <f>IF($B1596="إنتاج طبخة","",IFERROR(INDEX('بيانات الحركات'!E:E,MATCH(1595,'بيانات الحركات'!$G:$G,0)),""))</f>
        <v/>
      </c>
      <c r="F1596" s="3" t="str">
        <f>IFERROR(INDEX('بيانات الحركات'!F:F,MATCH(1595,'بيانات الحركات'!$G:$G,0)),"")</f>
        <v/>
      </c>
    </row>
    <row r="1597" spans="1:6" ht="21.95" customHeight="1">
      <c r="A1597" s="8" t="str">
        <f>IFERROR(INDEX('بيانات الحركات'!A:A,MATCH(1596,'بيانات الحركات'!$G:$G,0)),"")</f>
        <v/>
      </c>
      <c r="B1597" s="5" t="str">
        <f>IFERROR(INDEX('بيانات الحركات'!B:B,MATCH(1596,'بيانات الحركات'!$G:$G,0)),"")</f>
        <v/>
      </c>
      <c r="C1597" s="3" t="str">
        <f>IFERROR(INDEX('بيانات الحركات'!C:C,MATCH(1596,'بيانات الحركات'!$G:$G,0)),"")</f>
        <v/>
      </c>
      <c r="D1597" s="3" t="str">
        <f>IFERROR(INDEX('بيانات الحركات'!D:D,MATCH(1596,'بيانات الحركات'!$G:$G,0)),"")</f>
        <v/>
      </c>
      <c r="E1597" s="21" t="str">
        <f>IF($B1597="إنتاج طبخة","",IFERROR(INDEX('بيانات الحركات'!E:E,MATCH(1596,'بيانات الحركات'!$G:$G,0)),""))</f>
        <v/>
      </c>
      <c r="F1597" s="3" t="str">
        <f>IFERROR(INDEX('بيانات الحركات'!F:F,MATCH(1596,'بيانات الحركات'!$G:$G,0)),"")</f>
        <v/>
      </c>
    </row>
    <row r="1598" spans="1:6" ht="21.95" customHeight="1">
      <c r="A1598" s="8" t="str">
        <f>IFERROR(INDEX('بيانات الحركات'!A:A,MATCH(1597,'بيانات الحركات'!$G:$G,0)),"")</f>
        <v/>
      </c>
      <c r="B1598" s="5" t="str">
        <f>IFERROR(INDEX('بيانات الحركات'!B:B,MATCH(1597,'بيانات الحركات'!$G:$G,0)),"")</f>
        <v/>
      </c>
      <c r="C1598" s="3" t="str">
        <f>IFERROR(INDEX('بيانات الحركات'!C:C,MATCH(1597,'بيانات الحركات'!$G:$G,0)),"")</f>
        <v/>
      </c>
      <c r="D1598" s="3" t="str">
        <f>IFERROR(INDEX('بيانات الحركات'!D:D,MATCH(1597,'بيانات الحركات'!$G:$G,0)),"")</f>
        <v/>
      </c>
      <c r="E1598" s="21" t="str">
        <f>IF($B1598="إنتاج طبخة","",IFERROR(INDEX('بيانات الحركات'!E:E,MATCH(1597,'بيانات الحركات'!$G:$G,0)),""))</f>
        <v/>
      </c>
      <c r="F1598" s="3" t="str">
        <f>IFERROR(INDEX('بيانات الحركات'!F:F,MATCH(1597,'بيانات الحركات'!$G:$G,0)),"")</f>
        <v/>
      </c>
    </row>
    <row r="1599" spans="1:6" ht="21.95" customHeight="1">
      <c r="A1599" s="8" t="str">
        <f>IFERROR(INDEX('بيانات الحركات'!A:A,MATCH(1598,'بيانات الحركات'!$G:$G,0)),"")</f>
        <v/>
      </c>
      <c r="B1599" s="5" t="str">
        <f>IFERROR(INDEX('بيانات الحركات'!B:B,MATCH(1598,'بيانات الحركات'!$G:$G,0)),"")</f>
        <v/>
      </c>
      <c r="C1599" s="3" t="str">
        <f>IFERROR(INDEX('بيانات الحركات'!C:C,MATCH(1598,'بيانات الحركات'!$G:$G,0)),"")</f>
        <v/>
      </c>
      <c r="D1599" s="3" t="str">
        <f>IFERROR(INDEX('بيانات الحركات'!D:D,MATCH(1598,'بيانات الحركات'!$G:$G,0)),"")</f>
        <v/>
      </c>
      <c r="E1599" s="21" t="str">
        <f>IF($B1599="إنتاج طبخة","",IFERROR(INDEX('بيانات الحركات'!E:E,MATCH(1598,'بيانات الحركات'!$G:$G,0)),""))</f>
        <v/>
      </c>
      <c r="F1599" s="3" t="str">
        <f>IFERROR(INDEX('بيانات الحركات'!F:F,MATCH(1598,'بيانات الحركات'!$G:$G,0)),"")</f>
        <v/>
      </c>
    </row>
    <row r="1600" spans="1:6" ht="21.95" customHeight="1">
      <c r="A1600" s="8" t="str">
        <f>IFERROR(INDEX('بيانات الحركات'!A:A,MATCH(1599,'بيانات الحركات'!$G:$G,0)),"")</f>
        <v/>
      </c>
      <c r="B1600" s="5" t="str">
        <f>IFERROR(INDEX('بيانات الحركات'!B:B,MATCH(1599,'بيانات الحركات'!$G:$G,0)),"")</f>
        <v/>
      </c>
      <c r="C1600" s="3" t="str">
        <f>IFERROR(INDEX('بيانات الحركات'!C:C,MATCH(1599,'بيانات الحركات'!$G:$G,0)),"")</f>
        <v/>
      </c>
      <c r="D1600" s="3" t="str">
        <f>IFERROR(INDEX('بيانات الحركات'!D:D,MATCH(1599,'بيانات الحركات'!$G:$G,0)),"")</f>
        <v/>
      </c>
      <c r="E1600" s="21" t="str">
        <f>IF($B1600="إنتاج طبخة","",IFERROR(INDEX('بيانات الحركات'!E:E,MATCH(1599,'بيانات الحركات'!$G:$G,0)),""))</f>
        <v/>
      </c>
      <c r="F1600" s="3" t="str">
        <f>IFERROR(INDEX('بيانات الحركات'!F:F,MATCH(1599,'بيانات الحركات'!$G:$G,0)),"")</f>
        <v/>
      </c>
    </row>
    <row r="1601" spans="1:6" ht="21.95" customHeight="1">
      <c r="A1601" s="8" t="str">
        <f>IFERROR(INDEX('بيانات الحركات'!A:A,MATCH(1600,'بيانات الحركات'!$G:$G,0)),"")</f>
        <v/>
      </c>
      <c r="B1601" s="5" t="str">
        <f>IFERROR(INDEX('بيانات الحركات'!B:B,MATCH(1600,'بيانات الحركات'!$G:$G,0)),"")</f>
        <v/>
      </c>
      <c r="C1601" s="3" t="str">
        <f>IFERROR(INDEX('بيانات الحركات'!C:C,MATCH(1600,'بيانات الحركات'!$G:$G,0)),"")</f>
        <v/>
      </c>
      <c r="D1601" s="3" t="str">
        <f>IFERROR(INDEX('بيانات الحركات'!D:D,MATCH(1600,'بيانات الحركات'!$G:$G,0)),"")</f>
        <v/>
      </c>
      <c r="E1601" s="21" t="str">
        <f>IF($B1601="إنتاج طبخة","",IFERROR(INDEX('بيانات الحركات'!E:E,MATCH(1600,'بيانات الحركات'!$G:$G,0)),""))</f>
        <v/>
      </c>
      <c r="F1601" s="3" t="str">
        <f>IFERROR(INDEX('بيانات الحركات'!F:F,MATCH(1600,'بيانات الحركات'!$G:$G,0)),"")</f>
        <v/>
      </c>
    </row>
    <row r="1602" spans="1:6" ht="21.95" customHeight="1">
      <c r="A1602" s="8" t="str">
        <f>IFERROR(INDEX('بيانات الحركات'!A:A,MATCH(1601,'بيانات الحركات'!$G:$G,0)),"")</f>
        <v/>
      </c>
      <c r="B1602" s="5" t="str">
        <f>IFERROR(INDEX('بيانات الحركات'!B:B,MATCH(1601,'بيانات الحركات'!$G:$G,0)),"")</f>
        <v/>
      </c>
      <c r="C1602" s="3" t="str">
        <f>IFERROR(INDEX('بيانات الحركات'!C:C,MATCH(1601,'بيانات الحركات'!$G:$G,0)),"")</f>
        <v/>
      </c>
      <c r="D1602" s="3" t="str">
        <f>IFERROR(INDEX('بيانات الحركات'!D:D,MATCH(1601,'بيانات الحركات'!$G:$G,0)),"")</f>
        <v/>
      </c>
      <c r="E1602" s="21" t="str">
        <f>IF($B1602="إنتاج طبخة","",IFERROR(INDEX('بيانات الحركات'!E:E,MATCH(1601,'بيانات الحركات'!$G:$G,0)),""))</f>
        <v/>
      </c>
      <c r="F1602" s="3" t="str">
        <f>IFERROR(INDEX('بيانات الحركات'!F:F,MATCH(1601,'بيانات الحركات'!$G:$G,0)),"")</f>
        <v/>
      </c>
    </row>
    <row r="1603" spans="1:6" ht="21.95" customHeight="1">
      <c r="A1603" s="8" t="str">
        <f>IFERROR(INDEX('بيانات الحركات'!A:A,MATCH(1602,'بيانات الحركات'!$G:$G,0)),"")</f>
        <v/>
      </c>
      <c r="B1603" s="5" t="str">
        <f>IFERROR(INDEX('بيانات الحركات'!B:B,MATCH(1602,'بيانات الحركات'!$G:$G,0)),"")</f>
        <v/>
      </c>
      <c r="C1603" s="3" t="str">
        <f>IFERROR(INDEX('بيانات الحركات'!C:C,MATCH(1602,'بيانات الحركات'!$G:$G,0)),"")</f>
        <v/>
      </c>
      <c r="D1603" s="3" t="str">
        <f>IFERROR(INDEX('بيانات الحركات'!D:D,MATCH(1602,'بيانات الحركات'!$G:$G,0)),"")</f>
        <v/>
      </c>
      <c r="E1603" s="21" t="str">
        <f>IF($B1603="إنتاج طبخة","",IFERROR(INDEX('بيانات الحركات'!E:E,MATCH(1602,'بيانات الحركات'!$G:$G,0)),""))</f>
        <v/>
      </c>
      <c r="F1603" s="3" t="str">
        <f>IFERROR(INDEX('بيانات الحركات'!F:F,MATCH(1602,'بيانات الحركات'!$G:$G,0)),"")</f>
        <v/>
      </c>
    </row>
    <row r="1604" spans="1:6" ht="21.95" customHeight="1">
      <c r="A1604" s="8" t="str">
        <f>IFERROR(INDEX('بيانات الحركات'!A:A,MATCH(1603,'بيانات الحركات'!$G:$G,0)),"")</f>
        <v/>
      </c>
      <c r="B1604" s="5" t="str">
        <f>IFERROR(INDEX('بيانات الحركات'!B:B,MATCH(1603,'بيانات الحركات'!$G:$G,0)),"")</f>
        <v/>
      </c>
      <c r="C1604" s="3" t="str">
        <f>IFERROR(INDEX('بيانات الحركات'!C:C,MATCH(1603,'بيانات الحركات'!$G:$G,0)),"")</f>
        <v/>
      </c>
      <c r="D1604" s="3" t="str">
        <f>IFERROR(INDEX('بيانات الحركات'!D:D,MATCH(1603,'بيانات الحركات'!$G:$G,0)),"")</f>
        <v/>
      </c>
      <c r="E1604" s="21" t="str">
        <f>IF($B1604="إنتاج طبخة","",IFERROR(INDEX('بيانات الحركات'!E:E,MATCH(1603,'بيانات الحركات'!$G:$G,0)),""))</f>
        <v/>
      </c>
      <c r="F1604" s="3" t="str">
        <f>IFERROR(INDEX('بيانات الحركات'!F:F,MATCH(1603,'بيانات الحركات'!$G:$G,0)),"")</f>
        <v/>
      </c>
    </row>
    <row r="1605" spans="1:6" ht="21.95" customHeight="1">
      <c r="A1605" s="8" t="str">
        <f>IFERROR(INDEX('بيانات الحركات'!A:A,MATCH(1604,'بيانات الحركات'!$G:$G,0)),"")</f>
        <v/>
      </c>
      <c r="B1605" s="5" t="str">
        <f>IFERROR(INDEX('بيانات الحركات'!B:B,MATCH(1604,'بيانات الحركات'!$G:$G,0)),"")</f>
        <v/>
      </c>
      <c r="C1605" s="3" t="str">
        <f>IFERROR(INDEX('بيانات الحركات'!C:C,MATCH(1604,'بيانات الحركات'!$G:$G,0)),"")</f>
        <v/>
      </c>
      <c r="D1605" s="3" t="str">
        <f>IFERROR(INDEX('بيانات الحركات'!D:D,MATCH(1604,'بيانات الحركات'!$G:$G,0)),"")</f>
        <v/>
      </c>
      <c r="E1605" s="21" t="str">
        <f>IF($B1605="إنتاج طبخة","",IFERROR(INDEX('بيانات الحركات'!E:E,MATCH(1604,'بيانات الحركات'!$G:$G,0)),""))</f>
        <v/>
      </c>
      <c r="F1605" s="3" t="str">
        <f>IFERROR(INDEX('بيانات الحركات'!F:F,MATCH(1604,'بيانات الحركات'!$G:$G,0)),"")</f>
        <v/>
      </c>
    </row>
    <row r="1606" spans="1:6" ht="21.95" customHeight="1">
      <c r="A1606" s="8" t="str">
        <f>IFERROR(INDEX('بيانات الحركات'!A:A,MATCH(1605,'بيانات الحركات'!$G:$G,0)),"")</f>
        <v/>
      </c>
      <c r="B1606" s="5" t="str">
        <f>IFERROR(INDEX('بيانات الحركات'!B:B,MATCH(1605,'بيانات الحركات'!$G:$G,0)),"")</f>
        <v/>
      </c>
      <c r="C1606" s="3" t="str">
        <f>IFERROR(INDEX('بيانات الحركات'!C:C,MATCH(1605,'بيانات الحركات'!$G:$G,0)),"")</f>
        <v/>
      </c>
      <c r="D1606" s="3" t="str">
        <f>IFERROR(INDEX('بيانات الحركات'!D:D,MATCH(1605,'بيانات الحركات'!$G:$G,0)),"")</f>
        <v/>
      </c>
      <c r="E1606" s="21" t="str">
        <f>IF($B1606="إنتاج طبخة","",IFERROR(INDEX('بيانات الحركات'!E:E,MATCH(1605,'بيانات الحركات'!$G:$G,0)),""))</f>
        <v/>
      </c>
      <c r="F1606" s="3" t="str">
        <f>IFERROR(INDEX('بيانات الحركات'!F:F,MATCH(1605,'بيانات الحركات'!$G:$G,0)),"")</f>
        <v/>
      </c>
    </row>
    <row r="1607" spans="1:6" ht="21.95" customHeight="1">
      <c r="A1607" s="8" t="str">
        <f>IFERROR(INDEX('بيانات الحركات'!A:A,MATCH(1606,'بيانات الحركات'!$G:$G,0)),"")</f>
        <v/>
      </c>
      <c r="B1607" s="5" t="str">
        <f>IFERROR(INDEX('بيانات الحركات'!B:B,MATCH(1606,'بيانات الحركات'!$G:$G,0)),"")</f>
        <v/>
      </c>
      <c r="C1607" s="3" t="str">
        <f>IFERROR(INDEX('بيانات الحركات'!C:C,MATCH(1606,'بيانات الحركات'!$G:$G,0)),"")</f>
        <v/>
      </c>
      <c r="D1607" s="3" t="str">
        <f>IFERROR(INDEX('بيانات الحركات'!D:D,MATCH(1606,'بيانات الحركات'!$G:$G,0)),"")</f>
        <v/>
      </c>
      <c r="E1607" s="21" t="str">
        <f>IF($B1607="إنتاج طبخة","",IFERROR(INDEX('بيانات الحركات'!E:E,MATCH(1606,'بيانات الحركات'!$G:$G,0)),""))</f>
        <v/>
      </c>
      <c r="F1607" s="3" t="str">
        <f>IFERROR(INDEX('بيانات الحركات'!F:F,MATCH(1606,'بيانات الحركات'!$G:$G,0)),"")</f>
        <v/>
      </c>
    </row>
    <row r="1608" spans="1:6" ht="21.95" customHeight="1">
      <c r="A1608" s="8" t="str">
        <f>IFERROR(INDEX('بيانات الحركات'!A:A,MATCH(1607,'بيانات الحركات'!$G:$G,0)),"")</f>
        <v/>
      </c>
      <c r="B1608" s="5" t="str">
        <f>IFERROR(INDEX('بيانات الحركات'!B:B,MATCH(1607,'بيانات الحركات'!$G:$G,0)),"")</f>
        <v/>
      </c>
      <c r="C1608" s="3" t="str">
        <f>IFERROR(INDEX('بيانات الحركات'!C:C,MATCH(1607,'بيانات الحركات'!$G:$G,0)),"")</f>
        <v/>
      </c>
      <c r="D1608" s="3" t="str">
        <f>IFERROR(INDEX('بيانات الحركات'!D:D,MATCH(1607,'بيانات الحركات'!$G:$G,0)),"")</f>
        <v/>
      </c>
      <c r="E1608" s="21" t="str">
        <f>IF($B1608="إنتاج طبخة","",IFERROR(INDEX('بيانات الحركات'!E:E,MATCH(1607,'بيانات الحركات'!$G:$G,0)),""))</f>
        <v/>
      </c>
      <c r="F1608" s="3" t="str">
        <f>IFERROR(INDEX('بيانات الحركات'!F:F,MATCH(1607,'بيانات الحركات'!$G:$G,0)),"")</f>
        <v/>
      </c>
    </row>
    <row r="1609" spans="1:6" ht="21.95" customHeight="1">
      <c r="A1609" s="8" t="str">
        <f>IFERROR(INDEX('بيانات الحركات'!A:A,MATCH(1608,'بيانات الحركات'!$G:$G,0)),"")</f>
        <v/>
      </c>
      <c r="B1609" s="5" t="str">
        <f>IFERROR(INDEX('بيانات الحركات'!B:B,MATCH(1608,'بيانات الحركات'!$G:$G,0)),"")</f>
        <v/>
      </c>
      <c r="C1609" s="3" t="str">
        <f>IFERROR(INDEX('بيانات الحركات'!C:C,MATCH(1608,'بيانات الحركات'!$G:$G,0)),"")</f>
        <v/>
      </c>
      <c r="D1609" s="3" t="str">
        <f>IFERROR(INDEX('بيانات الحركات'!D:D,MATCH(1608,'بيانات الحركات'!$G:$G,0)),"")</f>
        <v/>
      </c>
      <c r="E1609" s="21" t="str">
        <f>IF($B1609="إنتاج طبخة","",IFERROR(INDEX('بيانات الحركات'!E:E,MATCH(1608,'بيانات الحركات'!$G:$G,0)),""))</f>
        <v/>
      </c>
      <c r="F1609" s="3" t="str">
        <f>IFERROR(INDEX('بيانات الحركات'!F:F,MATCH(1608,'بيانات الحركات'!$G:$G,0)),"")</f>
        <v/>
      </c>
    </row>
    <row r="1610" spans="1:6" ht="21.95" customHeight="1">
      <c r="A1610" s="8" t="str">
        <f>IFERROR(INDEX('بيانات الحركات'!A:A,MATCH(1609,'بيانات الحركات'!$G:$G,0)),"")</f>
        <v/>
      </c>
      <c r="B1610" s="5" t="str">
        <f>IFERROR(INDEX('بيانات الحركات'!B:B,MATCH(1609,'بيانات الحركات'!$G:$G,0)),"")</f>
        <v/>
      </c>
      <c r="C1610" s="3" t="str">
        <f>IFERROR(INDEX('بيانات الحركات'!C:C,MATCH(1609,'بيانات الحركات'!$G:$G,0)),"")</f>
        <v/>
      </c>
      <c r="D1610" s="3" t="str">
        <f>IFERROR(INDEX('بيانات الحركات'!D:D,MATCH(1609,'بيانات الحركات'!$G:$G,0)),"")</f>
        <v/>
      </c>
      <c r="E1610" s="21" t="str">
        <f>IF($B1610="إنتاج طبخة","",IFERROR(INDEX('بيانات الحركات'!E:E,MATCH(1609,'بيانات الحركات'!$G:$G,0)),""))</f>
        <v/>
      </c>
      <c r="F1610" s="3" t="str">
        <f>IFERROR(INDEX('بيانات الحركات'!F:F,MATCH(1609,'بيانات الحركات'!$G:$G,0)),"")</f>
        <v/>
      </c>
    </row>
    <row r="1611" spans="1:6" ht="21.95" customHeight="1">
      <c r="A1611" s="8" t="str">
        <f>IFERROR(INDEX('بيانات الحركات'!A:A,MATCH(1610,'بيانات الحركات'!$G:$G,0)),"")</f>
        <v/>
      </c>
      <c r="B1611" s="5" t="str">
        <f>IFERROR(INDEX('بيانات الحركات'!B:B,MATCH(1610,'بيانات الحركات'!$G:$G,0)),"")</f>
        <v/>
      </c>
      <c r="C1611" s="3" t="str">
        <f>IFERROR(INDEX('بيانات الحركات'!C:C,MATCH(1610,'بيانات الحركات'!$G:$G,0)),"")</f>
        <v/>
      </c>
      <c r="D1611" s="3" t="str">
        <f>IFERROR(INDEX('بيانات الحركات'!D:D,MATCH(1610,'بيانات الحركات'!$G:$G,0)),"")</f>
        <v/>
      </c>
      <c r="E1611" s="21" t="str">
        <f>IF($B1611="إنتاج طبخة","",IFERROR(INDEX('بيانات الحركات'!E:E,MATCH(1610,'بيانات الحركات'!$G:$G,0)),""))</f>
        <v/>
      </c>
      <c r="F1611" s="3" t="str">
        <f>IFERROR(INDEX('بيانات الحركات'!F:F,MATCH(1610,'بيانات الحركات'!$G:$G,0)),"")</f>
        <v/>
      </c>
    </row>
    <row r="1612" spans="1:6" ht="21.95" customHeight="1">
      <c r="A1612" s="8" t="str">
        <f>IFERROR(INDEX('بيانات الحركات'!A:A,MATCH(1611,'بيانات الحركات'!$G:$G,0)),"")</f>
        <v/>
      </c>
      <c r="B1612" s="5" t="str">
        <f>IFERROR(INDEX('بيانات الحركات'!B:B,MATCH(1611,'بيانات الحركات'!$G:$G,0)),"")</f>
        <v/>
      </c>
      <c r="C1612" s="3" t="str">
        <f>IFERROR(INDEX('بيانات الحركات'!C:C,MATCH(1611,'بيانات الحركات'!$G:$G,0)),"")</f>
        <v/>
      </c>
      <c r="D1612" s="3" t="str">
        <f>IFERROR(INDEX('بيانات الحركات'!D:D,MATCH(1611,'بيانات الحركات'!$G:$G,0)),"")</f>
        <v/>
      </c>
      <c r="E1612" s="21" t="str">
        <f>IF($B1612="إنتاج طبخة","",IFERROR(INDEX('بيانات الحركات'!E:E,MATCH(1611,'بيانات الحركات'!$G:$G,0)),""))</f>
        <v/>
      </c>
      <c r="F1612" s="3" t="str">
        <f>IFERROR(INDEX('بيانات الحركات'!F:F,MATCH(1611,'بيانات الحركات'!$G:$G,0)),"")</f>
        <v/>
      </c>
    </row>
    <row r="1613" spans="1:6" ht="21.95" customHeight="1">
      <c r="A1613" s="8" t="str">
        <f>IFERROR(INDEX('بيانات الحركات'!A:A,MATCH(1612,'بيانات الحركات'!$G:$G,0)),"")</f>
        <v/>
      </c>
      <c r="B1613" s="5" t="str">
        <f>IFERROR(INDEX('بيانات الحركات'!B:B,MATCH(1612,'بيانات الحركات'!$G:$G,0)),"")</f>
        <v/>
      </c>
      <c r="C1613" s="3" t="str">
        <f>IFERROR(INDEX('بيانات الحركات'!C:C,MATCH(1612,'بيانات الحركات'!$G:$G,0)),"")</f>
        <v/>
      </c>
      <c r="D1613" s="3" t="str">
        <f>IFERROR(INDEX('بيانات الحركات'!D:D,MATCH(1612,'بيانات الحركات'!$G:$G,0)),"")</f>
        <v/>
      </c>
      <c r="E1613" s="21" t="str">
        <f>IF($B1613="إنتاج طبخة","",IFERROR(INDEX('بيانات الحركات'!E:E,MATCH(1612,'بيانات الحركات'!$G:$G,0)),""))</f>
        <v/>
      </c>
      <c r="F1613" s="3" t="str">
        <f>IFERROR(INDEX('بيانات الحركات'!F:F,MATCH(1612,'بيانات الحركات'!$G:$G,0)),"")</f>
        <v/>
      </c>
    </row>
    <row r="1614" spans="1:6" ht="21.95" customHeight="1">
      <c r="A1614" s="8" t="str">
        <f>IFERROR(INDEX('بيانات الحركات'!A:A,MATCH(1613,'بيانات الحركات'!$G:$G,0)),"")</f>
        <v/>
      </c>
      <c r="B1614" s="5" t="str">
        <f>IFERROR(INDEX('بيانات الحركات'!B:B,MATCH(1613,'بيانات الحركات'!$G:$G,0)),"")</f>
        <v/>
      </c>
      <c r="C1614" s="3" t="str">
        <f>IFERROR(INDEX('بيانات الحركات'!C:C,MATCH(1613,'بيانات الحركات'!$G:$G,0)),"")</f>
        <v/>
      </c>
      <c r="D1614" s="3" t="str">
        <f>IFERROR(INDEX('بيانات الحركات'!D:D,MATCH(1613,'بيانات الحركات'!$G:$G,0)),"")</f>
        <v/>
      </c>
      <c r="E1614" s="21" t="str">
        <f>IF($B1614="إنتاج طبخة","",IFERROR(INDEX('بيانات الحركات'!E:E,MATCH(1613,'بيانات الحركات'!$G:$G,0)),""))</f>
        <v/>
      </c>
      <c r="F1614" s="3" t="str">
        <f>IFERROR(INDEX('بيانات الحركات'!F:F,MATCH(1613,'بيانات الحركات'!$G:$G,0)),"")</f>
        <v/>
      </c>
    </row>
    <row r="1615" spans="1:6" ht="21.95" customHeight="1">
      <c r="A1615" s="8" t="str">
        <f>IFERROR(INDEX('بيانات الحركات'!A:A,MATCH(1614,'بيانات الحركات'!$G:$G,0)),"")</f>
        <v/>
      </c>
      <c r="B1615" s="5" t="str">
        <f>IFERROR(INDEX('بيانات الحركات'!B:B,MATCH(1614,'بيانات الحركات'!$G:$G,0)),"")</f>
        <v/>
      </c>
      <c r="C1615" s="3" t="str">
        <f>IFERROR(INDEX('بيانات الحركات'!C:C,MATCH(1614,'بيانات الحركات'!$G:$G,0)),"")</f>
        <v/>
      </c>
      <c r="D1615" s="3" t="str">
        <f>IFERROR(INDEX('بيانات الحركات'!D:D,MATCH(1614,'بيانات الحركات'!$G:$G,0)),"")</f>
        <v/>
      </c>
      <c r="E1615" s="21" t="str">
        <f>IF($B1615="إنتاج طبخة","",IFERROR(INDEX('بيانات الحركات'!E:E,MATCH(1614,'بيانات الحركات'!$G:$G,0)),""))</f>
        <v/>
      </c>
      <c r="F1615" s="3" t="str">
        <f>IFERROR(INDEX('بيانات الحركات'!F:F,MATCH(1614,'بيانات الحركات'!$G:$G,0)),"")</f>
        <v/>
      </c>
    </row>
    <row r="1616" spans="1:6" ht="21.95" customHeight="1">
      <c r="A1616" s="8" t="str">
        <f>IFERROR(INDEX('بيانات الحركات'!A:A,MATCH(1615,'بيانات الحركات'!$G:$G,0)),"")</f>
        <v/>
      </c>
      <c r="B1616" s="5" t="str">
        <f>IFERROR(INDEX('بيانات الحركات'!B:B,MATCH(1615,'بيانات الحركات'!$G:$G,0)),"")</f>
        <v/>
      </c>
      <c r="C1616" s="3" t="str">
        <f>IFERROR(INDEX('بيانات الحركات'!C:C,MATCH(1615,'بيانات الحركات'!$G:$G,0)),"")</f>
        <v/>
      </c>
      <c r="D1616" s="3" t="str">
        <f>IFERROR(INDEX('بيانات الحركات'!D:D,MATCH(1615,'بيانات الحركات'!$G:$G,0)),"")</f>
        <v/>
      </c>
      <c r="E1616" s="21" t="str">
        <f>IF($B1616="إنتاج طبخة","",IFERROR(INDEX('بيانات الحركات'!E:E,MATCH(1615,'بيانات الحركات'!$G:$G,0)),""))</f>
        <v/>
      </c>
      <c r="F1616" s="3" t="str">
        <f>IFERROR(INDEX('بيانات الحركات'!F:F,MATCH(1615,'بيانات الحركات'!$G:$G,0)),"")</f>
        <v/>
      </c>
    </row>
    <row r="1617" spans="1:6" ht="21.95" customHeight="1">
      <c r="A1617" s="8" t="str">
        <f>IFERROR(INDEX('بيانات الحركات'!A:A,MATCH(1616,'بيانات الحركات'!$G:$G,0)),"")</f>
        <v/>
      </c>
      <c r="B1617" s="5" t="str">
        <f>IFERROR(INDEX('بيانات الحركات'!B:B,MATCH(1616,'بيانات الحركات'!$G:$G,0)),"")</f>
        <v/>
      </c>
      <c r="C1617" s="3" t="str">
        <f>IFERROR(INDEX('بيانات الحركات'!C:C,MATCH(1616,'بيانات الحركات'!$G:$G,0)),"")</f>
        <v/>
      </c>
      <c r="D1617" s="3" t="str">
        <f>IFERROR(INDEX('بيانات الحركات'!D:D,MATCH(1616,'بيانات الحركات'!$G:$G,0)),"")</f>
        <v/>
      </c>
      <c r="E1617" s="21" t="str">
        <f>IF($B1617="إنتاج طبخة","",IFERROR(INDEX('بيانات الحركات'!E:E,MATCH(1616,'بيانات الحركات'!$G:$G,0)),""))</f>
        <v/>
      </c>
      <c r="F1617" s="3" t="str">
        <f>IFERROR(INDEX('بيانات الحركات'!F:F,MATCH(1616,'بيانات الحركات'!$G:$G,0)),"")</f>
        <v/>
      </c>
    </row>
    <row r="1618" spans="1:6" ht="21.95" customHeight="1">
      <c r="A1618" s="8" t="str">
        <f>IFERROR(INDEX('بيانات الحركات'!A:A,MATCH(1617,'بيانات الحركات'!$G:$G,0)),"")</f>
        <v/>
      </c>
      <c r="B1618" s="5" t="str">
        <f>IFERROR(INDEX('بيانات الحركات'!B:B,MATCH(1617,'بيانات الحركات'!$G:$G,0)),"")</f>
        <v/>
      </c>
      <c r="C1618" s="3" t="str">
        <f>IFERROR(INDEX('بيانات الحركات'!C:C,MATCH(1617,'بيانات الحركات'!$G:$G,0)),"")</f>
        <v/>
      </c>
      <c r="D1618" s="3" t="str">
        <f>IFERROR(INDEX('بيانات الحركات'!D:D,MATCH(1617,'بيانات الحركات'!$G:$G,0)),"")</f>
        <v/>
      </c>
      <c r="E1618" s="21" t="str">
        <f>IF($B1618="إنتاج طبخة","",IFERROR(INDEX('بيانات الحركات'!E:E,MATCH(1617,'بيانات الحركات'!$G:$G,0)),""))</f>
        <v/>
      </c>
      <c r="F1618" s="3" t="str">
        <f>IFERROR(INDEX('بيانات الحركات'!F:F,MATCH(1617,'بيانات الحركات'!$G:$G,0)),"")</f>
        <v/>
      </c>
    </row>
    <row r="1619" spans="1:6" ht="21.95" customHeight="1">
      <c r="A1619" s="8" t="str">
        <f>IFERROR(INDEX('بيانات الحركات'!A:A,MATCH(1618,'بيانات الحركات'!$G:$G,0)),"")</f>
        <v/>
      </c>
      <c r="B1619" s="5" t="str">
        <f>IFERROR(INDEX('بيانات الحركات'!B:B,MATCH(1618,'بيانات الحركات'!$G:$G,0)),"")</f>
        <v/>
      </c>
      <c r="C1619" s="3" t="str">
        <f>IFERROR(INDEX('بيانات الحركات'!C:C,MATCH(1618,'بيانات الحركات'!$G:$G,0)),"")</f>
        <v/>
      </c>
      <c r="D1619" s="3" t="str">
        <f>IFERROR(INDEX('بيانات الحركات'!D:D,MATCH(1618,'بيانات الحركات'!$G:$G,0)),"")</f>
        <v/>
      </c>
      <c r="E1619" s="21" t="str">
        <f>IF($B1619="إنتاج طبخة","",IFERROR(INDEX('بيانات الحركات'!E:E,MATCH(1618,'بيانات الحركات'!$G:$G,0)),""))</f>
        <v/>
      </c>
      <c r="F1619" s="3" t="str">
        <f>IFERROR(INDEX('بيانات الحركات'!F:F,MATCH(1618,'بيانات الحركات'!$G:$G,0)),"")</f>
        <v/>
      </c>
    </row>
    <row r="1620" spans="1:6" ht="21.95" customHeight="1">
      <c r="A1620" s="8" t="str">
        <f>IFERROR(INDEX('بيانات الحركات'!A:A,MATCH(1619,'بيانات الحركات'!$G:$G,0)),"")</f>
        <v/>
      </c>
      <c r="B1620" s="5" t="str">
        <f>IFERROR(INDEX('بيانات الحركات'!B:B,MATCH(1619,'بيانات الحركات'!$G:$G,0)),"")</f>
        <v/>
      </c>
      <c r="C1620" s="3" t="str">
        <f>IFERROR(INDEX('بيانات الحركات'!C:C,MATCH(1619,'بيانات الحركات'!$G:$G,0)),"")</f>
        <v/>
      </c>
      <c r="D1620" s="3" t="str">
        <f>IFERROR(INDEX('بيانات الحركات'!D:D,MATCH(1619,'بيانات الحركات'!$G:$G,0)),"")</f>
        <v/>
      </c>
      <c r="E1620" s="21" t="str">
        <f>IF($B1620="إنتاج طبخة","",IFERROR(INDEX('بيانات الحركات'!E:E,MATCH(1619,'بيانات الحركات'!$G:$G,0)),""))</f>
        <v/>
      </c>
      <c r="F1620" s="3" t="str">
        <f>IFERROR(INDEX('بيانات الحركات'!F:F,MATCH(1619,'بيانات الحركات'!$G:$G,0)),"")</f>
        <v/>
      </c>
    </row>
    <row r="1621" spans="1:6" ht="21.95" customHeight="1">
      <c r="A1621" s="8" t="str">
        <f>IFERROR(INDEX('بيانات الحركات'!A:A,MATCH(1620,'بيانات الحركات'!$G:$G,0)),"")</f>
        <v/>
      </c>
      <c r="B1621" s="5" t="str">
        <f>IFERROR(INDEX('بيانات الحركات'!B:B,MATCH(1620,'بيانات الحركات'!$G:$G,0)),"")</f>
        <v/>
      </c>
      <c r="C1621" s="3" t="str">
        <f>IFERROR(INDEX('بيانات الحركات'!C:C,MATCH(1620,'بيانات الحركات'!$G:$G,0)),"")</f>
        <v/>
      </c>
      <c r="D1621" s="3" t="str">
        <f>IFERROR(INDEX('بيانات الحركات'!D:D,MATCH(1620,'بيانات الحركات'!$G:$G,0)),"")</f>
        <v/>
      </c>
      <c r="E1621" s="21" t="str">
        <f>IF($B1621="إنتاج طبخة","",IFERROR(INDEX('بيانات الحركات'!E:E,MATCH(1620,'بيانات الحركات'!$G:$G,0)),""))</f>
        <v/>
      </c>
      <c r="F1621" s="3" t="str">
        <f>IFERROR(INDEX('بيانات الحركات'!F:F,MATCH(1620,'بيانات الحركات'!$G:$G,0)),"")</f>
        <v/>
      </c>
    </row>
    <row r="1622" spans="1:6" ht="21.95" customHeight="1">
      <c r="A1622" s="8" t="str">
        <f>IFERROR(INDEX('بيانات الحركات'!A:A,MATCH(1621,'بيانات الحركات'!$G:$G,0)),"")</f>
        <v/>
      </c>
      <c r="B1622" s="5" t="str">
        <f>IFERROR(INDEX('بيانات الحركات'!B:B,MATCH(1621,'بيانات الحركات'!$G:$G,0)),"")</f>
        <v/>
      </c>
      <c r="C1622" s="3" t="str">
        <f>IFERROR(INDEX('بيانات الحركات'!C:C,MATCH(1621,'بيانات الحركات'!$G:$G,0)),"")</f>
        <v/>
      </c>
      <c r="D1622" s="3" t="str">
        <f>IFERROR(INDEX('بيانات الحركات'!D:D,MATCH(1621,'بيانات الحركات'!$G:$G,0)),"")</f>
        <v/>
      </c>
      <c r="E1622" s="21" t="str">
        <f>IF($B1622="إنتاج طبخة","",IFERROR(INDEX('بيانات الحركات'!E:E,MATCH(1621,'بيانات الحركات'!$G:$G,0)),""))</f>
        <v/>
      </c>
      <c r="F1622" s="3" t="str">
        <f>IFERROR(INDEX('بيانات الحركات'!F:F,MATCH(1621,'بيانات الحركات'!$G:$G,0)),"")</f>
        <v/>
      </c>
    </row>
    <row r="1623" spans="1:6" ht="21.95" customHeight="1">
      <c r="A1623" s="8" t="str">
        <f>IFERROR(INDEX('بيانات الحركات'!A:A,MATCH(1622,'بيانات الحركات'!$G:$G,0)),"")</f>
        <v/>
      </c>
      <c r="B1623" s="5" t="str">
        <f>IFERROR(INDEX('بيانات الحركات'!B:B,MATCH(1622,'بيانات الحركات'!$G:$G,0)),"")</f>
        <v/>
      </c>
      <c r="C1623" s="3" t="str">
        <f>IFERROR(INDEX('بيانات الحركات'!C:C,MATCH(1622,'بيانات الحركات'!$G:$G,0)),"")</f>
        <v/>
      </c>
      <c r="D1623" s="3" t="str">
        <f>IFERROR(INDEX('بيانات الحركات'!D:D,MATCH(1622,'بيانات الحركات'!$G:$G,0)),"")</f>
        <v/>
      </c>
      <c r="E1623" s="21" t="str">
        <f>IF($B1623="إنتاج طبخة","",IFERROR(INDEX('بيانات الحركات'!E:E,MATCH(1622,'بيانات الحركات'!$G:$G,0)),""))</f>
        <v/>
      </c>
      <c r="F1623" s="3" t="str">
        <f>IFERROR(INDEX('بيانات الحركات'!F:F,MATCH(1622,'بيانات الحركات'!$G:$G,0)),"")</f>
        <v/>
      </c>
    </row>
    <row r="1624" spans="1:6" ht="21.95" customHeight="1">
      <c r="A1624" s="8" t="str">
        <f>IFERROR(INDEX('بيانات الحركات'!A:A,MATCH(1623,'بيانات الحركات'!$G:$G,0)),"")</f>
        <v/>
      </c>
      <c r="B1624" s="5" t="str">
        <f>IFERROR(INDEX('بيانات الحركات'!B:B,MATCH(1623,'بيانات الحركات'!$G:$G,0)),"")</f>
        <v/>
      </c>
      <c r="C1624" s="3" t="str">
        <f>IFERROR(INDEX('بيانات الحركات'!C:C,MATCH(1623,'بيانات الحركات'!$G:$G,0)),"")</f>
        <v/>
      </c>
      <c r="D1624" s="3" t="str">
        <f>IFERROR(INDEX('بيانات الحركات'!D:D,MATCH(1623,'بيانات الحركات'!$G:$G,0)),"")</f>
        <v/>
      </c>
      <c r="E1624" s="21" t="str">
        <f>IF($B1624="إنتاج طبخة","",IFERROR(INDEX('بيانات الحركات'!E:E,MATCH(1623,'بيانات الحركات'!$G:$G,0)),""))</f>
        <v/>
      </c>
      <c r="F1624" s="3" t="str">
        <f>IFERROR(INDEX('بيانات الحركات'!F:F,MATCH(1623,'بيانات الحركات'!$G:$G,0)),"")</f>
        <v/>
      </c>
    </row>
    <row r="1625" spans="1:6" ht="21.95" customHeight="1">
      <c r="A1625" s="8" t="str">
        <f>IFERROR(INDEX('بيانات الحركات'!A:A,MATCH(1624,'بيانات الحركات'!$G:$G,0)),"")</f>
        <v/>
      </c>
      <c r="B1625" s="5" t="str">
        <f>IFERROR(INDEX('بيانات الحركات'!B:B,MATCH(1624,'بيانات الحركات'!$G:$G,0)),"")</f>
        <v/>
      </c>
      <c r="C1625" s="3" t="str">
        <f>IFERROR(INDEX('بيانات الحركات'!C:C,MATCH(1624,'بيانات الحركات'!$G:$G,0)),"")</f>
        <v/>
      </c>
      <c r="D1625" s="3" t="str">
        <f>IFERROR(INDEX('بيانات الحركات'!D:D,MATCH(1624,'بيانات الحركات'!$G:$G,0)),"")</f>
        <v/>
      </c>
      <c r="E1625" s="21" t="str">
        <f>IF($B1625="إنتاج طبخة","",IFERROR(INDEX('بيانات الحركات'!E:E,MATCH(1624,'بيانات الحركات'!$G:$G,0)),""))</f>
        <v/>
      </c>
      <c r="F1625" s="3" t="str">
        <f>IFERROR(INDEX('بيانات الحركات'!F:F,MATCH(1624,'بيانات الحركات'!$G:$G,0)),"")</f>
        <v/>
      </c>
    </row>
    <row r="1626" spans="1:6" ht="21.95" customHeight="1">
      <c r="A1626" s="8" t="str">
        <f>IFERROR(INDEX('بيانات الحركات'!A:A,MATCH(1625,'بيانات الحركات'!$G:$G,0)),"")</f>
        <v/>
      </c>
      <c r="B1626" s="5" t="str">
        <f>IFERROR(INDEX('بيانات الحركات'!B:B,MATCH(1625,'بيانات الحركات'!$G:$G,0)),"")</f>
        <v/>
      </c>
      <c r="C1626" s="3" t="str">
        <f>IFERROR(INDEX('بيانات الحركات'!C:C,MATCH(1625,'بيانات الحركات'!$G:$G,0)),"")</f>
        <v/>
      </c>
      <c r="D1626" s="3" t="str">
        <f>IFERROR(INDEX('بيانات الحركات'!D:D,MATCH(1625,'بيانات الحركات'!$G:$G,0)),"")</f>
        <v/>
      </c>
      <c r="E1626" s="21" t="str">
        <f>IF($B1626="إنتاج طبخة","",IFERROR(INDEX('بيانات الحركات'!E:E,MATCH(1625,'بيانات الحركات'!$G:$G,0)),""))</f>
        <v/>
      </c>
      <c r="F1626" s="3" t="str">
        <f>IFERROR(INDEX('بيانات الحركات'!F:F,MATCH(1625,'بيانات الحركات'!$G:$G,0)),"")</f>
        <v/>
      </c>
    </row>
    <row r="1627" spans="1:6" ht="21.95" customHeight="1">
      <c r="A1627" s="8" t="str">
        <f>IFERROR(INDEX('بيانات الحركات'!A:A,MATCH(1626,'بيانات الحركات'!$G:$G,0)),"")</f>
        <v/>
      </c>
      <c r="B1627" s="5" t="str">
        <f>IFERROR(INDEX('بيانات الحركات'!B:B,MATCH(1626,'بيانات الحركات'!$G:$G,0)),"")</f>
        <v/>
      </c>
      <c r="C1627" s="3" t="str">
        <f>IFERROR(INDEX('بيانات الحركات'!C:C,MATCH(1626,'بيانات الحركات'!$G:$G,0)),"")</f>
        <v/>
      </c>
      <c r="D1627" s="3" t="str">
        <f>IFERROR(INDEX('بيانات الحركات'!D:D,MATCH(1626,'بيانات الحركات'!$G:$G,0)),"")</f>
        <v/>
      </c>
      <c r="E1627" s="21" t="str">
        <f>IF($B1627="إنتاج طبخة","",IFERROR(INDEX('بيانات الحركات'!E:E,MATCH(1626,'بيانات الحركات'!$G:$G,0)),""))</f>
        <v/>
      </c>
      <c r="F1627" s="3" t="str">
        <f>IFERROR(INDEX('بيانات الحركات'!F:F,MATCH(1626,'بيانات الحركات'!$G:$G,0)),"")</f>
        <v/>
      </c>
    </row>
    <row r="1628" spans="1:6" ht="21.95" customHeight="1">
      <c r="A1628" s="8" t="str">
        <f>IFERROR(INDEX('بيانات الحركات'!A:A,MATCH(1627,'بيانات الحركات'!$G:$G,0)),"")</f>
        <v/>
      </c>
      <c r="B1628" s="5" t="str">
        <f>IFERROR(INDEX('بيانات الحركات'!B:B,MATCH(1627,'بيانات الحركات'!$G:$G,0)),"")</f>
        <v/>
      </c>
      <c r="C1628" s="3" t="str">
        <f>IFERROR(INDEX('بيانات الحركات'!C:C,MATCH(1627,'بيانات الحركات'!$G:$G,0)),"")</f>
        <v/>
      </c>
      <c r="D1628" s="3" t="str">
        <f>IFERROR(INDEX('بيانات الحركات'!D:D,MATCH(1627,'بيانات الحركات'!$G:$G,0)),"")</f>
        <v/>
      </c>
      <c r="E1628" s="21" t="str">
        <f>IF($B1628="إنتاج طبخة","",IFERROR(INDEX('بيانات الحركات'!E:E,MATCH(1627,'بيانات الحركات'!$G:$G,0)),""))</f>
        <v/>
      </c>
      <c r="F1628" s="3" t="str">
        <f>IFERROR(INDEX('بيانات الحركات'!F:F,MATCH(1627,'بيانات الحركات'!$G:$G,0)),"")</f>
        <v/>
      </c>
    </row>
    <row r="1629" spans="1:6" ht="21.95" customHeight="1">
      <c r="A1629" s="8" t="str">
        <f>IFERROR(INDEX('بيانات الحركات'!A:A,MATCH(1628,'بيانات الحركات'!$G:$G,0)),"")</f>
        <v/>
      </c>
      <c r="B1629" s="5" t="str">
        <f>IFERROR(INDEX('بيانات الحركات'!B:B,MATCH(1628,'بيانات الحركات'!$G:$G,0)),"")</f>
        <v/>
      </c>
      <c r="C1629" s="3" t="str">
        <f>IFERROR(INDEX('بيانات الحركات'!C:C,MATCH(1628,'بيانات الحركات'!$G:$G,0)),"")</f>
        <v/>
      </c>
      <c r="D1629" s="3" t="str">
        <f>IFERROR(INDEX('بيانات الحركات'!D:D,MATCH(1628,'بيانات الحركات'!$G:$G,0)),"")</f>
        <v/>
      </c>
      <c r="E1629" s="21" t="str">
        <f>IF($B1629="إنتاج طبخة","",IFERROR(INDEX('بيانات الحركات'!E:E,MATCH(1628,'بيانات الحركات'!$G:$G,0)),""))</f>
        <v/>
      </c>
      <c r="F1629" s="3" t="str">
        <f>IFERROR(INDEX('بيانات الحركات'!F:F,MATCH(1628,'بيانات الحركات'!$G:$G,0)),"")</f>
        <v/>
      </c>
    </row>
    <row r="1630" spans="1:6" ht="21.95" customHeight="1">
      <c r="A1630" s="8" t="str">
        <f>IFERROR(INDEX('بيانات الحركات'!A:A,MATCH(1629,'بيانات الحركات'!$G:$G,0)),"")</f>
        <v/>
      </c>
      <c r="B1630" s="5" t="str">
        <f>IFERROR(INDEX('بيانات الحركات'!B:B,MATCH(1629,'بيانات الحركات'!$G:$G,0)),"")</f>
        <v/>
      </c>
      <c r="C1630" s="3" t="str">
        <f>IFERROR(INDEX('بيانات الحركات'!C:C,MATCH(1629,'بيانات الحركات'!$G:$G,0)),"")</f>
        <v/>
      </c>
      <c r="D1630" s="3" t="str">
        <f>IFERROR(INDEX('بيانات الحركات'!D:D,MATCH(1629,'بيانات الحركات'!$G:$G,0)),"")</f>
        <v/>
      </c>
      <c r="E1630" s="21" t="str">
        <f>IF($B1630="إنتاج طبخة","",IFERROR(INDEX('بيانات الحركات'!E:E,MATCH(1629,'بيانات الحركات'!$G:$G,0)),""))</f>
        <v/>
      </c>
      <c r="F1630" s="3" t="str">
        <f>IFERROR(INDEX('بيانات الحركات'!F:F,MATCH(1629,'بيانات الحركات'!$G:$G,0)),"")</f>
        <v/>
      </c>
    </row>
    <row r="1631" spans="1:6" ht="21.95" customHeight="1">
      <c r="A1631" s="8" t="str">
        <f>IFERROR(INDEX('بيانات الحركات'!A:A,MATCH(1630,'بيانات الحركات'!$G:$G,0)),"")</f>
        <v/>
      </c>
      <c r="B1631" s="5" t="str">
        <f>IFERROR(INDEX('بيانات الحركات'!B:B,MATCH(1630,'بيانات الحركات'!$G:$G,0)),"")</f>
        <v/>
      </c>
      <c r="C1631" s="3" t="str">
        <f>IFERROR(INDEX('بيانات الحركات'!C:C,MATCH(1630,'بيانات الحركات'!$G:$G,0)),"")</f>
        <v/>
      </c>
      <c r="D1631" s="3" t="str">
        <f>IFERROR(INDEX('بيانات الحركات'!D:D,MATCH(1630,'بيانات الحركات'!$G:$G,0)),"")</f>
        <v/>
      </c>
      <c r="E1631" s="21" t="str">
        <f>IF($B1631="إنتاج طبخة","",IFERROR(INDEX('بيانات الحركات'!E:E,MATCH(1630,'بيانات الحركات'!$G:$G,0)),""))</f>
        <v/>
      </c>
      <c r="F1631" s="3" t="str">
        <f>IFERROR(INDEX('بيانات الحركات'!F:F,MATCH(1630,'بيانات الحركات'!$G:$G,0)),"")</f>
        <v/>
      </c>
    </row>
    <row r="1632" spans="1:6" ht="21.95" customHeight="1">
      <c r="A1632" s="8" t="str">
        <f>IFERROR(INDEX('بيانات الحركات'!A:A,MATCH(1631,'بيانات الحركات'!$G:$G,0)),"")</f>
        <v/>
      </c>
      <c r="B1632" s="5" t="str">
        <f>IFERROR(INDEX('بيانات الحركات'!B:B,MATCH(1631,'بيانات الحركات'!$G:$G,0)),"")</f>
        <v/>
      </c>
      <c r="C1632" s="3" t="str">
        <f>IFERROR(INDEX('بيانات الحركات'!C:C,MATCH(1631,'بيانات الحركات'!$G:$G,0)),"")</f>
        <v/>
      </c>
      <c r="D1632" s="3" t="str">
        <f>IFERROR(INDEX('بيانات الحركات'!D:D,MATCH(1631,'بيانات الحركات'!$G:$G,0)),"")</f>
        <v/>
      </c>
      <c r="E1632" s="21" t="str">
        <f>IF($B1632="إنتاج طبخة","",IFERROR(INDEX('بيانات الحركات'!E:E,MATCH(1631,'بيانات الحركات'!$G:$G,0)),""))</f>
        <v/>
      </c>
      <c r="F1632" s="3" t="str">
        <f>IFERROR(INDEX('بيانات الحركات'!F:F,MATCH(1631,'بيانات الحركات'!$G:$G,0)),"")</f>
        <v/>
      </c>
    </row>
    <row r="1633" spans="1:6" ht="21.95" customHeight="1">
      <c r="A1633" s="8" t="str">
        <f>IFERROR(INDEX('بيانات الحركات'!A:A,MATCH(1632,'بيانات الحركات'!$G:$G,0)),"")</f>
        <v/>
      </c>
      <c r="B1633" s="5" t="str">
        <f>IFERROR(INDEX('بيانات الحركات'!B:B,MATCH(1632,'بيانات الحركات'!$G:$G,0)),"")</f>
        <v/>
      </c>
      <c r="C1633" s="3" t="str">
        <f>IFERROR(INDEX('بيانات الحركات'!C:C,MATCH(1632,'بيانات الحركات'!$G:$G,0)),"")</f>
        <v/>
      </c>
      <c r="D1633" s="3" t="str">
        <f>IFERROR(INDEX('بيانات الحركات'!D:D,MATCH(1632,'بيانات الحركات'!$G:$G,0)),"")</f>
        <v/>
      </c>
      <c r="E1633" s="21" t="str">
        <f>IF($B1633="إنتاج طبخة","",IFERROR(INDEX('بيانات الحركات'!E:E,MATCH(1632,'بيانات الحركات'!$G:$G,0)),""))</f>
        <v/>
      </c>
      <c r="F1633" s="3" t="str">
        <f>IFERROR(INDEX('بيانات الحركات'!F:F,MATCH(1632,'بيانات الحركات'!$G:$G,0)),"")</f>
        <v/>
      </c>
    </row>
    <row r="1634" spans="1:6" ht="21.95" customHeight="1">
      <c r="A1634" s="8" t="str">
        <f>IFERROR(INDEX('بيانات الحركات'!A:A,MATCH(1633,'بيانات الحركات'!$G:$G,0)),"")</f>
        <v/>
      </c>
      <c r="B1634" s="5" t="str">
        <f>IFERROR(INDEX('بيانات الحركات'!B:B,MATCH(1633,'بيانات الحركات'!$G:$G,0)),"")</f>
        <v/>
      </c>
      <c r="C1634" s="3" t="str">
        <f>IFERROR(INDEX('بيانات الحركات'!C:C,MATCH(1633,'بيانات الحركات'!$G:$G,0)),"")</f>
        <v/>
      </c>
      <c r="D1634" s="3" t="str">
        <f>IFERROR(INDEX('بيانات الحركات'!D:D,MATCH(1633,'بيانات الحركات'!$G:$G,0)),"")</f>
        <v/>
      </c>
      <c r="E1634" s="21" t="str">
        <f>IF($B1634="إنتاج طبخة","",IFERROR(INDEX('بيانات الحركات'!E:E,MATCH(1633,'بيانات الحركات'!$G:$G,0)),""))</f>
        <v/>
      </c>
      <c r="F1634" s="3" t="str">
        <f>IFERROR(INDEX('بيانات الحركات'!F:F,MATCH(1633,'بيانات الحركات'!$G:$G,0)),"")</f>
        <v/>
      </c>
    </row>
    <row r="1635" spans="1:6" ht="21.95" customHeight="1">
      <c r="A1635" s="8" t="str">
        <f>IFERROR(INDEX('بيانات الحركات'!A:A,MATCH(1634,'بيانات الحركات'!$G:$G,0)),"")</f>
        <v/>
      </c>
      <c r="B1635" s="5" t="str">
        <f>IFERROR(INDEX('بيانات الحركات'!B:B,MATCH(1634,'بيانات الحركات'!$G:$G,0)),"")</f>
        <v/>
      </c>
      <c r="C1635" s="3" t="str">
        <f>IFERROR(INDEX('بيانات الحركات'!C:C,MATCH(1634,'بيانات الحركات'!$G:$G,0)),"")</f>
        <v/>
      </c>
      <c r="D1635" s="3" t="str">
        <f>IFERROR(INDEX('بيانات الحركات'!D:D,MATCH(1634,'بيانات الحركات'!$G:$G,0)),"")</f>
        <v/>
      </c>
      <c r="E1635" s="21" t="str">
        <f>IF($B1635="إنتاج طبخة","",IFERROR(INDEX('بيانات الحركات'!E:E,MATCH(1634,'بيانات الحركات'!$G:$G,0)),""))</f>
        <v/>
      </c>
      <c r="F1635" s="3" t="str">
        <f>IFERROR(INDEX('بيانات الحركات'!F:F,MATCH(1634,'بيانات الحركات'!$G:$G,0)),"")</f>
        <v/>
      </c>
    </row>
    <row r="1636" spans="1:6" ht="21.95" customHeight="1">
      <c r="A1636" s="8" t="str">
        <f>IFERROR(INDEX('بيانات الحركات'!A:A,MATCH(1635,'بيانات الحركات'!$G:$G,0)),"")</f>
        <v/>
      </c>
      <c r="B1636" s="5" t="str">
        <f>IFERROR(INDEX('بيانات الحركات'!B:B,MATCH(1635,'بيانات الحركات'!$G:$G,0)),"")</f>
        <v/>
      </c>
      <c r="C1636" s="3" t="str">
        <f>IFERROR(INDEX('بيانات الحركات'!C:C,MATCH(1635,'بيانات الحركات'!$G:$G,0)),"")</f>
        <v/>
      </c>
      <c r="D1636" s="3" t="str">
        <f>IFERROR(INDEX('بيانات الحركات'!D:D,MATCH(1635,'بيانات الحركات'!$G:$G,0)),"")</f>
        <v/>
      </c>
      <c r="E1636" s="21" t="str">
        <f>IF($B1636="إنتاج طبخة","",IFERROR(INDEX('بيانات الحركات'!E:E,MATCH(1635,'بيانات الحركات'!$G:$G,0)),""))</f>
        <v/>
      </c>
      <c r="F1636" s="3" t="str">
        <f>IFERROR(INDEX('بيانات الحركات'!F:F,MATCH(1635,'بيانات الحركات'!$G:$G,0)),"")</f>
        <v/>
      </c>
    </row>
    <row r="1637" spans="1:6" ht="21.95" customHeight="1">
      <c r="A1637" s="8" t="str">
        <f>IFERROR(INDEX('بيانات الحركات'!A:A,MATCH(1636,'بيانات الحركات'!$G:$G,0)),"")</f>
        <v/>
      </c>
      <c r="B1637" s="5" t="str">
        <f>IFERROR(INDEX('بيانات الحركات'!B:B,MATCH(1636,'بيانات الحركات'!$G:$G,0)),"")</f>
        <v/>
      </c>
      <c r="C1637" s="3" t="str">
        <f>IFERROR(INDEX('بيانات الحركات'!C:C,MATCH(1636,'بيانات الحركات'!$G:$G,0)),"")</f>
        <v/>
      </c>
      <c r="D1637" s="3" t="str">
        <f>IFERROR(INDEX('بيانات الحركات'!D:D,MATCH(1636,'بيانات الحركات'!$G:$G,0)),"")</f>
        <v/>
      </c>
      <c r="E1637" s="21" t="str">
        <f>IF($B1637="إنتاج طبخة","",IFERROR(INDEX('بيانات الحركات'!E:E,MATCH(1636,'بيانات الحركات'!$G:$G,0)),""))</f>
        <v/>
      </c>
      <c r="F1637" s="3" t="str">
        <f>IFERROR(INDEX('بيانات الحركات'!F:F,MATCH(1636,'بيانات الحركات'!$G:$G,0)),"")</f>
        <v/>
      </c>
    </row>
    <row r="1638" spans="1:6" ht="21.95" customHeight="1">
      <c r="A1638" s="8" t="str">
        <f>IFERROR(INDEX('بيانات الحركات'!A:A,MATCH(1637,'بيانات الحركات'!$G:$G,0)),"")</f>
        <v/>
      </c>
      <c r="B1638" s="5" t="str">
        <f>IFERROR(INDEX('بيانات الحركات'!B:B,MATCH(1637,'بيانات الحركات'!$G:$G,0)),"")</f>
        <v/>
      </c>
      <c r="C1638" s="3" t="str">
        <f>IFERROR(INDEX('بيانات الحركات'!C:C,MATCH(1637,'بيانات الحركات'!$G:$G,0)),"")</f>
        <v/>
      </c>
      <c r="D1638" s="3" t="str">
        <f>IFERROR(INDEX('بيانات الحركات'!D:D,MATCH(1637,'بيانات الحركات'!$G:$G,0)),"")</f>
        <v/>
      </c>
      <c r="E1638" s="21" t="str">
        <f>IF($B1638="إنتاج طبخة","",IFERROR(INDEX('بيانات الحركات'!E:E,MATCH(1637,'بيانات الحركات'!$G:$G,0)),""))</f>
        <v/>
      </c>
      <c r="F1638" s="3" t="str">
        <f>IFERROR(INDEX('بيانات الحركات'!F:F,MATCH(1637,'بيانات الحركات'!$G:$G,0)),"")</f>
        <v/>
      </c>
    </row>
    <row r="1639" spans="1:6" ht="21.95" customHeight="1">
      <c r="A1639" s="8" t="str">
        <f>IFERROR(INDEX('بيانات الحركات'!A:A,MATCH(1638,'بيانات الحركات'!$G:$G,0)),"")</f>
        <v/>
      </c>
      <c r="B1639" s="5" t="str">
        <f>IFERROR(INDEX('بيانات الحركات'!B:B,MATCH(1638,'بيانات الحركات'!$G:$G,0)),"")</f>
        <v/>
      </c>
      <c r="C1639" s="3" t="str">
        <f>IFERROR(INDEX('بيانات الحركات'!C:C,MATCH(1638,'بيانات الحركات'!$G:$G,0)),"")</f>
        <v/>
      </c>
      <c r="D1639" s="3" t="str">
        <f>IFERROR(INDEX('بيانات الحركات'!D:D,MATCH(1638,'بيانات الحركات'!$G:$G,0)),"")</f>
        <v/>
      </c>
      <c r="E1639" s="21" t="str">
        <f>IF($B1639="إنتاج طبخة","",IFERROR(INDEX('بيانات الحركات'!E:E,MATCH(1638,'بيانات الحركات'!$G:$G,0)),""))</f>
        <v/>
      </c>
      <c r="F1639" s="3" t="str">
        <f>IFERROR(INDEX('بيانات الحركات'!F:F,MATCH(1638,'بيانات الحركات'!$G:$G,0)),"")</f>
        <v/>
      </c>
    </row>
    <row r="1640" spans="1:6" ht="21.95" customHeight="1">
      <c r="A1640" s="8" t="str">
        <f>IFERROR(INDEX('بيانات الحركات'!A:A,MATCH(1639,'بيانات الحركات'!$G:$G,0)),"")</f>
        <v/>
      </c>
      <c r="B1640" s="5" t="str">
        <f>IFERROR(INDEX('بيانات الحركات'!B:B,MATCH(1639,'بيانات الحركات'!$G:$G,0)),"")</f>
        <v/>
      </c>
      <c r="C1640" s="3" t="str">
        <f>IFERROR(INDEX('بيانات الحركات'!C:C,MATCH(1639,'بيانات الحركات'!$G:$G,0)),"")</f>
        <v/>
      </c>
      <c r="D1640" s="3" t="str">
        <f>IFERROR(INDEX('بيانات الحركات'!D:D,MATCH(1639,'بيانات الحركات'!$G:$G,0)),"")</f>
        <v/>
      </c>
      <c r="E1640" s="21" t="str">
        <f>IF($B1640="إنتاج طبخة","",IFERROR(INDEX('بيانات الحركات'!E:E,MATCH(1639,'بيانات الحركات'!$G:$G,0)),""))</f>
        <v/>
      </c>
      <c r="F1640" s="3" t="str">
        <f>IFERROR(INDEX('بيانات الحركات'!F:F,MATCH(1639,'بيانات الحركات'!$G:$G,0)),"")</f>
        <v/>
      </c>
    </row>
    <row r="1641" spans="1:6" ht="21.95" customHeight="1">
      <c r="A1641" s="8" t="str">
        <f>IFERROR(INDEX('بيانات الحركات'!A:A,MATCH(1640,'بيانات الحركات'!$G:$G,0)),"")</f>
        <v/>
      </c>
      <c r="B1641" s="5" t="str">
        <f>IFERROR(INDEX('بيانات الحركات'!B:B,MATCH(1640,'بيانات الحركات'!$G:$G,0)),"")</f>
        <v/>
      </c>
      <c r="C1641" s="3" t="str">
        <f>IFERROR(INDEX('بيانات الحركات'!C:C,MATCH(1640,'بيانات الحركات'!$G:$G,0)),"")</f>
        <v/>
      </c>
      <c r="D1641" s="3" t="str">
        <f>IFERROR(INDEX('بيانات الحركات'!D:D,MATCH(1640,'بيانات الحركات'!$G:$G,0)),"")</f>
        <v/>
      </c>
      <c r="E1641" s="21" t="str">
        <f>IF($B1641="إنتاج طبخة","",IFERROR(INDEX('بيانات الحركات'!E:E,MATCH(1640,'بيانات الحركات'!$G:$G,0)),""))</f>
        <v/>
      </c>
      <c r="F1641" s="3" t="str">
        <f>IFERROR(INDEX('بيانات الحركات'!F:F,MATCH(1640,'بيانات الحركات'!$G:$G,0)),"")</f>
        <v/>
      </c>
    </row>
    <row r="1642" spans="1:6" ht="21.95" customHeight="1">
      <c r="A1642" s="8" t="str">
        <f>IFERROR(INDEX('بيانات الحركات'!A:A,MATCH(1641,'بيانات الحركات'!$G:$G,0)),"")</f>
        <v/>
      </c>
      <c r="B1642" s="5" t="str">
        <f>IFERROR(INDEX('بيانات الحركات'!B:B,MATCH(1641,'بيانات الحركات'!$G:$G,0)),"")</f>
        <v/>
      </c>
      <c r="C1642" s="3" t="str">
        <f>IFERROR(INDEX('بيانات الحركات'!C:C,MATCH(1641,'بيانات الحركات'!$G:$G,0)),"")</f>
        <v/>
      </c>
      <c r="D1642" s="3" t="str">
        <f>IFERROR(INDEX('بيانات الحركات'!D:D,MATCH(1641,'بيانات الحركات'!$G:$G,0)),"")</f>
        <v/>
      </c>
      <c r="E1642" s="21" t="str">
        <f>IF($B1642="إنتاج طبخة","",IFERROR(INDEX('بيانات الحركات'!E:E,MATCH(1641,'بيانات الحركات'!$G:$G,0)),""))</f>
        <v/>
      </c>
      <c r="F1642" s="3" t="str">
        <f>IFERROR(INDEX('بيانات الحركات'!F:F,MATCH(1641,'بيانات الحركات'!$G:$G,0)),"")</f>
        <v/>
      </c>
    </row>
    <row r="1643" spans="1:6" ht="21.95" customHeight="1">
      <c r="A1643" s="8" t="str">
        <f>IFERROR(INDEX('بيانات الحركات'!A:A,MATCH(1642,'بيانات الحركات'!$G:$G,0)),"")</f>
        <v/>
      </c>
      <c r="B1643" s="5" t="str">
        <f>IFERROR(INDEX('بيانات الحركات'!B:B,MATCH(1642,'بيانات الحركات'!$G:$G,0)),"")</f>
        <v/>
      </c>
      <c r="C1643" s="3" t="str">
        <f>IFERROR(INDEX('بيانات الحركات'!C:C,MATCH(1642,'بيانات الحركات'!$G:$G,0)),"")</f>
        <v/>
      </c>
      <c r="D1643" s="3" t="str">
        <f>IFERROR(INDEX('بيانات الحركات'!D:D,MATCH(1642,'بيانات الحركات'!$G:$G,0)),"")</f>
        <v/>
      </c>
      <c r="E1643" s="21" t="str">
        <f>IF($B1643="إنتاج طبخة","",IFERROR(INDEX('بيانات الحركات'!E:E,MATCH(1642,'بيانات الحركات'!$G:$G,0)),""))</f>
        <v/>
      </c>
      <c r="F1643" s="3" t="str">
        <f>IFERROR(INDEX('بيانات الحركات'!F:F,MATCH(1642,'بيانات الحركات'!$G:$G,0)),"")</f>
        <v/>
      </c>
    </row>
    <row r="1644" spans="1:6" ht="21.95" customHeight="1">
      <c r="A1644" s="8" t="str">
        <f>IFERROR(INDEX('بيانات الحركات'!A:A,MATCH(1643,'بيانات الحركات'!$G:$G,0)),"")</f>
        <v/>
      </c>
      <c r="B1644" s="5" t="str">
        <f>IFERROR(INDEX('بيانات الحركات'!B:B,MATCH(1643,'بيانات الحركات'!$G:$G,0)),"")</f>
        <v/>
      </c>
      <c r="C1644" s="3" t="str">
        <f>IFERROR(INDEX('بيانات الحركات'!C:C,MATCH(1643,'بيانات الحركات'!$G:$G,0)),"")</f>
        <v/>
      </c>
      <c r="D1644" s="3" t="str">
        <f>IFERROR(INDEX('بيانات الحركات'!D:D,MATCH(1643,'بيانات الحركات'!$G:$G,0)),"")</f>
        <v/>
      </c>
      <c r="E1644" s="21" t="str">
        <f>IF($B1644="إنتاج طبخة","",IFERROR(INDEX('بيانات الحركات'!E:E,MATCH(1643,'بيانات الحركات'!$G:$G,0)),""))</f>
        <v/>
      </c>
      <c r="F1644" s="3" t="str">
        <f>IFERROR(INDEX('بيانات الحركات'!F:F,MATCH(1643,'بيانات الحركات'!$G:$G,0)),"")</f>
        <v/>
      </c>
    </row>
    <row r="1645" spans="1:6" ht="21.95" customHeight="1">
      <c r="A1645" s="8" t="str">
        <f>IFERROR(INDEX('بيانات الحركات'!A:A,MATCH(1644,'بيانات الحركات'!$G:$G,0)),"")</f>
        <v/>
      </c>
      <c r="B1645" s="5" t="str">
        <f>IFERROR(INDEX('بيانات الحركات'!B:B,MATCH(1644,'بيانات الحركات'!$G:$G,0)),"")</f>
        <v/>
      </c>
      <c r="C1645" s="3" t="str">
        <f>IFERROR(INDEX('بيانات الحركات'!C:C,MATCH(1644,'بيانات الحركات'!$G:$G,0)),"")</f>
        <v/>
      </c>
      <c r="D1645" s="3" t="str">
        <f>IFERROR(INDEX('بيانات الحركات'!D:D,MATCH(1644,'بيانات الحركات'!$G:$G,0)),"")</f>
        <v/>
      </c>
      <c r="E1645" s="21" t="str">
        <f>IF($B1645="إنتاج طبخة","",IFERROR(INDEX('بيانات الحركات'!E:E,MATCH(1644,'بيانات الحركات'!$G:$G,0)),""))</f>
        <v/>
      </c>
      <c r="F1645" s="3" t="str">
        <f>IFERROR(INDEX('بيانات الحركات'!F:F,MATCH(1644,'بيانات الحركات'!$G:$G,0)),"")</f>
        <v/>
      </c>
    </row>
    <row r="1646" spans="1:6" ht="21.95" customHeight="1">
      <c r="A1646" s="8" t="str">
        <f>IFERROR(INDEX('بيانات الحركات'!A:A,MATCH(1645,'بيانات الحركات'!$G:$G,0)),"")</f>
        <v/>
      </c>
      <c r="B1646" s="5" t="str">
        <f>IFERROR(INDEX('بيانات الحركات'!B:B,MATCH(1645,'بيانات الحركات'!$G:$G,0)),"")</f>
        <v/>
      </c>
      <c r="C1646" s="3" t="str">
        <f>IFERROR(INDEX('بيانات الحركات'!C:C,MATCH(1645,'بيانات الحركات'!$G:$G,0)),"")</f>
        <v/>
      </c>
      <c r="D1646" s="3" t="str">
        <f>IFERROR(INDEX('بيانات الحركات'!D:D,MATCH(1645,'بيانات الحركات'!$G:$G,0)),"")</f>
        <v/>
      </c>
      <c r="E1646" s="21" t="str">
        <f>IF($B1646="إنتاج طبخة","",IFERROR(INDEX('بيانات الحركات'!E:E,MATCH(1645,'بيانات الحركات'!$G:$G,0)),""))</f>
        <v/>
      </c>
      <c r="F1646" s="3" t="str">
        <f>IFERROR(INDEX('بيانات الحركات'!F:F,MATCH(1645,'بيانات الحركات'!$G:$G,0)),"")</f>
        <v/>
      </c>
    </row>
    <row r="1647" spans="1:6" ht="21.95" customHeight="1">
      <c r="A1647" s="8" t="str">
        <f>IFERROR(INDEX('بيانات الحركات'!A:A,MATCH(1646,'بيانات الحركات'!$G:$G,0)),"")</f>
        <v/>
      </c>
      <c r="B1647" s="5" t="str">
        <f>IFERROR(INDEX('بيانات الحركات'!B:B,MATCH(1646,'بيانات الحركات'!$G:$G,0)),"")</f>
        <v/>
      </c>
      <c r="C1647" s="3" t="str">
        <f>IFERROR(INDEX('بيانات الحركات'!C:C,MATCH(1646,'بيانات الحركات'!$G:$G,0)),"")</f>
        <v/>
      </c>
      <c r="D1647" s="3" t="str">
        <f>IFERROR(INDEX('بيانات الحركات'!D:D,MATCH(1646,'بيانات الحركات'!$G:$G,0)),"")</f>
        <v/>
      </c>
      <c r="E1647" s="21" t="str">
        <f>IF($B1647="إنتاج طبخة","",IFERROR(INDEX('بيانات الحركات'!E:E,MATCH(1646,'بيانات الحركات'!$G:$G,0)),""))</f>
        <v/>
      </c>
      <c r="F1647" s="3" t="str">
        <f>IFERROR(INDEX('بيانات الحركات'!F:F,MATCH(1646,'بيانات الحركات'!$G:$G,0)),"")</f>
        <v/>
      </c>
    </row>
    <row r="1648" spans="1:6" ht="21.95" customHeight="1">
      <c r="A1648" s="8" t="str">
        <f>IFERROR(INDEX('بيانات الحركات'!A:A,MATCH(1647,'بيانات الحركات'!$G:$G,0)),"")</f>
        <v/>
      </c>
      <c r="B1648" s="5" t="str">
        <f>IFERROR(INDEX('بيانات الحركات'!B:B,MATCH(1647,'بيانات الحركات'!$G:$G,0)),"")</f>
        <v/>
      </c>
      <c r="C1648" s="3" t="str">
        <f>IFERROR(INDEX('بيانات الحركات'!C:C,MATCH(1647,'بيانات الحركات'!$G:$G,0)),"")</f>
        <v/>
      </c>
      <c r="D1648" s="3" t="str">
        <f>IFERROR(INDEX('بيانات الحركات'!D:D,MATCH(1647,'بيانات الحركات'!$G:$G,0)),"")</f>
        <v/>
      </c>
      <c r="E1648" s="21" t="str">
        <f>IF($B1648="إنتاج طبخة","",IFERROR(INDEX('بيانات الحركات'!E:E,MATCH(1647,'بيانات الحركات'!$G:$G,0)),""))</f>
        <v/>
      </c>
      <c r="F1648" s="3" t="str">
        <f>IFERROR(INDEX('بيانات الحركات'!F:F,MATCH(1647,'بيانات الحركات'!$G:$G,0)),"")</f>
        <v/>
      </c>
    </row>
    <row r="1649" spans="1:6" ht="21.95" customHeight="1">
      <c r="A1649" s="8" t="str">
        <f>IFERROR(INDEX('بيانات الحركات'!A:A,MATCH(1648,'بيانات الحركات'!$G:$G,0)),"")</f>
        <v/>
      </c>
      <c r="B1649" s="5" t="str">
        <f>IFERROR(INDEX('بيانات الحركات'!B:B,MATCH(1648,'بيانات الحركات'!$G:$G,0)),"")</f>
        <v/>
      </c>
      <c r="C1649" s="3" t="str">
        <f>IFERROR(INDEX('بيانات الحركات'!C:C,MATCH(1648,'بيانات الحركات'!$G:$G,0)),"")</f>
        <v/>
      </c>
      <c r="D1649" s="3" t="str">
        <f>IFERROR(INDEX('بيانات الحركات'!D:D,MATCH(1648,'بيانات الحركات'!$G:$G,0)),"")</f>
        <v/>
      </c>
      <c r="E1649" s="21" t="str">
        <f>IF($B1649="إنتاج طبخة","",IFERROR(INDEX('بيانات الحركات'!E:E,MATCH(1648,'بيانات الحركات'!$G:$G,0)),""))</f>
        <v/>
      </c>
      <c r="F1649" s="3" t="str">
        <f>IFERROR(INDEX('بيانات الحركات'!F:F,MATCH(1648,'بيانات الحركات'!$G:$G,0)),"")</f>
        <v/>
      </c>
    </row>
    <row r="1650" spans="1:6" ht="21.95" customHeight="1">
      <c r="A1650" s="8" t="str">
        <f>IFERROR(INDEX('بيانات الحركات'!A:A,MATCH(1649,'بيانات الحركات'!$G:$G,0)),"")</f>
        <v/>
      </c>
      <c r="B1650" s="5" t="str">
        <f>IFERROR(INDEX('بيانات الحركات'!B:B,MATCH(1649,'بيانات الحركات'!$G:$G,0)),"")</f>
        <v/>
      </c>
      <c r="C1650" s="3" t="str">
        <f>IFERROR(INDEX('بيانات الحركات'!C:C,MATCH(1649,'بيانات الحركات'!$G:$G,0)),"")</f>
        <v/>
      </c>
      <c r="D1650" s="3" t="str">
        <f>IFERROR(INDEX('بيانات الحركات'!D:D,MATCH(1649,'بيانات الحركات'!$G:$G,0)),"")</f>
        <v/>
      </c>
      <c r="E1650" s="21" t="str">
        <f>IF($B1650="إنتاج طبخة","",IFERROR(INDEX('بيانات الحركات'!E:E,MATCH(1649,'بيانات الحركات'!$G:$G,0)),""))</f>
        <v/>
      </c>
      <c r="F1650" s="3" t="str">
        <f>IFERROR(INDEX('بيانات الحركات'!F:F,MATCH(1649,'بيانات الحركات'!$G:$G,0)),"")</f>
        <v/>
      </c>
    </row>
    <row r="1651" spans="1:6" ht="21.95" customHeight="1">
      <c r="A1651" s="8" t="str">
        <f>IFERROR(INDEX('بيانات الحركات'!A:A,MATCH(1650,'بيانات الحركات'!$G:$G,0)),"")</f>
        <v/>
      </c>
      <c r="B1651" s="5" t="str">
        <f>IFERROR(INDEX('بيانات الحركات'!B:B,MATCH(1650,'بيانات الحركات'!$G:$G,0)),"")</f>
        <v/>
      </c>
      <c r="C1651" s="3" t="str">
        <f>IFERROR(INDEX('بيانات الحركات'!C:C,MATCH(1650,'بيانات الحركات'!$G:$G,0)),"")</f>
        <v/>
      </c>
      <c r="D1651" s="3" t="str">
        <f>IFERROR(INDEX('بيانات الحركات'!D:D,MATCH(1650,'بيانات الحركات'!$G:$G,0)),"")</f>
        <v/>
      </c>
      <c r="E1651" s="21" t="str">
        <f>IF($B1651="إنتاج طبخة","",IFERROR(INDEX('بيانات الحركات'!E:E,MATCH(1650,'بيانات الحركات'!$G:$G,0)),""))</f>
        <v/>
      </c>
      <c r="F1651" s="3" t="str">
        <f>IFERROR(INDEX('بيانات الحركات'!F:F,MATCH(1650,'بيانات الحركات'!$G:$G,0)),"")</f>
        <v/>
      </c>
    </row>
    <row r="1652" spans="1:6" ht="21.95" customHeight="1">
      <c r="A1652" s="8" t="str">
        <f>IFERROR(INDEX('بيانات الحركات'!A:A,MATCH(1651,'بيانات الحركات'!$G:$G,0)),"")</f>
        <v/>
      </c>
      <c r="B1652" s="5" t="str">
        <f>IFERROR(INDEX('بيانات الحركات'!B:B,MATCH(1651,'بيانات الحركات'!$G:$G,0)),"")</f>
        <v/>
      </c>
      <c r="C1652" s="3" t="str">
        <f>IFERROR(INDEX('بيانات الحركات'!C:C,MATCH(1651,'بيانات الحركات'!$G:$G,0)),"")</f>
        <v/>
      </c>
      <c r="D1652" s="3" t="str">
        <f>IFERROR(INDEX('بيانات الحركات'!D:D,MATCH(1651,'بيانات الحركات'!$G:$G,0)),"")</f>
        <v/>
      </c>
      <c r="E1652" s="21" t="str">
        <f>IF($B1652="إنتاج طبخة","",IFERROR(INDEX('بيانات الحركات'!E:E,MATCH(1651,'بيانات الحركات'!$G:$G,0)),""))</f>
        <v/>
      </c>
      <c r="F1652" s="3" t="str">
        <f>IFERROR(INDEX('بيانات الحركات'!F:F,MATCH(1651,'بيانات الحركات'!$G:$G,0)),"")</f>
        <v/>
      </c>
    </row>
    <row r="1653" spans="1:6" ht="21.95" customHeight="1">
      <c r="A1653" s="8" t="str">
        <f>IFERROR(INDEX('بيانات الحركات'!A:A,MATCH(1652,'بيانات الحركات'!$G:$G,0)),"")</f>
        <v/>
      </c>
      <c r="B1653" s="5" t="str">
        <f>IFERROR(INDEX('بيانات الحركات'!B:B,MATCH(1652,'بيانات الحركات'!$G:$G,0)),"")</f>
        <v/>
      </c>
      <c r="C1653" s="3" t="str">
        <f>IFERROR(INDEX('بيانات الحركات'!C:C,MATCH(1652,'بيانات الحركات'!$G:$G,0)),"")</f>
        <v/>
      </c>
      <c r="D1653" s="3" t="str">
        <f>IFERROR(INDEX('بيانات الحركات'!D:D,MATCH(1652,'بيانات الحركات'!$G:$G,0)),"")</f>
        <v/>
      </c>
      <c r="E1653" s="21" t="str">
        <f>IF($B1653="إنتاج طبخة","",IFERROR(INDEX('بيانات الحركات'!E:E,MATCH(1652,'بيانات الحركات'!$G:$G,0)),""))</f>
        <v/>
      </c>
      <c r="F1653" s="3" t="str">
        <f>IFERROR(INDEX('بيانات الحركات'!F:F,MATCH(1652,'بيانات الحركات'!$G:$G,0)),"")</f>
        <v/>
      </c>
    </row>
    <row r="1654" spans="1:6" ht="21.95" customHeight="1">
      <c r="A1654" s="8" t="str">
        <f>IFERROR(INDEX('بيانات الحركات'!A:A,MATCH(1653,'بيانات الحركات'!$G:$G,0)),"")</f>
        <v/>
      </c>
      <c r="B1654" s="5" t="str">
        <f>IFERROR(INDEX('بيانات الحركات'!B:B,MATCH(1653,'بيانات الحركات'!$G:$G,0)),"")</f>
        <v/>
      </c>
      <c r="C1654" s="3" t="str">
        <f>IFERROR(INDEX('بيانات الحركات'!C:C,MATCH(1653,'بيانات الحركات'!$G:$G,0)),"")</f>
        <v/>
      </c>
      <c r="D1654" s="3" t="str">
        <f>IFERROR(INDEX('بيانات الحركات'!D:D,MATCH(1653,'بيانات الحركات'!$G:$G,0)),"")</f>
        <v/>
      </c>
      <c r="E1654" s="21" t="str">
        <f>IF($B1654="إنتاج طبخة","",IFERROR(INDEX('بيانات الحركات'!E:E,MATCH(1653,'بيانات الحركات'!$G:$G,0)),""))</f>
        <v/>
      </c>
      <c r="F1654" s="3" t="str">
        <f>IFERROR(INDEX('بيانات الحركات'!F:F,MATCH(1653,'بيانات الحركات'!$G:$G,0)),"")</f>
        <v/>
      </c>
    </row>
    <row r="1655" spans="1:6" ht="21.95" customHeight="1">
      <c r="A1655" s="8" t="str">
        <f>IFERROR(INDEX('بيانات الحركات'!A:A,MATCH(1654,'بيانات الحركات'!$G:$G,0)),"")</f>
        <v/>
      </c>
      <c r="B1655" s="5" t="str">
        <f>IFERROR(INDEX('بيانات الحركات'!B:B,MATCH(1654,'بيانات الحركات'!$G:$G,0)),"")</f>
        <v/>
      </c>
      <c r="C1655" s="3" t="str">
        <f>IFERROR(INDEX('بيانات الحركات'!C:C,MATCH(1654,'بيانات الحركات'!$G:$G,0)),"")</f>
        <v/>
      </c>
      <c r="D1655" s="3" t="str">
        <f>IFERROR(INDEX('بيانات الحركات'!D:D,MATCH(1654,'بيانات الحركات'!$G:$G,0)),"")</f>
        <v/>
      </c>
      <c r="E1655" s="21" t="str">
        <f>IF($B1655="إنتاج طبخة","",IFERROR(INDEX('بيانات الحركات'!E:E,MATCH(1654,'بيانات الحركات'!$G:$G,0)),""))</f>
        <v/>
      </c>
      <c r="F1655" s="3" t="str">
        <f>IFERROR(INDEX('بيانات الحركات'!F:F,MATCH(1654,'بيانات الحركات'!$G:$G,0)),"")</f>
        <v/>
      </c>
    </row>
    <row r="1656" spans="1:6" ht="21.95" customHeight="1">
      <c r="A1656" s="8" t="str">
        <f>IFERROR(INDEX('بيانات الحركات'!A:A,MATCH(1655,'بيانات الحركات'!$G:$G,0)),"")</f>
        <v/>
      </c>
      <c r="B1656" s="5" t="str">
        <f>IFERROR(INDEX('بيانات الحركات'!B:B,MATCH(1655,'بيانات الحركات'!$G:$G,0)),"")</f>
        <v/>
      </c>
      <c r="C1656" s="3" t="str">
        <f>IFERROR(INDEX('بيانات الحركات'!C:C,MATCH(1655,'بيانات الحركات'!$G:$G,0)),"")</f>
        <v/>
      </c>
      <c r="D1656" s="3" t="str">
        <f>IFERROR(INDEX('بيانات الحركات'!D:D,MATCH(1655,'بيانات الحركات'!$G:$G,0)),"")</f>
        <v/>
      </c>
      <c r="E1656" s="21" t="str">
        <f>IF($B1656="إنتاج طبخة","",IFERROR(INDEX('بيانات الحركات'!E:E,MATCH(1655,'بيانات الحركات'!$G:$G,0)),""))</f>
        <v/>
      </c>
      <c r="F1656" s="3" t="str">
        <f>IFERROR(INDEX('بيانات الحركات'!F:F,MATCH(1655,'بيانات الحركات'!$G:$G,0)),"")</f>
        <v/>
      </c>
    </row>
    <row r="1657" spans="1:6" ht="21.95" customHeight="1">
      <c r="A1657" s="8" t="str">
        <f>IFERROR(INDEX('بيانات الحركات'!A:A,MATCH(1656,'بيانات الحركات'!$G:$G,0)),"")</f>
        <v/>
      </c>
      <c r="B1657" s="5" t="str">
        <f>IFERROR(INDEX('بيانات الحركات'!B:B,MATCH(1656,'بيانات الحركات'!$G:$G,0)),"")</f>
        <v/>
      </c>
      <c r="C1657" s="3" t="str">
        <f>IFERROR(INDEX('بيانات الحركات'!C:C,MATCH(1656,'بيانات الحركات'!$G:$G,0)),"")</f>
        <v/>
      </c>
      <c r="D1657" s="3" t="str">
        <f>IFERROR(INDEX('بيانات الحركات'!D:D,MATCH(1656,'بيانات الحركات'!$G:$G,0)),"")</f>
        <v/>
      </c>
      <c r="E1657" s="21" t="str">
        <f>IF($B1657="إنتاج طبخة","",IFERROR(INDEX('بيانات الحركات'!E:E,MATCH(1656,'بيانات الحركات'!$G:$G,0)),""))</f>
        <v/>
      </c>
      <c r="F1657" s="3" t="str">
        <f>IFERROR(INDEX('بيانات الحركات'!F:F,MATCH(1656,'بيانات الحركات'!$G:$G,0)),"")</f>
        <v/>
      </c>
    </row>
    <row r="1658" spans="1:6" ht="21.95" customHeight="1">
      <c r="A1658" s="8" t="str">
        <f>IFERROR(INDEX('بيانات الحركات'!A:A,MATCH(1657,'بيانات الحركات'!$G:$G,0)),"")</f>
        <v/>
      </c>
      <c r="B1658" s="5" t="str">
        <f>IFERROR(INDEX('بيانات الحركات'!B:B,MATCH(1657,'بيانات الحركات'!$G:$G,0)),"")</f>
        <v/>
      </c>
      <c r="C1658" s="3" t="str">
        <f>IFERROR(INDEX('بيانات الحركات'!C:C,MATCH(1657,'بيانات الحركات'!$G:$G,0)),"")</f>
        <v/>
      </c>
      <c r="D1658" s="3" t="str">
        <f>IFERROR(INDEX('بيانات الحركات'!D:D,MATCH(1657,'بيانات الحركات'!$G:$G,0)),"")</f>
        <v/>
      </c>
      <c r="E1658" s="21" t="str">
        <f>IF($B1658="إنتاج طبخة","",IFERROR(INDEX('بيانات الحركات'!E:E,MATCH(1657,'بيانات الحركات'!$G:$G,0)),""))</f>
        <v/>
      </c>
      <c r="F1658" s="3" t="str">
        <f>IFERROR(INDEX('بيانات الحركات'!F:F,MATCH(1657,'بيانات الحركات'!$G:$G,0)),"")</f>
        <v/>
      </c>
    </row>
    <row r="1659" spans="1:6" ht="21.95" customHeight="1">
      <c r="A1659" s="8" t="str">
        <f>IFERROR(INDEX('بيانات الحركات'!A:A,MATCH(1658,'بيانات الحركات'!$G:$G,0)),"")</f>
        <v/>
      </c>
      <c r="B1659" s="5" t="str">
        <f>IFERROR(INDEX('بيانات الحركات'!B:B,MATCH(1658,'بيانات الحركات'!$G:$G,0)),"")</f>
        <v/>
      </c>
      <c r="C1659" s="3" t="str">
        <f>IFERROR(INDEX('بيانات الحركات'!C:C,MATCH(1658,'بيانات الحركات'!$G:$G,0)),"")</f>
        <v/>
      </c>
      <c r="D1659" s="3" t="str">
        <f>IFERROR(INDEX('بيانات الحركات'!D:D,MATCH(1658,'بيانات الحركات'!$G:$G,0)),"")</f>
        <v/>
      </c>
      <c r="E1659" s="21" t="str">
        <f>IF($B1659="إنتاج طبخة","",IFERROR(INDEX('بيانات الحركات'!E:E,MATCH(1658,'بيانات الحركات'!$G:$G,0)),""))</f>
        <v/>
      </c>
      <c r="F1659" s="3" t="str">
        <f>IFERROR(INDEX('بيانات الحركات'!F:F,MATCH(1658,'بيانات الحركات'!$G:$G,0)),"")</f>
        <v/>
      </c>
    </row>
    <row r="1660" spans="1:6" ht="21.95" customHeight="1">
      <c r="A1660" s="8" t="str">
        <f>IFERROR(INDEX('بيانات الحركات'!A:A,MATCH(1659,'بيانات الحركات'!$G:$G,0)),"")</f>
        <v/>
      </c>
      <c r="B1660" s="5" t="str">
        <f>IFERROR(INDEX('بيانات الحركات'!B:B,MATCH(1659,'بيانات الحركات'!$G:$G,0)),"")</f>
        <v/>
      </c>
      <c r="C1660" s="3" t="str">
        <f>IFERROR(INDEX('بيانات الحركات'!C:C,MATCH(1659,'بيانات الحركات'!$G:$G,0)),"")</f>
        <v/>
      </c>
      <c r="D1660" s="3" t="str">
        <f>IFERROR(INDEX('بيانات الحركات'!D:D,MATCH(1659,'بيانات الحركات'!$G:$G,0)),"")</f>
        <v/>
      </c>
      <c r="E1660" s="21" t="str">
        <f>IF($B1660="إنتاج طبخة","",IFERROR(INDEX('بيانات الحركات'!E:E,MATCH(1659,'بيانات الحركات'!$G:$G,0)),""))</f>
        <v/>
      </c>
      <c r="F1660" s="3" t="str">
        <f>IFERROR(INDEX('بيانات الحركات'!F:F,MATCH(1659,'بيانات الحركات'!$G:$G,0)),"")</f>
        <v/>
      </c>
    </row>
    <row r="1661" spans="1:6" ht="21.95" customHeight="1">
      <c r="A1661" s="8" t="str">
        <f>IFERROR(INDEX('بيانات الحركات'!A:A,MATCH(1660,'بيانات الحركات'!$G:$G,0)),"")</f>
        <v/>
      </c>
      <c r="B1661" s="5" t="str">
        <f>IFERROR(INDEX('بيانات الحركات'!B:B,MATCH(1660,'بيانات الحركات'!$G:$G,0)),"")</f>
        <v/>
      </c>
      <c r="C1661" s="3" t="str">
        <f>IFERROR(INDEX('بيانات الحركات'!C:C,MATCH(1660,'بيانات الحركات'!$G:$G,0)),"")</f>
        <v/>
      </c>
      <c r="D1661" s="3" t="str">
        <f>IFERROR(INDEX('بيانات الحركات'!D:D,MATCH(1660,'بيانات الحركات'!$G:$G,0)),"")</f>
        <v/>
      </c>
      <c r="E1661" s="21" t="str">
        <f>IF($B1661="إنتاج طبخة","",IFERROR(INDEX('بيانات الحركات'!E:E,MATCH(1660,'بيانات الحركات'!$G:$G,0)),""))</f>
        <v/>
      </c>
      <c r="F1661" s="3" t="str">
        <f>IFERROR(INDEX('بيانات الحركات'!F:F,MATCH(1660,'بيانات الحركات'!$G:$G,0)),"")</f>
        <v/>
      </c>
    </row>
    <row r="1662" spans="1:6" ht="21.95" customHeight="1">
      <c r="A1662" s="8" t="str">
        <f>IFERROR(INDEX('بيانات الحركات'!A:A,MATCH(1661,'بيانات الحركات'!$G:$G,0)),"")</f>
        <v/>
      </c>
      <c r="B1662" s="5" t="str">
        <f>IFERROR(INDEX('بيانات الحركات'!B:B,MATCH(1661,'بيانات الحركات'!$G:$G,0)),"")</f>
        <v/>
      </c>
      <c r="C1662" s="3" t="str">
        <f>IFERROR(INDEX('بيانات الحركات'!C:C,MATCH(1661,'بيانات الحركات'!$G:$G,0)),"")</f>
        <v/>
      </c>
      <c r="D1662" s="3" t="str">
        <f>IFERROR(INDEX('بيانات الحركات'!D:D,MATCH(1661,'بيانات الحركات'!$G:$G,0)),"")</f>
        <v/>
      </c>
      <c r="E1662" s="21" t="str">
        <f>IF($B1662="إنتاج طبخة","",IFERROR(INDEX('بيانات الحركات'!E:E,MATCH(1661,'بيانات الحركات'!$G:$G,0)),""))</f>
        <v/>
      </c>
      <c r="F1662" s="3" t="str">
        <f>IFERROR(INDEX('بيانات الحركات'!F:F,MATCH(1661,'بيانات الحركات'!$G:$G,0)),"")</f>
        <v/>
      </c>
    </row>
    <row r="1663" spans="1:6" ht="21.95" customHeight="1">
      <c r="A1663" s="8" t="str">
        <f>IFERROR(INDEX('بيانات الحركات'!A:A,MATCH(1662,'بيانات الحركات'!$G:$G,0)),"")</f>
        <v/>
      </c>
      <c r="B1663" s="5" t="str">
        <f>IFERROR(INDEX('بيانات الحركات'!B:B,MATCH(1662,'بيانات الحركات'!$G:$G,0)),"")</f>
        <v/>
      </c>
      <c r="C1663" s="3" t="str">
        <f>IFERROR(INDEX('بيانات الحركات'!C:C,MATCH(1662,'بيانات الحركات'!$G:$G,0)),"")</f>
        <v/>
      </c>
      <c r="D1663" s="3" t="str">
        <f>IFERROR(INDEX('بيانات الحركات'!D:D,MATCH(1662,'بيانات الحركات'!$G:$G,0)),"")</f>
        <v/>
      </c>
      <c r="E1663" s="21" t="str">
        <f>IF($B1663="إنتاج طبخة","",IFERROR(INDEX('بيانات الحركات'!E:E,MATCH(1662,'بيانات الحركات'!$G:$G,0)),""))</f>
        <v/>
      </c>
      <c r="F1663" s="3" t="str">
        <f>IFERROR(INDEX('بيانات الحركات'!F:F,MATCH(1662,'بيانات الحركات'!$G:$G,0)),"")</f>
        <v/>
      </c>
    </row>
    <row r="1664" spans="1:6" ht="21.95" customHeight="1">
      <c r="A1664" s="8" t="str">
        <f>IFERROR(INDEX('بيانات الحركات'!A:A,MATCH(1663,'بيانات الحركات'!$G:$G,0)),"")</f>
        <v/>
      </c>
      <c r="B1664" s="5" t="str">
        <f>IFERROR(INDEX('بيانات الحركات'!B:B,MATCH(1663,'بيانات الحركات'!$G:$G,0)),"")</f>
        <v/>
      </c>
      <c r="C1664" s="3" t="str">
        <f>IFERROR(INDEX('بيانات الحركات'!C:C,MATCH(1663,'بيانات الحركات'!$G:$G,0)),"")</f>
        <v/>
      </c>
      <c r="D1664" s="3" t="str">
        <f>IFERROR(INDEX('بيانات الحركات'!D:D,MATCH(1663,'بيانات الحركات'!$G:$G,0)),"")</f>
        <v/>
      </c>
      <c r="E1664" s="21" t="str">
        <f>IF($B1664="إنتاج طبخة","",IFERROR(INDEX('بيانات الحركات'!E:E,MATCH(1663,'بيانات الحركات'!$G:$G,0)),""))</f>
        <v/>
      </c>
      <c r="F1664" s="3" t="str">
        <f>IFERROR(INDEX('بيانات الحركات'!F:F,MATCH(1663,'بيانات الحركات'!$G:$G,0)),"")</f>
        <v/>
      </c>
    </row>
    <row r="1665" spans="1:6" ht="21.95" customHeight="1">
      <c r="A1665" s="8" t="str">
        <f>IFERROR(INDEX('بيانات الحركات'!A:A,MATCH(1664,'بيانات الحركات'!$G:$G,0)),"")</f>
        <v/>
      </c>
      <c r="B1665" s="5" t="str">
        <f>IFERROR(INDEX('بيانات الحركات'!B:B,MATCH(1664,'بيانات الحركات'!$G:$G,0)),"")</f>
        <v/>
      </c>
      <c r="C1665" s="3" t="str">
        <f>IFERROR(INDEX('بيانات الحركات'!C:C,MATCH(1664,'بيانات الحركات'!$G:$G,0)),"")</f>
        <v/>
      </c>
      <c r="D1665" s="3" t="str">
        <f>IFERROR(INDEX('بيانات الحركات'!D:D,MATCH(1664,'بيانات الحركات'!$G:$G,0)),"")</f>
        <v/>
      </c>
      <c r="E1665" s="21" t="str">
        <f>IF($B1665="إنتاج طبخة","",IFERROR(INDEX('بيانات الحركات'!E:E,MATCH(1664,'بيانات الحركات'!$G:$G,0)),""))</f>
        <v/>
      </c>
      <c r="F1665" s="3" t="str">
        <f>IFERROR(INDEX('بيانات الحركات'!F:F,MATCH(1664,'بيانات الحركات'!$G:$G,0)),"")</f>
        <v/>
      </c>
    </row>
    <row r="1666" spans="1:6" ht="21.95" customHeight="1">
      <c r="A1666" s="8" t="str">
        <f>IFERROR(INDEX('بيانات الحركات'!A:A,MATCH(1665,'بيانات الحركات'!$G:$G,0)),"")</f>
        <v/>
      </c>
      <c r="B1666" s="5" t="str">
        <f>IFERROR(INDEX('بيانات الحركات'!B:B,MATCH(1665,'بيانات الحركات'!$G:$G,0)),"")</f>
        <v/>
      </c>
      <c r="C1666" s="3" t="str">
        <f>IFERROR(INDEX('بيانات الحركات'!C:C,MATCH(1665,'بيانات الحركات'!$G:$G,0)),"")</f>
        <v/>
      </c>
      <c r="D1666" s="3" t="str">
        <f>IFERROR(INDEX('بيانات الحركات'!D:D,MATCH(1665,'بيانات الحركات'!$G:$G,0)),"")</f>
        <v/>
      </c>
      <c r="E1666" s="21" t="str">
        <f>IF($B1666="إنتاج طبخة","",IFERROR(INDEX('بيانات الحركات'!E:E,MATCH(1665,'بيانات الحركات'!$G:$G,0)),""))</f>
        <v/>
      </c>
      <c r="F1666" s="3" t="str">
        <f>IFERROR(INDEX('بيانات الحركات'!F:F,MATCH(1665,'بيانات الحركات'!$G:$G,0)),"")</f>
        <v/>
      </c>
    </row>
    <row r="1667" spans="1:6" ht="21.95" customHeight="1">
      <c r="A1667" s="8" t="str">
        <f>IFERROR(INDEX('بيانات الحركات'!A:A,MATCH(1666,'بيانات الحركات'!$G:$G,0)),"")</f>
        <v/>
      </c>
      <c r="B1667" s="5" t="str">
        <f>IFERROR(INDEX('بيانات الحركات'!B:B,MATCH(1666,'بيانات الحركات'!$G:$G,0)),"")</f>
        <v/>
      </c>
      <c r="C1667" s="3" t="str">
        <f>IFERROR(INDEX('بيانات الحركات'!C:C,MATCH(1666,'بيانات الحركات'!$G:$G,0)),"")</f>
        <v/>
      </c>
      <c r="D1667" s="3" t="str">
        <f>IFERROR(INDEX('بيانات الحركات'!D:D,MATCH(1666,'بيانات الحركات'!$G:$G,0)),"")</f>
        <v/>
      </c>
      <c r="E1667" s="21" t="str">
        <f>IF($B1667="إنتاج طبخة","",IFERROR(INDEX('بيانات الحركات'!E:E,MATCH(1666,'بيانات الحركات'!$G:$G,0)),""))</f>
        <v/>
      </c>
      <c r="F1667" s="3" t="str">
        <f>IFERROR(INDEX('بيانات الحركات'!F:F,MATCH(1666,'بيانات الحركات'!$G:$G,0)),"")</f>
        <v/>
      </c>
    </row>
    <row r="1668" spans="1:6" ht="21.95" customHeight="1">
      <c r="A1668" s="8" t="str">
        <f>IFERROR(INDEX('بيانات الحركات'!A:A,MATCH(1667,'بيانات الحركات'!$G:$G,0)),"")</f>
        <v/>
      </c>
      <c r="B1668" s="5" t="str">
        <f>IFERROR(INDEX('بيانات الحركات'!B:B,MATCH(1667,'بيانات الحركات'!$G:$G,0)),"")</f>
        <v/>
      </c>
      <c r="C1668" s="3" t="str">
        <f>IFERROR(INDEX('بيانات الحركات'!C:C,MATCH(1667,'بيانات الحركات'!$G:$G,0)),"")</f>
        <v/>
      </c>
      <c r="D1668" s="3" t="str">
        <f>IFERROR(INDEX('بيانات الحركات'!D:D,MATCH(1667,'بيانات الحركات'!$G:$G,0)),"")</f>
        <v/>
      </c>
      <c r="E1668" s="21" t="str">
        <f>IF($B1668="إنتاج طبخة","",IFERROR(INDEX('بيانات الحركات'!E:E,MATCH(1667,'بيانات الحركات'!$G:$G,0)),""))</f>
        <v/>
      </c>
      <c r="F1668" s="3" t="str">
        <f>IFERROR(INDEX('بيانات الحركات'!F:F,MATCH(1667,'بيانات الحركات'!$G:$G,0)),"")</f>
        <v/>
      </c>
    </row>
    <row r="1669" spans="1:6" ht="21.95" customHeight="1">
      <c r="A1669" s="8" t="str">
        <f>IFERROR(INDEX('بيانات الحركات'!A:A,MATCH(1668,'بيانات الحركات'!$G:$G,0)),"")</f>
        <v/>
      </c>
      <c r="B1669" s="5" t="str">
        <f>IFERROR(INDEX('بيانات الحركات'!B:B,MATCH(1668,'بيانات الحركات'!$G:$G,0)),"")</f>
        <v/>
      </c>
      <c r="C1669" s="3" t="str">
        <f>IFERROR(INDEX('بيانات الحركات'!C:C,MATCH(1668,'بيانات الحركات'!$G:$G,0)),"")</f>
        <v/>
      </c>
      <c r="D1669" s="3" t="str">
        <f>IFERROR(INDEX('بيانات الحركات'!D:D,MATCH(1668,'بيانات الحركات'!$G:$G,0)),"")</f>
        <v/>
      </c>
      <c r="E1669" s="21" t="str">
        <f>IF($B1669="إنتاج طبخة","",IFERROR(INDEX('بيانات الحركات'!E:E,MATCH(1668,'بيانات الحركات'!$G:$G,0)),""))</f>
        <v/>
      </c>
      <c r="F1669" s="3" t="str">
        <f>IFERROR(INDEX('بيانات الحركات'!F:F,MATCH(1668,'بيانات الحركات'!$G:$G,0)),"")</f>
        <v/>
      </c>
    </row>
    <row r="1670" spans="1:6" ht="21.95" customHeight="1">
      <c r="A1670" s="8" t="str">
        <f>IFERROR(INDEX('بيانات الحركات'!A:A,MATCH(1669,'بيانات الحركات'!$G:$G,0)),"")</f>
        <v/>
      </c>
      <c r="B1670" s="5" t="str">
        <f>IFERROR(INDEX('بيانات الحركات'!B:B,MATCH(1669,'بيانات الحركات'!$G:$G,0)),"")</f>
        <v/>
      </c>
      <c r="C1670" s="3" t="str">
        <f>IFERROR(INDEX('بيانات الحركات'!C:C,MATCH(1669,'بيانات الحركات'!$G:$G,0)),"")</f>
        <v/>
      </c>
      <c r="D1670" s="3" t="str">
        <f>IFERROR(INDEX('بيانات الحركات'!D:D,MATCH(1669,'بيانات الحركات'!$G:$G,0)),"")</f>
        <v/>
      </c>
      <c r="E1670" s="21" t="str">
        <f>IF($B1670="إنتاج طبخة","",IFERROR(INDEX('بيانات الحركات'!E:E,MATCH(1669,'بيانات الحركات'!$G:$G,0)),""))</f>
        <v/>
      </c>
      <c r="F1670" s="3" t="str">
        <f>IFERROR(INDEX('بيانات الحركات'!F:F,MATCH(1669,'بيانات الحركات'!$G:$G,0)),"")</f>
        <v/>
      </c>
    </row>
    <row r="1671" spans="1:6" ht="21.95" customHeight="1">
      <c r="A1671" s="8" t="str">
        <f>IFERROR(INDEX('بيانات الحركات'!A:A,MATCH(1670,'بيانات الحركات'!$G:$G,0)),"")</f>
        <v/>
      </c>
      <c r="B1671" s="5" t="str">
        <f>IFERROR(INDEX('بيانات الحركات'!B:B,MATCH(1670,'بيانات الحركات'!$G:$G,0)),"")</f>
        <v/>
      </c>
      <c r="C1671" s="3" t="str">
        <f>IFERROR(INDEX('بيانات الحركات'!C:C,MATCH(1670,'بيانات الحركات'!$G:$G,0)),"")</f>
        <v/>
      </c>
      <c r="D1671" s="3" t="str">
        <f>IFERROR(INDEX('بيانات الحركات'!D:D,MATCH(1670,'بيانات الحركات'!$G:$G,0)),"")</f>
        <v/>
      </c>
      <c r="E1671" s="21" t="str">
        <f>IF($B1671="إنتاج طبخة","",IFERROR(INDEX('بيانات الحركات'!E:E,MATCH(1670,'بيانات الحركات'!$G:$G,0)),""))</f>
        <v/>
      </c>
      <c r="F1671" s="3" t="str">
        <f>IFERROR(INDEX('بيانات الحركات'!F:F,MATCH(1670,'بيانات الحركات'!$G:$G,0)),"")</f>
        <v/>
      </c>
    </row>
    <row r="1672" spans="1:6" ht="21.95" customHeight="1">
      <c r="A1672" s="8" t="str">
        <f>IFERROR(INDEX('بيانات الحركات'!A:A,MATCH(1671,'بيانات الحركات'!$G:$G,0)),"")</f>
        <v/>
      </c>
      <c r="B1672" s="5" t="str">
        <f>IFERROR(INDEX('بيانات الحركات'!B:B,MATCH(1671,'بيانات الحركات'!$G:$G,0)),"")</f>
        <v/>
      </c>
      <c r="C1672" s="3" t="str">
        <f>IFERROR(INDEX('بيانات الحركات'!C:C,MATCH(1671,'بيانات الحركات'!$G:$G,0)),"")</f>
        <v/>
      </c>
      <c r="D1672" s="3" t="str">
        <f>IFERROR(INDEX('بيانات الحركات'!D:D,MATCH(1671,'بيانات الحركات'!$G:$G,0)),"")</f>
        <v/>
      </c>
      <c r="E1672" s="21" t="str">
        <f>IF($B1672="إنتاج طبخة","",IFERROR(INDEX('بيانات الحركات'!E:E,MATCH(1671,'بيانات الحركات'!$G:$G,0)),""))</f>
        <v/>
      </c>
      <c r="F1672" s="3" t="str">
        <f>IFERROR(INDEX('بيانات الحركات'!F:F,MATCH(1671,'بيانات الحركات'!$G:$G,0)),"")</f>
        <v/>
      </c>
    </row>
    <row r="1673" spans="1:6" ht="21.95" customHeight="1">
      <c r="A1673" s="8" t="str">
        <f>IFERROR(INDEX('بيانات الحركات'!A:A,MATCH(1672,'بيانات الحركات'!$G:$G,0)),"")</f>
        <v/>
      </c>
      <c r="B1673" s="5" t="str">
        <f>IFERROR(INDEX('بيانات الحركات'!B:B,MATCH(1672,'بيانات الحركات'!$G:$G,0)),"")</f>
        <v/>
      </c>
      <c r="C1673" s="3" t="str">
        <f>IFERROR(INDEX('بيانات الحركات'!C:C,MATCH(1672,'بيانات الحركات'!$G:$G,0)),"")</f>
        <v/>
      </c>
      <c r="D1673" s="3" t="str">
        <f>IFERROR(INDEX('بيانات الحركات'!D:D,MATCH(1672,'بيانات الحركات'!$G:$G,0)),"")</f>
        <v/>
      </c>
      <c r="E1673" s="21" t="str">
        <f>IF($B1673="إنتاج طبخة","",IFERROR(INDEX('بيانات الحركات'!E:E,MATCH(1672,'بيانات الحركات'!$G:$G,0)),""))</f>
        <v/>
      </c>
      <c r="F1673" s="3" t="str">
        <f>IFERROR(INDEX('بيانات الحركات'!F:F,MATCH(1672,'بيانات الحركات'!$G:$G,0)),"")</f>
        <v/>
      </c>
    </row>
    <row r="1674" spans="1:6" ht="21.95" customHeight="1">
      <c r="A1674" s="8" t="str">
        <f>IFERROR(INDEX('بيانات الحركات'!A:A,MATCH(1673,'بيانات الحركات'!$G:$G,0)),"")</f>
        <v/>
      </c>
      <c r="B1674" s="5" t="str">
        <f>IFERROR(INDEX('بيانات الحركات'!B:B,MATCH(1673,'بيانات الحركات'!$G:$G,0)),"")</f>
        <v/>
      </c>
      <c r="C1674" s="3" t="str">
        <f>IFERROR(INDEX('بيانات الحركات'!C:C,MATCH(1673,'بيانات الحركات'!$G:$G,0)),"")</f>
        <v/>
      </c>
      <c r="D1674" s="3" t="str">
        <f>IFERROR(INDEX('بيانات الحركات'!D:D,MATCH(1673,'بيانات الحركات'!$G:$G,0)),"")</f>
        <v/>
      </c>
      <c r="E1674" s="21" t="str">
        <f>IF($B1674="إنتاج طبخة","",IFERROR(INDEX('بيانات الحركات'!E:E,MATCH(1673,'بيانات الحركات'!$G:$G,0)),""))</f>
        <v/>
      </c>
      <c r="F1674" s="3" t="str">
        <f>IFERROR(INDEX('بيانات الحركات'!F:F,MATCH(1673,'بيانات الحركات'!$G:$G,0)),"")</f>
        <v/>
      </c>
    </row>
    <row r="1675" spans="1:6" ht="21.95" customHeight="1">
      <c r="A1675" s="8" t="str">
        <f>IFERROR(INDEX('بيانات الحركات'!A:A,MATCH(1674,'بيانات الحركات'!$G:$G,0)),"")</f>
        <v/>
      </c>
      <c r="B1675" s="5" t="str">
        <f>IFERROR(INDEX('بيانات الحركات'!B:B,MATCH(1674,'بيانات الحركات'!$G:$G,0)),"")</f>
        <v/>
      </c>
      <c r="C1675" s="3" t="str">
        <f>IFERROR(INDEX('بيانات الحركات'!C:C,MATCH(1674,'بيانات الحركات'!$G:$G,0)),"")</f>
        <v/>
      </c>
      <c r="D1675" s="3" t="str">
        <f>IFERROR(INDEX('بيانات الحركات'!D:D,MATCH(1674,'بيانات الحركات'!$G:$G,0)),"")</f>
        <v/>
      </c>
      <c r="E1675" s="21" t="str">
        <f>IF($B1675="إنتاج طبخة","",IFERROR(INDEX('بيانات الحركات'!E:E,MATCH(1674,'بيانات الحركات'!$G:$G,0)),""))</f>
        <v/>
      </c>
      <c r="F1675" s="3" t="str">
        <f>IFERROR(INDEX('بيانات الحركات'!F:F,MATCH(1674,'بيانات الحركات'!$G:$G,0)),"")</f>
        <v/>
      </c>
    </row>
    <row r="1676" spans="1:6" ht="21.95" customHeight="1">
      <c r="A1676" s="8" t="str">
        <f>IFERROR(INDEX('بيانات الحركات'!A:A,MATCH(1675,'بيانات الحركات'!$G:$G,0)),"")</f>
        <v/>
      </c>
      <c r="B1676" s="5" t="str">
        <f>IFERROR(INDEX('بيانات الحركات'!B:B,MATCH(1675,'بيانات الحركات'!$G:$G,0)),"")</f>
        <v/>
      </c>
      <c r="C1676" s="3" t="str">
        <f>IFERROR(INDEX('بيانات الحركات'!C:C,MATCH(1675,'بيانات الحركات'!$G:$G,0)),"")</f>
        <v/>
      </c>
      <c r="D1676" s="3" t="str">
        <f>IFERROR(INDEX('بيانات الحركات'!D:D,MATCH(1675,'بيانات الحركات'!$G:$G,0)),"")</f>
        <v/>
      </c>
      <c r="E1676" s="21" t="str">
        <f>IF($B1676="إنتاج طبخة","",IFERROR(INDEX('بيانات الحركات'!E:E,MATCH(1675,'بيانات الحركات'!$G:$G,0)),""))</f>
        <v/>
      </c>
      <c r="F1676" s="3" t="str">
        <f>IFERROR(INDEX('بيانات الحركات'!F:F,MATCH(1675,'بيانات الحركات'!$G:$G,0)),"")</f>
        <v/>
      </c>
    </row>
    <row r="1677" spans="1:6" ht="21.95" customHeight="1">
      <c r="A1677" s="8" t="str">
        <f>IFERROR(INDEX('بيانات الحركات'!A:A,MATCH(1676,'بيانات الحركات'!$G:$G,0)),"")</f>
        <v/>
      </c>
      <c r="B1677" s="5" t="str">
        <f>IFERROR(INDEX('بيانات الحركات'!B:B,MATCH(1676,'بيانات الحركات'!$G:$G,0)),"")</f>
        <v/>
      </c>
      <c r="C1677" s="3" t="str">
        <f>IFERROR(INDEX('بيانات الحركات'!C:C,MATCH(1676,'بيانات الحركات'!$G:$G,0)),"")</f>
        <v/>
      </c>
      <c r="D1677" s="3" t="str">
        <f>IFERROR(INDEX('بيانات الحركات'!D:D,MATCH(1676,'بيانات الحركات'!$G:$G,0)),"")</f>
        <v/>
      </c>
      <c r="E1677" s="21" t="str">
        <f>IF($B1677="إنتاج طبخة","",IFERROR(INDEX('بيانات الحركات'!E:E,MATCH(1676,'بيانات الحركات'!$G:$G,0)),""))</f>
        <v/>
      </c>
      <c r="F1677" s="3" t="str">
        <f>IFERROR(INDEX('بيانات الحركات'!F:F,MATCH(1676,'بيانات الحركات'!$G:$G,0)),"")</f>
        <v/>
      </c>
    </row>
    <row r="1678" spans="1:6" ht="21.95" customHeight="1">
      <c r="A1678" s="8" t="str">
        <f>IFERROR(INDEX('بيانات الحركات'!A:A,MATCH(1677,'بيانات الحركات'!$G:$G,0)),"")</f>
        <v/>
      </c>
      <c r="B1678" s="5" t="str">
        <f>IFERROR(INDEX('بيانات الحركات'!B:B,MATCH(1677,'بيانات الحركات'!$G:$G,0)),"")</f>
        <v/>
      </c>
      <c r="C1678" s="3" t="str">
        <f>IFERROR(INDEX('بيانات الحركات'!C:C,MATCH(1677,'بيانات الحركات'!$G:$G,0)),"")</f>
        <v/>
      </c>
      <c r="D1678" s="3" t="str">
        <f>IFERROR(INDEX('بيانات الحركات'!D:D,MATCH(1677,'بيانات الحركات'!$G:$G,0)),"")</f>
        <v/>
      </c>
      <c r="E1678" s="21" t="str">
        <f>IF($B1678="إنتاج طبخة","",IFERROR(INDEX('بيانات الحركات'!E:E,MATCH(1677,'بيانات الحركات'!$G:$G,0)),""))</f>
        <v/>
      </c>
      <c r="F1678" s="3" t="str">
        <f>IFERROR(INDEX('بيانات الحركات'!F:F,MATCH(1677,'بيانات الحركات'!$G:$G,0)),"")</f>
        <v/>
      </c>
    </row>
    <row r="1679" spans="1:6" ht="21.95" customHeight="1">
      <c r="A1679" s="8" t="str">
        <f>IFERROR(INDEX('بيانات الحركات'!A:A,MATCH(1678,'بيانات الحركات'!$G:$G,0)),"")</f>
        <v/>
      </c>
      <c r="B1679" s="5" t="str">
        <f>IFERROR(INDEX('بيانات الحركات'!B:B,MATCH(1678,'بيانات الحركات'!$G:$G,0)),"")</f>
        <v/>
      </c>
      <c r="C1679" s="3" t="str">
        <f>IFERROR(INDEX('بيانات الحركات'!C:C,MATCH(1678,'بيانات الحركات'!$G:$G,0)),"")</f>
        <v/>
      </c>
      <c r="D1679" s="3" t="str">
        <f>IFERROR(INDEX('بيانات الحركات'!D:D,MATCH(1678,'بيانات الحركات'!$G:$G,0)),"")</f>
        <v/>
      </c>
      <c r="E1679" s="21" t="str">
        <f>IF($B1679="إنتاج طبخة","",IFERROR(INDEX('بيانات الحركات'!E:E,MATCH(1678,'بيانات الحركات'!$G:$G,0)),""))</f>
        <v/>
      </c>
      <c r="F1679" s="3" t="str">
        <f>IFERROR(INDEX('بيانات الحركات'!F:F,MATCH(1678,'بيانات الحركات'!$G:$G,0)),"")</f>
        <v/>
      </c>
    </row>
    <row r="1680" spans="1:6" ht="21.95" customHeight="1">
      <c r="A1680" s="8" t="str">
        <f>IFERROR(INDEX('بيانات الحركات'!A:A,MATCH(1679,'بيانات الحركات'!$G:$G,0)),"")</f>
        <v/>
      </c>
      <c r="B1680" s="5" t="str">
        <f>IFERROR(INDEX('بيانات الحركات'!B:B,MATCH(1679,'بيانات الحركات'!$G:$G,0)),"")</f>
        <v/>
      </c>
      <c r="C1680" s="3" t="str">
        <f>IFERROR(INDEX('بيانات الحركات'!C:C,MATCH(1679,'بيانات الحركات'!$G:$G,0)),"")</f>
        <v/>
      </c>
      <c r="D1680" s="3" t="str">
        <f>IFERROR(INDEX('بيانات الحركات'!D:D,MATCH(1679,'بيانات الحركات'!$G:$G,0)),"")</f>
        <v/>
      </c>
      <c r="E1680" s="21" t="str">
        <f>IF($B1680="إنتاج طبخة","",IFERROR(INDEX('بيانات الحركات'!E:E,MATCH(1679,'بيانات الحركات'!$G:$G,0)),""))</f>
        <v/>
      </c>
      <c r="F1680" s="3" t="str">
        <f>IFERROR(INDEX('بيانات الحركات'!F:F,MATCH(1679,'بيانات الحركات'!$G:$G,0)),"")</f>
        <v/>
      </c>
    </row>
    <row r="1681" spans="1:6" ht="21.95" customHeight="1">
      <c r="A1681" s="8" t="str">
        <f>IFERROR(INDEX('بيانات الحركات'!A:A,MATCH(1680,'بيانات الحركات'!$G:$G,0)),"")</f>
        <v/>
      </c>
      <c r="B1681" s="5" t="str">
        <f>IFERROR(INDEX('بيانات الحركات'!B:B,MATCH(1680,'بيانات الحركات'!$G:$G,0)),"")</f>
        <v/>
      </c>
      <c r="C1681" s="3" t="str">
        <f>IFERROR(INDEX('بيانات الحركات'!C:C,MATCH(1680,'بيانات الحركات'!$G:$G,0)),"")</f>
        <v/>
      </c>
      <c r="D1681" s="3" t="str">
        <f>IFERROR(INDEX('بيانات الحركات'!D:D,MATCH(1680,'بيانات الحركات'!$G:$G,0)),"")</f>
        <v/>
      </c>
      <c r="E1681" s="21" t="str">
        <f>IF($B1681="إنتاج طبخة","",IFERROR(INDEX('بيانات الحركات'!E:E,MATCH(1680,'بيانات الحركات'!$G:$G,0)),""))</f>
        <v/>
      </c>
      <c r="F1681" s="3" t="str">
        <f>IFERROR(INDEX('بيانات الحركات'!F:F,MATCH(1680,'بيانات الحركات'!$G:$G,0)),"")</f>
        <v/>
      </c>
    </row>
    <row r="1682" spans="1:6" ht="21.95" customHeight="1">
      <c r="A1682" s="8" t="str">
        <f>IFERROR(INDEX('بيانات الحركات'!A:A,MATCH(1681,'بيانات الحركات'!$G:$G,0)),"")</f>
        <v/>
      </c>
      <c r="B1682" s="5" t="str">
        <f>IFERROR(INDEX('بيانات الحركات'!B:B,MATCH(1681,'بيانات الحركات'!$G:$G,0)),"")</f>
        <v/>
      </c>
      <c r="C1682" s="3" t="str">
        <f>IFERROR(INDEX('بيانات الحركات'!C:C,MATCH(1681,'بيانات الحركات'!$G:$G,0)),"")</f>
        <v/>
      </c>
      <c r="D1682" s="3" t="str">
        <f>IFERROR(INDEX('بيانات الحركات'!D:D,MATCH(1681,'بيانات الحركات'!$G:$G,0)),"")</f>
        <v/>
      </c>
      <c r="E1682" s="21" t="str">
        <f>IF($B1682="إنتاج طبخة","",IFERROR(INDEX('بيانات الحركات'!E:E,MATCH(1681,'بيانات الحركات'!$G:$G,0)),""))</f>
        <v/>
      </c>
      <c r="F1682" s="3" t="str">
        <f>IFERROR(INDEX('بيانات الحركات'!F:F,MATCH(1681,'بيانات الحركات'!$G:$G,0)),"")</f>
        <v/>
      </c>
    </row>
    <row r="1683" spans="1:6" ht="21.95" customHeight="1">
      <c r="A1683" s="8" t="str">
        <f>IFERROR(INDEX('بيانات الحركات'!A:A,MATCH(1682,'بيانات الحركات'!$G:$G,0)),"")</f>
        <v/>
      </c>
      <c r="B1683" s="5" t="str">
        <f>IFERROR(INDEX('بيانات الحركات'!B:B,MATCH(1682,'بيانات الحركات'!$G:$G,0)),"")</f>
        <v/>
      </c>
      <c r="C1683" s="3" t="str">
        <f>IFERROR(INDEX('بيانات الحركات'!C:C,MATCH(1682,'بيانات الحركات'!$G:$G,0)),"")</f>
        <v/>
      </c>
      <c r="D1683" s="3" t="str">
        <f>IFERROR(INDEX('بيانات الحركات'!D:D,MATCH(1682,'بيانات الحركات'!$G:$G,0)),"")</f>
        <v/>
      </c>
      <c r="E1683" s="21" t="str">
        <f>IF($B1683="إنتاج طبخة","",IFERROR(INDEX('بيانات الحركات'!E:E,MATCH(1682,'بيانات الحركات'!$G:$G,0)),""))</f>
        <v/>
      </c>
      <c r="F1683" s="3" t="str">
        <f>IFERROR(INDEX('بيانات الحركات'!F:F,MATCH(1682,'بيانات الحركات'!$G:$G,0)),"")</f>
        <v/>
      </c>
    </row>
    <row r="1684" spans="1:6" ht="21.95" customHeight="1">
      <c r="A1684" s="8" t="str">
        <f>IFERROR(INDEX('بيانات الحركات'!A:A,MATCH(1683,'بيانات الحركات'!$G:$G,0)),"")</f>
        <v/>
      </c>
      <c r="B1684" s="5" t="str">
        <f>IFERROR(INDEX('بيانات الحركات'!B:B,MATCH(1683,'بيانات الحركات'!$G:$G,0)),"")</f>
        <v/>
      </c>
      <c r="C1684" s="3" t="str">
        <f>IFERROR(INDEX('بيانات الحركات'!C:C,MATCH(1683,'بيانات الحركات'!$G:$G,0)),"")</f>
        <v/>
      </c>
      <c r="D1684" s="3" t="str">
        <f>IFERROR(INDEX('بيانات الحركات'!D:D,MATCH(1683,'بيانات الحركات'!$G:$G,0)),"")</f>
        <v/>
      </c>
      <c r="E1684" s="21" t="str">
        <f>IF($B1684="إنتاج طبخة","",IFERROR(INDEX('بيانات الحركات'!E:E,MATCH(1683,'بيانات الحركات'!$G:$G,0)),""))</f>
        <v/>
      </c>
      <c r="F1684" s="3" t="str">
        <f>IFERROR(INDEX('بيانات الحركات'!F:F,MATCH(1683,'بيانات الحركات'!$G:$G,0)),"")</f>
        <v/>
      </c>
    </row>
    <row r="1685" spans="1:6" ht="21.95" customHeight="1">
      <c r="A1685" s="8" t="str">
        <f>IFERROR(INDEX('بيانات الحركات'!A:A,MATCH(1684,'بيانات الحركات'!$G:$G,0)),"")</f>
        <v/>
      </c>
      <c r="B1685" s="5" t="str">
        <f>IFERROR(INDEX('بيانات الحركات'!B:B,MATCH(1684,'بيانات الحركات'!$G:$G,0)),"")</f>
        <v/>
      </c>
      <c r="C1685" s="3" t="str">
        <f>IFERROR(INDEX('بيانات الحركات'!C:C,MATCH(1684,'بيانات الحركات'!$G:$G,0)),"")</f>
        <v/>
      </c>
      <c r="D1685" s="3" t="str">
        <f>IFERROR(INDEX('بيانات الحركات'!D:D,MATCH(1684,'بيانات الحركات'!$G:$G,0)),"")</f>
        <v/>
      </c>
      <c r="E1685" s="21" t="str">
        <f>IF($B1685="إنتاج طبخة","",IFERROR(INDEX('بيانات الحركات'!E:E,MATCH(1684,'بيانات الحركات'!$G:$G,0)),""))</f>
        <v/>
      </c>
      <c r="F1685" s="3" t="str">
        <f>IFERROR(INDEX('بيانات الحركات'!F:F,MATCH(1684,'بيانات الحركات'!$G:$G,0)),"")</f>
        <v/>
      </c>
    </row>
    <row r="1686" spans="1:6" ht="21.95" customHeight="1">
      <c r="A1686" s="8" t="str">
        <f>IFERROR(INDEX('بيانات الحركات'!A:A,MATCH(1685,'بيانات الحركات'!$G:$G,0)),"")</f>
        <v/>
      </c>
      <c r="B1686" s="5" t="str">
        <f>IFERROR(INDEX('بيانات الحركات'!B:B,MATCH(1685,'بيانات الحركات'!$G:$G,0)),"")</f>
        <v/>
      </c>
      <c r="C1686" s="3" t="str">
        <f>IFERROR(INDEX('بيانات الحركات'!C:C,MATCH(1685,'بيانات الحركات'!$G:$G,0)),"")</f>
        <v/>
      </c>
      <c r="D1686" s="3" t="str">
        <f>IFERROR(INDEX('بيانات الحركات'!D:D,MATCH(1685,'بيانات الحركات'!$G:$G,0)),"")</f>
        <v/>
      </c>
      <c r="E1686" s="21" t="str">
        <f>IF($B1686="إنتاج طبخة","",IFERROR(INDEX('بيانات الحركات'!E:E,MATCH(1685,'بيانات الحركات'!$G:$G,0)),""))</f>
        <v/>
      </c>
      <c r="F1686" s="3" t="str">
        <f>IFERROR(INDEX('بيانات الحركات'!F:F,MATCH(1685,'بيانات الحركات'!$G:$G,0)),"")</f>
        <v/>
      </c>
    </row>
    <row r="1687" spans="1:6" ht="21.95" customHeight="1">
      <c r="A1687" s="8" t="str">
        <f>IFERROR(INDEX('بيانات الحركات'!A:A,MATCH(1686,'بيانات الحركات'!$G:$G,0)),"")</f>
        <v/>
      </c>
      <c r="B1687" s="5" t="str">
        <f>IFERROR(INDEX('بيانات الحركات'!B:B,MATCH(1686,'بيانات الحركات'!$G:$G,0)),"")</f>
        <v/>
      </c>
      <c r="C1687" s="3" t="str">
        <f>IFERROR(INDEX('بيانات الحركات'!C:C,MATCH(1686,'بيانات الحركات'!$G:$G,0)),"")</f>
        <v/>
      </c>
      <c r="D1687" s="3" t="str">
        <f>IFERROR(INDEX('بيانات الحركات'!D:D,MATCH(1686,'بيانات الحركات'!$G:$G,0)),"")</f>
        <v/>
      </c>
      <c r="E1687" s="21" t="str">
        <f>IF($B1687="إنتاج طبخة","",IFERROR(INDEX('بيانات الحركات'!E:E,MATCH(1686,'بيانات الحركات'!$G:$G,0)),""))</f>
        <v/>
      </c>
      <c r="F1687" s="3" t="str">
        <f>IFERROR(INDEX('بيانات الحركات'!F:F,MATCH(1686,'بيانات الحركات'!$G:$G,0)),"")</f>
        <v/>
      </c>
    </row>
    <row r="1688" spans="1:6" ht="21.95" customHeight="1">
      <c r="A1688" s="8" t="str">
        <f>IFERROR(INDEX('بيانات الحركات'!A:A,MATCH(1687,'بيانات الحركات'!$G:$G,0)),"")</f>
        <v/>
      </c>
      <c r="B1688" s="5" t="str">
        <f>IFERROR(INDEX('بيانات الحركات'!B:B,MATCH(1687,'بيانات الحركات'!$G:$G,0)),"")</f>
        <v/>
      </c>
      <c r="C1688" s="3" t="str">
        <f>IFERROR(INDEX('بيانات الحركات'!C:C,MATCH(1687,'بيانات الحركات'!$G:$G,0)),"")</f>
        <v/>
      </c>
      <c r="D1688" s="3" t="str">
        <f>IFERROR(INDEX('بيانات الحركات'!D:D,MATCH(1687,'بيانات الحركات'!$G:$G,0)),"")</f>
        <v/>
      </c>
      <c r="E1688" s="21" t="str">
        <f>IF($B1688="إنتاج طبخة","",IFERROR(INDEX('بيانات الحركات'!E:E,MATCH(1687,'بيانات الحركات'!$G:$G,0)),""))</f>
        <v/>
      </c>
      <c r="F1688" s="3" t="str">
        <f>IFERROR(INDEX('بيانات الحركات'!F:F,MATCH(1687,'بيانات الحركات'!$G:$G,0)),"")</f>
        <v/>
      </c>
    </row>
    <row r="1689" spans="1:6" ht="21.95" customHeight="1">
      <c r="A1689" s="8" t="str">
        <f>IFERROR(INDEX('بيانات الحركات'!A:A,MATCH(1688,'بيانات الحركات'!$G:$G,0)),"")</f>
        <v/>
      </c>
      <c r="B1689" s="5" t="str">
        <f>IFERROR(INDEX('بيانات الحركات'!B:B,MATCH(1688,'بيانات الحركات'!$G:$G,0)),"")</f>
        <v/>
      </c>
      <c r="C1689" s="3" t="str">
        <f>IFERROR(INDEX('بيانات الحركات'!C:C,MATCH(1688,'بيانات الحركات'!$G:$G,0)),"")</f>
        <v/>
      </c>
      <c r="D1689" s="3" t="str">
        <f>IFERROR(INDEX('بيانات الحركات'!D:D,MATCH(1688,'بيانات الحركات'!$G:$G,0)),"")</f>
        <v/>
      </c>
      <c r="E1689" s="21" t="str">
        <f>IF($B1689="إنتاج طبخة","",IFERROR(INDEX('بيانات الحركات'!E:E,MATCH(1688,'بيانات الحركات'!$G:$G,0)),""))</f>
        <v/>
      </c>
      <c r="F1689" s="3" t="str">
        <f>IFERROR(INDEX('بيانات الحركات'!F:F,MATCH(1688,'بيانات الحركات'!$G:$G,0)),"")</f>
        <v/>
      </c>
    </row>
    <row r="1690" spans="1:6" ht="21.95" customHeight="1">
      <c r="A1690" s="8" t="str">
        <f>IFERROR(INDEX('بيانات الحركات'!A:A,MATCH(1689,'بيانات الحركات'!$G:$G,0)),"")</f>
        <v/>
      </c>
      <c r="B1690" s="5" t="str">
        <f>IFERROR(INDEX('بيانات الحركات'!B:B,MATCH(1689,'بيانات الحركات'!$G:$G,0)),"")</f>
        <v/>
      </c>
      <c r="C1690" s="3" t="str">
        <f>IFERROR(INDEX('بيانات الحركات'!C:C,MATCH(1689,'بيانات الحركات'!$G:$G,0)),"")</f>
        <v/>
      </c>
      <c r="D1690" s="3" t="str">
        <f>IFERROR(INDEX('بيانات الحركات'!D:D,MATCH(1689,'بيانات الحركات'!$G:$G,0)),"")</f>
        <v/>
      </c>
      <c r="E1690" s="21" t="str">
        <f>IF($B1690="إنتاج طبخة","",IFERROR(INDEX('بيانات الحركات'!E:E,MATCH(1689,'بيانات الحركات'!$G:$G,0)),""))</f>
        <v/>
      </c>
      <c r="F1690" s="3" t="str">
        <f>IFERROR(INDEX('بيانات الحركات'!F:F,MATCH(1689,'بيانات الحركات'!$G:$G,0)),"")</f>
        <v/>
      </c>
    </row>
    <row r="1691" spans="1:6" ht="21.95" customHeight="1">
      <c r="A1691" s="8" t="str">
        <f>IFERROR(INDEX('بيانات الحركات'!A:A,MATCH(1690,'بيانات الحركات'!$G:$G,0)),"")</f>
        <v/>
      </c>
      <c r="B1691" s="5" t="str">
        <f>IFERROR(INDEX('بيانات الحركات'!B:B,MATCH(1690,'بيانات الحركات'!$G:$G,0)),"")</f>
        <v/>
      </c>
      <c r="C1691" s="3" t="str">
        <f>IFERROR(INDEX('بيانات الحركات'!C:C,MATCH(1690,'بيانات الحركات'!$G:$G,0)),"")</f>
        <v/>
      </c>
      <c r="D1691" s="3" t="str">
        <f>IFERROR(INDEX('بيانات الحركات'!D:D,MATCH(1690,'بيانات الحركات'!$G:$G,0)),"")</f>
        <v/>
      </c>
      <c r="E1691" s="21" t="str">
        <f>IF($B1691="إنتاج طبخة","",IFERROR(INDEX('بيانات الحركات'!E:E,MATCH(1690,'بيانات الحركات'!$G:$G,0)),""))</f>
        <v/>
      </c>
      <c r="F1691" s="3" t="str">
        <f>IFERROR(INDEX('بيانات الحركات'!F:F,MATCH(1690,'بيانات الحركات'!$G:$G,0)),"")</f>
        <v/>
      </c>
    </row>
    <row r="1692" spans="1:6" ht="21.95" customHeight="1">
      <c r="A1692" s="8" t="str">
        <f>IFERROR(INDEX('بيانات الحركات'!A:A,MATCH(1691,'بيانات الحركات'!$G:$G,0)),"")</f>
        <v/>
      </c>
      <c r="B1692" s="5" t="str">
        <f>IFERROR(INDEX('بيانات الحركات'!B:B,MATCH(1691,'بيانات الحركات'!$G:$G,0)),"")</f>
        <v/>
      </c>
      <c r="C1692" s="3" t="str">
        <f>IFERROR(INDEX('بيانات الحركات'!C:C,MATCH(1691,'بيانات الحركات'!$G:$G,0)),"")</f>
        <v/>
      </c>
      <c r="D1692" s="3" t="str">
        <f>IFERROR(INDEX('بيانات الحركات'!D:D,MATCH(1691,'بيانات الحركات'!$G:$G,0)),"")</f>
        <v/>
      </c>
      <c r="E1692" s="21" t="str">
        <f>IF($B1692="إنتاج طبخة","",IFERROR(INDEX('بيانات الحركات'!E:E,MATCH(1691,'بيانات الحركات'!$G:$G,0)),""))</f>
        <v/>
      </c>
      <c r="F1692" s="3" t="str">
        <f>IFERROR(INDEX('بيانات الحركات'!F:F,MATCH(1691,'بيانات الحركات'!$G:$G,0)),"")</f>
        <v/>
      </c>
    </row>
    <row r="1693" spans="1:6" ht="21.95" customHeight="1">
      <c r="A1693" s="8" t="str">
        <f>IFERROR(INDEX('بيانات الحركات'!A:A,MATCH(1692,'بيانات الحركات'!$G:$G,0)),"")</f>
        <v/>
      </c>
      <c r="B1693" s="5" t="str">
        <f>IFERROR(INDEX('بيانات الحركات'!B:B,MATCH(1692,'بيانات الحركات'!$G:$G,0)),"")</f>
        <v/>
      </c>
      <c r="C1693" s="3" t="str">
        <f>IFERROR(INDEX('بيانات الحركات'!C:C,MATCH(1692,'بيانات الحركات'!$G:$G,0)),"")</f>
        <v/>
      </c>
      <c r="D1693" s="3" t="str">
        <f>IFERROR(INDEX('بيانات الحركات'!D:D,MATCH(1692,'بيانات الحركات'!$G:$G,0)),"")</f>
        <v/>
      </c>
      <c r="E1693" s="21" t="str">
        <f>IF($B1693="إنتاج طبخة","",IFERROR(INDEX('بيانات الحركات'!E:E,MATCH(1692,'بيانات الحركات'!$G:$G,0)),""))</f>
        <v/>
      </c>
      <c r="F1693" s="3" t="str">
        <f>IFERROR(INDEX('بيانات الحركات'!F:F,MATCH(1692,'بيانات الحركات'!$G:$G,0)),"")</f>
        <v/>
      </c>
    </row>
    <row r="1694" spans="1:6" ht="21.95" customHeight="1">
      <c r="A1694" s="8" t="str">
        <f>IFERROR(INDEX('بيانات الحركات'!A:A,MATCH(1693,'بيانات الحركات'!$G:$G,0)),"")</f>
        <v/>
      </c>
      <c r="B1694" s="5" t="str">
        <f>IFERROR(INDEX('بيانات الحركات'!B:B,MATCH(1693,'بيانات الحركات'!$G:$G,0)),"")</f>
        <v/>
      </c>
      <c r="C1694" s="3" t="str">
        <f>IFERROR(INDEX('بيانات الحركات'!C:C,MATCH(1693,'بيانات الحركات'!$G:$G,0)),"")</f>
        <v/>
      </c>
      <c r="D1694" s="3" t="str">
        <f>IFERROR(INDEX('بيانات الحركات'!D:D,MATCH(1693,'بيانات الحركات'!$G:$G,0)),"")</f>
        <v/>
      </c>
      <c r="E1694" s="21" t="str">
        <f>IF($B1694="إنتاج طبخة","",IFERROR(INDEX('بيانات الحركات'!E:E,MATCH(1693,'بيانات الحركات'!$G:$G,0)),""))</f>
        <v/>
      </c>
      <c r="F1694" s="3" t="str">
        <f>IFERROR(INDEX('بيانات الحركات'!F:F,MATCH(1693,'بيانات الحركات'!$G:$G,0)),"")</f>
        <v/>
      </c>
    </row>
    <row r="1695" spans="1:6" ht="21.95" customHeight="1">
      <c r="A1695" s="8" t="str">
        <f>IFERROR(INDEX('بيانات الحركات'!A:A,MATCH(1694,'بيانات الحركات'!$G:$G,0)),"")</f>
        <v/>
      </c>
      <c r="B1695" s="5" t="str">
        <f>IFERROR(INDEX('بيانات الحركات'!B:B,MATCH(1694,'بيانات الحركات'!$G:$G,0)),"")</f>
        <v/>
      </c>
      <c r="C1695" s="3" t="str">
        <f>IFERROR(INDEX('بيانات الحركات'!C:C,MATCH(1694,'بيانات الحركات'!$G:$G,0)),"")</f>
        <v/>
      </c>
      <c r="D1695" s="3" t="str">
        <f>IFERROR(INDEX('بيانات الحركات'!D:D,MATCH(1694,'بيانات الحركات'!$G:$G,0)),"")</f>
        <v/>
      </c>
      <c r="E1695" s="21" t="str">
        <f>IF($B1695="إنتاج طبخة","",IFERROR(INDEX('بيانات الحركات'!E:E,MATCH(1694,'بيانات الحركات'!$G:$G,0)),""))</f>
        <v/>
      </c>
      <c r="F1695" s="3" t="str">
        <f>IFERROR(INDEX('بيانات الحركات'!F:F,MATCH(1694,'بيانات الحركات'!$G:$G,0)),"")</f>
        <v/>
      </c>
    </row>
    <row r="1696" spans="1:6" ht="21.95" customHeight="1">
      <c r="A1696" s="8" t="str">
        <f>IFERROR(INDEX('بيانات الحركات'!A:A,MATCH(1695,'بيانات الحركات'!$G:$G,0)),"")</f>
        <v/>
      </c>
      <c r="B1696" s="5" t="str">
        <f>IFERROR(INDEX('بيانات الحركات'!B:B,MATCH(1695,'بيانات الحركات'!$G:$G,0)),"")</f>
        <v/>
      </c>
      <c r="C1696" s="3" t="str">
        <f>IFERROR(INDEX('بيانات الحركات'!C:C,MATCH(1695,'بيانات الحركات'!$G:$G,0)),"")</f>
        <v/>
      </c>
      <c r="D1696" s="3" t="str">
        <f>IFERROR(INDEX('بيانات الحركات'!D:D,MATCH(1695,'بيانات الحركات'!$G:$G,0)),"")</f>
        <v/>
      </c>
      <c r="E1696" s="21" t="str">
        <f>IF($B1696="إنتاج طبخة","",IFERROR(INDEX('بيانات الحركات'!E:E,MATCH(1695,'بيانات الحركات'!$G:$G,0)),""))</f>
        <v/>
      </c>
      <c r="F1696" s="3" t="str">
        <f>IFERROR(INDEX('بيانات الحركات'!F:F,MATCH(1695,'بيانات الحركات'!$G:$G,0)),"")</f>
        <v/>
      </c>
    </row>
    <row r="1697" spans="1:6" ht="21.95" customHeight="1">
      <c r="A1697" s="8" t="str">
        <f>IFERROR(INDEX('بيانات الحركات'!A:A,MATCH(1696,'بيانات الحركات'!$G:$G,0)),"")</f>
        <v/>
      </c>
      <c r="B1697" s="5" t="str">
        <f>IFERROR(INDEX('بيانات الحركات'!B:B,MATCH(1696,'بيانات الحركات'!$G:$G,0)),"")</f>
        <v/>
      </c>
      <c r="C1697" s="3" t="str">
        <f>IFERROR(INDEX('بيانات الحركات'!C:C,MATCH(1696,'بيانات الحركات'!$G:$G,0)),"")</f>
        <v/>
      </c>
      <c r="D1697" s="3" t="str">
        <f>IFERROR(INDEX('بيانات الحركات'!D:D,MATCH(1696,'بيانات الحركات'!$G:$G,0)),"")</f>
        <v/>
      </c>
      <c r="E1697" s="21" t="str">
        <f>IF($B1697="إنتاج طبخة","",IFERROR(INDEX('بيانات الحركات'!E:E,MATCH(1696,'بيانات الحركات'!$G:$G,0)),""))</f>
        <v/>
      </c>
      <c r="F1697" s="3" t="str">
        <f>IFERROR(INDEX('بيانات الحركات'!F:F,MATCH(1696,'بيانات الحركات'!$G:$G,0)),"")</f>
        <v/>
      </c>
    </row>
    <row r="1698" spans="1:6" ht="21.95" customHeight="1">
      <c r="A1698" s="8" t="str">
        <f>IFERROR(INDEX('بيانات الحركات'!A:A,MATCH(1697,'بيانات الحركات'!$G:$G,0)),"")</f>
        <v/>
      </c>
      <c r="B1698" s="5" t="str">
        <f>IFERROR(INDEX('بيانات الحركات'!B:B,MATCH(1697,'بيانات الحركات'!$G:$G,0)),"")</f>
        <v/>
      </c>
      <c r="C1698" s="3" t="str">
        <f>IFERROR(INDEX('بيانات الحركات'!C:C,MATCH(1697,'بيانات الحركات'!$G:$G,0)),"")</f>
        <v/>
      </c>
      <c r="D1698" s="3" t="str">
        <f>IFERROR(INDEX('بيانات الحركات'!D:D,MATCH(1697,'بيانات الحركات'!$G:$G,0)),"")</f>
        <v/>
      </c>
      <c r="E1698" s="21" t="str">
        <f>IF($B1698="إنتاج طبخة","",IFERROR(INDEX('بيانات الحركات'!E:E,MATCH(1697,'بيانات الحركات'!$G:$G,0)),""))</f>
        <v/>
      </c>
      <c r="F1698" s="3" t="str">
        <f>IFERROR(INDEX('بيانات الحركات'!F:F,MATCH(1697,'بيانات الحركات'!$G:$G,0)),"")</f>
        <v/>
      </c>
    </row>
    <row r="1699" spans="1:6" ht="21.95" customHeight="1">
      <c r="A1699" s="8" t="str">
        <f>IFERROR(INDEX('بيانات الحركات'!A:A,MATCH(1698,'بيانات الحركات'!$G:$G,0)),"")</f>
        <v/>
      </c>
      <c r="B1699" s="5" t="str">
        <f>IFERROR(INDEX('بيانات الحركات'!B:B,MATCH(1698,'بيانات الحركات'!$G:$G,0)),"")</f>
        <v/>
      </c>
      <c r="C1699" s="3" t="str">
        <f>IFERROR(INDEX('بيانات الحركات'!C:C,MATCH(1698,'بيانات الحركات'!$G:$G,0)),"")</f>
        <v/>
      </c>
      <c r="D1699" s="3" t="str">
        <f>IFERROR(INDEX('بيانات الحركات'!D:D,MATCH(1698,'بيانات الحركات'!$G:$G,0)),"")</f>
        <v/>
      </c>
      <c r="E1699" s="21" t="str">
        <f>IF($B1699="إنتاج طبخة","",IFERROR(INDEX('بيانات الحركات'!E:E,MATCH(1698,'بيانات الحركات'!$G:$G,0)),""))</f>
        <v/>
      </c>
      <c r="F1699" s="3" t="str">
        <f>IFERROR(INDEX('بيانات الحركات'!F:F,MATCH(1698,'بيانات الحركات'!$G:$G,0)),"")</f>
        <v/>
      </c>
    </row>
    <row r="1700" spans="1:6" ht="21.95" customHeight="1">
      <c r="A1700" s="8" t="str">
        <f>IFERROR(INDEX('بيانات الحركات'!A:A,MATCH(1699,'بيانات الحركات'!$G:$G,0)),"")</f>
        <v/>
      </c>
      <c r="B1700" s="5" t="str">
        <f>IFERROR(INDEX('بيانات الحركات'!B:B,MATCH(1699,'بيانات الحركات'!$G:$G,0)),"")</f>
        <v/>
      </c>
      <c r="C1700" s="3" t="str">
        <f>IFERROR(INDEX('بيانات الحركات'!C:C,MATCH(1699,'بيانات الحركات'!$G:$G,0)),"")</f>
        <v/>
      </c>
      <c r="D1700" s="3" t="str">
        <f>IFERROR(INDEX('بيانات الحركات'!D:D,MATCH(1699,'بيانات الحركات'!$G:$G,0)),"")</f>
        <v/>
      </c>
      <c r="E1700" s="21" t="str">
        <f>IF($B1700="إنتاج طبخة","",IFERROR(INDEX('بيانات الحركات'!E:E,MATCH(1699,'بيانات الحركات'!$G:$G,0)),""))</f>
        <v/>
      </c>
      <c r="F1700" s="3" t="str">
        <f>IFERROR(INDEX('بيانات الحركات'!F:F,MATCH(1699,'بيانات الحركات'!$G:$G,0)),"")</f>
        <v/>
      </c>
    </row>
    <row r="1701" spans="1:6" ht="21.95" customHeight="1">
      <c r="A1701" s="8" t="str">
        <f>IFERROR(INDEX('بيانات الحركات'!A:A,MATCH(1700,'بيانات الحركات'!$G:$G,0)),"")</f>
        <v/>
      </c>
      <c r="B1701" s="5" t="str">
        <f>IFERROR(INDEX('بيانات الحركات'!B:B,MATCH(1700,'بيانات الحركات'!$G:$G,0)),"")</f>
        <v/>
      </c>
      <c r="C1701" s="3" t="str">
        <f>IFERROR(INDEX('بيانات الحركات'!C:C,MATCH(1700,'بيانات الحركات'!$G:$G,0)),"")</f>
        <v/>
      </c>
      <c r="D1701" s="3" t="str">
        <f>IFERROR(INDEX('بيانات الحركات'!D:D,MATCH(1700,'بيانات الحركات'!$G:$G,0)),"")</f>
        <v/>
      </c>
      <c r="E1701" s="21" t="str">
        <f>IF($B1701="إنتاج طبخة","",IFERROR(INDEX('بيانات الحركات'!E:E,MATCH(1700,'بيانات الحركات'!$G:$G,0)),""))</f>
        <v/>
      </c>
      <c r="F1701" s="3" t="str">
        <f>IFERROR(INDEX('بيانات الحركات'!F:F,MATCH(1700,'بيانات الحركات'!$G:$G,0)),"")</f>
        <v/>
      </c>
    </row>
    <row r="1702" spans="1:6" ht="21.95" customHeight="1">
      <c r="A1702" s="8" t="str">
        <f>IFERROR(INDEX('بيانات الحركات'!A:A,MATCH(1701,'بيانات الحركات'!$G:$G,0)),"")</f>
        <v/>
      </c>
      <c r="B1702" s="5" t="str">
        <f>IFERROR(INDEX('بيانات الحركات'!B:B,MATCH(1701,'بيانات الحركات'!$G:$G,0)),"")</f>
        <v/>
      </c>
      <c r="C1702" s="3" t="str">
        <f>IFERROR(INDEX('بيانات الحركات'!C:C,MATCH(1701,'بيانات الحركات'!$G:$G,0)),"")</f>
        <v/>
      </c>
      <c r="D1702" s="3" t="str">
        <f>IFERROR(INDEX('بيانات الحركات'!D:D,MATCH(1701,'بيانات الحركات'!$G:$G,0)),"")</f>
        <v/>
      </c>
      <c r="E1702" s="21" t="str">
        <f>IF($B1702="إنتاج طبخة","",IFERROR(INDEX('بيانات الحركات'!E:E,MATCH(1701,'بيانات الحركات'!$G:$G,0)),""))</f>
        <v/>
      </c>
      <c r="F1702" s="3" t="str">
        <f>IFERROR(INDEX('بيانات الحركات'!F:F,MATCH(1701,'بيانات الحركات'!$G:$G,0)),"")</f>
        <v/>
      </c>
    </row>
    <row r="1703" spans="1:6" ht="21.95" customHeight="1">
      <c r="A1703" s="8" t="str">
        <f>IFERROR(INDEX('بيانات الحركات'!A:A,MATCH(1702,'بيانات الحركات'!$G:$G,0)),"")</f>
        <v/>
      </c>
      <c r="B1703" s="5" t="str">
        <f>IFERROR(INDEX('بيانات الحركات'!B:B,MATCH(1702,'بيانات الحركات'!$G:$G,0)),"")</f>
        <v/>
      </c>
      <c r="C1703" s="3" t="str">
        <f>IFERROR(INDEX('بيانات الحركات'!C:C,MATCH(1702,'بيانات الحركات'!$G:$G,0)),"")</f>
        <v/>
      </c>
      <c r="D1703" s="3" t="str">
        <f>IFERROR(INDEX('بيانات الحركات'!D:D,MATCH(1702,'بيانات الحركات'!$G:$G,0)),"")</f>
        <v/>
      </c>
      <c r="E1703" s="21" t="str">
        <f>IF($B1703="إنتاج طبخة","",IFERROR(INDEX('بيانات الحركات'!E:E,MATCH(1702,'بيانات الحركات'!$G:$G,0)),""))</f>
        <v/>
      </c>
      <c r="F1703" s="3" t="str">
        <f>IFERROR(INDEX('بيانات الحركات'!F:F,MATCH(1702,'بيانات الحركات'!$G:$G,0)),"")</f>
        <v/>
      </c>
    </row>
    <row r="1704" spans="1:6" ht="21.95" customHeight="1">
      <c r="A1704" s="8" t="str">
        <f>IFERROR(INDEX('بيانات الحركات'!A:A,MATCH(1703,'بيانات الحركات'!$G:$G,0)),"")</f>
        <v/>
      </c>
      <c r="B1704" s="5" t="str">
        <f>IFERROR(INDEX('بيانات الحركات'!B:B,MATCH(1703,'بيانات الحركات'!$G:$G,0)),"")</f>
        <v/>
      </c>
      <c r="C1704" s="3" t="str">
        <f>IFERROR(INDEX('بيانات الحركات'!C:C,MATCH(1703,'بيانات الحركات'!$G:$G,0)),"")</f>
        <v/>
      </c>
      <c r="D1704" s="3" t="str">
        <f>IFERROR(INDEX('بيانات الحركات'!D:D,MATCH(1703,'بيانات الحركات'!$G:$G,0)),"")</f>
        <v/>
      </c>
      <c r="E1704" s="21" t="str">
        <f>IF($B1704="إنتاج طبخة","",IFERROR(INDEX('بيانات الحركات'!E:E,MATCH(1703,'بيانات الحركات'!$G:$G,0)),""))</f>
        <v/>
      </c>
      <c r="F1704" s="3" t="str">
        <f>IFERROR(INDEX('بيانات الحركات'!F:F,MATCH(1703,'بيانات الحركات'!$G:$G,0)),"")</f>
        <v/>
      </c>
    </row>
    <row r="1705" spans="1:6" ht="21.95" customHeight="1">
      <c r="A1705" s="8" t="str">
        <f>IFERROR(INDEX('بيانات الحركات'!A:A,MATCH(1704,'بيانات الحركات'!$G:$G,0)),"")</f>
        <v/>
      </c>
      <c r="B1705" s="5" t="str">
        <f>IFERROR(INDEX('بيانات الحركات'!B:B,MATCH(1704,'بيانات الحركات'!$G:$G,0)),"")</f>
        <v/>
      </c>
      <c r="C1705" s="3" t="str">
        <f>IFERROR(INDEX('بيانات الحركات'!C:C,MATCH(1704,'بيانات الحركات'!$G:$G,0)),"")</f>
        <v/>
      </c>
      <c r="D1705" s="3" t="str">
        <f>IFERROR(INDEX('بيانات الحركات'!D:D,MATCH(1704,'بيانات الحركات'!$G:$G,0)),"")</f>
        <v/>
      </c>
      <c r="E1705" s="21" t="str">
        <f>IF($B1705="إنتاج طبخة","",IFERROR(INDEX('بيانات الحركات'!E:E,MATCH(1704,'بيانات الحركات'!$G:$G,0)),""))</f>
        <v/>
      </c>
      <c r="F1705" s="3" t="str">
        <f>IFERROR(INDEX('بيانات الحركات'!F:F,MATCH(1704,'بيانات الحركات'!$G:$G,0)),"")</f>
        <v/>
      </c>
    </row>
    <row r="1706" spans="1:6" ht="21.95" customHeight="1">
      <c r="A1706" s="8" t="str">
        <f>IFERROR(INDEX('بيانات الحركات'!A:A,MATCH(1705,'بيانات الحركات'!$G:$G,0)),"")</f>
        <v/>
      </c>
      <c r="B1706" s="5" t="str">
        <f>IFERROR(INDEX('بيانات الحركات'!B:B,MATCH(1705,'بيانات الحركات'!$G:$G,0)),"")</f>
        <v/>
      </c>
      <c r="C1706" s="3" t="str">
        <f>IFERROR(INDEX('بيانات الحركات'!C:C,MATCH(1705,'بيانات الحركات'!$G:$G,0)),"")</f>
        <v/>
      </c>
      <c r="D1706" s="3" t="str">
        <f>IFERROR(INDEX('بيانات الحركات'!D:D,MATCH(1705,'بيانات الحركات'!$G:$G,0)),"")</f>
        <v/>
      </c>
      <c r="E1706" s="21" t="str">
        <f>IF($B1706="إنتاج طبخة","",IFERROR(INDEX('بيانات الحركات'!E:E,MATCH(1705,'بيانات الحركات'!$G:$G,0)),""))</f>
        <v/>
      </c>
      <c r="F1706" s="3" t="str">
        <f>IFERROR(INDEX('بيانات الحركات'!F:F,MATCH(1705,'بيانات الحركات'!$G:$G,0)),"")</f>
        <v/>
      </c>
    </row>
    <row r="1707" spans="1:6" ht="21.95" customHeight="1">
      <c r="A1707" s="8" t="str">
        <f>IFERROR(INDEX('بيانات الحركات'!A:A,MATCH(1706,'بيانات الحركات'!$G:$G,0)),"")</f>
        <v/>
      </c>
      <c r="B1707" s="5" t="str">
        <f>IFERROR(INDEX('بيانات الحركات'!B:B,MATCH(1706,'بيانات الحركات'!$G:$G,0)),"")</f>
        <v/>
      </c>
      <c r="C1707" s="3" t="str">
        <f>IFERROR(INDEX('بيانات الحركات'!C:C,MATCH(1706,'بيانات الحركات'!$G:$G,0)),"")</f>
        <v/>
      </c>
      <c r="D1707" s="3" t="str">
        <f>IFERROR(INDEX('بيانات الحركات'!D:D,MATCH(1706,'بيانات الحركات'!$G:$G,0)),"")</f>
        <v/>
      </c>
      <c r="E1707" s="21" t="str">
        <f>IF($B1707="إنتاج طبخة","",IFERROR(INDEX('بيانات الحركات'!E:E,MATCH(1706,'بيانات الحركات'!$G:$G,0)),""))</f>
        <v/>
      </c>
      <c r="F1707" s="3" t="str">
        <f>IFERROR(INDEX('بيانات الحركات'!F:F,MATCH(1706,'بيانات الحركات'!$G:$G,0)),"")</f>
        <v/>
      </c>
    </row>
    <row r="1708" spans="1:6" ht="21.95" customHeight="1">
      <c r="A1708" s="8" t="str">
        <f>IFERROR(INDEX('بيانات الحركات'!A:A,MATCH(1707,'بيانات الحركات'!$G:$G,0)),"")</f>
        <v/>
      </c>
      <c r="B1708" s="5" t="str">
        <f>IFERROR(INDEX('بيانات الحركات'!B:B,MATCH(1707,'بيانات الحركات'!$G:$G,0)),"")</f>
        <v/>
      </c>
      <c r="C1708" s="3" t="str">
        <f>IFERROR(INDEX('بيانات الحركات'!C:C,MATCH(1707,'بيانات الحركات'!$G:$G,0)),"")</f>
        <v/>
      </c>
      <c r="D1708" s="3" t="str">
        <f>IFERROR(INDEX('بيانات الحركات'!D:D,MATCH(1707,'بيانات الحركات'!$G:$G,0)),"")</f>
        <v/>
      </c>
      <c r="E1708" s="21" t="str">
        <f>IF($B1708="إنتاج طبخة","",IFERROR(INDEX('بيانات الحركات'!E:E,MATCH(1707,'بيانات الحركات'!$G:$G,0)),""))</f>
        <v/>
      </c>
      <c r="F1708" s="3" t="str">
        <f>IFERROR(INDEX('بيانات الحركات'!F:F,MATCH(1707,'بيانات الحركات'!$G:$G,0)),"")</f>
        <v/>
      </c>
    </row>
    <row r="1709" spans="1:6" ht="21.95" customHeight="1">
      <c r="A1709" s="8" t="str">
        <f>IFERROR(INDEX('بيانات الحركات'!A:A,MATCH(1708,'بيانات الحركات'!$G:$G,0)),"")</f>
        <v/>
      </c>
      <c r="B1709" s="5" t="str">
        <f>IFERROR(INDEX('بيانات الحركات'!B:B,MATCH(1708,'بيانات الحركات'!$G:$G,0)),"")</f>
        <v/>
      </c>
      <c r="C1709" s="3" t="str">
        <f>IFERROR(INDEX('بيانات الحركات'!C:C,MATCH(1708,'بيانات الحركات'!$G:$G,0)),"")</f>
        <v/>
      </c>
      <c r="D1709" s="3" t="str">
        <f>IFERROR(INDEX('بيانات الحركات'!D:D,MATCH(1708,'بيانات الحركات'!$G:$G,0)),"")</f>
        <v/>
      </c>
      <c r="E1709" s="21" t="str">
        <f>IF($B1709="إنتاج طبخة","",IFERROR(INDEX('بيانات الحركات'!E:E,MATCH(1708,'بيانات الحركات'!$G:$G,0)),""))</f>
        <v/>
      </c>
      <c r="F1709" s="3" t="str">
        <f>IFERROR(INDEX('بيانات الحركات'!F:F,MATCH(1708,'بيانات الحركات'!$G:$G,0)),"")</f>
        <v/>
      </c>
    </row>
    <row r="1710" spans="1:6" ht="21.95" customHeight="1">
      <c r="A1710" s="8" t="str">
        <f>IFERROR(INDEX('بيانات الحركات'!A:A,MATCH(1709,'بيانات الحركات'!$G:$G,0)),"")</f>
        <v/>
      </c>
      <c r="B1710" s="5" t="str">
        <f>IFERROR(INDEX('بيانات الحركات'!B:B,MATCH(1709,'بيانات الحركات'!$G:$G,0)),"")</f>
        <v/>
      </c>
      <c r="C1710" s="3" t="str">
        <f>IFERROR(INDEX('بيانات الحركات'!C:C,MATCH(1709,'بيانات الحركات'!$G:$G,0)),"")</f>
        <v/>
      </c>
      <c r="D1710" s="3" t="str">
        <f>IFERROR(INDEX('بيانات الحركات'!D:D,MATCH(1709,'بيانات الحركات'!$G:$G,0)),"")</f>
        <v/>
      </c>
      <c r="E1710" s="21" t="str">
        <f>IF($B1710="إنتاج طبخة","",IFERROR(INDEX('بيانات الحركات'!E:E,MATCH(1709,'بيانات الحركات'!$G:$G,0)),""))</f>
        <v/>
      </c>
      <c r="F1710" s="3" t="str">
        <f>IFERROR(INDEX('بيانات الحركات'!F:F,MATCH(1709,'بيانات الحركات'!$G:$G,0)),"")</f>
        <v/>
      </c>
    </row>
    <row r="1711" spans="1:6" ht="21.95" customHeight="1">
      <c r="A1711" s="8" t="str">
        <f>IFERROR(INDEX('بيانات الحركات'!A:A,MATCH(1710,'بيانات الحركات'!$G:$G,0)),"")</f>
        <v/>
      </c>
      <c r="B1711" s="5" t="str">
        <f>IFERROR(INDEX('بيانات الحركات'!B:B,MATCH(1710,'بيانات الحركات'!$G:$G,0)),"")</f>
        <v/>
      </c>
      <c r="C1711" s="3" t="str">
        <f>IFERROR(INDEX('بيانات الحركات'!C:C,MATCH(1710,'بيانات الحركات'!$G:$G,0)),"")</f>
        <v/>
      </c>
      <c r="D1711" s="3" t="str">
        <f>IFERROR(INDEX('بيانات الحركات'!D:D,MATCH(1710,'بيانات الحركات'!$G:$G,0)),"")</f>
        <v/>
      </c>
      <c r="E1711" s="21" t="str">
        <f>IF($B1711="إنتاج طبخة","",IFERROR(INDEX('بيانات الحركات'!E:E,MATCH(1710,'بيانات الحركات'!$G:$G,0)),""))</f>
        <v/>
      </c>
      <c r="F1711" s="3" t="str">
        <f>IFERROR(INDEX('بيانات الحركات'!F:F,MATCH(1710,'بيانات الحركات'!$G:$G,0)),"")</f>
        <v/>
      </c>
    </row>
    <row r="1712" spans="1:6" ht="21.95" customHeight="1">
      <c r="A1712" s="8" t="str">
        <f>IFERROR(INDEX('بيانات الحركات'!A:A,MATCH(1711,'بيانات الحركات'!$G:$G,0)),"")</f>
        <v/>
      </c>
      <c r="B1712" s="5" t="str">
        <f>IFERROR(INDEX('بيانات الحركات'!B:B,MATCH(1711,'بيانات الحركات'!$G:$G,0)),"")</f>
        <v/>
      </c>
      <c r="C1712" s="3" t="str">
        <f>IFERROR(INDEX('بيانات الحركات'!C:C,MATCH(1711,'بيانات الحركات'!$G:$G,0)),"")</f>
        <v/>
      </c>
      <c r="D1712" s="3" t="str">
        <f>IFERROR(INDEX('بيانات الحركات'!D:D,MATCH(1711,'بيانات الحركات'!$G:$G,0)),"")</f>
        <v/>
      </c>
      <c r="E1712" s="21" t="str">
        <f>IF($B1712="إنتاج طبخة","",IFERROR(INDEX('بيانات الحركات'!E:E,MATCH(1711,'بيانات الحركات'!$G:$G,0)),""))</f>
        <v/>
      </c>
      <c r="F1712" s="3" t="str">
        <f>IFERROR(INDEX('بيانات الحركات'!F:F,MATCH(1711,'بيانات الحركات'!$G:$G,0)),"")</f>
        <v/>
      </c>
    </row>
    <row r="1713" spans="1:6" ht="21.95" customHeight="1">
      <c r="A1713" s="8" t="str">
        <f>IFERROR(INDEX('بيانات الحركات'!A:A,MATCH(1712,'بيانات الحركات'!$G:$G,0)),"")</f>
        <v/>
      </c>
      <c r="B1713" s="5" t="str">
        <f>IFERROR(INDEX('بيانات الحركات'!B:B,MATCH(1712,'بيانات الحركات'!$G:$G,0)),"")</f>
        <v/>
      </c>
      <c r="C1713" s="3" t="str">
        <f>IFERROR(INDEX('بيانات الحركات'!C:C,MATCH(1712,'بيانات الحركات'!$G:$G,0)),"")</f>
        <v/>
      </c>
      <c r="D1713" s="3" t="str">
        <f>IFERROR(INDEX('بيانات الحركات'!D:D,MATCH(1712,'بيانات الحركات'!$G:$G,0)),"")</f>
        <v/>
      </c>
      <c r="E1713" s="21" t="str">
        <f>IF($B1713="إنتاج طبخة","",IFERROR(INDEX('بيانات الحركات'!E:E,MATCH(1712,'بيانات الحركات'!$G:$G,0)),""))</f>
        <v/>
      </c>
      <c r="F1713" s="3" t="str">
        <f>IFERROR(INDEX('بيانات الحركات'!F:F,MATCH(1712,'بيانات الحركات'!$G:$G,0)),"")</f>
        <v/>
      </c>
    </row>
    <row r="1714" spans="1:6" ht="21.95" customHeight="1">
      <c r="A1714" s="8" t="str">
        <f>IFERROR(INDEX('بيانات الحركات'!A:A,MATCH(1713,'بيانات الحركات'!$G:$G,0)),"")</f>
        <v/>
      </c>
      <c r="B1714" s="5" t="str">
        <f>IFERROR(INDEX('بيانات الحركات'!B:B,MATCH(1713,'بيانات الحركات'!$G:$G,0)),"")</f>
        <v/>
      </c>
      <c r="C1714" s="3" t="str">
        <f>IFERROR(INDEX('بيانات الحركات'!C:C,MATCH(1713,'بيانات الحركات'!$G:$G,0)),"")</f>
        <v/>
      </c>
      <c r="D1714" s="3" t="str">
        <f>IFERROR(INDEX('بيانات الحركات'!D:D,MATCH(1713,'بيانات الحركات'!$G:$G,0)),"")</f>
        <v/>
      </c>
      <c r="E1714" s="21" t="str">
        <f>IF($B1714="إنتاج طبخة","",IFERROR(INDEX('بيانات الحركات'!E:E,MATCH(1713,'بيانات الحركات'!$G:$G,0)),""))</f>
        <v/>
      </c>
      <c r="F1714" s="3" t="str">
        <f>IFERROR(INDEX('بيانات الحركات'!F:F,MATCH(1713,'بيانات الحركات'!$G:$G,0)),"")</f>
        <v/>
      </c>
    </row>
    <row r="1715" spans="1:6" ht="21.95" customHeight="1">
      <c r="A1715" s="8" t="str">
        <f>IFERROR(INDEX('بيانات الحركات'!A:A,MATCH(1714,'بيانات الحركات'!$G:$G,0)),"")</f>
        <v/>
      </c>
      <c r="B1715" s="5" t="str">
        <f>IFERROR(INDEX('بيانات الحركات'!B:B,MATCH(1714,'بيانات الحركات'!$G:$G,0)),"")</f>
        <v/>
      </c>
      <c r="C1715" s="3" t="str">
        <f>IFERROR(INDEX('بيانات الحركات'!C:C,MATCH(1714,'بيانات الحركات'!$G:$G,0)),"")</f>
        <v/>
      </c>
      <c r="D1715" s="3" t="str">
        <f>IFERROR(INDEX('بيانات الحركات'!D:D,MATCH(1714,'بيانات الحركات'!$G:$G,0)),"")</f>
        <v/>
      </c>
      <c r="E1715" s="21" t="str">
        <f>IF($B1715="إنتاج طبخة","",IFERROR(INDEX('بيانات الحركات'!E:E,MATCH(1714,'بيانات الحركات'!$G:$G,0)),""))</f>
        <v/>
      </c>
      <c r="F1715" s="3" t="str">
        <f>IFERROR(INDEX('بيانات الحركات'!F:F,MATCH(1714,'بيانات الحركات'!$G:$G,0)),"")</f>
        <v/>
      </c>
    </row>
    <row r="1716" spans="1:6" ht="21.95" customHeight="1">
      <c r="A1716" s="8" t="str">
        <f>IFERROR(INDEX('بيانات الحركات'!A:A,MATCH(1715,'بيانات الحركات'!$G:$G,0)),"")</f>
        <v/>
      </c>
      <c r="B1716" s="5" t="str">
        <f>IFERROR(INDEX('بيانات الحركات'!B:B,MATCH(1715,'بيانات الحركات'!$G:$G,0)),"")</f>
        <v/>
      </c>
      <c r="C1716" s="3" t="str">
        <f>IFERROR(INDEX('بيانات الحركات'!C:C,MATCH(1715,'بيانات الحركات'!$G:$G,0)),"")</f>
        <v/>
      </c>
      <c r="D1716" s="3" t="str">
        <f>IFERROR(INDEX('بيانات الحركات'!D:D,MATCH(1715,'بيانات الحركات'!$G:$G,0)),"")</f>
        <v/>
      </c>
      <c r="E1716" s="21" t="str">
        <f>IF($B1716="إنتاج طبخة","",IFERROR(INDEX('بيانات الحركات'!E:E,MATCH(1715,'بيانات الحركات'!$G:$G,0)),""))</f>
        <v/>
      </c>
      <c r="F1716" s="3" t="str">
        <f>IFERROR(INDEX('بيانات الحركات'!F:F,MATCH(1715,'بيانات الحركات'!$G:$G,0)),"")</f>
        <v/>
      </c>
    </row>
    <row r="1717" spans="1:6" ht="21.95" customHeight="1">
      <c r="A1717" s="8" t="str">
        <f>IFERROR(INDEX('بيانات الحركات'!A:A,MATCH(1716,'بيانات الحركات'!$G:$G,0)),"")</f>
        <v/>
      </c>
      <c r="B1717" s="5" t="str">
        <f>IFERROR(INDEX('بيانات الحركات'!B:B,MATCH(1716,'بيانات الحركات'!$G:$G,0)),"")</f>
        <v/>
      </c>
      <c r="C1717" s="3" t="str">
        <f>IFERROR(INDEX('بيانات الحركات'!C:C,MATCH(1716,'بيانات الحركات'!$G:$G,0)),"")</f>
        <v/>
      </c>
      <c r="D1717" s="3" t="str">
        <f>IFERROR(INDEX('بيانات الحركات'!D:D,MATCH(1716,'بيانات الحركات'!$G:$G,0)),"")</f>
        <v/>
      </c>
      <c r="E1717" s="21" t="str">
        <f>IF($B1717="إنتاج طبخة","",IFERROR(INDEX('بيانات الحركات'!E:E,MATCH(1716,'بيانات الحركات'!$G:$G,0)),""))</f>
        <v/>
      </c>
      <c r="F1717" s="3" t="str">
        <f>IFERROR(INDEX('بيانات الحركات'!F:F,MATCH(1716,'بيانات الحركات'!$G:$G,0)),"")</f>
        <v/>
      </c>
    </row>
    <row r="1718" spans="1:6" ht="21.95" customHeight="1">
      <c r="A1718" s="8" t="str">
        <f>IFERROR(INDEX('بيانات الحركات'!A:A,MATCH(1717,'بيانات الحركات'!$G:$G,0)),"")</f>
        <v/>
      </c>
      <c r="B1718" s="5" t="str">
        <f>IFERROR(INDEX('بيانات الحركات'!B:B,MATCH(1717,'بيانات الحركات'!$G:$G,0)),"")</f>
        <v/>
      </c>
      <c r="C1718" s="3" t="str">
        <f>IFERROR(INDEX('بيانات الحركات'!C:C,MATCH(1717,'بيانات الحركات'!$G:$G,0)),"")</f>
        <v/>
      </c>
      <c r="D1718" s="3" t="str">
        <f>IFERROR(INDEX('بيانات الحركات'!D:D,MATCH(1717,'بيانات الحركات'!$G:$G,0)),"")</f>
        <v/>
      </c>
      <c r="E1718" s="21" t="str">
        <f>IF($B1718="إنتاج طبخة","",IFERROR(INDEX('بيانات الحركات'!E:E,MATCH(1717,'بيانات الحركات'!$G:$G,0)),""))</f>
        <v/>
      </c>
      <c r="F1718" s="3" t="str">
        <f>IFERROR(INDEX('بيانات الحركات'!F:F,MATCH(1717,'بيانات الحركات'!$G:$G,0)),"")</f>
        <v/>
      </c>
    </row>
    <row r="1719" spans="1:6" ht="21.95" customHeight="1">
      <c r="A1719" s="8" t="str">
        <f>IFERROR(INDEX('بيانات الحركات'!A:A,MATCH(1718,'بيانات الحركات'!$G:$G,0)),"")</f>
        <v/>
      </c>
      <c r="B1719" s="5" t="str">
        <f>IFERROR(INDEX('بيانات الحركات'!B:B,MATCH(1718,'بيانات الحركات'!$G:$G,0)),"")</f>
        <v/>
      </c>
      <c r="C1719" s="3" t="str">
        <f>IFERROR(INDEX('بيانات الحركات'!C:C,MATCH(1718,'بيانات الحركات'!$G:$G,0)),"")</f>
        <v/>
      </c>
      <c r="D1719" s="3" t="str">
        <f>IFERROR(INDEX('بيانات الحركات'!D:D,MATCH(1718,'بيانات الحركات'!$G:$G,0)),"")</f>
        <v/>
      </c>
      <c r="E1719" s="21" t="str">
        <f>IF($B1719="إنتاج طبخة","",IFERROR(INDEX('بيانات الحركات'!E:E,MATCH(1718,'بيانات الحركات'!$G:$G,0)),""))</f>
        <v/>
      </c>
      <c r="F1719" s="3" t="str">
        <f>IFERROR(INDEX('بيانات الحركات'!F:F,MATCH(1718,'بيانات الحركات'!$G:$G,0)),"")</f>
        <v/>
      </c>
    </row>
    <row r="1720" spans="1:6" ht="21.95" customHeight="1">
      <c r="A1720" s="8" t="str">
        <f>IFERROR(INDEX('بيانات الحركات'!A:A,MATCH(1719,'بيانات الحركات'!$G:$G,0)),"")</f>
        <v/>
      </c>
      <c r="B1720" s="5" t="str">
        <f>IFERROR(INDEX('بيانات الحركات'!B:B,MATCH(1719,'بيانات الحركات'!$G:$G,0)),"")</f>
        <v/>
      </c>
      <c r="C1720" s="3" t="str">
        <f>IFERROR(INDEX('بيانات الحركات'!C:C,MATCH(1719,'بيانات الحركات'!$G:$G,0)),"")</f>
        <v/>
      </c>
      <c r="D1720" s="3" t="str">
        <f>IFERROR(INDEX('بيانات الحركات'!D:D,MATCH(1719,'بيانات الحركات'!$G:$G,0)),"")</f>
        <v/>
      </c>
      <c r="E1720" s="21" t="str">
        <f>IF($B1720="إنتاج طبخة","",IFERROR(INDEX('بيانات الحركات'!E:E,MATCH(1719,'بيانات الحركات'!$G:$G,0)),""))</f>
        <v/>
      </c>
      <c r="F1720" s="3" t="str">
        <f>IFERROR(INDEX('بيانات الحركات'!F:F,MATCH(1719,'بيانات الحركات'!$G:$G,0)),"")</f>
        <v/>
      </c>
    </row>
    <row r="1721" spans="1:6" ht="21.95" customHeight="1">
      <c r="A1721" s="8" t="str">
        <f>IFERROR(INDEX('بيانات الحركات'!A:A,MATCH(1720,'بيانات الحركات'!$G:$G,0)),"")</f>
        <v/>
      </c>
      <c r="B1721" s="5" t="str">
        <f>IFERROR(INDEX('بيانات الحركات'!B:B,MATCH(1720,'بيانات الحركات'!$G:$G,0)),"")</f>
        <v/>
      </c>
      <c r="C1721" s="3" t="str">
        <f>IFERROR(INDEX('بيانات الحركات'!C:C,MATCH(1720,'بيانات الحركات'!$G:$G,0)),"")</f>
        <v/>
      </c>
      <c r="D1721" s="3" t="str">
        <f>IFERROR(INDEX('بيانات الحركات'!D:D,MATCH(1720,'بيانات الحركات'!$G:$G,0)),"")</f>
        <v/>
      </c>
      <c r="E1721" s="21" t="str">
        <f>IF($B1721="إنتاج طبخة","",IFERROR(INDEX('بيانات الحركات'!E:E,MATCH(1720,'بيانات الحركات'!$G:$G,0)),""))</f>
        <v/>
      </c>
      <c r="F1721" s="3" t="str">
        <f>IFERROR(INDEX('بيانات الحركات'!F:F,MATCH(1720,'بيانات الحركات'!$G:$G,0)),"")</f>
        <v/>
      </c>
    </row>
    <row r="1722" spans="1:6" ht="21.95" customHeight="1">
      <c r="A1722" s="8" t="str">
        <f>IFERROR(INDEX('بيانات الحركات'!A:A,MATCH(1721,'بيانات الحركات'!$G:$G,0)),"")</f>
        <v/>
      </c>
      <c r="B1722" s="5" t="str">
        <f>IFERROR(INDEX('بيانات الحركات'!B:B,MATCH(1721,'بيانات الحركات'!$G:$G,0)),"")</f>
        <v/>
      </c>
      <c r="C1722" s="3" t="str">
        <f>IFERROR(INDEX('بيانات الحركات'!C:C,MATCH(1721,'بيانات الحركات'!$G:$G,0)),"")</f>
        <v/>
      </c>
      <c r="D1722" s="3" t="str">
        <f>IFERROR(INDEX('بيانات الحركات'!D:D,MATCH(1721,'بيانات الحركات'!$G:$G,0)),"")</f>
        <v/>
      </c>
      <c r="E1722" s="21" t="str">
        <f>IF($B1722="إنتاج طبخة","",IFERROR(INDEX('بيانات الحركات'!E:E,MATCH(1721,'بيانات الحركات'!$G:$G,0)),""))</f>
        <v/>
      </c>
      <c r="F1722" s="3" t="str">
        <f>IFERROR(INDEX('بيانات الحركات'!F:F,MATCH(1721,'بيانات الحركات'!$G:$G,0)),"")</f>
        <v/>
      </c>
    </row>
    <row r="1723" spans="1:6" ht="21.95" customHeight="1">
      <c r="A1723" s="8" t="str">
        <f>IFERROR(INDEX('بيانات الحركات'!A:A,MATCH(1722,'بيانات الحركات'!$G:$G,0)),"")</f>
        <v/>
      </c>
      <c r="B1723" s="5" t="str">
        <f>IFERROR(INDEX('بيانات الحركات'!B:B,MATCH(1722,'بيانات الحركات'!$G:$G,0)),"")</f>
        <v/>
      </c>
      <c r="C1723" s="3" t="str">
        <f>IFERROR(INDEX('بيانات الحركات'!C:C,MATCH(1722,'بيانات الحركات'!$G:$G,0)),"")</f>
        <v/>
      </c>
      <c r="D1723" s="3" t="str">
        <f>IFERROR(INDEX('بيانات الحركات'!D:D,MATCH(1722,'بيانات الحركات'!$G:$G,0)),"")</f>
        <v/>
      </c>
      <c r="E1723" s="21" t="str">
        <f>IF($B1723="إنتاج طبخة","",IFERROR(INDEX('بيانات الحركات'!E:E,MATCH(1722,'بيانات الحركات'!$G:$G,0)),""))</f>
        <v/>
      </c>
      <c r="F1723" s="3" t="str">
        <f>IFERROR(INDEX('بيانات الحركات'!F:F,MATCH(1722,'بيانات الحركات'!$G:$G,0)),"")</f>
        <v/>
      </c>
    </row>
    <row r="1724" spans="1:6" ht="21.95" customHeight="1">
      <c r="A1724" s="8" t="str">
        <f>IFERROR(INDEX('بيانات الحركات'!A:A,MATCH(1723,'بيانات الحركات'!$G:$G,0)),"")</f>
        <v/>
      </c>
      <c r="B1724" s="5" t="str">
        <f>IFERROR(INDEX('بيانات الحركات'!B:B,MATCH(1723,'بيانات الحركات'!$G:$G,0)),"")</f>
        <v/>
      </c>
      <c r="C1724" s="3" t="str">
        <f>IFERROR(INDEX('بيانات الحركات'!C:C,MATCH(1723,'بيانات الحركات'!$G:$G,0)),"")</f>
        <v/>
      </c>
      <c r="D1724" s="3" t="str">
        <f>IFERROR(INDEX('بيانات الحركات'!D:D,MATCH(1723,'بيانات الحركات'!$G:$G,0)),"")</f>
        <v/>
      </c>
      <c r="E1724" s="21" t="str">
        <f>IF($B1724="إنتاج طبخة","",IFERROR(INDEX('بيانات الحركات'!E:E,MATCH(1723,'بيانات الحركات'!$G:$G,0)),""))</f>
        <v/>
      </c>
      <c r="F1724" s="3" t="str">
        <f>IFERROR(INDEX('بيانات الحركات'!F:F,MATCH(1723,'بيانات الحركات'!$G:$G,0)),"")</f>
        <v/>
      </c>
    </row>
    <row r="1725" spans="1:6" ht="21.95" customHeight="1">
      <c r="A1725" s="8" t="str">
        <f>IFERROR(INDEX('بيانات الحركات'!A:A,MATCH(1724,'بيانات الحركات'!$G:$G,0)),"")</f>
        <v/>
      </c>
      <c r="B1725" s="5" t="str">
        <f>IFERROR(INDEX('بيانات الحركات'!B:B,MATCH(1724,'بيانات الحركات'!$G:$G,0)),"")</f>
        <v/>
      </c>
      <c r="C1725" s="3" t="str">
        <f>IFERROR(INDEX('بيانات الحركات'!C:C,MATCH(1724,'بيانات الحركات'!$G:$G,0)),"")</f>
        <v/>
      </c>
      <c r="D1725" s="3" t="str">
        <f>IFERROR(INDEX('بيانات الحركات'!D:D,MATCH(1724,'بيانات الحركات'!$G:$G,0)),"")</f>
        <v/>
      </c>
      <c r="E1725" s="21" t="str">
        <f>IF($B1725="إنتاج طبخة","",IFERROR(INDEX('بيانات الحركات'!E:E,MATCH(1724,'بيانات الحركات'!$G:$G,0)),""))</f>
        <v/>
      </c>
      <c r="F1725" s="3" t="str">
        <f>IFERROR(INDEX('بيانات الحركات'!F:F,MATCH(1724,'بيانات الحركات'!$G:$G,0)),"")</f>
        <v/>
      </c>
    </row>
    <row r="1726" spans="1:6" ht="21.95" customHeight="1">
      <c r="A1726" s="8" t="str">
        <f>IFERROR(INDEX('بيانات الحركات'!A:A,MATCH(1725,'بيانات الحركات'!$G:$G,0)),"")</f>
        <v/>
      </c>
      <c r="B1726" s="5" t="str">
        <f>IFERROR(INDEX('بيانات الحركات'!B:B,MATCH(1725,'بيانات الحركات'!$G:$G,0)),"")</f>
        <v/>
      </c>
      <c r="C1726" s="3" t="str">
        <f>IFERROR(INDEX('بيانات الحركات'!C:C,MATCH(1725,'بيانات الحركات'!$G:$G,0)),"")</f>
        <v/>
      </c>
      <c r="D1726" s="3" t="str">
        <f>IFERROR(INDEX('بيانات الحركات'!D:D,MATCH(1725,'بيانات الحركات'!$G:$G,0)),"")</f>
        <v/>
      </c>
      <c r="E1726" s="21" t="str">
        <f>IF($B1726="إنتاج طبخة","",IFERROR(INDEX('بيانات الحركات'!E:E,MATCH(1725,'بيانات الحركات'!$G:$G,0)),""))</f>
        <v/>
      </c>
      <c r="F1726" s="3" t="str">
        <f>IFERROR(INDEX('بيانات الحركات'!F:F,MATCH(1725,'بيانات الحركات'!$G:$G,0)),"")</f>
        <v/>
      </c>
    </row>
    <row r="1727" spans="1:6" ht="21.95" customHeight="1">
      <c r="A1727" s="8" t="str">
        <f>IFERROR(INDEX('بيانات الحركات'!A:A,MATCH(1726,'بيانات الحركات'!$G:$G,0)),"")</f>
        <v/>
      </c>
      <c r="B1727" s="5" t="str">
        <f>IFERROR(INDEX('بيانات الحركات'!B:B,MATCH(1726,'بيانات الحركات'!$G:$G,0)),"")</f>
        <v/>
      </c>
      <c r="C1727" s="3" t="str">
        <f>IFERROR(INDEX('بيانات الحركات'!C:C,MATCH(1726,'بيانات الحركات'!$G:$G,0)),"")</f>
        <v/>
      </c>
      <c r="D1727" s="3" t="str">
        <f>IFERROR(INDEX('بيانات الحركات'!D:D,MATCH(1726,'بيانات الحركات'!$G:$G,0)),"")</f>
        <v/>
      </c>
      <c r="E1727" s="21" t="str">
        <f>IF($B1727="إنتاج طبخة","",IFERROR(INDEX('بيانات الحركات'!E:E,MATCH(1726,'بيانات الحركات'!$G:$G,0)),""))</f>
        <v/>
      </c>
      <c r="F1727" s="3" t="str">
        <f>IFERROR(INDEX('بيانات الحركات'!F:F,MATCH(1726,'بيانات الحركات'!$G:$G,0)),"")</f>
        <v/>
      </c>
    </row>
    <row r="1728" spans="1:6" ht="21.95" customHeight="1">
      <c r="A1728" s="8" t="str">
        <f>IFERROR(INDEX('بيانات الحركات'!A:A,MATCH(1727,'بيانات الحركات'!$G:$G,0)),"")</f>
        <v/>
      </c>
      <c r="B1728" s="5" t="str">
        <f>IFERROR(INDEX('بيانات الحركات'!B:B,MATCH(1727,'بيانات الحركات'!$G:$G,0)),"")</f>
        <v/>
      </c>
      <c r="C1728" s="3" t="str">
        <f>IFERROR(INDEX('بيانات الحركات'!C:C,MATCH(1727,'بيانات الحركات'!$G:$G,0)),"")</f>
        <v/>
      </c>
      <c r="D1728" s="3" t="str">
        <f>IFERROR(INDEX('بيانات الحركات'!D:D,MATCH(1727,'بيانات الحركات'!$G:$G,0)),"")</f>
        <v/>
      </c>
      <c r="E1728" s="21" t="str">
        <f>IF($B1728="إنتاج طبخة","",IFERROR(INDEX('بيانات الحركات'!E:E,MATCH(1727,'بيانات الحركات'!$G:$G,0)),""))</f>
        <v/>
      </c>
      <c r="F1728" s="3" t="str">
        <f>IFERROR(INDEX('بيانات الحركات'!F:F,MATCH(1727,'بيانات الحركات'!$G:$G,0)),"")</f>
        <v/>
      </c>
    </row>
    <row r="1729" spans="1:6" ht="21.95" customHeight="1">
      <c r="A1729" s="8" t="str">
        <f>IFERROR(INDEX('بيانات الحركات'!A:A,MATCH(1728,'بيانات الحركات'!$G:$G,0)),"")</f>
        <v/>
      </c>
      <c r="B1729" s="5" t="str">
        <f>IFERROR(INDEX('بيانات الحركات'!B:B,MATCH(1728,'بيانات الحركات'!$G:$G,0)),"")</f>
        <v/>
      </c>
      <c r="C1729" s="3" t="str">
        <f>IFERROR(INDEX('بيانات الحركات'!C:C,MATCH(1728,'بيانات الحركات'!$G:$G,0)),"")</f>
        <v/>
      </c>
      <c r="D1729" s="3" t="str">
        <f>IFERROR(INDEX('بيانات الحركات'!D:D,MATCH(1728,'بيانات الحركات'!$G:$G,0)),"")</f>
        <v/>
      </c>
      <c r="E1729" s="21" t="str">
        <f>IF($B1729="إنتاج طبخة","",IFERROR(INDEX('بيانات الحركات'!E:E,MATCH(1728,'بيانات الحركات'!$G:$G,0)),""))</f>
        <v/>
      </c>
      <c r="F1729" s="3" t="str">
        <f>IFERROR(INDEX('بيانات الحركات'!F:F,MATCH(1728,'بيانات الحركات'!$G:$G,0)),"")</f>
        <v/>
      </c>
    </row>
    <row r="1730" spans="1:6" ht="21.95" customHeight="1">
      <c r="A1730" s="8" t="str">
        <f>IFERROR(INDEX('بيانات الحركات'!A:A,MATCH(1729,'بيانات الحركات'!$G:$G,0)),"")</f>
        <v/>
      </c>
      <c r="B1730" s="5" t="str">
        <f>IFERROR(INDEX('بيانات الحركات'!B:B,MATCH(1729,'بيانات الحركات'!$G:$G,0)),"")</f>
        <v/>
      </c>
      <c r="C1730" s="3" t="str">
        <f>IFERROR(INDEX('بيانات الحركات'!C:C,MATCH(1729,'بيانات الحركات'!$G:$G,0)),"")</f>
        <v/>
      </c>
      <c r="D1730" s="3" t="str">
        <f>IFERROR(INDEX('بيانات الحركات'!D:D,MATCH(1729,'بيانات الحركات'!$G:$G,0)),"")</f>
        <v/>
      </c>
      <c r="E1730" s="21" t="str">
        <f>IF($B1730="إنتاج طبخة","",IFERROR(INDEX('بيانات الحركات'!E:E,MATCH(1729,'بيانات الحركات'!$G:$G,0)),""))</f>
        <v/>
      </c>
      <c r="F1730" s="3" t="str">
        <f>IFERROR(INDEX('بيانات الحركات'!F:F,MATCH(1729,'بيانات الحركات'!$G:$G,0)),"")</f>
        <v/>
      </c>
    </row>
    <row r="1731" spans="1:6" ht="21.95" customHeight="1">
      <c r="A1731" s="8" t="str">
        <f>IFERROR(INDEX('بيانات الحركات'!A:A,MATCH(1730,'بيانات الحركات'!$G:$G,0)),"")</f>
        <v/>
      </c>
      <c r="B1731" s="5" t="str">
        <f>IFERROR(INDEX('بيانات الحركات'!B:B,MATCH(1730,'بيانات الحركات'!$G:$G,0)),"")</f>
        <v/>
      </c>
      <c r="C1731" s="3" t="str">
        <f>IFERROR(INDEX('بيانات الحركات'!C:C,MATCH(1730,'بيانات الحركات'!$G:$G,0)),"")</f>
        <v/>
      </c>
      <c r="D1731" s="3" t="str">
        <f>IFERROR(INDEX('بيانات الحركات'!D:D,MATCH(1730,'بيانات الحركات'!$G:$G,0)),"")</f>
        <v/>
      </c>
      <c r="E1731" s="21" t="str">
        <f>IF($B1731="إنتاج طبخة","",IFERROR(INDEX('بيانات الحركات'!E:E,MATCH(1730,'بيانات الحركات'!$G:$G,0)),""))</f>
        <v/>
      </c>
      <c r="F1731" s="3" t="str">
        <f>IFERROR(INDEX('بيانات الحركات'!F:F,MATCH(1730,'بيانات الحركات'!$G:$G,0)),"")</f>
        <v/>
      </c>
    </row>
    <row r="1732" spans="1:6" ht="21.95" customHeight="1">
      <c r="A1732" s="8" t="str">
        <f>IFERROR(INDEX('بيانات الحركات'!A:A,MATCH(1731,'بيانات الحركات'!$G:$G,0)),"")</f>
        <v/>
      </c>
      <c r="B1732" s="5" t="str">
        <f>IFERROR(INDEX('بيانات الحركات'!B:B,MATCH(1731,'بيانات الحركات'!$G:$G,0)),"")</f>
        <v/>
      </c>
      <c r="C1732" s="3" t="str">
        <f>IFERROR(INDEX('بيانات الحركات'!C:C,MATCH(1731,'بيانات الحركات'!$G:$G,0)),"")</f>
        <v/>
      </c>
      <c r="D1732" s="3" t="str">
        <f>IFERROR(INDEX('بيانات الحركات'!D:D,MATCH(1731,'بيانات الحركات'!$G:$G,0)),"")</f>
        <v/>
      </c>
      <c r="E1732" s="21" t="str">
        <f>IF($B1732="إنتاج طبخة","",IFERROR(INDEX('بيانات الحركات'!E:E,MATCH(1731,'بيانات الحركات'!$G:$G,0)),""))</f>
        <v/>
      </c>
      <c r="F1732" s="3" t="str">
        <f>IFERROR(INDEX('بيانات الحركات'!F:F,MATCH(1731,'بيانات الحركات'!$G:$G,0)),"")</f>
        <v/>
      </c>
    </row>
    <row r="1733" spans="1:6" ht="21.95" customHeight="1">
      <c r="A1733" s="8" t="str">
        <f>IFERROR(INDEX('بيانات الحركات'!A:A,MATCH(1732,'بيانات الحركات'!$G:$G,0)),"")</f>
        <v/>
      </c>
      <c r="B1733" s="5" t="str">
        <f>IFERROR(INDEX('بيانات الحركات'!B:B,MATCH(1732,'بيانات الحركات'!$G:$G,0)),"")</f>
        <v/>
      </c>
      <c r="C1733" s="3" t="str">
        <f>IFERROR(INDEX('بيانات الحركات'!C:C,MATCH(1732,'بيانات الحركات'!$G:$G,0)),"")</f>
        <v/>
      </c>
      <c r="D1733" s="3" t="str">
        <f>IFERROR(INDEX('بيانات الحركات'!D:D,MATCH(1732,'بيانات الحركات'!$G:$G,0)),"")</f>
        <v/>
      </c>
      <c r="E1733" s="21" t="str">
        <f>IF($B1733="إنتاج طبخة","",IFERROR(INDEX('بيانات الحركات'!E:E,MATCH(1732,'بيانات الحركات'!$G:$G,0)),""))</f>
        <v/>
      </c>
      <c r="F1733" s="3" t="str">
        <f>IFERROR(INDEX('بيانات الحركات'!F:F,MATCH(1732,'بيانات الحركات'!$G:$G,0)),"")</f>
        <v/>
      </c>
    </row>
    <row r="1734" spans="1:6" ht="21.95" customHeight="1">
      <c r="A1734" s="8" t="str">
        <f>IFERROR(INDEX('بيانات الحركات'!A:A,MATCH(1733,'بيانات الحركات'!$G:$G,0)),"")</f>
        <v/>
      </c>
      <c r="B1734" s="5" t="str">
        <f>IFERROR(INDEX('بيانات الحركات'!B:B,MATCH(1733,'بيانات الحركات'!$G:$G,0)),"")</f>
        <v/>
      </c>
      <c r="C1734" s="3" t="str">
        <f>IFERROR(INDEX('بيانات الحركات'!C:C,MATCH(1733,'بيانات الحركات'!$G:$G,0)),"")</f>
        <v/>
      </c>
      <c r="D1734" s="3" t="str">
        <f>IFERROR(INDEX('بيانات الحركات'!D:D,MATCH(1733,'بيانات الحركات'!$G:$G,0)),"")</f>
        <v/>
      </c>
      <c r="E1734" s="21" t="str">
        <f>IF($B1734="إنتاج طبخة","",IFERROR(INDEX('بيانات الحركات'!E:E,MATCH(1733,'بيانات الحركات'!$G:$G,0)),""))</f>
        <v/>
      </c>
      <c r="F1734" s="3" t="str">
        <f>IFERROR(INDEX('بيانات الحركات'!F:F,MATCH(1733,'بيانات الحركات'!$G:$G,0)),"")</f>
        <v/>
      </c>
    </row>
    <row r="1735" spans="1:6" ht="21.95" customHeight="1">
      <c r="A1735" s="8" t="str">
        <f>IFERROR(INDEX('بيانات الحركات'!A:A,MATCH(1734,'بيانات الحركات'!$G:$G,0)),"")</f>
        <v/>
      </c>
      <c r="B1735" s="5" t="str">
        <f>IFERROR(INDEX('بيانات الحركات'!B:B,MATCH(1734,'بيانات الحركات'!$G:$G,0)),"")</f>
        <v/>
      </c>
      <c r="C1735" s="3" t="str">
        <f>IFERROR(INDEX('بيانات الحركات'!C:C,MATCH(1734,'بيانات الحركات'!$G:$G,0)),"")</f>
        <v/>
      </c>
      <c r="D1735" s="3" t="str">
        <f>IFERROR(INDEX('بيانات الحركات'!D:D,MATCH(1734,'بيانات الحركات'!$G:$G,0)),"")</f>
        <v/>
      </c>
      <c r="E1735" s="21" t="str">
        <f>IF($B1735="إنتاج طبخة","",IFERROR(INDEX('بيانات الحركات'!E:E,MATCH(1734,'بيانات الحركات'!$G:$G,0)),""))</f>
        <v/>
      </c>
      <c r="F1735" s="3" t="str">
        <f>IFERROR(INDEX('بيانات الحركات'!F:F,MATCH(1734,'بيانات الحركات'!$G:$G,0)),"")</f>
        <v/>
      </c>
    </row>
    <row r="1736" spans="1:6" ht="21.95" customHeight="1">
      <c r="A1736" s="8" t="str">
        <f>IFERROR(INDEX('بيانات الحركات'!A:A,MATCH(1735,'بيانات الحركات'!$G:$G,0)),"")</f>
        <v/>
      </c>
      <c r="B1736" s="5" t="str">
        <f>IFERROR(INDEX('بيانات الحركات'!B:B,MATCH(1735,'بيانات الحركات'!$G:$G,0)),"")</f>
        <v/>
      </c>
      <c r="C1736" s="3" t="str">
        <f>IFERROR(INDEX('بيانات الحركات'!C:C,MATCH(1735,'بيانات الحركات'!$G:$G,0)),"")</f>
        <v/>
      </c>
      <c r="D1736" s="3" t="str">
        <f>IFERROR(INDEX('بيانات الحركات'!D:D,MATCH(1735,'بيانات الحركات'!$G:$G,0)),"")</f>
        <v/>
      </c>
      <c r="E1736" s="21" t="str">
        <f>IF($B1736="إنتاج طبخة","",IFERROR(INDEX('بيانات الحركات'!E:E,MATCH(1735,'بيانات الحركات'!$G:$G,0)),""))</f>
        <v/>
      </c>
      <c r="F1736" s="3" t="str">
        <f>IFERROR(INDEX('بيانات الحركات'!F:F,MATCH(1735,'بيانات الحركات'!$G:$G,0)),"")</f>
        <v/>
      </c>
    </row>
    <row r="1737" spans="1:6" ht="21.95" customHeight="1">
      <c r="A1737" s="8" t="str">
        <f>IFERROR(INDEX('بيانات الحركات'!A:A,MATCH(1736,'بيانات الحركات'!$G:$G,0)),"")</f>
        <v/>
      </c>
      <c r="B1737" s="5" t="str">
        <f>IFERROR(INDEX('بيانات الحركات'!B:B,MATCH(1736,'بيانات الحركات'!$G:$G,0)),"")</f>
        <v/>
      </c>
      <c r="C1737" s="3" t="str">
        <f>IFERROR(INDEX('بيانات الحركات'!C:C,MATCH(1736,'بيانات الحركات'!$G:$G,0)),"")</f>
        <v/>
      </c>
      <c r="D1737" s="3" t="str">
        <f>IFERROR(INDEX('بيانات الحركات'!D:D,MATCH(1736,'بيانات الحركات'!$G:$G,0)),"")</f>
        <v/>
      </c>
      <c r="E1737" s="21" t="str">
        <f>IF($B1737="إنتاج طبخة","",IFERROR(INDEX('بيانات الحركات'!E:E,MATCH(1736,'بيانات الحركات'!$G:$G,0)),""))</f>
        <v/>
      </c>
      <c r="F1737" s="3" t="str">
        <f>IFERROR(INDEX('بيانات الحركات'!F:F,MATCH(1736,'بيانات الحركات'!$G:$G,0)),"")</f>
        <v/>
      </c>
    </row>
    <row r="1738" spans="1:6" ht="21.95" customHeight="1">
      <c r="A1738" s="8" t="str">
        <f>IFERROR(INDEX('بيانات الحركات'!A:A,MATCH(1737,'بيانات الحركات'!$G:$G,0)),"")</f>
        <v/>
      </c>
      <c r="B1738" s="5" t="str">
        <f>IFERROR(INDEX('بيانات الحركات'!B:B,MATCH(1737,'بيانات الحركات'!$G:$G,0)),"")</f>
        <v/>
      </c>
      <c r="C1738" s="3" t="str">
        <f>IFERROR(INDEX('بيانات الحركات'!C:C,MATCH(1737,'بيانات الحركات'!$G:$G,0)),"")</f>
        <v/>
      </c>
      <c r="D1738" s="3" t="str">
        <f>IFERROR(INDEX('بيانات الحركات'!D:D,MATCH(1737,'بيانات الحركات'!$G:$G,0)),"")</f>
        <v/>
      </c>
      <c r="E1738" s="21" t="str">
        <f>IF($B1738="إنتاج طبخة","",IFERROR(INDEX('بيانات الحركات'!E:E,MATCH(1737,'بيانات الحركات'!$G:$G,0)),""))</f>
        <v/>
      </c>
      <c r="F1738" s="3" t="str">
        <f>IFERROR(INDEX('بيانات الحركات'!F:F,MATCH(1737,'بيانات الحركات'!$G:$G,0)),"")</f>
        <v/>
      </c>
    </row>
    <row r="1739" spans="1:6" ht="21.95" customHeight="1">
      <c r="A1739" s="8" t="str">
        <f>IFERROR(INDEX('بيانات الحركات'!A:A,MATCH(1738,'بيانات الحركات'!$G:$G,0)),"")</f>
        <v/>
      </c>
      <c r="B1739" s="5" t="str">
        <f>IFERROR(INDEX('بيانات الحركات'!B:B,MATCH(1738,'بيانات الحركات'!$G:$G,0)),"")</f>
        <v/>
      </c>
      <c r="C1739" s="3" t="str">
        <f>IFERROR(INDEX('بيانات الحركات'!C:C,MATCH(1738,'بيانات الحركات'!$G:$G,0)),"")</f>
        <v/>
      </c>
      <c r="D1739" s="3" t="str">
        <f>IFERROR(INDEX('بيانات الحركات'!D:D,MATCH(1738,'بيانات الحركات'!$G:$G,0)),"")</f>
        <v/>
      </c>
      <c r="E1739" s="21" t="str">
        <f>IF($B1739="إنتاج طبخة","",IFERROR(INDEX('بيانات الحركات'!E:E,MATCH(1738,'بيانات الحركات'!$G:$G,0)),""))</f>
        <v/>
      </c>
      <c r="F1739" s="3" t="str">
        <f>IFERROR(INDEX('بيانات الحركات'!F:F,MATCH(1738,'بيانات الحركات'!$G:$G,0)),"")</f>
        <v/>
      </c>
    </row>
    <row r="1740" spans="1:6" ht="21.95" customHeight="1">
      <c r="A1740" s="8" t="str">
        <f>IFERROR(INDEX('بيانات الحركات'!A:A,MATCH(1739,'بيانات الحركات'!$G:$G,0)),"")</f>
        <v/>
      </c>
      <c r="B1740" s="5" t="str">
        <f>IFERROR(INDEX('بيانات الحركات'!B:B,MATCH(1739,'بيانات الحركات'!$G:$G,0)),"")</f>
        <v/>
      </c>
      <c r="C1740" s="3" t="str">
        <f>IFERROR(INDEX('بيانات الحركات'!C:C,MATCH(1739,'بيانات الحركات'!$G:$G,0)),"")</f>
        <v/>
      </c>
      <c r="D1740" s="3" t="str">
        <f>IFERROR(INDEX('بيانات الحركات'!D:D,MATCH(1739,'بيانات الحركات'!$G:$G,0)),"")</f>
        <v/>
      </c>
      <c r="E1740" s="21" t="str">
        <f>IF($B1740="إنتاج طبخة","",IFERROR(INDEX('بيانات الحركات'!E:E,MATCH(1739,'بيانات الحركات'!$G:$G,0)),""))</f>
        <v/>
      </c>
      <c r="F1740" s="3" t="str">
        <f>IFERROR(INDEX('بيانات الحركات'!F:F,MATCH(1739,'بيانات الحركات'!$G:$G,0)),"")</f>
        <v/>
      </c>
    </row>
    <row r="1741" spans="1:6" ht="21.95" customHeight="1">
      <c r="A1741" s="8" t="str">
        <f>IFERROR(INDEX('بيانات الحركات'!A:A,MATCH(1740,'بيانات الحركات'!$G:$G,0)),"")</f>
        <v/>
      </c>
      <c r="B1741" s="5" t="str">
        <f>IFERROR(INDEX('بيانات الحركات'!B:B,MATCH(1740,'بيانات الحركات'!$G:$G,0)),"")</f>
        <v/>
      </c>
      <c r="C1741" s="3" t="str">
        <f>IFERROR(INDEX('بيانات الحركات'!C:C,MATCH(1740,'بيانات الحركات'!$G:$G,0)),"")</f>
        <v/>
      </c>
      <c r="D1741" s="3" t="str">
        <f>IFERROR(INDEX('بيانات الحركات'!D:D,MATCH(1740,'بيانات الحركات'!$G:$G,0)),"")</f>
        <v/>
      </c>
      <c r="E1741" s="21" t="str">
        <f>IF($B1741="إنتاج طبخة","",IFERROR(INDEX('بيانات الحركات'!E:E,MATCH(1740,'بيانات الحركات'!$G:$G,0)),""))</f>
        <v/>
      </c>
      <c r="F1741" s="3" t="str">
        <f>IFERROR(INDEX('بيانات الحركات'!F:F,MATCH(1740,'بيانات الحركات'!$G:$G,0)),"")</f>
        <v/>
      </c>
    </row>
    <row r="1742" spans="1:6" ht="21.95" customHeight="1">
      <c r="A1742" s="8" t="str">
        <f>IFERROR(INDEX('بيانات الحركات'!A:A,MATCH(1741,'بيانات الحركات'!$G:$G,0)),"")</f>
        <v/>
      </c>
      <c r="B1742" s="5" t="str">
        <f>IFERROR(INDEX('بيانات الحركات'!B:B,MATCH(1741,'بيانات الحركات'!$G:$G,0)),"")</f>
        <v/>
      </c>
      <c r="C1742" s="3" t="str">
        <f>IFERROR(INDEX('بيانات الحركات'!C:C,MATCH(1741,'بيانات الحركات'!$G:$G,0)),"")</f>
        <v/>
      </c>
      <c r="D1742" s="3" t="str">
        <f>IFERROR(INDEX('بيانات الحركات'!D:D,MATCH(1741,'بيانات الحركات'!$G:$G,0)),"")</f>
        <v/>
      </c>
      <c r="E1742" s="21" t="str">
        <f>IF($B1742="إنتاج طبخة","",IFERROR(INDEX('بيانات الحركات'!E:E,MATCH(1741,'بيانات الحركات'!$G:$G,0)),""))</f>
        <v/>
      </c>
      <c r="F1742" s="3" t="str">
        <f>IFERROR(INDEX('بيانات الحركات'!F:F,MATCH(1741,'بيانات الحركات'!$G:$G,0)),"")</f>
        <v/>
      </c>
    </row>
    <row r="1743" spans="1:6" ht="21.95" customHeight="1">
      <c r="A1743" s="8" t="str">
        <f>IFERROR(INDEX('بيانات الحركات'!A:A,MATCH(1742,'بيانات الحركات'!$G:$G,0)),"")</f>
        <v/>
      </c>
      <c r="B1743" s="5" t="str">
        <f>IFERROR(INDEX('بيانات الحركات'!B:B,MATCH(1742,'بيانات الحركات'!$G:$G,0)),"")</f>
        <v/>
      </c>
      <c r="C1743" s="3" t="str">
        <f>IFERROR(INDEX('بيانات الحركات'!C:C,MATCH(1742,'بيانات الحركات'!$G:$G,0)),"")</f>
        <v/>
      </c>
      <c r="D1743" s="3" t="str">
        <f>IFERROR(INDEX('بيانات الحركات'!D:D,MATCH(1742,'بيانات الحركات'!$G:$G,0)),"")</f>
        <v/>
      </c>
      <c r="E1743" s="21" t="str">
        <f>IF($B1743="إنتاج طبخة","",IFERROR(INDEX('بيانات الحركات'!E:E,MATCH(1742,'بيانات الحركات'!$G:$G,0)),""))</f>
        <v/>
      </c>
      <c r="F1743" s="3" t="str">
        <f>IFERROR(INDEX('بيانات الحركات'!F:F,MATCH(1742,'بيانات الحركات'!$G:$G,0)),"")</f>
        <v/>
      </c>
    </row>
    <row r="1744" spans="1:6" ht="21.95" customHeight="1">
      <c r="A1744" s="8" t="str">
        <f>IFERROR(INDEX('بيانات الحركات'!A:A,MATCH(1743,'بيانات الحركات'!$G:$G,0)),"")</f>
        <v/>
      </c>
      <c r="B1744" s="5" t="str">
        <f>IFERROR(INDEX('بيانات الحركات'!B:B,MATCH(1743,'بيانات الحركات'!$G:$G,0)),"")</f>
        <v/>
      </c>
      <c r="C1744" s="3" t="str">
        <f>IFERROR(INDEX('بيانات الحركات'!C:C,MATCH(1743,'بيانات الحركات'!$G:$G,0)),"")</f>
        <v/>
      </c>
      <c r="D1744" s="3" t="str">
        <f>IFERROR(INDEX('بيانات الحركات'!D:D,MATCH(1743,'بيانات الحركات'!$G:$G,0)),"")</f>
        <v/>
      </c>
      <c r="E1744" s="21" t="str">
        <f>IF($B1744="إنتاج طبخة","",IFERROR(INDEX('بيانات الحركات'!E:E,MATCH(1743,'بيانات الحركات'!$G:$G,0)),""))</f>
        <v/>
      </c>
      <c r="F1744" s="3" t="str">
        <f>IFERROR(INDEX('بيانات الحركات'!F:F,MATCH(1743,'بيانات الحركات'!$G:$G,0)),"")</f>
        <v/>
      </c>
    </row>
    <row r="1745" spans="1:6" ht="21.95" customHeight="1">
      <c r="A1745" s="8" t="str">
        <f>IFERROR(INDEX('بيانات الحركات'!A:A,MATCH(1744,'بيانات الحركات'!$G:$G,0)),"")</f>
        <v/>
      </c>
      <c r="B1745" s="5" t="str">
        <f>IFERROR(INDEX('بيانات الحركات'!B:B,MATCH(1744,'بيانات الحركات'!$G:$G,0)),"")</f>
        <v/>
      </c>
      <c r="C1745" s="3" t="str">
        <f>IFERROR(INDEX('بيانات الحركات'!C:C,MATCH(1744,'بيانات الحركات'!$G:$G,0)),"")</f>
        <v/>
      </c>
      <c r="D1745" s="3" t="str">
        <f>IFERROR(INDEX('بيانات الحركات'!D:D,MATCH(1744,'بيانات الحركات'!$G:$G,0)),"")</f>
        <v/>
      </c>
      <c r="E1745" s="21" t="str">
        <f>IF($B1745="إنتاج طبخة","",IFERROR(INDEX('بيانات الحركات'!E:E,MATCH(1744,'بيانات الحركات'!$G:$G,0)),""))</f>
        <v/>
      </c>
      <c r="F1745" s="3" t="str">
        <f>IFERROR(INDEX('بيانات الحركات'!F:F,MATCH(1744,'بيانات الحركات'!$G:$G,0)),"")</f>
        <v/>
      </c>
    </row>
    <row r="1746" spans="1:6" ht="21.95" customHeight="1">
      <c r="A1746" s="8" t="str">
        <f>IFERROR(INDEX('بيانات الحركات'!A:A,MATCH(1745,'بيانات الحركات'!$G:$G,0)),"")</f>
        <v/>
      </c>
      <c r="B1746" s="5" t="str">
        <f>IFERROR(INDEX('بيانات الحركات'!B:B,MATCH(1745,'بيانات الحركات'!$G:$G,0)),"")</f>
        <v/>
      </c>
      <c r="C1746" s="3" t="str">
        <f>IFERROR(INDEX('بيانات الحركات'!C:C,MATCH(1745,'بيانات الحركات'!$G:$G,0)),"")</f>
        <v/>
      </c>
      <c r="D1746" s="3" t="str">
        <f>IFERROR(INDEX('بيانات الحركات'!D:D,MATCH(1745,'بيانات الحركات'!$G:$G,0)),"")</f>
        <v/>
      </c>
      <c r="E1746" s="21" t="str">
        <f>IF($B1746="إنتاج طبخة","",IFERROR(INDEX('بيانات الحركات'!E:E,MATCH(1745,'بيانات الحركات'!$G:$G,0)),""))</f>
        <v/>
      </c>
      <c r="F1746" s="3" t="str">
        <f>IFERROR(INDEX('بيانات الحركات'!F:F,MATCH(1745,'بيانات الحركات'!$G:$G,0)),"")</f>
        <v/>
      </c>
    </row>
    <row r="1747" spans="1:6" ht="21.95" customHeight="1">
      <c r="A1747" s="8" t="str">
        <f>IFERROR(INDEX('بيانات الحركات'!A:A,MATCH(1746,'بيانات الحركات'!$G:$G,0)),"")</f>
        <v/>
      </c>
      <c r="B1747" s="5" t="str">
        <f>IFERROR(INDEX('بيانات الحركات'!B:B,MATCH(1746,'بيانات الحركات'!$G:$G,0)),"")</f>
        <v/>
      </c>
      <c r="C1747" s="3" t="str">
        <f>IFERROR(INDEX('بيانات الحركات'!C:C,MATCH(1746,'بيانات الحركات'!$G:$G,0)),"")</f>
        <v/>
      </c>
      <c r="D1747" s="3" t="str">
        <f>IFERROR(INDEX('بيانات الحركات'!D:D,MATCH(1746,'بيانات الحركات'!$G:$G,0)),"")</f>
        <v/>
      </c>
      <c r="E1747" s="21" t="str">
        <f>IF($B1747="إنتاج طبخة","",IFERROR(INDEX('بيانات الحركات'!E:E,MATCH(1746,'بيانات الحركات'!$G:$G,0)),""))</f>
        <v/>
      </c>
      <c r="F1747" s="3" t="str">
        <f>IFERROR(INDEX('بيانات الحركات'!F:F,MATCH(1746,'بيانات الحركات'!$G:$G,0)),"")</f>
        <v/>
      </c>
    </row>
    <row r="1748" spans="1:6" ht="21.95" customHeight="1">
      <c r="A1748" s="8" t="str">
        <f>IFERROR(INDEX('بيانات الحركات'!A:A,MATCH(1747,'بيانات الحركات'!$G:$G,0)),"")</f>
        <v/>
      </c>
      <c r="B1748" s="5" t="str">
        <f>IFERROR(INDEX('بيانات الحركات'!B:B,MATCH(1747,'بيانات الحركات'!$G:$G,0)),"")</f>
        <v/>
      </c>
      <c r="C1748" s="3" t="str">
        <f>IFERROR(INDEX('بيانات الحركات'!C:C,MATCH(1747,'بيانات الحركات'!$G:$G,0)),"")</f>
        <v/>
      </c>
      <c r="D1748" s="3" t="str">
        <f>IFERROR(INDEX('بيانات الحركات'!D:D,MATCH(1747,'بيانات الحركات'!$G:$G,0)),"")</f>
        <v/>
      </c>
      <c r="E1748" s="21" t="str">
        <f>IF($B1748="إنتاج طبخة","",IFERROR(INDEX('بيانات الحركات'!E:E,MATCH(1747,'بيانات الحركات'!$G:$G,0)),""))</f>
        <v/>
      </c>
      <c r="F1748" s="3" t="str">
        <f>IFERROR(INDEX('بيانات الحركات'!F:F,MATCH(1747,'بيانات الحركات'!$G:$G,0)),"")</f>
        <v/>
      </c>
    </row>
    <row r="1749" spans="1:6" ht="21.95" customHeight="1">
      <c r="A1749" s="8" t="str">
        <f>IFERROR(INDEX('بيانات الحركات'!A:A,MATCH(1748,'بيانات الحركات'!$G:$G,0)),"")</f>
        <v/>
      </c>
      <c r="B1749" s="5" t="str">
        <f>IFERROR(INDEX('بيانات الحركات'!B:B,MATCH(1748,'بيانات الحركات'!$G:$G,0)),"")</f>
        <v/>
      </c>
      <c r="C1749" s="3" t="str">
        <f>IFERROR(INDEX('بيانات الحركات'!C:C,MATCH(1748,'بيانات الحركات'!$G:$G,0)),"")</f>
        <v/>
      </c>
      <c r="D1749" s="3" t="str">
        <f>IFERROR(INDEX('بيانات الحركات'!D:D,MATCH(1748,'بيانات الحركات'!$G:$G,0)),"")</f>
        <v/>
      </c>
      <c r="E1749" s="21" t="str">
        <f>IF($B1749="إنتاج طبخة","",IFERROR(INDEX('بيانات الحركات'!E:E,MATCH(1748,'بيانات الحركات'!$G:$G,0)),""))</f>
        <v/>
      </c>
      <c r="F1749" s="3" t="str">
        <f>IFERROR(INDEX('بيانات الحركات'!F:F,MATCH(1748,'بيانات الحركات'!$G:$G,0)),"")</f>
        <v/>
      </c>
    </row>
    <row r="1750" spans="1:6" ht="21.95" customHeight="1">
      <c r="A1750" s="8" t="str">
        <f>IFERROR(INDEX('بيانات الحركات'!A:A,MATCH(1749,'بيانات الحركات'!$G:$G,0)),"")</f>
        <v/>
      </c>
      <c r="B1750" s="5" t="str">
        <f>IFERROR(INDEX('بيانات الحركات'!B:B,MATCH(1749,'بيانات الحركات'!$G:$G,0)),"")</f>
        <v/>
      </c>
      <c r="C1750" s="3" t="str">
        <f>IFERROR(INDEX('بيانات الحركات'!C:C,MATCH(1749,'بيانات الحركات'!$G:$G,0)),"")</f>
        <v/>
      </c>
      <c r="D1750" s="3" t="str">
        <f>IFERROR(INDEX('بيانات الحركات'!D:D,MATCH(1749,'بيانات الحركات'!$G:$G,0)),"")</f>
        <v/>
      </c>
      <c r="E1750" s="21" t="str">
        <f>IF($B1750="إنتاج طبخة","",IFERROR(INDEX('بيانات الحركات'!E:E,MATCH(1749,'بيانات الحركات'!$G:$G,0)),""))</f>
        <v/>
      </c>
      <c r="F1750" s="3" t="str">
        <f>IFERROR(INDEX('بيانات الحركات'!F:F,MATCH(1749,'بيانات الحركات'!$G:$G,0)),"")</f>
        <v/>
      </c>
    </row>
    <row r="1751" spans="1:6" ht="21.95" customHeight="1">
      <c r="A1751" s="8" t="str">
        <f>IFERROR(INDEX('بيانات الحركات'!A:A,MATCH(1750,'بيانات الحركات'!$G:$G,0)),"")</f>
        <v/>
      </c>
      <c r="B1751" s="5" t="str">
        <f>IFERROR(INDEX('بيانات الحركات'!B:B,MATCH(1750,'بيانات الحركات'!$G:$G,0)),"")</f>
        <v/>
      </c>
      <c r="C1751" s="3" t="str">
        <f>IFERROR(INDEX('بيانات الحركات'!C:C,MATCH(1750,'بيانات الحركات'!$G:$G,0)),"")</f>
        <v/>
      </c>
      <c r="D1751" s="3" t="str">
        <f>IFERROR(INDEX('بيانات الحركات'!D:D,MATCH(1750,'بيانات الحركات'!$G:$G,0)),"")</f>
        <v/>
      </c>
      <c r="E1751" s="21" t="str">
        <f>IF($B1751="إنتاج طبخة","",IFERROR(INDEX('بيانات الحركات'!E:E,MATCH(1750,'بيانات الحركات'!$G:$G,0)),""))</f>
        <v/>
      </c>
      <c r="F1751" s="3" t="str">
        <f>IFERROR(INDEX('بيانات الحركات'!F:F,MATCH(1750,'بيانات الحركات'!$G:$G,0)),"")</f>
        <v/>
      </c>
    </row>
    <row r="1752" spans="1:6" ht="21.95" customHeight="1">
      <c r="A1752" s="8" t="str">
        <f>IFERROR(INDEX('بيانات الحركات'!A:A,MATCH(1751,'بيانات الحركات'!$G:$G,0)),"")</f>
        <v/>
      </c>
      <c r="B1752" s="5" t="str">
        <f>IFERROR(INDEX('بيانات الحركات'!B:B,MATCH(1751,'بيانات الحركات'!$G:$G,0)),"")</f>
        <v/>
      </c>
      <c r="C1752" s="3" t="str">
        <f>IFERROR(INDEX('بيانات الحركات'!C:C,MATCH(1751,'بيانات الحركات'!$G:$G,0)),"")</f>
        <v/>
      </c>
      <c r="D1752" s="3" t="str">
        <f>IFERROR(INDEX('بيانات الحركات'!D:D,MATCH(1751,'بيانات الحركات'!$G:$G,0)),"")</f>
        <v/>
      </c>
      <c r="E1752" s="21" t="str">
        <f>IF($B1752="إنتاج طبخة","",IFERROR(INDEX('بيانات الحركات'!E:E,MATCH(1751,'بيانات الحركات'!$G:$G,0)),""))</f>
        <v/>
      </c>
      <c r="F1752" s="3" t="str">
        <f>IFERROR(INDEX('بيانات الحركات'!F:F,MATCH(1751,'بيانات الحركات'!$G:$G,0)),"")</f>
        <v/>
      </c>
    </row>
    <row r="1753" spans="1:6" ht="21.95" customHeight="1">
      <c r="A1753" s="8" t="str">
        <f>IFERROR(INDEX('بيانات الحركات'!A:A,MATCH(1752,'بيانات الحركات'!$G:$G,0)),"")</f>
        <v/>
      </c>
      <c r="B1753" s="5" t="str">
        <f>IFERROR(INDEX('بيانات الحركات'!B:B,MATCH(1752,'بيانات الحركات'!$G:$G,0)),"")</f>
        <v/>
      </c>
      <c r="C1753" s="3" t="str">
        <f>IFERROR(INDEX('بيانات الحركات'!C:C,MATCH(1752,'بيانات الحركات'!$G:$G,0)),"")</f>
        <v/>
      </c>
      <c r="D1753" s="3" t="str">
        <f>IFERROR(INDEX('بيانات الحركات'!D:D,MATCH(1752,'بيانات الحركات'!$G:$G,0)),"")</f>
        <v/>
      </c>
      <c r="E1753" s="21" t="str">
        <f>IF($B1753="إنتاج طبخة","",IFERROR(INDEX('بيانات الحركات'!E:E,MATCH(1752,'بيانات الحركات'!$G:$G,0)),""))</f>
        <v/>
      </c>
      <c r="F1753" s="3" t="str">
        <f>IFERROR(INDEX('بيانات الحركات'!F:F,MATCH(1752,'بيانات الحركات'!$G:$G,0)),"")</f>
        <v/>
      </c>
    </row>
    <row r="1754" spans="1:6" ht="21.95" customHeight="1">
      <c r="A1754" s="8" t="str">
        <f>IFERROR(INDEX('بيانات الحركات'!A:A,MATCH(1753,'بيانات الحركات'!$G:$G,0)),"")</f>
        <v/>
      </c>
      <c r="B1754" s="5" t="str">
        <f>IFERROR(INDEX('بيانات الحركات'!B:B,MATCH(1753,'بيانات الحركات'!$G:$G,0)),"")</f>
        <v/>
      </c>
      <c r="C1754" s="3" t="str">
        <f>IFERROR(INDEX('بيانات الحركات'!C:C,MATCH(1753,'بيانات الحركات'!$G:$G,0)),"")</f>
        <v/>
      </c>
      <c r="D1754" s="3" t="str">
        <f>IFERROR(INDEX('بيانات الحركات'!D:D,MATCH(1753,'بيانات الحركات'!$G:$G,0)),"")</f>
        <v/>
      </c>
      <c r="E1754" s="21" t="str">
        <f>IF($B1754="إنتاج طبخة","",IFERROR(INDEX('بيانات الحركات'!E:E,MATCH(1753,'بيانات الحركات'!$G:$G,0)),""))</f>
        <v/>
      </c>
      <c r="F1754" s="3" t="str">
        <f>IFERROR(INDEX('بيانات الحركات'!F:F,MATCH(1753,'بيانات الحركات'!$G:$G,0)),"")</f>
        <v/>
      </c>
    </row>
    <row r="1755" spans="1:6" ht="21.95" customHeight="1">
      <c r="A1755" s="8" t="str">
        <f>IFERROR(INDEX('بيانات الحركات'!A:A,MATCH(1754,'بيانات الحركات'!$G:$G,0)),"")</f>
        <v/>
      </c>
      <c r="B1755" s="5" t="str">
        <f>IFERROR(INDEX('بيانات الحركات'!B:B,MATCH(1754,'بيانات الحركات'!$G:$G,0)),"")</f>
        <v/>
      </c>
      <c r="C1755" s="3" t="str">
        <f>IFERROR(INDEX('بيانات الحركات'!C:C,MATCH(1754,'بيانات الحركات'!$G:$G,0)),"")</f>
        <v/>
      </c>
      <c r="D1755" s="3" t="str">
        <f>IFERROR(INDEX('بيانات الحركات'!D:D,MATCH(1754,'بيانات الحركات'!$G:$G,0)),"")</f>
        <v/>
      </c>
      <c r="E1755" s="21" t="str">
        <f>IF($B1755="إنتاج طبخة","",IFERROR(INDEX('بيانات الحركات'!E:E,MATCH(1754,'بيانات الحركات'!$G:$G,0)),""))</f>
        <v/>
      </c>
      <c r="F1755" s="3" t="str">
        <f>IFERROR(INDEX('بيانات الحركات'!F:F,MATCH(1754,'بيانات الحركات'!$G:$G,0)),"")</f>
        <v/>
      </c>
    </row>
    <row r="1756" spans="1:6" ht="21.95" customHeight="1">
      <c r="A1756" s="8" t="str">
        <f>IFERROR(INDEX('بيانات الحركات'!A:A,MATCH(1755,'بيانات الحركات'!$G:$G,0)),"")</f>
        <v/>
      </c>
      <c r="B1756" s="5" t="str">
        <f>IFERROR(INDEX('بيانات الحركات'!B:B,MATCH(1755,'بيانات الحركات'!$G:$G,0)),"")</f>
        <v/>
      </c>
      <c r="C1756" s="3" t="str">
        <f>IFERROR(INDEX('بيانات الحركات'!C:C,MATCH(1755,'بيانات الحركات'!$G:$G,0)),"")</f>
        <v/>
      </c>
      <c r="D1756" s="3" t="str">
        <f>IFERROR(INDEX('بيانات الحركات'!D:D,MATCH(1755,'بيانات الحركات'!$G:$G,0)),"")</f>
        <v/>
      </c>
      <c r="E1756" s="21" t="str">
        <f>IF($B1756="إنتاج طبخة","",IFERROR(INDEX('بيانات الحركات'!E:E,MATCH(1755,'بيانات الحركات'!$G:$G,0)),""))</f>
        <v/>
      </c>
      <c r="F1756" s="3" t="str">
        <f>IFERROR(INDEX('بيانات الحركات'!F:F,MATCH(1755,'بيانات الحركات'!$G:$G,0)),"")</f>
        <v/>
      </c>
    </row>
    <row r="1757" spans="1:6" ht="21.95" customHeight="1">
      <c r="A1757" s="8" t="str">
        <f>IFERROR(INDEX('بيانات الحركات'!A:A,MATCH(1756,'بيانات الحركات'!$G:$G,0)),"")</f>
        <v/>
      </c>
      <c r="B1757" s="5" t="str">
        <f>IFERROR(INDEX('بيانات الحركات'!B:B,MATCH(1756,'بيانات الحركات'!$G:$G,0)),"")</f>
        <v/>
      </c>
      <c r="C1757" s="3" t="str">
        <f>IFERROR(INDEX('بيانات الحركات'!C:C,MATCH(1756,'بيانات الحركات'!$G:$G,0)),"")</f>
        <v/>
      </c>
      <c r="D1757" s="3" t="str">
        <f>IFERROR(INDEX('بيانات الحركات'!D:D,MATCH(1756,'بيانات الحركات'!$G:$G,0)),"")</f>
        <v/>
      </c>
      <c r="E1757" s="21" t="str">
        <f>IF($B1757="إنتاج طبخة","",IFERROR(INDEX('بيانات الحركات'!E:E,MATCH(1756,'بيانات الحركات'!$G:$G,0)),""))</f>
        <v/>
      </c>
      <c r="F1757" s="3" t="str">
        <f>IFERROR(INDEX('بيانات الحركات'!F:F,MATCH(1756,'بيانات الحركات'!$G:$G,0)),"")</f>
        <v/>
      </c>
    </row>
    <row r="1758" spans="1:6" ht="21.95" customHeight="1">
      <c r="A1758" s="8" t="str">
        <f>IFERROR(INDEX('بيانات الحركات'!A:A,MATCH(1757,'بيانات الحركات'!$G:$G,0)),"")</f>
        <v/>
      </c>
      <c r="B1758" s="5" t="str">
        <f>IFERROR(INDEX('بيانات الحركات'!B:B,MATCH(1757,'بيانات الحركات'!$G:$G,0)),"")</f>
        <v/>
      </c>
      <c r="C1758" s="3" t="str">
        <f>IFERROR(INDEX('بيانات الحركات'!C:C,MATCH(1757,'بيانات الحركات'!$G:$G,0)),"")</f>
        <v/>
      </c>
      <c r="D1758" s="3" t="str">
        <f>IFERROR(INDEX('بيانات الحركات'!D:D,MATCH(1757,'بيانات الحركات'!$G:$G,0)),"")</f>
        <v/>
      </c>
      <c r="E1758" s="21" t="str">
        <f>IF($B1758="إنتاج طبخة","",IFERROR(INDEX('بيانات الحركات'!E:E,MATCH(1757,'بيانات الحركات'!$G:$G,0)),""))</f>
        <v/>
      </c>
      <c r="F1758" s="3" t="str">
        <f>IFERROR(INDEX('بيانات الحركات'!F:F,MATCH(1757,'بيانات الحركات'!$G:$G,0)),"")</f>
        <v/>
      </c>
    </row>
    <row r="1759" spans="1:6" ht="21.95" customHeight="1">
      <c r="A1759" s="8" t="str">
        <f>IFERROR(INDEX('بيانات الحركات'!A:A,MATCH(1758,'بيانات الحركات'!$G:$G,0)),"")</f>
        <v/>
      </c>
      <c r="B1759" s="5" t="str">
        <f>IFERROR(INDEX('بيانات الحركات'!B:B,MATCH(1758,'بيانات الحركات'!$G:$G,0)),"")</f>
        <v/>
      </c>
      <c r="C1759" s="3" t="str">
        <f>IFERROR(INDEX('بيانات الحركات'!C:C,MATCH(1758,'بيانات الحركات'!$G:$G,0)),"")</f>
        <v/>
      </c>
      <c r="D1759" s="3" t="str">
        <f>IFERROR(INDEX('بيانات الحركات'!D:D,MATCH(1758,'بيانات الحركات'!$G:$G,0)),"")</f>
        <v/>
      </c>
      <c r="E1759" s="21" t="str">
        <f>IF($B1759="إنتاج طبخة","",IFERROR(INDEX('بيانات الحركات'!E:E,MATCH(1758,'بيانات الحركات'!$G:$G,0)),""))</f>
        <v/>
      </c>
      <c r="F1759" s="3" t="str">
        <f>IFERROR(INDEX('بيانات الحركات'!F:F,MATCH(1758,'بيانات الحركات'!$G:$G,0)),"")</f>
        <v/>
      </c>
    </row>
    <row r="1760" spans="1:6" ht="21.95" customHeight="1">
      <c r="A1760" s="8" t="str">
        <f>IFERROR(INDEX('بيانات الحركات'!A:A,MATCH(1759,'بيانات الحركات'!$G:$G,0)),"")</f>
        <v/>
      </c>
      <c r="B1760" s="5" t="str">
        <f>IFERROR(INDEX('بيانات الحركات'!B:B,MATCH(1759,'بيانات الحركات'!$G:$G,0)),"")</f>
        <v/>
      </c>
      <c r="C1760" s="3" t="str">
        <f>IFERROR(INDEX('بيانات الحركات'!C:C,MATCH(1759,'بيانات الحركات'!$G:$G,0)),"")</f>
        <v/>
      </c>
      <c r="D1760" s="3" t="str">
        <f>IFERROR(INDEX('بيانات الحركات'!D:D,MATCH(1759,'بيانات الحركات'!$G:$G,0)),"")</f>
        <v/>
      </c>
      <c r="E1760" s="21" t="str">
        <f>IF($B1760="إنتاج طبخة","",IFERROR(INDEX('بيانات الحركات'!E:E,MATCH(1759,'بيانات الحركات'!$G:$G,0)),""))</f>
        <v/>
      </c>
      <c r="F1760" s="3" t="str">
        <f>IFERROR(INDEX('بيانات الحركات'!F:F,MATCH(1759,'بيانات الحركات'!$G:$G,0)),"")</f>
        <v/>
      </c>
    </row>
    <row r="1761" spans="1:6" ht="21.95" customHeight="1">
      <c r="A1761" s="8" t="str">
        <f>IFERROR(INDEX('بيانات الحركات'!A:A,MATCH(1760,'بيانات الحركات'!$G:$G,0)),"")</f>
        <v/>
      </c>
      <c r="B1761" s="5" t="str">
        <f>IFERROR(INDEX('بيانات الحركات'!B:B,MATCH(1760,'بيانات الحركات'!$G:$G,0)),"")</f>
        <v/>
      </c>
      <c r="C1761" s="3" t="str">
        <f>IFERROR(INDEX('بيانات الحركات'!C:C,MATCH(1760,'بيانات الحركات'!$G:$G,0)),"")</f>
        <v/>
      </c>
      <c r="D1761" s="3" t="str">
        <f>IFERROR(INDEX('بيانات الحركات'!D:D,MATCH(1760,'بيانات الحركات'!$G:$G,0)),"")</f>
        <v/>
      </c>
      <c r="E1761" s="21" t="str">
        <f>IF($B1761="إنتاج طبخة","",IFERROR(INDEX('بيانات الحركات'!E:E,MATCH(1760,'بيانات الحركات'!$G:$G,0)),""))</f>
        <v/>
      </c>
      <c r="F1761" s="3" t="str">
        <f>IFERROR(INDEX('بيانات الحركات'!F:F,MATCH(1760,'بيانات الحركات'!$G:$G,0)),"")</f>
        <v/>
      </c>
    </row>
    <row r="1762" spans="1:6" ht="21.95" customHeight="1">
      <c r="A1762" s="8" t="str">
        <f>IFERROR(INDEX('بيانات الحركات'!A:A,MATCH(1761,'بيانات الحركات'!$G:$G,0)),"")</f>
        <v/>
      </c>
      <c r="B1762" s="5" t="str">
        <f>IFERROR(INDEX('بيانات الحركات'!B:B,MATCH(1761,'بيانات الحركات'!$G:$G,0)),"")</f>
        <v/>
      </c>
      <c r="C1762" s="3" t="str">
        <f>IFERROR(INDEX('بيانات الحركات'!C:C,MATCH(1761,'بيانات الحركات'!$G:$G,0)),"")</f>
        <v/>
      </c>
      <c r="D1762" s="3" t="str">
        <f>IFERROR(INDEX('بيانات الحركات'!D:D,MATCH(1761,'بيانات الحركات'!$G:$G,0)),"")</f>
        <v/>
      </c>
      <c r="E1762" s="21" t="str">
        <f>IF($B1762="إنتاج طبخة","",IFERROR(INDEX('بيانات الحركات'!E:E,MATCH(1761,'بيانات الحركات'!$G:$G,0)),""))</f>
        <v/>
      </c>
      <c r="F1762" s="3" t="str">
        <f>IFERROR(INDEX('بيانات الحركات'!F:F,MATCH(1761,'بيانات الحركات'!$G:$G,0)),"")</f>
        <v/>
      </c>
    </row>
    <row r="1763" spans="1:6" ht="21.95" customHeight="1">
      <c r="A1763" s="8" t="str">
        <f>IFERROR(INDEX('بيانات الحركات'!A:A,MATCH(1762,'بيانات الحركات'!$G:$G,0)),"")</f>
        <v/>
      </c>
      <c r="B1763" s="5" t="str">
        <f>IFERROR(INDEX('بيانات الحركات'!B:B,MATCH(1762,'بيانات الحركات'!$G:$G,0)),"")</f>
        <v/>
      </c>
      <c r="C1763" s="3" t="str">
        <f>IFERROR(INDEX('بيانات الحركات'!C:C,MATCH(1762,'بيانات الحركات'!$G:$G,0)),"")</f>
        <v/>
      </c>
      <c r="D1763" s="3" t="str">
        <f>IFERROR(INDEX('بيانات الحركات'!D:D,MATCH(1762,'بيانات الحركات'!$G:$G,0)),"")</f>
        <v/>
      </c>
      <c r="E1763" s="21" t="str">
        <f>IF($B1763="إنتاج طبخة","",IFERROR(INDEX('بيانات الحركات'!E:E,MATCH(1762,'بيانات الحركات'!$G:$G,0)),""))</f>
        <v/>
      </c>
      <c r="F1763" s="3" t="str">
        <f>IFERROR(INDEX('بيانات الحركات'!F:F,MATCH(1762,'بيانات الحركات'!$G:$G,0)),"")</f>
        <v/>
      </c>
    </row>
    <row r="1764" spans="1:6" ht="21.95" customHeight="1">
      <c r="A1764" s="8" t="str">
        <f>IFERROR(INDEX('بيانات الحركات'!A:A,MATCH(1763,'بيانات الحركات'!$G:$G,0)),"")</f>
        <v/>
      </c>
      <c r="B1764" s="5" t="str">
        <f>IFERROR(INDEX('بيانات الحركات'!B:B,MATCH(1763,'بيانات الحركات'!$G:$G,0)),"")</f>
        <v/>
      </c>
      <c r="C1764" s="3" t="str">
        <f>IFERROR(INDEX('بيانات الحركات'!C:C,MATCH(1763,'بيانات الحركات'!$G:$G,0)),"")</f>
        <v/>
      </c>
      <c r="D1764" s="3" t="str">
        <f>IFERROR(INDEX('بيانات الحركات'!D:D,MATCH(1763,'بيانات الحركات'!$G:$G,0)),"")</f>
        <v/>
      </c>
      <c r="E1764" s="21" t="str">
        <f>IF($B1764="إنتاج طبخة","",IFERROR(INDEX('بيانات الحركات'!E:E,MATCH(1763,'بيانات الحركات'!$G:$G,0)),""))</f>
        <v/>
      </c>
      <c r="F1764" s="3" t="str">
        <f>IFERROR(INDEX('بيانات الحركات'!F:F,MATCH(1763,'بيانات الحركات'!$G:$G,0)),"")</f>
        <v/>
      </c>
    </row>
    <row r="1765" spans="1:6" ht="21.95" customHeight="1">
      <c r="A1765" s="8" t="str">
        <f>IFERROR(INDEX('بيانات الحركات'!A:A,MATCH(1764,'بيانات الحركات'!$G:$G,0)),"")</f>
        <v/>
      </c>
      <c r="B1765" s="5" t="str">
        <f>IFERROR(INDEX('بيانات الحركات'!B:B,MATCH(1764,'بيانات الحركات'!$G:$G,0)),"")</f>
        <v/>
      </c>
      <c r="C1765" s="3" t="str">
        <f>IFERROR(INDEX('بيانات الحركات'!C:C,MATCH(1764,'بيانات الحركات'!$G:$G,0)),"")</f>
        <v/>
      </c>
      <c r="D1765" s="3" t="str">
        <f>IFERROR(INDEX('بيانات الحركات'!D:D,MATCH(1764,'بيانات الحركات'!$G:$G,0)),"")</f>
        <v/>
      </c>
      <c r="E1765" s="21" t="str">
        <f>IF($B1765="إنتاج طبخة","",IFERROR(INDEX('بيانات الحركات'!E:E,MATCH(1764,'بيانات الحركات'!$G:$G,0)),""))</f>
        <v/>
      </c>
      <c r="F1765" s="3" t="str">
        <f>IFERROR(INDEX('بيانات الحركات'!F:F,MATCH(1764,'بيانات الحركات'!$G:$G,0)),"")</f>
        <v/>
      </c>
    </row>
    <row r="1766" spans="1:6" ht="21.95" customHeight="1">
      <c r="A1766" s="8" t="str">
        <f>IFERROR(INDEX('بيانات الحركات'!A:A,MATCH(1765,'بيانات الحركات'!$G:$G,0)),"")</f>
        <v/>
      </c>
      <c r="B1766" s="5" t="str">
        <f>IFERROR(INDEX('بيانات الحركات'!B:B,MATCH(1765,'بيانات الحركات'!$G:$G,0)),"")</f>
        <v/>
      </c>
      <c r="C1766" s="3" t="str">
        <f>IFERROR(INDEX('بيانات الحركات'!C:C,MATCH(1765,'بيانات الحركات'!$G:$G,0)),"")</f>
        <v/>
      </c>
      <c r="D1766" s="3" t="str">
        <f>IFERROR(INDEX('بيانات الحركات'!D:D,MATCH(1765,'بيانات الحركات'!$G:$G,0)),"")</f>
        <v/>
      </c>
      <c r="E1766" s="21" t="str">
        <f>IF($B1766="إنتاج طبخة","",IFERROR(INDEX('بيانات الحركات'!E:E,MATCH(1765,'بيانات الحركات'!$G:$G,0)),""))</f>
        <v/>
      </c>
      <c r="F1766" s="3" t="str">
        <f>IFERROR(INDEX('بيانات الحركات'!F:F,MATCH(1765,'بيانات الحركات'!$G:$G,0)),"")</f>
        <v/>
      </c>
    </row>
    <row r="1767" spans="1:6" ht="21.95" customHeight="1">
      <c r="A1767" s="8" t="str">
        <f>IFERROR(INDEX('بيانات الحركات'!A:A,MATCH(1766,'بيانات الحركات'!$G:$G,0)),"")</f>
        <v/>
      </c>
      <c r="B1767" s="5" t="str">
        <f>IFERROR(INDEX('بيانات الحركات'!B:B,MATCH(1766,'بيانات الحركات'!$G:$G,0)),"")</f>
        <v/>
      </c>
      <c r="C1767" s="3" t="str">
        <f>IFERROR(INDEX('بيانات الحركات'!C:C,MATCH(1766,'بيانات الحركات'!$G:$G,0)),"")</f>
        <v/>
      </c>
      <c r="D1767" s="3" t="str">
        <f>IFERROR(INDEX('بيانات الحركات'!D:D,MATCH(1766,'بيانات الحركات'!$G:$G,0)),"")</f>
        <v/>
      </c>
      <c r="E1767" s="21" t="str">
        <f>IF($B1767="إنتاج طبخة","",IFERROR(INDEX('بيانات الحركات'!E:E,MATCH(1766,'بيانات الحركات'!$G:$G,0)),""))</f>
        <v/>
      </c>
      <c r="F1767" s="3" t="str">
        <f>IFERROR(INDEX('بيانات الحركات'!F:F,MATCH(1766,'بيانات الحركات'!$G:$G,0)),"")</f>
        <v/>
      </c>
    </row>
    <row r="1768" spans="1:6" ht="21.95" customHeight="1">
      <c r="A1768" s="8" t="str">
        <f>IFERROR(INDEX('بيانات الحركات'!A:A,MATCH(1767,'بيانات الحركات'!$G:$G,0)),"")</f>
        <v/>
      </c>
      <c r="B1768" s="5" t="str">
        <f>IFERROR(INDEX('بيانات الحركات'!B:B,MATCH(1767,'بيانات الحركات'!$G:$G,0)),"")</f>
        <v/>
      </c>
      <c r="C1768" s="3" t="str">
        <f>IFERROR(INDEX('بيانات الحركات'!C:C,MATCH(1767,'بيانات الحركات'!$G:$G,0)),"")</f>
        <v/>
      </c>
      <c r="D1768" s="3" t="str">
        <f>IFERROR(INDEX('بيانات الحركات'!D:D,MATCH(1767,'بيانات الحركات'!$G:$G,0)),"")</f>
        <v/>
      </c>
      <c r="E1768" s="21" t="str">
        <f>IF($B1768="إنتاج طبخة","",IFERROR(INDEX('بيانات الحركات'!E:E,MATCH(1767,'بيانات الحركات'!$G:$G,0)),""))</f>
        <v/>
      </c>
      <c r="F1768" s="3" t="str">
        <f>IFERROR(INDEX('بيانات الحركات'!F:F,MATCH(1767,'بيانات الحركات'!$G:$G,0)),"")</f>
        <v/>
      </c>
    </row>
    <row r="1769" spans="1:6" ht="21.95" customHeight="1">
      <c r="A1769" s="8" t="str">
        <f>IFERROR(INDEX('بيانات الحركات'!A:A,MATCH(1768,'بيانات الحركات'!$G:$G,0)),"")</f>
        <v/>
      </c>
      <c r="B1769" s="5" t="str">
        <f>IFERROR(INDEX('بيانات الحركات'!B:B,MATCH(1768,'بيانات الحركات'!$G:$G,0)),"")</f>
        <v/>
      </c>
      <c r="C1769" s="3" t="str">
        <f>IFERROR(INDEX('بيانات الحركات'!C:C,MATCH(1768,'بيانات الحركات'!$G:$G,0)),"")</f>
        <v/>
      </c>
      <c r="D1769" s="3" t="str">
        <f>IFERROR(INDEX('بيانات الحركات'!D:D,MATCH(1768,'بيانات الحركات'!$G:$G,0)),"")</f>
        <v/>
      </c>
      <c r="E1769" s="21" t="str">
        <f>IF($B1769="إنتاج طبخة","",IFERROR(INDEX('بيانات الحركات'!E:E,MATCH(1768,'بيانات الحركات'!$G:$G,0)),""))</f>
        <v/>
      </c>
      <c r="F1769" s="3" t="str">
        <f>IFERROR(INDEX('بيانات الحركات'!F:F,MATCH(1768,'بيانات الحركات'!$G:$G,0)),"")</f>
        <v/>
      </c>
    </row>
    <row r="1770" spans="1:6" ht="21.95" customHeight="1">
      <c r="A1770" s="8" t="str">
        <f>IFERROR(INDEX('بيانات الحركات'!A:A,MATCH(1769,'بيانات الحركات'!$G:$G,0)),"")</f>
        <v/>
      </c>
      <c r="B1770" s="5" t="str">
        <f>IFERROR(INDEX('بيانات الحركات'!B:B,MATCH(1769,'بيانات الحركات'!$G:$G,0)),"")</f>
        <v/>
      </c>
      <c r="C1770" s="3" t="str">
        <f>IFERROR(INDEX('بيانات الحركات'!C:C,MATCH(1769,'بيانات الحركات'!$G:$G,0)),"")</f>
        <v/>
      </c>
      <c r="D1770" s="3" t="str">
        <f>IFERROR(INDEX('بيانات الحركات'!D:D,MATCH(1769,'بيانات الحركات'!$G:$G,0)),"")</f>
        <v/>
      </c>
      <c r="E1770" s="21" t="str">
        <f>IF($B1770="إنتاج طبخة","",IFERROR(INDEX('بيانات الحركات'!E:E,MATCH(1769,'بيانات الحركات'!$G:$G,0)),""))</f>
        <v/>
      </c>
      <c r="F1770" s="3" t="str">
        <f>IFERROR(INDEX('بيانات الحركات'!F:F,MATCH(1769,'بيانات الحركات'!$G:$G,0)),"")</f>
        <v/>
      </c>
    </row>
    <row r="1771" spans="1:6" ht="21.95" customHeight="1">
      <c r="A1771" s="8" t="str">
        <f>IFERROR(INDEX('بيانات الحركات'!A:A,MATCH(1770,'بيانات الحركات'!$G:$G,0)),"")</f>
        <v/>
      </c>
      <c r="B1771" s="5" t="str">
        <f>IFERROR(INDEX('بيانات الحركات'!B:B,MATCH(1770,'بيانات الحركات'!$G:$G,0)),"")</f>
        <v/>
      </c>
      <c r="C1771" s="3" t="str">
        <f>IFERROR(INDEX('بيانات الحركات'!C:C,MATCH(1770,'بيانات الحركات'!$G:$G,0)),"")</f>
        <v/>
      </c>
      <c r="D1771" s="3" t="str">
        <f>IFERROR(INDEX('بيانات الحركات'!D:D,MATCH(1770,'بيانات الحركات'!$G:$G,0)),"")</f>
        <v/>
      </c>
      <c r="E1771" s="21" t="str">
        <f>IF($B1771="إنتاج طبخة","",IFERROR(INDEX('بيانات الحركات'!E:E,MATCH(1770,'بيانات الحركات'!$G:$G,0)),""))</f>
        <v/>
      </c>
      <c r="F1771" s="3" t="str">
        <f>IFERROR(INDEX('بيانات الحركات'!F:F,MATCH(1770,'بيانات الحركات'!$G:$G,0)),"")</f>
        <v/>
      </c>
    </row>
    <row r="1772" spans="1:6" ht="21.95" customHeight="1">
      <c r="A1772" s="8" t="str">
        <f>IFERROR(INDEX('بيانات الحركات'!A:A,MATCH(1771,'بيانات الحركات'!$G:$G,0)),"")</f>
        <v/>
      </c>
      <c r="B1772" s="5" t="str">
        <f>IFERROR(INDEX('بيانات الحركات'!B:B,MATCH(1771,'بيانات الحركات'!$G:$G,0)),"")</f>
        <v/>
      </c>
      <c r="C1772" s="3" t="str">
        <f>IFERROR(INDEX('بيانات الحركات'!C:C,MATCH(1771,'بيانات الحركات'!$G:$G,0)),"")</f>
        <v/>
      </c>
      <c r="D1772" s="3" t="str">
        <f>IFERROR(INDEX('بيانات الحركات'!D:D,MATCH(1771,'بيانات الحركات'!$G:$G,0)),"")</f>
        <v/>
      </c>
      <c r="E1772" s="21" t="str">
        <f>IF($B1772="إنتاج طبخة","",IFERROR(INDEX('بيانات الحركات'!E:E,MATCH(1771,'بيانات الحركات'!$G:$G,0)),""))</f>
        <v/>
      </c>
      <c r="F1772" s="3" t="str">
        <f>IFERROR(INDEX('بيانات الحركات'!F:F,MATCH(1771,'بيانات الحركات'!$G:$G,0)),"")</f>
        <v/>
      </c>
    </row>
    <row r="1773" spans="1:6" ht="21.95" customHeight="1">
      <c r="A1773" s="8" t="str">
        <f>IFERROR(INDEX('بيانات الحركات'!A:A,MATCH(1772,'بيانات الحركات'!$G:$G,0)),"")</f>
        <v/>
      </c>
      <c r="B1773" s="5" t="str">
        <f>IFERROR(INDEX('بيانات الحركات'!B:B,MATCH(1772,'بيانات الحركات'!$G:$G,0)),"")</f>
        <v/>
      </c>
      <c r="C1773" s="3" t="str">
        <f>IFERROR(INDEX('بيانات الحركات'!C:C,MATCH(1772,'بيانات الحركات'!$G:$G,0)),"")</f>
        <v/>
      </c>
      <c r="D1773" s="3" t="str">
        <f>IFERROR(INDEX('بيانات الحركات'!D:D,MATCH(1772,'بيانات الحركات'!$G:$G,0)),"")</f>
        <v/>
      </c>
      <c r="E1773" s="21" t="str">
        <f>IF($B1773="إنتاج طبخة","",IFERROR(INDEX('بيانات الحركات'!E:E,MATCH(1772,'بيانات الحركات'!$G:$G,0)),""))</f>
        <v/>
      </c>
      <c r="F1773" s="3" t="str">
        <f>IFERROR(INDEX('بيانات الحركات'!F:F,MATCH(1772,'بيانات الحركات'!$G:$G,0)),"")</f>
        <v/>
      </c>
    </row>
    <row r="1774" spans="1:6" ht="21.95" customHeight="1">
      <c r="A1774" s="8" t="str">
        <f>IFERROR(INDEX('بيانات الحركات'!A:A,MATCH(1773,'بيانات الحركات'!$G:$G,0)),"")</f>
        <v/>
      </c>
      <c r="B1774" s="5" t="str">
        <f>IFERROR(INDEX('بيانات الحركات'!B:B,MATCH(1773,'بيانات الحركات'!$G:$G,0)),"")</f>
        <v/>
      </c>
      <c r="C1774" s="3" t="str">
        <f>IFERROR(INDEX('بيانات الحركات'!C:C,MATCH(1773,'بيانات الحركات'!$G:$G,0)),"")</f>
        <v/>
      </c>
      <c r="D1774" s="3" t="str">
        <f>IFERROR(INDEX('بيانات الحركات'!D:D,MATCH(1773,'بيانات الحركات'!$G:$G,0)),"")</f>
        <v/>
      </c>
      <c r="E1774" s="21" t="str">
        <f>IF($B1774="إنتاج طبخة","",IFERROR(INDEX('بيانات الحركات'!E:E,MATCH(1773,'بيانات الحركات'!$G:$G,0)),""))</f>
        <v/>
      </c>
      <c r="F1774" s="3" t="str">
        <f>IFERROR(INDEX('بيانات الحركات'!F:F,MATCH(1773,'بيانات الحركات'!$G:$G,0)),"")</f>
        <v/>
      </c>
    </row>
    <row r="1775" spans="1:6" ht="21.95" customHeight="1">
      <c r="A1775" s="8" t="str">
        <f>IFERROR(INDEX('بيانات الحركات'!A:A,MATCH(1774,'بيانات الحركات'!$G:$G,0)),"")</f>
        <v/>
      </c>
      <c r="B1775" s="5" t="str">
        <f>IFERROR(INDEX('بيانات الحركات'!B:B,MATCH(1774,'بيانات الحركات'!$G:$G,0)),"")</f>
        <v/>
      </c>
      <c r="C1775" s="3" t="str">
        <f>IFERROR(INDEX('بيانات الحركات'!C:C,MATCH(1774,'بيانات الحركات'!$G:$G,0)),"")</f>
        <v/>
      </c>
      <c r="D1775" s="3" t="str">
        <f>IFERROR(INDEX('بيانات الحركات'!D:D,MATCH(1774,'بيانات الحركات'!$G:$G,0)),"")</f>
        <v/>
      </c>
      <c r="E1775" s="21" t="str">
        <f>IF($B1775="إنتاج طبخة","",IFERROR(INDEX('بيانات الحركات'!E:E,MATCH(1774,'بيانات الحركات'!$G:$G,0)),""))</f>
        <v/>
      </c>
      <c r="F1775" s="3" t="str">
        <f>IFERROR(INDEX('بيانات الحركات'!F:F,MATCH(1774,'بيانات الحركات'!$G:$G,0)),"")</f>
        <v/>
      </c>
    </row>
    <row r="1776" spans="1:6" ht="21.95" customHeight="1">
      <c r="A1776" s="8" t="str">
        <f>IFERROR(INDEX('بيانات الحركات'!A:A,MATCH(1775,'بيانات الحركات'!$G:$G,0)),"")</f>
        <v/>
      </c>
      <c r="B1776" s="5" t="str">
        <f>IFERROR(INDEX('بيانات الحركات'!B:B,MATCH(1775,'بيانات الحركات'!$G:$G,0)),"")</f>
        <v/>
      </c>
      <c r="C1776" s="3" t="str">
        <f>IFERROR(INDEX('بيانات الحركات'!C:C,MATCH(1775,'بيانات الحركات'!$G:$G,0)),"")</f>
        <v/>
      </c>
      <c r="D1776" s="3" t="str">
        <f>IFERROR(INDEX('بيانات الحركات'!D:D,MATCH(1775,'بيانات الحركات'!$G:$G,0)),"")</f>
        <v/>
      </c>
      <c r="E1776" s="21" t="str">
        <f>IF($B1776="إنتاج طبخة","",IFERROR(INDEX('بيانات الحركات'!E:E,MATCH(1775,'بيانات الحركات'!$G:$G,0)),""))</f>
        <v/>
      </c>
      <c r="F1776" s="3" t="str">
        <f>IFERROR(INDEX('بيانات الحركات'!F:F,MATCH(1775,'بيانات الحركات'!$G:$G,0)),"")</f>
        <v/>
      </c>
    </row>
    <row r="1777" spans="1:6" ht="21.95" customHeight="1">
      <c r="A1777" s="8" t="str">
        <f>IFERROR(INDEX('بيانات الحركات'!A:A,MATCH(1776,'بيانات الحركات'!$G:$G,0)),"")</f>
        <v/>
      </c>
      <c r="B1777" s="5" t="str">
        <f>IFERROR(INDEX('بيانات الحركات'!B:B,MATCH(1776,'بيانات الحركات'!$G:$G,0)),"")</f>
        <v/>
      </c>
      <c r="C1777" s="3" t="str">
        <f>IFERROR(INDEX('بيانات الحركات'!C:C,MATCH(1776,'بيانات الحركات'!$G:$G,0)),"")</f>
        <v/>
      </c>
      <c r="D1777" s="3" t="str">
        <f>IFERROR(INDEX('بيانات الحركات'!D:D,MATCH(1776,'بيانات الحركات'!$G:$G,0)),"")</f>
        <v/>
      </c>
      <c r="E1777" s="21" t="str">
        <f>IF($B1777="إنتاج طبخة","",IFERROR(INDEX('بيانات الحركات'!E:E,MATCH(1776,'بيانات الحركات'!$G:$G,0)),""))</f>
        <v/>
      </c>
      <c r="F1777" s="3" t="str">
        <f>IFERROR(INDEX('بيانات الحركات'!F:F,MATCH(1776,'بيانات الحركات'!$G:$G,0)),"")</f>
        <v/>
      </c>
    </row>
    <row r="1778" spans="1:6" ht="21.95" customHeight="1">
      <c r="A1778" s="8" t="str">
        <f>IFERROR(INDEX('بيانات الحركات'!A:A,MATCH(1777,'بيانات الحركات'!$G:$G,0)),"")</f>
        <v/>
      </c>
      <c r="B1778" s="5" t="str">
        <f>IFERROR(INDEX('بيانات الحركات'!B:B,MATCH(1777,'بيانات الحركات'!$G:$G,0)),"")</f>
        <v/>
      </c>
      <c r="C1778" s="3" t="str">
        <f>IFERROR(INDEX('بيانات الحركات'!C:C,MATCH(1777,'بيانات الحركات'!$G:$G,0)),"")</f>
        <v/>
      </c>
      <c r="D1778" s="3" t="str">
        <f>IFERROR(INDEX('بيانات الحركات'!D:D,MATCH(1777,'بيانات الحركات'!$G:$G,0)),"")</f>
        <v/>
      </c>
      <c r="E1778" s="21" t="str">
        <f>IF($B1778="إنتاج طبخة","",IFERROR(INDEX('بيانات الحركات'!E:E,MATCH(1777,'بيانات الحركات'!$G:$G,0)),""))</f>
        <v/>
      </c>
      <c r="F1778" s="3" t="str">
        <f>IFERROR(INDEX('بيانات الحركات'!F:F,MATCH(1777,'بيانات الحركات'!$G:$G,0)),"")</f>
        <v/>
      </c>
    </row>
    <row r="1779" spans="1:6" ht="21.95" customHeight="1">
      <c r="A1779" s="8" t="str">
        <f>IFERROR(INDEX('بيانات الحركات'!A:A,MATCH(1778,'بيانات الحركات'!$G:$G,0)),"")</f>
        <v/>
      </c>
      <c r="B1779" s="5" t="str">
        <f>IFERROR(INDEX('بيانات الحركات'!B:B,MATCH(1778,'بيانات الحركات'!$G:$G,0)),"")</f>
        <v/>
      </c>
      <c r="C1779" s="3" t="str">
        <f>IFERROR(INDEX('بيانات الحركات'!C:C,MATCH(1778,'بيانات الحركات'!$G:$G,0)),"")</f>
        <v/>
      </c>
      <c r="D1779" s="3" t="str">
        <f>IFERROR(INDEX('بيانات الحركات'!D:D,MATCH(1778,'بيانات الحركات'!$G:$G,0)),"")</f>
        <v/>
      </c>
      <c r="E1779" s="21" t="str">
        <f>IF($B1779="إنتاج طبخة","",IFERROR(INDEX('بيانات الحركات'!E:E,MATCH(1778,'بيانات الحركات'!$G:$G,0)),""))</f>
        <v/>
      </c>
      <c r="F1779" s="3" t="str">
        <f>IFERROR(INDEX('بيانات الحركات'!F:F,MATCH(1778,'بيانات الحركات'!$G:$G,0)),"")</f>
        <v/>
      </c>
    </row>
    <row r="1780" spans="1:6" ht="21.95" customHeight="1">
      <c r="A1780" s="8" t="str">
        <f>IFERROR(INDEX('بيانات الحركات'!A:A,MATCH(1779,'بيانات الحركات'!$G:$G,0)),"")</f>
        <v/>
      </c>
      <c r="B1780" s="5" t="str">
        <f>IFERROR(INDEX('بيانات الحركات'!B:B,MATCH(1779,'بيانات الحركات'!$G:$G,0)),"")</f>
        <v/>
      </c>
      <c r="C1780" s="3" t="str">
        <f>IFERROR(INDEX('بيانات الحركات'!C:C,MATCH(1779,'بيانات الحركات'!$G:$G,0)),"")</f>
        <v/>
      </c>
      <c r="D1780" s="3" t="str">
        <f>IFERROR(INDEX('بيانات الحركات'!D:D,MATCH(1779,'بيانات الحركات'!$G:$G,0)),"")</f>
        <v/>
      </c>
      <c r="E1780" s="21" t="str">
        <f>IF($B1780="إنتاج طبخة","",IFERROR(INDEX('بيانات الحركات'!E:E,MATCH(1779,'بيانات الحركات'!$G:$G,0)),""))</f>
        <v/>
      </c>
      <c r="F1780" s="3" t="str">
        <f>IFERROR(INDEX('بيانات الحركات'!F:F,MATCH(1779,'بيانات الحركات'!$G:$G,0)),"")</f>
        <v/>
      </c>
    </row>
    <row r="1781" spans="1:6" ht="21.95" customHeight="1">
      <c r="A1781" s="8" t="str">
        <f>IFERROR(INDEX('بيانات الحركات'!A:A,MATCH(1780,'بيانات الحركات'!$G:$G,0)),"")</f>
        <v/>
      </c>
      <c r="B1781" s="5" t="str">
        <f>IFERROR(INDEX('بيانات الحركات'!B:B,MATCH(1780,'بيانات الحركات'!$G:$G,0)),"")</f>
        <v/>
      </c>
      <c r="C1781" s="3" t="str">
        <f>IFERROR(INDEX('بيانات الحركات'!C:C,MATCH(1780,'بيانات الحركات'!$G:$G,0)),"")</f>
        <v/>
      </c>
      <c r="D1781" s="3" t="str">
        <f>IFERROR(INDEX('بيانات الحركات'!D:D,MATCH(1780,'بيانات الحركات'!$G:$G,0)),"")</f>
        <v/>
      </c>
      <c r="E1781" s="21" t="str">
        <f>IF($B1781="إنتاج طبخة","",IFERROR(INDEX('بيانات الحركات'!E:E,MATCH(1780,'بيانات الحركات'!$G:$G,0)),""))</f>
        <v/>
      </c>
      <c r="F1781" s="3" t="str">
        <f>IFERROR(INDEX('بيانات الحركات'!F:F,MATCH(1780,'بيانات الحركات'!$G:$G,0)),"")</f>
        <v/>
      </c>
    </row>
    <row r="1782" spans="1:6" ht="21.95" customHeight="1">
      <c r="A1782" s="8" t="str">
        <f>IFERROR(INDEX('بيانات الحركات'!A:A,MATCH(1781,'بيانات الحركات'!$G:$G,0)),"")</f>
        <v/>
      </c>
      <c r="B1782" s="5" t="str">
        <f>IFERROR(INDEX('بيانات الحركات'!B:B,MATCH(1781,'بيانات الحركات'!$G:$G,0)),"")</f>
        <v/>
      </c>
      <c r="C1782" s="3" t="str">
        <f>IFERROR(INDEX('بيانات الحركات'!C:C,MATCH(1781,'بيانات الحركات'!$G:$G,0)),"")</f>
        <v/>
      </c>
      <c r="D1782" s="3" t="str">
        <f>IFERROR(INDEX('بيانات الحركات'!D:D,MATCH(1781,'بيانات الحركات'!$G:$G,0)),"")</f>
        <v/>
      </c>
      <c r="E1782" s="21" t="str">
        <f>IF($B1782="إنتاج طبخة","",IFERROR(INDEX('بيانات الحركات'!E:E,MATCH(1781,'بيانات الحركات'!$G:$G,0)),""))</f>
        <v/>
      </c>
      <c r="F1782" s="3" t="str">
        <f>IFERROR(INDEX('بيانات الحركات'!F:F,MATCH(1781,'بيانات الحركات'!$G:$G,0)),"")</f>
        <v/>
      </c>
    </row>
    <row r="1783" spans="1:6" ht="21.95" customHeight="1">
      <c r="A1783" s="8" t="str">
        <f>IFERROR(INDEX('بيانات الحركات'!A:A,MATCH(1782,'بيانات الحركات'!$G:$G,0)),"")</f>
        <v/>
      </c>
      <c r="B1783" s="5" t="str">
        <f>IFERROR(INDEX('بيانات الحركات'!B:B,MATCH(1782,'بيانات الحركات'!$G:$G,0)),"")</f>
        <v/>
      </c>
      <c r="C1783" s="3" t="str">
        <f>IFERROR(INDEX('بيانات الحركات'!C:C,MATCH(1782,'بيانات الحركات'!$G:$G,0)),"")</f>
        <v/>
      </c>
      <c r="D1783" s="3" t="str">
        <f>IFERROR(INDEX('بيانات الحركات'!D:D,MATCH(1782,'بيانات الحركات'!$G:$G,0)),"")</f>
        <v/>
      </c>
      <c r="E1783" s="21" t="str">
        <f>IF($B1783="إنتاج طبخة","",IFERROR(INDEX('بيانات الحركات'!E:E,MATCH(1782,'بيانات الحركات'!$G:$G,0)),""))</f>
        <v/>
      </c>
      <c r="F1783" s="3" t="str">
        <f>IFERROR(INDEX('بيانات الحركات'!F:F,MATCH(1782,'بيانات الحركات'!$G:$G,0)),"")</f>
        <v/>
      </c>
    </row>
    <row r="1784" spans="1:6" ht="21.95" customHeight="1">
      <c r="A1784" s="8" t="str">
        <f>IFERROR(INDEX('بيانات الحركات'!A:A,MATCH(1783,'بيانات الحركات'!$G:$G,0)),"")</f>
        <v/>
      </c>
      <c r="B1784" s="5" t="str">
        <f>IFERROR(INDEX('بيانات الحركات'!B:B,MATCH(1783,'بيانات الحركات'!$G:$G,0)),"")</f>
        <v/>
      </c>
      <c r="C1784" s="3" t="str">
        <f>IFERROR(INDEX('بيانات الحركات'!C:C,MATCH(1783,'بيانات الحركات'!$G:$G,0)),"")</f>
        <v/>
      </c>
      <c r="D1784" s="3" t="str">
        <f>IFERROR(INDEX('بيانات الحركات'!D:D,MATCH(1783,'بيانات الحركات'!$G:$G,0)),"")</f>
        <v/>
      </c>
      <c r="E1784" s="21" t="str">
        <f>IF($B1784="إنتاج طبخة","",IFERROR(INDEX('بيانات الحركات'!E:E,MATCH(1783,'بيانات الحركات'!$G:$G,0)),""))</f>
        <v/>
      </c>
      <c r="F1784" s="3" t="str">
        <f>IFERROR(INDEX('بيانات الحركات'!F:F,MATCH(1783,'بيانات الحركات'!$G:$G,0)),"")</f>
        <v/>
      </c>
    </row>
    <row r="1785" spans="1:6" ht="21.95" customHeight="1">
      <c r="A1785" s="8" t="str">
        <f>IFERROR(INDEX('بيانات الحركات'!A:A,MATCH(1784,'بيانات الحركات'!$G:$G,0)),"")</f>
        <v/>
      </c>
      <c r="B1785" s="5" t="str">
        <f>IFERROR(INDEX('بيانات الحركات'!B:B,MATCH(1784,'بيانات الحركات'!$G:$G,0)),"")</f>
        <v/>
      </c>
      <c r="C1785" s="3" t="str">
        <f>IFERROR(INDEX('بيانات الحركات'!C:C,MATCH(1784,'بيانات الحركات'!$G:$G,0)),"")</f>
        <v/>
      </c>
      <c r="D1785" s="3" t="str">
        <f>IFERROR(INDEX('بيانات الحركات'!D:D,MATCH(1784,'بيانات الحركات'!$G:$G,0)),"")</f>
        <v/>
      </c>
      <c r="E1785" s="21" t="str">
        <f>IF($B1785="إنتاج طبخة","",IFERROR(INDEX('بيانات الحركات'!E:E,MATCH(1784,'بيانات الحركات'!$G:$G,0)),""))</f>
        <v/>
      </c>
      <c r="F1785" s="3" t="str">
        <f>IFERROR(INDEX('بيانات الحركات'!F:F,MATCH(1784,'بيانات الحركات'!$G:$G,0)),"")</f>
        <v/>
      </c>
    </row>
    <row r="1786" spans="1:6" ht="21.95" customHeight="1">
      <c r="A1786" s="8" t="str">
        <f>IFERROR(INDEX('بيانات الحركات'!A:A,MATCH(1785,'بيانات الحركات'!$G:$G,0)),"")</f>
        <v/>
      </c>
      <c r="B1786" s="5" t="str">
        <f>IFERROR(INDEX('بيانات الحركات'!B:B,MATCH(1785,'بيانات الحركات'!$G:$G,0)),"")</f>
        <v/>
      </c>
      <c r="C1786" s="3" t="str">
        <f>IFERROR(INDEX('بيانات الحركات'!C:C,MATCH(1785,'بيانات الحركات'!$G:$G,0)),"")</f>
        <v/>
      </c>
      <c r="D1786" s="3" t="str">
        <f>IFERROR(INDEX('بيانات الحركات'!D:D,MATCH(1785,'بيانات الحركات'!$G:$G,0)),"")</f>
        <v/>
      </c>
      <c r="E1786" s="21" t="str">
        <f>IF($B1786="إنتاج طبخة","",IFERROR(INDEX('بيانات الحركات'!E:E,MATCH(1785,'بيانات الحركات'!$G:$G,0)),""))</f>
        <v/>
      </c>
      <c r="F1786" s="3" t="str">
        <f>IFERROR(INDEX('بيانات الحركات'!F:F,MATCH(1785,'بيانات الحركات'!$G:$G,0)),"")</f>
        <v/>
      </c>
    </row>
    <row r="1787" spans="1:6" ht="21.95" customHeight="1">
      <c r="A1787" s="8" t="str">
        <f>IFERROR(INDEX('بيانات الحركات'!A:A,MATCH(1786,'بيانات الحركات'!$G:$G,0)),"")</f>
        <v/>
      </c>
      <c r="B1787" s="5" t="str">
        <f>IFERROR(INDEX('بيانات الحركات'!B:B,MATCH(1786,'بيانات الحركات'!$G:$G,0)),"")</f>
        <v/>
      </c>
      <c r="C1787" s="3" t="str">
        <f>IFERROR(INDEX('بيانات الحركات'!C:C,MATCH(1786,'بيانات الحركات'!$G:$G,0)),"")</f>
        <v/>
      </c>
      <c r="D1787" s="3" t="str">
        <f>IFERROR(INDEX('بيانات الحركات'!D:D,MATCH(1786,'بيانات الحركات'!$G:$G,0)),"")</f>
        <v/>
      </c>
      <c r="E1787" s="21" t="str">
        <f>IF($B1787="إنتاج طبخة","",IFERROR(INDEX('بيانات الحركات'!E:E,MATCH(1786,'بيانات الحركات'!$G:$G,0)),""))</f>
        <v/>
      </c>
      <c r="F1787" s="3" t="str">
        <f>IFERROR(INDEX('بيانات الحركات'!F:F,MATCH(1786,'بيانات الحركات'!$G:$G,0)),"")</f>
        <v/>
      </c>
    </row>
    <row r="1788" spans="1:6" ht="21.95" customHeight="1">
      <c r="A1788" s="8" t="str">
        <f>IFERROR(INDEX('بيانات الحركات'!A:A,MATCH(1787,'بيانات الحركات'!$G:$G,0)),"")</f>
        <v/>
      </c>
      <c r="B1788" s="5" t="str">
        <f>IFERROR(INDEX('بيانات الحركات'!B:B,MATCH(1787,'بيانات الحركات'!$G:$G,0)),"")</f>
        <v/>
      </c>
      <c r="C1788" s="3" t="str">
        <f>IFERROR(INDEX('بيانات الحركات'!C:C,MATCH(1787,'بيانات الحركات'!$G:$G,0)),"")</f>
        <v/>
      </c>
      <c r="D1788" s="3" t="str">
        <f>IFERROR(INDEX('بيانات الحركات'!D:D,MATCH(1787,'بيانات الحركات'!$G:$G,0)),"")</f>
        <v/>
      </c>
      <c r="E1788" s="21" t="str">
        <f>IF($B1788="إنتاج طبخة","",IFERROR(INDEX('بيانات الحركات'!E:E,MATCH(1787,'بيانات الحركات'!$G:$G,0)),""))</f>
        <v/>
      </c>
      <c r="F1788" s="3" t="str">
        <f>IFERROR(INDEX('بيانات الحركات'!F:F,MATCH(1787,'بيانات الحركات'!$G:$G,0)),"")</f>
        <v/>
      </c>
    </row>
    <row r="1789" spans="1:6" ht="21.95" customHeight="1">
      <c r="A1789" s="8" t="str">
        <f>IFERROR(INDEX('بيانات الحركات'!A:A,MATCH(1788,'بيانات الحركات'!$G:$G,0)),"")</f>
        <v/>
      </c>
      <c r="B1789" s="5" t="str">
        <f>IFERROR(INDEX('بيانات الحركات'!B:B,MATCH(1788,'بيانات الحركات'!$G:$G,0)),"")</f>
        <v/>
      </c>
      <c r="C1789" s="3" t="str">
        <f>IFERROR(INDEX('بيانات الحركات'!C:C,MATCH(1788,'بيانات الحركات'!$G:$G,0)),"")</f>
        <v/>
      </c>
      <c r="D1789" s="3" t="str">
        <f>IFERROR(INDEX('بيانات الحركات'!D:D,MATCH(1788,'بيانات الحركات'!$G:$G,0)),"")</f>
        <v/>
      </c>
      <c r="E1789" s="21" t="str">
        <f>IF($B1789="إنتاج طبخة","",IFERROR(INDEX('بيانات الحركات'!E:E,MATCH(1788,'بيانات الحركات'!$G:$G,0)),""))</f>
        <v/>
      </c>
      <c r="F1789" s="3" t="str">
        <f>IFERROR(INDEX('بيانات الحركات'!F:F,MATCH(1788,'بيانات الحركات'!$G:$G,0)),"")</f>
        <v/>
      </c>
    </row>
    <row r="1790" spans="1:6" ht="21.95" customHeight="1">
      <c r="A1790" s="8" t="str">
        <f>IFERROR(INDEX('بيانات الحركات'!A:A,MATCH(1789,'بيانات الحركات'!$G:$G,0)),"")</f>
        <v/>
      </c>
      <c r="B1790" s="5" t="str">
        <f>IFERROR(INDEX('بيانات الحركات'!B:B,MATCH(1789,'بيانات الحركات'!$G:$G,0)),"")</f>
        <v/>
      </c>
      <c r="C1790" s="3" t="str">
        <f>IFERROR(INDEX('بيانات الحركات'!C:C,MATCH(1789,'بيانات الحركات'!$G:$G,0)),"")</f>
        <v/>
      </c>
      <c r="D1790" s="3" t="str">
        <f>IFERROR(INDEX('بيانات الحركات'!D:D,MATCH(1789,'بيانات الحركات'!$G:$G,0)),"")</f>
        <v/>
      </c>
      <c r="E1790" s="21" t="str">
        <f>IF($B1790="إنتاج طبخة","",IFERROR(INDEX('بيانات الحركات'!E:E,MATCH(1789,'بيانات الحركات'!$G:$G,0)),""))</f>
        <v/>
      </c>
      <c r="F1790" s="3" t="str">
        <f>IFERROR(INDEX('بيانات الحركات'!F:F,MATCH(1789,'بيانات الحركات'!$G:$G,0)),"")</f>
        <v/>
      </c>
    </row>
    <row r="1791" spans="1:6" ht="21.95" customHeight="1">
      <c r="A1791" s="8" t="str">
        <f>IFERROR(INDEX('بيانات الحركات'!A:A,MATCH(1790,'بيانات الحركات'!$G:$G,0)),"")</f>
        <v/>
      </c>
      <c r="B1791" s="5" t="str">
        <f>IFERROR(INDEX('بيانات الحركات'!B:B,MATCH(1790,'بيانات الحركات'!$G:$G,0)),"")</f>
        <v/>
      </c>
      <c r="C1791" s="3" t="str">
        <f>IFERROR(INDEX('بيانات الحركات'!C:C,MATCH(1790,'بيانات الحركات'!$G:$G,0)),"")</f>
        <v/>
      </c>
      <c r="D1791" s="3" t="str">
        <f>IFERROR(INDEX('بيانات الحركات'!D:D,MATCH(1790,'بيانات الحركات'!$G:$G,0)),"")</f>
        <v/>
      </c>
      <c r="E1791" s="21" t="str">
        <f>IF($B1791="إنتاج طبخة","",IFERROR(INDEX('بيانات الحركات'!E:E,MATCH(1790,'بيانات الحركات'!$G:$G,0)),""))</f>
        <v/>
      </c>
      <c r="F1791" s="3" t="str">
        <f>IFERROR(INDEX('بيانات الحركات'!F:F,MATCH(1790,'بيانات الحركات'!$G:$G,0)),"")</f>
        <v/>
      </c>
    </row>
    <row r="1792" spans="1:6" ht="21.95" customHeight="1">
      <c r="A1792" s="8" t="str">
        <f>IFERROR(INDEX('بيانات الحركات'!A:A,MATCH(1791,'بيانات الحركات'!$G:$G,0)),"")</f>
        <v/>
      </c>
      <c r="B1792" s="5" t="str">
        <f>IFERROR(INDEX('بيانات الحركات'!B:B,MATCH(1791,'بيانات الحركات'!$G:$G,0)),"")</f>
        <v/>
      </c>
      <c r="C1792" s="3" t="str">
        <f>IFERROR(INDEX('بيانات الحركات'!C:C,MATCH(1791,'بيانات الحركات'!$G:$G,0)),"")</f>
        <v/>
      </c>
      <c r="D1792" s="3" t="str">
        <f>IFERROR(INDEX('بيانات الحركات'!D:D,MATCH(1791,'بيانات الحركات'!$G:$G,0)),"")</f>
        <v/>
      </c>
      <c r="E1792" s="21" t="str">
        <f>IF($B1792="إنتاج طبخة","",IFERROR(INDEX('بيانات الحركات'!E:E,MATCH(1791,'بيانات الحركات'!$G:$G,0)),""))</f>
        <v/>
      </c>
      <c r="F1792" s="3" t="str">
        <f>IFERROR(INDEX('بيانات الحركات'!F:F,MATCH(1791,'بيانات الحركات'!$G:$G,0)),"")</f>
        <v/>
      </c>
    </row>
    <row r="1793" spans="1:6" ht="21.95" customHeight="1">
      <c r="A1793" s="8" t="str">
        <f>IFERROR(INDEX('بيانات الحركات'!A:A,MATCH(1792,'بيانات الحركات'!$G:$G,0)),"")</f>
        <v/>
      </c>
      <c r="B1793" s="5" t="str">
        <f>IFERROR(INDEX('بيانات الحركات'!B:B,MATCH(1792,'بيانات الحركات'!$G:$G,0)),"")</f>
        <v/>
      </c>
      <c r="C1793" s="3" t="str">
        <f>IFERROR(INDEX('بيانات الحركات'!C:C,MATCH(1792,'بيانات الحركات'!$G:$G,0)),"")</f>
        <v/>
      </c>
      <c r="D1793" s="3" t="str">
        <f>IFERROR(INDEX('بيانات الحركات'!D:D,MATCH(1792,'بيانات الحركات'!$G:$G,0)),"")</f>
        <v/>
      </c>
      <c r="E1793" s="21" t="str">
        <f>IF($B1793="إنتاج طبخة","",IFERROR(INDEX('بيانات الحركات'!E:E,MATCH(1792,'بيانات الحركات'!$G:$G,0)),""))</f>
        <v/>
      </c>
      <c r="F1793" s="3" t="str">
        <f>IFERROR(INDEX('بيانات الحركات'!F:F,MATCH(1792,'بيانات الحركات'!$G:$G,0)),"")</f>
        <v/>
      </c>
    </row>
    <row r="1794" spans="1:6" ht="21.95" customHeight="1">
      <c r="A1794" s="8" t="str">
        <f>IFERROR(INDEX('بيانات الحركات'!A:A,MATCH(1793,'بيانات الحركات'!$G:$G,0)),"")</f>
        <v/>
      </c>
      <c r="B1794" s="5" t="str">
        <f>IFERROR(INDEX('بيانات الحركات'!B:B,MATCH(1793,'بيانات الحركات'!$G:$G,0)),"")</f>
        <v/>
      </c>
      <c r="C1794" s="3" t="str">
        <f>IFERROR(INDEX('بيانات الحركات'!C:C,MATCH(1793,'بيانات الحركات'!$G:$G,0)),"")</f>
        <v/>
      </c>
      <c r="D1794" s="3" t="str">
        <f>IFERROR(INDEX('بيانات الحركات'!D:D,MATCH(1793,'بيانات الحركات'!$G:$G,0)),"")</f>
        <v/>
      </c>
      <c r="E1794" s="21" t="str">
        <f>IF($B1794="إنتاج طبخة","",IFERROR(INDEX('بيانات الحركات'!E:E,MATCH(1793,'بيانات الحركات'!$G:$G,0)),""))</f>
        <v/>
      </c>
      <c r="F1794" s="3" t="str">
        <f>IFERROR(INDEX('بيانات الحركات'!F:F,MATCH(1793,'بيانات الحركات'!$G:$G,0)),"")</f>
        <v/>
      </c>
    </row>
    <row r="1795" spans="1:6" ht="21.95" customHeight="1">
      <c r="A1795" s="8" t="str">
        <f>IFERROR(INDEX('بيانات الحركات'!A:A,MATCH(1794,'بيانات الحركات'!$G:$G,0)),"")</f>
        <v/>
      </c>
      <c r="B1795" s="5" t="str">
        <f>IFERROR(INDEX('بيانات الحركات'!B:B,MATCH(1794,'بيانات الحركات'!$G:$G,0)),"")</f>
        <v/>
      </c>
      <c r="C1795" s="3" t="str">
        <f>IFERROR(INDEX('بيانات الحركات'!C:C,MATCH(1794,'بيانات الحركات'!$G:$G,0)),"")</f>
        <v/>
      </c>
      <c r="D1795" s="3" t="str">
        <f>IFERROR(INDEX('بيانات الحركات'!D:D,MATCH(1794,'بيانات الحركات'!$G:$G,0)),"")</f>
        <v/>
      </c>
      <c r="E1795" s="21" t="str">
        <f>IF($B1795="إنتاج طبخة","",IFERROR(INDEX('بيانات الحركات'!E:E,MATCH(1794,'بيانات الحركات'!$G:$G,0)),""))</f>
        <v/>
      </c>
      <c r="F1795" s="3" t="str">
        <f>IFERROR(INDEX('بيانات الحركات'!F:F,MATCH(1794,'بيانات الحركات'!$G:$G,0)),"")</f>
        <v/>
      </c>
    </row>
    <row r="1796" spans="1:6" ht="21.95" customHeight="1">
      <c r="A1796" s="8" t="str">
        <f>IFERROR(INDEX('بيانات الحركات'!A:A,MATCH(1795,'بيانات الحركات'!$G:$G,0)),"")</f>
        <v/>
      </c>
      <c r="B1796" s="5" t="str">
        <f>IFERROR(INDEX('بيانات الحركات'!B:B,MATCH(1795,'بيانات الحركات'!$G:$G,0)),"")</f>
        <v/>
      </c>
      <c r="C1796" s="3" t="str">
        <f>IFERROR(INDEX('بيانات الحركات'!C:C,MATCH(1795,'بيانات الحركات'!$G:$G,0)),"")</f>
        <v/>
      </c>
      <c r="D1796" s="3" t="str">
        <f>IFERROR(INDEX('بيانات الحركات'!D:D,MATCH(1795,'بيانات الحركات'!$G:$G,0)),"")</f>
        <v/>
      </c>
      <c r="E1796" s="21" t="str">
        <f>IF($B1796="إنتاج طبخة","",IFERROR(INDEX('بيانات الحركات'!E:E,MATCH(1795,'بيانات الحركات'!$G:$G,0)),""))</f>
        <v/>
      </c>
      <c r="F1796" s="3" t="str">
        <f>IFERROR(INDEX('بيانات الحركات'!F:F,MATCH(1795,'بيانات الحركات'!$G:$G,0)),"")</f>
        <v/>
      </c>
    </row>
    <row r="1797" spans="1:6" ht="21.95" customHeight="1">
      <c r="A1797" s="8" t="str">
        <f>IFERROR(INDEX('بيانات الحركات'!A:A,MATCH(1796,'بيانات الحركات'!$G:$G,0)),"")</f>
        <v/>
      </c>
      <c r="B1797" s="5" t="str">
        <f>IFERROR(INDEX('بيانات الحركات'!B:B,MATCH(1796,'بيانات الحركات'!$G:$G,0)),"")</f>
        <v/>
      </c>
      <c r="C1797" s="3" t="str">
        <f>IFERROR(INDEX('بيانات الحركات'!C:C,MATCH(1796,'بيانات الحركات'!$G:$G,0)),"")</f>
        <v/>
      </c>
      <c r="D1797" s="3" t="str">
        <f>IFERROR(INDEX('بيانات الحركات'!D:D,MATCH(1796,'بيانات الحركات'!$G:$G,0)),"")</f>
        <v/>
      </c>
      <c r="E1797" s="21" t="str">
        <f>IF($B1797="إنتاج طبخة","",IFERROR(INDEX('بيانات الحركات'!E:E,MATCH(1796,'بيانات الحركات'!$G:$G,0)),""))</f>
        <v/>
      </c>
      <c r="F1797" s="3" t="str">
        <f>IFERROR(INDEX('بيانات الحركات'!F:F,MATCH(1796,'بيانات الحركات'!$G:$G,0)),"")</f>
        <v/>
      </c>
    </row>
    <row r="1798" spans="1:6" ht="21.95" customHeight="1">
      <c r="A1798" s="8" t="str">
        <f>IFERROR(INDEX('بيانات الحركات'!A:A,MATCH(1797,'بيانات الحركات'!$G:$G,0)),"")</f>
        <v/>
      </c>
      <c r="B1798" s="5" t="str">
        <f>IFERROR(INDEX('بيانات الحركات'!B:B,MATCH(1797,'بيانات الحركات'!$G:$G,0)),"")</f>
        <v/>
      </c>
      <c r="C1798" s="3" t="str">
        <f>IFERROR(INDEX('بيانات الحركات'!C:C,MATCH(1797,'بيانات الحركات'!$G:$G,0)),"")</f>
        <v/>
      </c>
      <c r="D1798" s="3" t="str">
        <f>IFERROR(INDEX('بيانات الحركات'!D:D,MATCH(1797,'بيانات الحركات'!$G:$G,0)),"")</f>
        <v/>
      </c>
      <c r="E1798" s="21" t="str">
        <f>IF($B1798="إنتاج طبخة","",IFERROR(INDEX('بيانات الحركات'!E:E,MATCH(1797,'بيانات الحركات'!$G:$G,0)),""))</f>
        <v/>
      </c>
      <c r="F1798" s="3" t="str">
        <f>IFERROR(INDEX('بيانات الحركات'!F:F,MATCH(1797,'بيانات الحركات'!$G:$G,0)),"")</f>
        <v/>
      </c>
    </row>
    <row r="1799" spans="1:6" ht="21.95" customHeight="1">
      <c r="A1799" s="8" t="str">
        <f>IFERROR(INDEX('بيانات الحركات'!A:A,MATCH(1798,'بيانات الحركات'!$G:$G,0)),"")</f>
        <v/>
      </c>
      <c r="B1799" s="5" t="str">
        <f>IFERROR(INDEX('بيانات الحركات'!B:B,MATCH(1798,'بيانات الحركات'!$G:$G,0)),"")</f>
        <v/>
      </c>
      <c r="C1799" s="3" t="str">
        <f>IFERROR(INDEX('بيانات الحركات'!C:C,MATCH(1798,'بيانات الحركات'!$G:$G,0)),"")</f>
        <v/>
      </c>
      <c r="D1799" s="3" t="str">
        <f>IFERROR(INDEX('بيانات الحركات'!D:D,MATCH(1798,'بيانات الحركات'!$G:$G,0)),"")</f>
        <v/>
      </c>
      <c r="E1799" s="21" t="str">
        <f>IF($B1799="إنتاج طبخة","",IFERROR(INDEX('بيانات الحركات'!E:E,MATCH(1798,'بيانات الحركات'!$G:$G,0)),""))</f>
        <v/>
      </c>
      <c r="F1799" s="3" t="str">
        <f>IFERROR(INDEX('بيانات الحركات'!F:F,MATCH(1798,'بيانات الحركات'!$G:$G,0)),"")</f>
        <v/>
      </c>
    </row>
    <row r="1800" spans="1:6" ht="21.95" customHeight="1">
      <c r="A1800" s="8" t="str">
        <f>IFERROR(INDEX('بيانات الحركات'!A:A,MATCH(1799,'بيانات الحركات'!$G:$G,0)),"")</f>
        <v/>
      </c>
      <c r="B1800" s="5" t="str">
        <f>IFERROR(INDEX('بيانات الحركات'!B:B,MATCH(1799,'بيانات الحركات'!$G:$G,0)),"")</f>
        <v/>
      </c>
      <c r="C1800" s="3" t="str">
        <f>IFERROR(INDEX('بيانات الحركات'!C:C,MATCH(1799,'بيانات الحركات'!$G:$G,0)),"")</f>
        <v/>
      </c>
      <c r="D1800" s="3" t="str">
        <f>IFERROR(INDEX('بيانات الحركات'!D:D,MATCH(1799,'بيانات الحركات'!$G:$G,0)),"")</f>
        <v/>
      </c>
      <c r="E1800" s="21" t="str">
        <f>IF($B1800="إنتاج طبخة","",IFERROR(INDEX('بيانات الحركات'!E:E,MATCH(1799,'بيانات الحركات'!$G:$G,0)),""))</f>
        <v/>
      </c>
      <c r="F1800" s="3" t="str">
        <f>IFERROR(INDEX('بيانات الحركات'!F:F,MATCH(1799,'بيانات الحركات'!$G:$G,0)),"")</f>
        <v/>
      </c>
    </row>
    <row r="1801" spans="1:6" ht="21.95" customHeight="1">
      <c r="A1801" s="8" t="str">
        <f>IFERROR(INDEX('بيانات الحركات'!A:A,MATCH(1800,'بيانات الحركات'!$G:$G,0)),"")</f>
        <v/>
      </c>
      <c r="B1801" s="5" t="str">
        <f>IFERROR(INDEX('بيانات الحركات'!B:B,MATCH(1800,'بيانات الحركات'!$G:$G,0)),"")</f>
        <v/>
      </c>
      <c r="C1801" s="3" t="str">
        <f>IFERROR(INDEX('بيانات الحركات'!C:C,MATCH(1800,'بيانات الحركات'!$G:$G,0)),"")</f>
        <v/>
      </c>
      <c r="D1801" s="3" t="str">
        <f>IFERROR(INDEX('بيانات الحركات'!D:D,MATCH(1800,'بيانات الحركات'!$G:$G,0)),"")</f>
        <v/>
      </c>
      <c r="E1801" s="21" t="str">
        <f>IF($B1801="إنتاج طبخة","",IFERROR(INDEX('بيانات الحركات'!E:E,MATCH(1800,'بيانات الحركات'!$G:$G,0)),""))</f>
        <v/>
      </c>
      <c r="F1801" s="3" t="str">
        <f>IFERROR(INDEX('بيانات الحركات'!F:F,MATCH(1800,'بيانات الحركات'!$G:$G,0)),"")</f>
        <v/>
      </c>
    </row>
    <row r="1802" spans="1:6" ht="21.95" customHeight="1">
      <c r="A1802" s="8" t="str">
        <f>IFERROR(INDEX('بيانات الحركات'!A:A,MATCH(1801,'بيانات الحركات'!$G:$G,0)),"")</f>
        <v/>
      </c>
      <c r="B1802" s="5" t="str">
        <f>IFERROR(INDEX('بيانات الحركات'!B:B,MATCH(1801,'بيانات الحركات'!$G:$G,0)),"")</f>
        <v/>
      </c>
      <c r="C1802" s="3" t="str">
        <f>IFERROR(INDEX('بيانات الحركات'!C:C,MATCH(1801,'بيانات الحركات'!$G:$G,0)),"")</f>
        <v/>
      </c>
      <c r="D1802" s="3" t="str">
        <f>IFERROR(INDEX('بيانات الحركات'!D:D,MATCH(1801,'بيانات الحركات'!$G:$G,0)),"")</f>
        <v/>
      </c>
      <c r="E1802" s="21" t="str">
        <f>IF($B1802="إنتاج طبخة","",IFERROR(INDEX('بيانات الحركات'!E:E,MATCH(1801,'بيانات الحركات'!$G:$G,0)),""))</f>
        <v/>
      </c>
      <c r="F1802" s="3" t="str">
        <f>IFERROR(INDEX('بيانات الحركات'!F:F,MATCH(1801,'بيانات الحركات'!$G:$G,0)),"")</f>
        <v/>
      </c>
    </row>
    <row r="1803" spans="1:6" ht="21.95" customHeight="1">
      <c r="A1803" s="8" t="str">
        <f>IFERROR(INDEX('بيانات الحركات'!A:A,MATCH(1802,'بيانات الحركات'!$G:$G,0)),"")</f>
        <v/>
      </c>
      <c r="B1803" s="5" t="str">
        <f>IFERROR(INDEX('بيانات الحركات'!B:B,MATCH(1802,'بيانات الحركات'!$G:$G,0)),"")</f>
        <v/>
      </c>
      <c r="C1803" s="3" t="str">
        <f>IFERROR(INDEX('بيانات الحركات'!C:C,MATCH(1802,'بيانات الحركات'!$G:$G,0)),"")</f>
        <v/>
      </c>
      <c r="D1803" s="3" t="str">
        <f>IFERROR(INDEX('بيانات الحركات'!D:D,MATCH(1802,'بيانات الحركات'!$G:$G,0)),"")</f>
        <v/>
      </c>
      <c r="E1803" s="21" t="str">
        <f>IF($B1803="إنتاج طبخة","",IFERROR(INDEX('بيانات الحركات'!E:E,MATCH(1802,'بيانات الحركات'!$G:$G,0)),""))</f>
        <v/>
      </c>
      <c r="F1803" s="3" t="str">
        <f>IFERROR(INDEX('بيانات الحركات'!F:F,MATCH(1802,'بيانات الحركات'!$G:$G,0)),"")</f>
        <v/>
      </c>
    </row>
    <row r="1804" spans="1:6" ht="21.95" customHeight="1">
      <c r="A1804" s="8" t="str">
        <f>IFERROR(INDEX('بيانات الحركات'!A:A,MATCH(1803,'بيانات الحركات'!$G:$G,0)),"")</f>
        <v/>
      </c>
      <c r="B1804" s="5" t="str">
        <f>IFERROR(INDEX('بيانات الحركات'!B:B,MATCH(1803,'بيانات الحركات'!$G:$G,0)),"")</f>
        <v/>
      </c>
      <c r="C1804" s="3" t="str">
        <f>IFERROR(INDEX('بيانات الحركات'!C:C,MATCH(1803,'بيانات الحركات'!$G:$G,0)),"")</f>
        <v/>
      </c>
      <c r="D1804" s="3" t="str">
        <f>IFERROR(INDEX('بيانات الحركات'!D:D,MATCH(1803,'بيانات الحركات'!$G:$G,0)),"")</f>
        <v/>
      </c>
      <c r="E1804" s="21" t="str">
        <f>IF($B1804="إنتاج طبخة","",IFERROR(INDEX('بيانات الحركات'!E:E,MATCH(1803,'بيانات الحركات'!$G:$G,0)),""))</f>
        <v/>
      </c>
      <c r="F1804" s="3" t="str">
        <f>IFERROR(INDEX('بيانات الحركات'!F:F,MATCH(1803,'بيانات الحركات'!$G:$G,0)),"")</f>
        <v/>
      </c>
    </row>
    <row r="1805" spans="1:6" ht="21.95" customHeight="1">
      <c r="A1805" s="8" t="str">
        <f>IFERROR(INDEX('بيانات الحركات'!A:A,MATCH(1804,'بيانات الحركات'!$G:$G,0)),"")</f>
        <v/>
      </c>
      <c r="B1805" s="5" t="str">
        <f>IFERROR(INDEX('بيانات الحركات'!B:B,MATCH(1804,'بيانات الحركات'!$G:$G,0)),"")</f>
        <v/>
      </c>
      <c r="C1805" s="3" t="str">
        <f>IFERROR(INDEX('بيانات الحركات'!C:C,MATCH(1804,'بيانات الحركات'!$G:$G,0)),"")</f>
        <v/>
      </c>
      <c r="D1805" s="3" t="str">
        <f>IFERROR(INDEX('بيانات الحركات'!D:D,MATCH(1804,'بيانات الحركات'!$G:$G,0)),"")</f>
        <v/>
      </c>
      <c r="E1805" s="21" t="str">
        <f>IF($B1805="إنتاج طبخة","",IFERROR(INDEX('بيانات الحركات'!E:E,MATCH(1804,'بيانات الحركات'!$G:$G,0)),""))</f>
        <v/>
      </c>
      <c r="F1805" s="3" t="str">
        <f>IFERROR(INDEX('بيانات الحركات'!F:F,MATCH(1804,'بيانات الحركات'!$G:$G,0)),"")</f>
        <v/>
      </c>
    </row>
    <row r="1806" spans="1:6" ht="21.95" customHeight="1">
      <c r="A1806" s="8" t="str">
        <f>IFERROR(INDEX('بيانات الحركات'!A:A,MATCH(1805,'بيانات الحركات'!$G:$G,0)),"")</f>
        <v/>
      </c>
      <c r="B1806" s="5" t="str">
        <f>IFERROR(INDEX('بيانات الحركات'!B:B,MATCH(1805,'بيانات الحركات'!$G:$G,0)),"")</f>
        <v/>
      </c>
      <c r="C1806" s="3" t="str">
        <f>IFERROR(INDEX('بيانات الحركات'!C:C,MATCH(1805,'بيانات الحركات'!$G:$G,0)),"")</f>
        <v/>
      </c>
      <c r="D1806" s="3" t="str">
        <f>IFERROR(INDEX('بيانات الحركات'!D:D,MATCH(1805,'بيانات الحركات'!$G:$G,0)),"")</f>
        <v/>
      </c>
      <c r="E1806" s="21" t="str">
        <f>IF($B1806="إنتاج طبخة","",IFERROR(INDEX('بيانات الحركات'!E:E,MATCH(1805,'بيانات الحركات'!$G:$G,0)),""))</f>
        <v/>
      </c>
      <c r="F1806" s="3" t="str">
        <f>IFERROR(INDEX('بيانات الحركات'!F:F,MATCH(1805,'بيانات الحركات'!$G:$G,0)),"")</f>
        <v/>
      </c>
    </row>
    <row r="1807" spans="1:6" ht="21.95" customHeight="1">
      <c r="A1807" s="8" t="str">
        <f>IFERROR(INDEX('بيانات الحركات'!A:A,MATCH(1806,'بيانات الحركات'!$G:$G,0)),"")</f>
        <v/>
      </c>
      <c r="B1807" s="5" t="str">
        <f>IFERROR(INDEX('بيانات الحركات'!B:B,MATCH(1806,'بيانات الحركات'!$G:$G,0)),"")</f>
        <v/>
      </c>
      <c r="C1807" s="3" t="str">
        <f>IFERROR(INDEX('بيانات الحركات'!C:C,MATCH(1806,'بيانات الحركات'!$G:$G,0)),"")</f>
        <v/>
      </c>
      <c r="D1807" s="3" t="str">
        <f>IFERROR(INDEX('بيانات الحركات'!D:D,MATCH(1806,'بيانات الحركات'!$G:$G,0)),"")</f>
        <v/>
      </c>
      <c r="E1807" s="21" t="str">
        <f>IF($B1807="إنتاج طبخة","",IFERROR(INDEX('بيانات الحركات'!E:E,MATCH(1806,'بيانات الحركات'!$G:$G,0)),""))</f>
        <v/>
      </c>
      <c r="F1807" s="3" t="str">
        <f>IFERROR(INDEX('بيانات الحركات'!F:F,MATCH(1806,'بيانات الحركات'!$G:$G,0)),"")</f>
        <v/>
      </c>
    </row>
    <row r="1808" spans="1:6" ht="21.95" customHeight="1">
      <c r="A1808" s="8" t="str">
        <f>IFERROR(INDEX('بيانات الحركات'!A:A,MATCH(1807,'بيانات الحركات'!$G:$G,0)),"")</f>
        <v/>
      </c>
      <c r="B1808" s="5" t="str">
        <f>IFERROR(INDEX('بيانات الحركات'!B:B,MATCH(1807,'بيانات الحركات'!$G:$G,0)),"")</f>
        <v/>
      </c>
      <c r="C1808" s="3" t="str">
        <f>IFERROR(INDEX('بيانات الحركات'!C:C,MATCH(1807,'بيانات الحركات'!$G:$G,0)),"")</f>
        <v/>
      </c>
      <c r="D1808" s="3" t="str">
        <f>IFERROR(INDEX('بيانات الحركات'!D:D,MATCH(1807,'بيانات الحركات'!$G:$G,0)),"")</f>
        <v/>
      </c>
      <c r="E1808" s="21" t="str">
        <f>IF($B1808="إنتاج طبخة","",IFERROR(INDEX('بيانات الحركات'!E:E,MATCH(1807,'بيانات الحركات'!$G:$G,0)),""))</f>
        <v/>
      </c>
      <c r="F1808" s="3" t="str">
        <f>IFERROR(INDEX('بيانات الحركات'!F:F,MATCH(1807,'بيانات الحركات'!$G:$G,0)),"")</f>
        <v/>
      </c>
    </row>
    <row r="1809" spans="1:6" ht="21.95" customHeight="1">
      <c r="A1809" s="8" t="str">
        <f>IFERROR(INDEX('بيانات الحركات'!A:A,MATCH(1808,'بيانات الحركات'!$G:$G,0)),"")</f>
        <v/>
      </c>
      <c r="B1809" s="5" t="str">
        <f>IFERROR(INDEX('بيانات الحركات'!B:B,MATCH(1808,'بيانات الحركات'!$G:$G,0)),"")</f>
        <v/>
      </c>
      <c r="C1809" s="3" t="str">
        <f>IFERROR(INDEX('بيانات الحركات'!C:C,MATCH(1808,'بيانات الحركات'!$G:$G,0)),"")</f>
        <v/>
      </c>
      <c r="D1809" s="3" t="str">
        <f>IFERROR(INDEX('بيانات الحركات'!D:D,MATCH(1808,'بيانات الحركات'!$G:$G,0)),"")</f>
        <v/>
      </c>
      <c r="E1809" s="21" t="str">
        <f>IF($B1809="إنتاج طبخة","",IFERROR(INDEX('بيانات الحركات'!E:E,MATCH(1808,'بيانات الحركات'!$G:$G,0)),""))</f>
        <v/>
      </c>
      <c r="F1809" s="3" t="str">
        <f>IFERROR(INDEX('بيانات الحركات'!F:F,MATCH(1808,'بيانات الحركات'!$G:$G,0)),"")</f>
        <v/>
      </c>
    </row>
    <row r="1810" spans="1:6" ht="21.95" customHeight="1">
      <c r="A1810" s="8" t="str">
        <f>IFERROR(INDEX('بيانات الحركات'!A:A,MATCH(1809,'بيانات الحركات'!$G:$G,0)),"")</f>
        <v/>
      </c>
      <c r="B1810" s="5" t="str">
        <f>IFERROR(INDEX('بيانات الحركات'!B:B,MATCH(1809,'بيانات الحركات'!$G:$G,0)),"")</f>
        <v/>
      </c>
      <c r="C1810" s="3" t="str">
        <f>IFERROR(INDEX('بيانات الحركات'!C:C,MATCH(1809,'بيانات الحركات'!$G:$G,0)),"")</f>
        <v/>
      </c>
      <c r="D1810" s="3" t="str">
        <f>IFERROR(INDEX('بيانات الحركات'!D:D,MATCH(1809,'بيانات الحركات'!$G:$G,0)),"")</f>
        <v/>
      </c>
      <c r="E1810" s="21" t="str">
        <f>IF($B1810="إنتاج طبخة","",IFERROR(INDEX('بيانات الحركات'!E:E,MATCH(1809,'بيانات الحركات'!$G:$G,0)),""))</f>
        <v/>
      </c>
      <c r="F1810" s="3" t="str">
        <f>IFERROR(INDEX('بيانات الحركات'!F:F,MATCH(1809,'بيانات الحركات'!$G:$G,0)),"")</f>
        <v/>
      </c>
    </row>
    <row r="1811" spans="1:6" ht="21.95" customHeight="1">
      <c r="A1811" s="8" t="str">
        <f>IFERROR(INDEX('بيانات الحركات'!A:A,MATCH(1810,'بيانات الحركات'!$G:$G,0)),"")</f>
        <v/>
      </c>
      <c r="B1811" s="5" t="str">
        <f>IFERROR(INDEX('بيانات الحركات'!B:B,MATCH(1810,'بيانات الحركات'!$G:$G,0)),"")</f>
        <v/>
      </c>
      <c r="C1811" s="3" t="str">
        <f>IFERROR(INDEX('بيانات الحركات'!C:C,MATCH(1810,'بيانات الحركات'!$G:$G,0)),"")</f>
        <v/>
      </c>
      <c r="D1811" s="3" t="str">
        <f>IFERROR(INDEX('بيانات الحركات'!D:D,MATCH(1810,'بيانات الحركات'!$G:$G,0)),"")</f>
        <v/>
      </c>
      <c r="E1811" s="21" t="str">
        <f>IF($B1811="إنتاج طبخة","",IFERROR(INDEX('بيانات الحركات'!E:E,MATCH(1810,'بيانات الحركات'!$G:$G,0)),""))</f>
        <v/>
      </c>
      <c r="F1811" s="3" t="str">
        <f>IFERROR(INDEX('بيانات الحركات'!F:F,MATCH(1810,'بيانات الحركات'!$G:$G,0)),"")</f>
        <v/>
      </c>
    </row>
    <row r="1812" spans="1:6" ht="21.95" customHeight="1">
      <c r="A1812" s="8" t="str">
        <f>IFERROR(INDEX('بيانات الحركات'!A:A,MATCH(1811,'بيانات الحركات'!$G:$G,0)),"")</f>
        <v/>
      </c>
      <c r="B1812" s="5" t="str">
        <f>IFERROR(INDEX('بيانات الحركات'!B:B,MATCH(1811,'بيانات الحركات'!$G:$G,0)),"")</f>
        <v/>
      </c>
      <c r="C1812" s="3" t="str">
        <f>IFERROR(INDEX('بيانات الحركات'!C:C,MATCH(1811,'بيانات الحركات'!$G:$G,0)),"")</f>
        <v/>
      </c>
      <c r="D1812" s="3" t="str">
        <f>IFERROR(INDEX('بيانات الحركات'!D:D,MATCH(1811,'بيانات الحركات'!$G:$G,0)),"")</f>
        <v/>
      </c>
      <c r="E1812" s="21" t="str">
        <f>IF($B1812="إنتاج طبخة","",IFERROR(INDEX('بيانات الحركات'!E:E,MATCH(1811,'بيانات الحركات'!$G:$G,0)),""))</f>
        <v/>
      </c>
      <c r="F1812" s="3" t="str">
        <f>IFERROR(INDEX('بيانات الحركات'!F:F,MATCH(1811,'بيانات الحركات'!$G:$G,0)),"")</f>
        <v/>
      </c>
    </row>
    <row r="1813" spans="1:6" ht="21.95" customHeight="1">
      <c r="A1813" s="8" t="str">
        <f>IFERROR(INDEX('بيانات الحركات'!A:A,MATCH(1812,'بيانات الحركات'!$G:$G,0)),"")</f>
        <v/>
      </c>
      <c r="B1813" s="5" t="str">
        <f>IFERROR(INDEX('بيانات الحركات'!B:B,MATCH(1812,'بيانات الحركات'!$G:$G,0)),"")</f>
        <v/>
      </c>
      <c r="C1813" s="3" t="str">
        <f>IFERROR(INDEX('بيانات الحركات'!C:C,MATCH(1812,'بيانات الحركات'!$G:$G,0)),"")</f>
        <v/>
      </c>
      <c r="D1813" s="3" t="str">
        <f>IFERROR(INDEX('بيانات الحركات'!D:D,MATCH(1812,'بيانات الحركات'!$G:$G,0)),"")</f>
        <v/>
      </c>
      <c r="E1813" s="21" t="str">
        <f>IF($B1813="إنتاج طبخة","",IFERROR(INDEX('بيانات الحركات'!E:E,MATCH(1812,'بيانات الحركات'!$G:$G,0)),""))</f>
        <v/>
      </c>
      <c r="F1813" s="3" t="str">
        <f>IFERROR(INDEX('بيانات الحركات'!F:F,MATCH(1812,'بيانات الحركات'!$G:$G,0)),"")</f>
        <v/>
      </c>
    </row>
    <row r="1814" spans="1:6" ht="21.95" customHeight="1">
      <c r="A1814" s="8" t="str">
        <f>IFERROR(INDEX('بيانات الحركات'!A:A,MATCH(1813,'بيانات الحركات'!$G:$G,0)),"")</f>
        <v/>
      </c>
      <c r="B1814" s="5" t="str">
        <f>IFERROR(INDEX('بيانات الحركات'!B:B,MATCH(1813,'بيانات الحركات'!$G:$G,0)),"")</f>
        <v/>
      </c>
      <c r="C1814" s="3" t="str">
        <f>IFERROR(INDEX('بيانات الحركات'!C:C,MATCH(1813,'بيانات الحركات'!$G:$G,0)),"")</f>
        <v/>
      </c>
      <c r="D1814" s="3" t="str">
        <f>IFERROR(INDEX('بيانات الحركات'!D:D,MATCH(1813,'بيانات الحركات'!$G:$G,0)),"")</f>
        <v/>
      </c>
      <c r="E1814" s="21" t="str">
        <f>IF($B1814="إنتاج طبخة","",IFERROR(INDEX('بيانات الحركات'!E:E,MATCH(1813,'بيانات الحركات'!$G:$G,0)),""))</f>
        <v/>
      </c>
      <c r="F1814" s="3" t="str">
        <f>IFERROR(INDEX('بيانات الحركات'!F:F,MATCH(1813,'بيانات الحركات'!$G:$G,0)),"")</f>
        <v/>
      </c>
    </row>
    <row r="1815" spans="1:6" ht="21.95" customHeight="1">
      <c r="A1815" s="8" t="str">
        <f>IFERROR(INDEX('بيانات الحركات'!A:A,MATCH(1814,'بيانات الحركات'!$G:$G,0)),"")</f>
        <v/>
      </c>
      <c r="B1815" s="5" t="str">
        <f>IFERROR(INDEX('بيانات الحركات'!B:B,MATCH(1814,'بيانات الحركات'!$G:$G,0)),"")</f>
        <v/>
      </c>
      <c r="C1815" s="3" t="str">
        <f>IFERROR(INDEX('بيانات الحركات'!C:C,MATCH(1814,'بيانات الحركات'!$G:$G,0)),"")</f>
        <v/>
      </c>
      <c r="D1815" s="3" t="str">
        <f>IFERROR(INDEX('بيانات الحركات'!D:D,MATCH(1814,'بيانات الحركات'!$G:$G,0)),"")</f>
        <v/>
      </c>
      <c r="E1815" s="21" t="str">
        <f>IF($B1815="إنتاج طبخة","",IFERROR(INDEX('بيانات الحركات'!E:E,MATCH(1814,'بيانات الحركات'!$G:$G,0)),""))</f>
        <v/>
      </c>
      <c r="F1815" s="3" t="str">
        <f>IFERROR(INDEX('بيانات الحركات'!F:F,MATCH(1814,'بيانات الحركات'!$G:$G,0)),"")</f>
        <v/>
      </c>
    </row>
    <row r="1816" spans="1:6" ht="21.95" customHeight="1">
      <c r="A1816" s="8" t="str">
        <f>IFERROR(INDEX('بيانات الحركات'!A:A,MATCH(1815,'بيانات الحركات'!$G:$G,0)),"")</f>
        <v/>
      </c>
      <c r="B1816" s="5" t="str">
        <f>IFERROR(INDEX('بيانات الحركات'!B:B,MATCH(1815,'بيانات الحركات'!$G:$G,0)),"")</f>
        <v/>
      </c>
      <c r="C1816" s="3" t="str">
        <f>IFERROR(INDEX('بيانات الحركات'!C:C,MATCH(1815,'بيانات الحركات'!$G:$G,0)),"")</f>
        <v/>
      </c>
      <c r="D1816" s="3" t="str">
        <f>IFERROR(INDEX('بيانات الحركات'!D:D,MATCH(1815,'بيانات الحركات'!$G:$G,0)),"")</f>
        <v/>
      </c>
      <c r="E1816" s="21" t="str">
        <f>IF($B1816="إنتاج طبخة","",IFERROR(INDEX('بيانات الحركات'!E:E,MATCH(1815,'بيانات الحركات'!$G:$G,0)),""))</f>
        <v/>
      </c>
      <c r="F1816" s="3" t="str">
        <f>IFERROR(INDEX('بيانات الحركات'!F:F,MATCH(1815,'بيانات الحركات'!$G:$G,0)),"")</f>
        <v/>
      </c>
    </row>
    <row r="1817" spans="1:6" ht="21.95" customHeight="1">
      <c r="A1817" s="8" t="str">
        <f>IFERROR(INDEX('بيانات الحركات'!A:A,MATCH(1816,'بيانات الحركات'!$G:$G,0)),"")</f>
        <v/>
      </c>
      <c r="B1817" s="5" t="str">
        <f>IFERROR(INDEX('بيانات الحركات'!B:B,MATCH(1816,'بيانات الحركات'!$G:$G,0)),"")</f>
        <v/>
      </c>
      <c r="C1817" s="3" t="str">
        <f>IFERROR(INDEX('بيانات الحركات'!C:C,MATCH(1816,'بيانات الحركات'!$G:$G,0)),"")</f>
        <v/>
      </c>
      <c r="D1817" s="3" t="str">
        <f>IFERROR(INDEX('بيانات الحركات'!D:D,MATCH(1816,'بيانات الحركات'!$G:$G,0)),"")</f>
        <v/>
      </c>
      <c r="E1817" s="21" t="str">
        <f>IF($B1817="إنتاج طبخة","",IFERROR(INDEX('بيانات الحركات'!E:E,MATCH(1816,'بيانات الحركات'!$G:$G,0)),""))</f>
        <v/>
      </c>
      <c r="F1817" s="3" t="str">
        <f>IFERROR(INDEX('بيانات الحركات'!F:F,MATCH(1816,'بيانات الحركات'!$G:$G,0)),"")</f>
        <v/>
      </c>
    </row>
    <row r="1818" spans="1:6" ht="21.95" customHeight="1">
      <c r="A1818" s="8" t="str">
        <f>IFERROR(INDEX('بيانات الحركات'!A:A,MATCH(1817,'بيانات الحركات'!$G:$G,0)),"")</f>
        <v/>
      </c>
      <c r="B1818" s="5" t="str">
        <f>IFERROR(INDEX('بيانات الحركات'!B:B,MATCH(1817,'بيانات الحركات'!$G:$G,0)),"")</f>
        <v/>
      </c>
      <c r="C1818" s="3" t="str">
        <f>IFERROR(INDEX('بيانات الحركات'!C:C,MATCH(1817,'بيانات الحركات'!$G:$G,0)),"")</f>
        <v/>
      </c>
      <c r="D1818" s="3" t="str">
        <f>IFERROR(INDEX('بيانات الحركات'!D:D,MATCH(1817,'بيانات الحركات'!$G:$G,0)),"")</f>
        <v/>
      </c>
      <c r="E1818" s="21" t="str">
        <f>IF($B1818="إنتاج طبخة","",IFERROR(INDEX('بيانات الحركات'!E:E,MATCH(1817,'بيانات الحركات'!$G:$G,0)),""))</f>
        <v/>
      </c>
      <c r="F1818" s="3" t="str">
        <f>IFERROR(INDEX('بيانات الحركات'!F:F,MATCH(1817,'بيانات الحركات'!$G:$G,0)),"")</f>
        <v/>
      </c>
    </row>
    <row r="1819" spans="1:6" ht="21.95" customHeight="1">
      <c r="A1819" s="8" t="str">
        <f>IFERROR(INDEX('بيانات الحركات'!A:A,MATCH(1818,'بيانات الحركات'!$G:$G,0)),"")</f>
        <v/>
      </c>
      <c r="B1819" s="5" t="str">
        <f>IFERROR(INDEX('بيانات الحركات'!B:B,MATCH(1818,'بيانات الحركات'!$G:$G,0)),"")</f>
        <v/>
      </c>
      <c r="C1819" s="3" t="str">
        <f>IFERROR(INDEX('بيانات الحركات'!C:C,MATCH(1818,'بيانات الحركات'!$G:$G,0)),"")</f>
        <v/>
      </c>
      <c r="D1819" s="3" t="str">
        <f>IFERROR(INDEX('بيانات الحركات'!D:D,MATCH(1818,'بيانات الحركات'!$G:$G,0)),"")</f>
        <v/>
      </c>
      <c r="E1819" s="21" t="str">
        <f>IF($B1819="إنتاج طبخة","",IFERROR(INDEX('بيانات الحركات'!E:E,MATCH(1818,'بيانات الحركات'!$G:$G,0)),""))</f>
        <v/>
      </c>
      <c r="F1819" s="3" t="str">
        <f>IFERROR(INDEX('بيانات الحركات'!F:F,MATCH(1818,'بيانات الحركات'!$G:$G,0)),"")</f>
        <v/>
      </c>
    </row>
    <row r="1820" spans="1:6" ht="21.95" customHeight="1">
      <c r="A1820" s="8" t="str">
        <f>IFERROR(INDEX('بيانات الحركات'!A:A,MATCH(1819,'بيانات الحركات'!$G:$G,0)),"")</f>
        <v/>
      </c>
      <c r="B1820" s="5" t="str">
        <f>IFERROR(INDEX('بيانات الحركات'!B:B,MATCH(1819,'بيانات الحركات'!$G:$G,0)),"")</f>
        <v/>
      </c>
      <c r="C1820" s="3" t="str">
        <f>IFERROR(INDEX('بيانات الحركات'!C:C,MATCH(1819,'بيانات الحركات'!$G:$G,0)),"")</f>
        <v/>
      </c>
      <c r="D1820" s="3" t="str">
        <f>IFERROR(INDEX('بيانات الحركات'!D:D,MATCH(1819,'بيانات الحركات'!$G:$G,0)),"")</f>
        <v/>
      </c>
      <c r="E1820" s="21" t="str">
        <f>IF($B1820="إنتاج طبخة","",IFERROR(INDEX('بيانات الحركات'!E:E,MATCH(1819,'بيانات الحركات'!$G:$G,0)),""))</f>
        <v/>
      </c>
      <c r="F1820" s="3" t="str">
        <f>IFERROR(INDEX('بيانات الحركات'!F:F,MATCH(1819,'بيانات الحركات'!$G:$G,0)),"")</f>
        <v/>
      </c>
    </row>
    <row r="1821" spans="1:6" ht="21.95" customHeight="1">
      <c r="A1821" s="8" t="str">
        <f>IFERROR(INDEX('بيانات الحركات'!A:A,MATCH(1820,'بيانات الحركات'!$G:$G,0)),"")</f>
        <v/>
      </c>
      <c r="B1821" s="5" t="str">
        <f>IFERROR(INDEX('بيانات الحركات'!B:B,MATCH(1820,'بيانات الحركات'!$G:$G,0)),"")</f>
        <v/>
      </c>
      <c r="C1821" s="3" t="str">
        <f>IFERROR(INDEX('بيانات الحركات'!C:C,MATCH(1820,'بيانات الحركات'!$G:$G,0)),"")</f>
        <v/>
      </c>
      <c r="D1821" s="3" t="str">
        <f>IFERROR(INDEX('بيانات الحركات'!D:D,MATCH(1820,'بيانات الحركات'!$G:$G,0)),"")</f>
        <v/>
      </c>
      <c r="E1821" s="21" t="str">
        <f>IF($B1821="إنتاج طبخة","",IFERROR(INDEX('بيانات الحركات'!E:E,MATCH(1820,'بيانات الحركات'!$G:$G,0)),""))</f>
        <v/>
      </c>
      <c r="F1821" s="3" t="str">
        <f>IFERROR(INDEX('بيانات الحركات'!F:F,MATCH(1820,'بيانات الحركات'!$G:$G,0)),"")</f>
        <v/>
      </c>
    </row>
    <row r="1822" spans="1:6" ht="21.95" customHeight="1">
      <c r="A1822" s="8" t="str">
        <f>IFERROR(INDEX('بيانات الحركات'!A:A,MATCH(1821,'بيانات الحركات'!$G:$G,0)),"")</f>
        <v/>
      </c>
      <c r="B1822" s="5" t="str">
        <f>IFERROR(INDEX('بيانات الحركات'!B:B,MATCH(1821,'بيانات الحركات'!$G:$G,0)),"")</f>
        <v/>
      </c>
      <c r="C1822" s="3" t="str">
        <f>IFERROR(INDEX('بيانات الحركات'!C:C,MATCH(1821,'بيانات الحركات'!$G:$G,0)),"")</f>
        <v/>
      </c>
      <c r="D1822" s="3" t="str">
        <f>IFERROR(INDEX('بيانات الحركات'!D:D,MATCH(1821,'بيانات الحركات'!$G:$G,0)),"")</f>
        <v/>
      </c>
      <c r="E1822" s="21" t="str">
        <f>IF($B1822="إنتاج طبخة","",IFERROR(INDEX('بيانات الحركات'!E:E,MATCH(1821,'بيانات الحركات'!$G:$G,0)),""))</f>
        <v/>
      </c>
      <c r="F1822" s="3" t="str">
        <f>IFERROR(INDEX('بيانات الحركات'!F:F,MATCH(1821,'بيانات الحركات'!$G:$G,0)),"")</f>
        <v/>
      </c>
    </row>
    <row r="1823" spans="1:6" ht="21.95" customHeight="1">
      <c r="A1823" s="8" t="str">
        <f>IFERROR(INDEX('بيانات الحركات'!A:A,MATCH(1822,'بيانات الحركات'!$G:$G,0)),"")</f>
        <v/>
      </c>
      <c r="B1823" s="5" t="str">
        <f>IFERROR(INDEX('بيانات الحركات'!B:B,MATCH(1822,'بيانات الحركات'!$G:$G,0)),"")</f>
        <v/>
      </c>
      <c r="C1823" s="3" t="str">
        <f>IFERROR(INDEX('بيانات الحركات'!C:C,MATCH(1822,'بيانات الحركات'!$G:$G,0)),"")</f>
        <v/>
      </c>
      <c r="D1823" s="3" t="str">
        <f>IFERROR(INDEX('بيانات الحركات'!D:D,MATCH(1822,'بيانات الحركات'!$G:$G,0)),"")</f>
        <v/>
      </c>
      <c r="E1823" s="21" t="str">
        <f>IF($B1823="إنتاج طبخة","",IFERROR(INDEX('بيانات الحركات'!E:E,MATCH(1822,'بيانات الحركات'!$G:$G,0)),""))</f>
        <v/>
      </c>
      <c r="F1823" s="3" t="str">
        <f>IFERROR(INDEX('بيانات الحركات'!F:F,MATCH(1822,'بيانات الحركات'!$G:$G,0)),"")</f>
        <v/>
      </c>
    </row>
    <row r="1824" spans="1:6" ht="21.95" customHeight="1">
      <c r="A1824" s="8" t="str">
        <f>IFERROR(INDEX('بيانات الحركات'!A:A,MATCH(1823,'بيانات الحركات'!$G:$G,0)),"")</f>
        <v/>
      </c>
      <c r="B1824" s="5" t="str">
        <f>IFERROR(INDEX('بيانات الحركات'!B:B,MATCH(1823,'بيانات الحركات'!$G:$G,0)),"")</f>
        <v/>
      </c>
      <c r="C1824" s="3" t="str">
        <f>IFERROR(INDEX('بيانات الحركات'!C:C,MATCH(1823,'بيانات الحركات'!$G:$G,0)),"")</f>
        <v/>
      </c>
      <c r="D1824" s="3" t="str">
        <f>IFERROR(INDEX('بيانات الحركات'!D:D,MATCH(1823,'بيانات الحركات'!$G:$G,0)),"")</f>
        <v/>
      </c>
      <c r="E1824" s="21" t="str">
        <f>IF($B1824="إنتاج طبخة","",IFERROR(INDEX('بيانات الحركات'!E:E,MATCH(1823,'بيانات الحركات'!$G:$G,0)),""))</f>
        <v/>
      </c>
      <c r="F1824" s="3" t="str">
        <f>IFERROR(INDEX('بيانات الحركات'!F:F,MATCH(1823,'بيانات الحركات'!$G:$G,0)),"")</f>
        <v/>
      </c>
    </row>
    <row r="1825" spans="1:6" ht="21.95" customHeight="1">
      <c r="A1825" s="8" t="str">
        <f>IFERROR(INDEX('بيانات الحركات'!A:A,MATCH(1824,'بيانات الحركات'!$G:$G,0)),"")</f>
        <v/>
      </c>
      <c r="B1825" s="5" t="str">
        <f>IFERROR(INDEX('بيانات الحركات'!B:B,MATCH(1824,'بيانات الحركات'!$G:$G,0)),"")</f>
        <v/>
      </c>
      <c r="C1825" s="3" t="str">
        <f>IFERROR(INDEX('بيانات الحركات'!C:C,MATCH(1824,'بيانات الحركات'!$G:$G,0)),"")</f>
        <v/>
      </c>
      <c r="D1825" s="3" t="str">
        <f>IFERROR(INDEX('بيانات الحركات'!D:D,MATCH(1824,'بيانات الحركات'!$G:$G,0)),"")</f>
        <v/>
      </c>
      <c r="E1825" s="21" t="str">
        <f>IF($B1825="إنتاج طبخة","",IFERROR(INDEX('بيانات الحركات'!E:E,MATCH(1824,'بيانات الحركات'!$G:$G,0)),""))</f>
        <v/>
      </c>
      <c r="F1825" s="3" t="str">
        <f>IFERROR(INDEX('بيانات الحركات'!F:F,MATCH(1824,'بيانات الحركات'!$G:$G,0)),"")</f>
        <v/>
      </c>
    </row>
    <row r="1826" spans="1:6" ht="21.95" customHeight="1">
      <c r="A1826" s="8" t="str">
        <f>IFERROR(INDEX('بيانات الحركات'!A:A,MATCH(1825,'بيانات الحركات'!$G:$G,0)),"")</f>
        <v/>
      </c>
      <c r="B1826" s="5" t="str">
        <f>IFERROR(INDEX('بيانات الحركات'!B:B,MATCH(1825,'بيانات الحركات'!$G:$G,0)),"")</f>
        <v/>
      </c>
      <c r="C1826" s="3" t="str">
        <f>IFERROR(INDEX('بيانات الحركات'!C:C,MATCH(1825,'بيانات الحركات'!$G:$G,0)),"")</f>
        <v/>
      </c>
      <c r="D1826" s="3" t="str">
        <f>IFERROR(INDEX('بيانات الحركات'!D:D,MATCH(1825,'بيانات الحركات'!$G:$G,0)),"")</f>
        <v/>
      </c>
      <c r="E1826" s="21" t="str">
        <f>IF($B1826="إنتاج طبخة","",IFERROR(INDEX('بيانات الحركات'!E:E,MATCH(1825,'بيانات الحركات'!$G:$G,0)),""))</f>
        <v/>
      </c>
      <c r="F1826" s="3" t="str">
        <f>IFERROR(INDEX('بيانات الحركات'!F:F,MATCH(1825,'بيانات الحركات'!$G:$G,0)),"")</f>
        <v/>
      </c>
    </row>
    <row r="1827" spans="1:6" ht="21.95" customHeight="1">
      <c r="A1827" s="8" t="str">
        <f>IFERROR(INDEX('بيانات الحركات'!A:A,MATCH(1826,'بيانات الحركات'!$G:$G,0)),"")</f>
        <v/>
      </c>
      <c r="B1827" s="5" t="str">
        <f>IFERROR(INDEX('بيانات الحركات'!B:B,MATCH(1826,'بيانات الحركات'!$G:$G,0)),"")</f>
        <v/>
      </c>
      <c r="C1827" s="3" t="str">
        <f>IFERROR(INDEX('بيانات الحركات'!C:C,MATCH(1826,'بيانات الحركات'!$G:$G,0)),"")</f>
        <v/>
      </c>
      <c r="D1827" s="3" t="str">
        <f>IFERROR(INDEX('بيانات الحركات'!D:D,MATCH(1826,'بيانات الحركات'!$G:$G,0)),"")</f>
        <v/>
      </c>
      <c r="E1827" s="21" t="str">
        <f>IF($B1827="إنتاج طبخة","",IFERROR(INDEX('بيانات الحركات'!E:E,MATCH(1826,'بيانات الحركات'!$G:$G,0)),""))</f>
        <v/>
      </c>
      <c r="F1827" s="3" t="str">
        <f>IFERROR(INDEX('بيانات الحركات'!F:F,MATCH(1826,'بيانات الحركات'!$G:$G,0)),"")</f>
        <v/>
      </c>
    </row>
    <row r="1828" spans="1:6" ht="21.95" customHeight="1">
      <c r="A1828" s="8" t="str">
        <f>IFERROR(INDEX('بيانات الحركات'!A:A,MATCH(1827,'بيانات الحركات'!$G:$G,0)),"")</f>
        <v/>
      </c>
      <c r="B1828" s="5" t="str">
        <f>IFERROR(INDEX('بيانات الحركات'!B:B,MATCH(1827,'بيانات الحركات'!$G:$G,0)),"")</f>
        <v/>
      </c>
      <c r="C1828" s="3" t="str">
        <f>IFERROR(INDEX('بيانات الحركات'!C:C,MATCH(1827,'بيانات الحركات'!$G:$G,0)),"")</f>
        <v/>
      </c>
      <c r="D1828" s="3" t="str">
        <f>IFERROR(INDEX('بيانات الحركات'!D:D,MATCH(1827,'بيانات الحركات'!$G:$G,0)),"")</f>
        <v/>
      </c>
      <c r="E1828" s="21" t="str">
        <f>IF($B1828="إنتاج طبخة","",IFERROR(INDEX('بيانات الحركات'!E:E,MATCH(1827,'بيانات الحركات'!$G:$G,0)),""))</f>
        <v/>
      </c>
      <c r="F1828" s="3" t="str">
        <f>IFERROR(INDEX('بيانات الحركات'!F:F,MATCH(1827,'بيانات الحركات'!$G:$G,0)),"")</f>
        <v/>
      </c>
    </row>
    <row r="1829" spans="1:6" ht="21.95" customHeight="1">
      <c r="A1829" s="8" t="str">
        <f>IFERROR(INDEX('بيانات الحركات'!A:A,MATCH(1828,'بيانات الحركات'!$G:$G,0)),"")</f>
        <v/>
      </c>
      <c r="B1829" s="5" t="str">
        <f>IFERROR(INDEX('بيانات الحركات'!B:B,MATCH(1828,'بيانات الحركات'!$G:$G,0)),"")</f>
        <v/>
      </c>
      <c r="C1829" s="3" t="str">
        <f>IFERROR(INDEX('بيانات الحركات'!C:C,MATCH(1828,'بيانات الحركات'!$G:$G,0)),"")</f>
        <v/>
      </c>
      <c r="D1829" s="3" t="str">
        <f>IFERROR(INDEX('بيانات الحركات'!D:D,MATCH(1828,'بيانات الحركات'!$G:$G,0)),"")</f>
        <v/>
      </c>
      <c r="E1829" s="21" t="str">
        <f>IF($B1829="إنتاج طبخة","",IFERROR(INDEX('بيانات الحركات'!E:E,MATCH(1828,'بيانات الحركات'!$G:$G,0)),""))</f>
        <v/>
      </c>
      <c r="F1829" s="3" t="str">
        <f>IFERROR(INDEX('بيانات الحركات'!F:F,MATCH(1828,'بيانات الحركات'!$G:$G,0)),"")</f>
        <v/>
      </c>
    </row>
    <row r="1830" spans="1:6" ht="21.95" customHeight="1">
      <c r="A1830" s="8" t="str">
        <f>IFERROR(INDEX('بيانات الحركات'!A:A,MATCH(1829,'بيانات الحركات'!$G:$G,0)),"")</f>
        <v/>
      </c>
      <c r="B1830" s="5" t="str">
        <f>IFERROR(INDEX('بيانات الحركات'!B:B,MATCH(1829,'بيانات الحركات'!$G:$G,0)),"")</f>
        <v/>
      </c>
      <c r="C1830" s="3" t="str">
        <f>IFERROR(INDEX('بيانات الحركات'!C:C,MATCH(1829,'بيانات الحركات'!$G:$G,0)),"")</f>
        <v/>
      </c>
      <c r="D1830" s="3" t="str">
        <f>IFERROR(INDEX('بيانات الحركات'!D:D,MATCH(1829,'بيانات الحركات'!$G:$G,0)),"")</f>
        <v/>
      </c>
      <c r="E1830" s="21" t="str">
        <f>IF($B1830="إنتاج طبخة","",IFERROR(INDEX('بيانات الحركات'!E:E,MATCH(1829,'بيانات الحركات'!$G:$G,0)),""))</f>
        <v/>
      </c>
      <c r="F1830" s="3" t="str">
        <f>IFERROR(INDEX('بيانات الحركات'!F:F,MATCH(1829,'بيانات الحركات'!$G:$G,0)),"")</f>
        <v/>
      </c>
    </row>
    <row r="1831" spans="1:6" ht="21.95" customHeight="1">
      <c r="A1831" s="8" t="str">
        <f>IFERROR(INDEX('بيانات الحركات'!A:A,MATCH(1830,'بيانات الحركات'!$G:$G,0)),"")</f>
        <v/>
      </c>
      <c r="B1831" s="5" t="str">
        <f>IFERROR(INDEX('بيانات الحركات'!B:B,MATCH(1830,'بيانات الحركات'!$G:$G,0)),"")</f>
        <v/>
      </c>
      <c r="C1831" s="3" t="str">
        <f>IFERROR(INDEX('بيانات الحركات'!C:C,MATCH(1830,'بيانات الحركات'!$G:$G,0)),"")</f>
        <v/>
      </c>
      <c r="D1831" s="3" t="str">
        <f>IFERROR(INDEX('بيانات الحركات'!D:D,MATCH(1830,'بيانات الحركات'!$G:$G,0)),"")</f>
        <v/>
      </c>
      <c r="E1831" s="21" t="str">
        <f>IF($B1831="إنتاج طبخة","",IFERROR(INDEX('بيانات الحركات'!E:E,MATCH(1830,'بيانات الحركات'!$G:$G,0)),""))</f>
        <v/>
      </c>
      <c r="F1831" s="3" t="str">
        <f>IFERROR(INDEX('بيانات الحركات'!F:F,MATCH(1830,'بيانات الحركات'!$G:$G,0)),"")</f>
        <v/>
      </c>
    </row>
    <row r="1832" spans="1:6" ht="21.95" customHeight="1">
      <c r="A1832" s="8" t="str">
        <f>IFERROR(INDEX('بيانات الحركات'!A:A,MATCH(1831,'بيانات الحركات'!$G:$G,0)),"")</f>
        <v/>
      </c>
      <c r="B1832" s="5" t="str">
        <f>IFERROR(INDEX('بيانات الحركات'!B:B,MATCH(1831,'بيانات الحركات'!$G:$G,0)),"")</f>
        <v/>
      </c>
      <c r="C1832" s="3" t="str">
        <f>IFERROR(INDEX('بيانات الحركات'!C:C,MATCH(1831,'بيانات الحركات'!$G:$G,0)),"")</f>
        <v/>
      </c>
      <c r="D1832" s="3" t="str">
        <f>IFERROR(INDEX('بيانات الحركات'!D:D,MATCH(1831,'بيانات الحركات'!$G:$G,0)),"")</f>
        <v/>
      </c>
      <c r="E1832" s="21" t="str">
        <f>IF($B1832="إنتاج طبخة","",IFERROR(INDEX('بيانات الحركات'!E:E,MATCH(1831,'بيانات الحركات'!$G:$G,0)),""))</f>
        <v/>
      </c>
      <c r="F1832" s="3" t="str">
        <f>IFERROR(INDEX('بيانات الحركات'!F:F,MATCH(1831,'بيانات الحركات'!$G:$G,0)),"")</f>
        <v/>
      </c>
    </row>
    <row r="1833" spans="1:6" ht="21.95" customHeight="1">
      <c r="A1833" s="8" t="str">
        <f>IFERROR(INDEX('بيانات الحركات'!A:A,MATCH(1832,'بيانات الحركات'!$G:$G,0)),"")</f>
        <v/>
      </c>
      <c r="B1833" s="5" t="str">
        <f>IFERROR(INDEX('بيانات الحركات'!B:B,MATCH(1832,'بيانات الحركات'!$G:$G,0)),"")</f>
        <v/>
      </c>
      <c r="C1833" s="3" t="str">
        <f>IFERROR(INDEX('بيانات الحركات'!C:C,MATCH(1832,'بيانات الحركات'!$G:$G,0)),"")</f>
        <v/>
      </c>
      <c r="D1833" s="3" t="str">
        <f>IFERROR(INDEX('بيانات الحركات'!D:D,MATCH(1832,'بيانات الحركات'!$G:$G,0)),"")</f>
        <v/>
      </c>
      <c r="E1833" s="21" t="str">
        <f>IF($B1833="إنتاج طبخة","",IFERROR(INDEX('بيانات الحركات'!E:E,MATCH(1832,'بيانات الحركات'!$G:$G,0)),""))</f>
        <v/>
      </c>
      <c r="F1833" s="3" t="str">
        <f>IFERROR(INDEX('بيانات الحركات'!F:F,MATCH(1832,'بيانات الحركات'!$G:$G,0)),"")</f>
        <v/>
      </c>
    </row>
    <row r="1834" spans="1:6" ht="21.95" customHeight="1">
      <c r="A1834" s="8" t="str">
        <f>IFERROR(INDEX('بيانات الحركات'!A:A,MATCH(1833,'بيانات الحركات'!$G:$G,0)),"")</f>
        <v/>
      </c>
      <c r="B1834" s="5" t="str">
        <f>IFERROR(INDEX('بيانات الحركات'!B:B,MATCH(1833,'بيانات الحركات'!$G:$G,0)),"")</f>
        <v/>
      </c>
      <c r="C1834" s="3" t="str">
        <f>IFERROR(INDEX('بيانات الحركات'!C:C,MATCH(1833,'بيانات الحركات'!$G:$G,0)),"")</f>
        <v/>
      </c>
      <c r="D1834" s="3" t="str">
        <f>IFERROR(INDEX('بيانات الحركات'!D:D,MATCH(1833,'بيانات الحركات'!$G:$G,0)),"")</f>
        <v/>
      </c>
      <c r="E1834" s="21" t="str">
        <f>IF($B1834="إنتاج طبخة","",IFERROR(INDEX('بيانات الحركات'!E:E,MATCH(1833,'بيانات الحركات'!$G:$G,0)),""))</f>
        <v/>
      </c>
      <c r="F1834" s="3" t="str">
        <f>IFERROR(INDEX('بيانات الحركات'!F:F,MATCH(1833,'بيانات الحركات'!$G:$G,0)),"")</f>
        <v/>
      </c>
    </row>
    <row r="1835" spans="1:6" ht="21.95" customHeight="1">
      <c r="A1835" s="8" t="str">
        <f>IFERROR(INDEX('بيانات الحركات'!A:A,MATCH(1834,'بيانات الحركات'!$G:$G,0)),"")</f>
        <v/>
      </c>
      <c r="B1835" s="5" t="str">
        <f>IFERROR(INDEX('بيانات الحركات'!B:B,MATCH(1834,'بيانات الحركات'!$G:$G,0)),"")</f>
        <v/>
      </c>
      <c r="C1835" s="3" t="str">
        <f>IFERROR(INDEX('بيانات الحركات'!C:C,MATCH(1834,'بيانات الحركات'!$G:$G,0)),"")</f>
        <v/>
      </c>
      <c r="D1835" s="3" t="str">
        <f>IFERROR(INDEX('بيانات الحركات'!D:D,MATCH(1834,'بيانات الحركات'!$G:$G,0)),"")</f>
        <v/>
      </c>
      <c r="E1835" s="21" t="str">
        <f>IF($B1835="إنتاج طبخة","",IFERROR(INDEX('بيانات الحركات'!E:E,MATCH(1834,'بيانات الحركات'!$G:$G,0)),""))</f>
        <v/>
      </c>
      <c r="F1835" s="3" t="str">
        <f>IFERROR(INDEX('بيانات الحركات'!F:F,MATCH(1834,'بيانات الحركات'!$G:$G,0)),"")</f>
        <v/>
      </c>
    </row>
    <row r="1836" spans="1:6" ht="21.95" customHeight="1">
      <c r="A1836" s="8" t="str">
        <f>IFERROR(INDEX('بيانات الحركات'!A:A,MATCH(1835,'بيانات الحركات'!$G:$G,0)),"")</f>
        <v/>
      </c>
      <c r="B1836" s="5" t="str">
        <f>IFERROR(INDEX('بيانات الحركات'!B:B,MATCH(1835,'بيانات الحركات'!$G:$G,0)),"")</f>
        <v/>
      </c>
      <c r="C1836" s="3" t="str">
        <f>IFERROR(INDEX('بيانات الحركات'!C:C,MATCH(1835,'بيانات الحركات'!$G:$G,0)),"")</f>
        <v/>
      </c>
      <c r="D1836" s="3" t="str">
        <f>IFERROR(INDEX('بيانات الحركات'!D:D,MATCH(1835,'بيانات الحركات'!$G:$G,0)),"")</f>
        <v/>
      </c>
      <c r="E1836" s="21" t="str">
        <f>IF($B1836="إنتاج طبخة","",IFERROR(INDEX('بيانات الحركات'!E:E,MATCH(1835,'بيانات الحركات'!$G:$G,0)),""))</f>
        <v/>
      </c>
      <c r="F1836" s="3" t="str">
        <f>IFERROR(INDEX('بيانات الحركات'!F:F,MATCH(1835,'بيانات الحركات'!$G:$G,0)),"")</f>
        <v/>
      </c>
    </row>
    <row r="1837" spans="1:6" ht="21.95" customHeight="1">
      <c r="A1837" s="8" t="str">
        <f>IFERROR(INDEX('بيانات الحركات'!A:A,MATCH(1836,'بيانات الحركات'!$G:$G,0)),"")</f>
        <v/>
      </c>
      <c r="B1837" s="5" t="str">
        <f>IFERROR(INDEX('بيانات الحركات'!B:B,MATCH(1836,'بيانات الحركات'!$G:$G,0)),"")</f>
        <v/>
      </c>
      <c r="C1837" s="3" t="str">
        <f>IFERROR(INDEX('بيانات الحركات'!C:C,MATCH(1836,'بيانات الحركات'!$G:$G,0)),"")</f>
        <v/>
      </c>
      <c r="D1837" s="3" t="str">
        <f>IFERROR(INDEX('بيانات الحركات'!D:D,MATCH(1836,'بيانات الحركات'!$G:$G,0)),"")</f>
        <v/>
      </c>
      <c r="E1837" s="21" t="str">
        <f>IF($B1837="إنتاج طبخة","",IFERROR(INDEX('بيانات الحركات'!E:E,MATCH(1836,'بيانات الحركات'!$G:$G,0)),""))</f>
        <v/>
      </c>
      <c r="F1837" s="3" t="str">
        <f>IFERROR(INDEX('بيانات الحركات'!F:F,MATCH(1836,'بيانات الحركات'!$G:$G,0)),"")</f>
        <v/>
      </c>
    </row>
    <row r="1838" spans="1:6" ht="21.95" customHeight="1">
      <c r="A1838" s="8" t="str">
        <f>IFERROR(INDEX('بيانات الحركات'!A:A,MATCH(1837,'بيانات الحركات'!$G:$G,0)),"")</f>
        <v/>
      </c>
      <c r="B1838" s="5" t="str">
        <f>IFERROR(INDEX('بيانات الحركات'!B:B,MATCH(1837,'بيانات الحركات'!$G:$G,0)),"")</f>
        <v/>
      </c>
      <c r="C1838" s="3" t="str">
        <f>IFERROR(INDEX('بيانات الحركات'!C:C,MATCH(1837,'بيانات الحركات'!$G:$G,0)),"")</f>
        <v/>
      </c>
      <c r="D1838" s="3" t="str">
        <f>IFERROR(INDEX('بيانات الحركات'!D:D,MATCH(1837,'بيانات الحركات'!$G:$G,0)),"")</f>
        <v/>
      </c>
      <c r="E1838" s="21" t="str">
        <f>IF($B1838="إنتاج طبخة","",IFERROR(INDEX('بيانات الحركات'!E:E,MATCH(1837,'بيانات الحركات'!$G:$G,0)),""))</f>
        <v/>
      </c>
      <c r="F1838" s="3" t="str">
        <f>IFERROR(INDEX('بيانات الحركات'!F:F,MATCH(1837,'بيانات الحركات'!$G:$G,0)),"")</f>
        <v/>
      </c>
    </row>
    <row r="1839" spans="1:6" ht="21.95" customHeight="1">
      <c r="A1839" s="8" t="str">
        <f>IFERROR(INDEX('بيانات الحركات'!A:A,MATCH(1838,'بيانات الحركات'!$G:$G,0)),"")</f>
        <v/>
      </c>
      <c r="B1839" s="5" t="str">
        <f>IFERROR(INDEX('بيانات الحركات'!B:B,MATCH(1838,'بيانات الحركات'!$G:$G,0)),"")</f>
        <v/>
      </c>
      <c r="C1839" s="3" t="str">
        <f>IFERROR(INDEX('بيانات الحركات'!C:C,MATCH(1838,'بيانات الحركات'!$G:$G,0)),"")</f>
        <v/>
      </c>
      <c r="D1839" s="3" t="str">
        <f>IFERROR(INDEX('بيانات الحركات'!D:D,MATCH(1838,'بيانات الحركات'!$G:$G,0)),"")</f>
        <v/>
      </c>
      <c r="E1839" s="21" t="str">
        <f>IF($B1839="إنتاج طبخة","",IFERROR(INDEX('بيانات الحركات'!E:E,MATCH(1838,'بيانات الحركات'!$G:$G,0)),""))</f>
        <v/>
      </c>
      <c r="F1839" s="3" t="str">
        <f>IFERROR(INDEX('بيانات الحركات'!F:F,MATCH(1838,'بيانات الحركات'!$G:$G,0)),"")</f>
        <v/>
      </c>
    </row>
    <row r="1840" spans="1:6" ht="21.95" customHeight="1">
      <c r="A1840" s="8" t="str">
        <f>IFERROR(INDEX('بيانات الحركات'!A:A,MATCH(1839,'بيانات الحركات'!$G:$G,0)),"")</f>
        <v/>
      </c>
      <c r="B1840" s="5" t="str">
        <f>IFERROR(INDEX('بيانات الحركات'!B:B,MATCH(1839,'بيانات الحركات'!$G:$G,0)),"")</f>
        <v/>
      </c>
      <c r="C1840" s="3" t="str">
        <f>IFERROR(INDEX('بيانات الحركات'!C:C,MATCH(1839,'بيانات الحركات'!$G:$G,0)),"")</f>
        <v/>
      </c>
      <c r="D1840" s="3" t="str">
        <f>IFERROR(INDEX('بيانات الحركات'!D:D,MATCH(1839,'بيانات الحركات'!$G:$G,0)),"")</f>
        <v/>
      </c>
      <c r="E1840" s="21" t="str">
        <f>IF($B1840="إنتاج طبخة","",IFERROR(INDEX('بيانات الحركات'!E:E,MATCH(1839,'بيانات الحركات'!$G:$G,0)),""))</f>
        <v/>
      </c>
      <c r="F1840" s="3" t="str">
        <f>IFERROR(INDEX('بيانات الحركات'!F:F,MATCH(1839,'بيانات الحركات'!$G:$G,0)),"")</f>
        <v/>
      </c>
    </row>
    <row r="1841" spans="1:6" ht="21.95" customHeight="1">
      <c r="A1841" s="8" t="str">
        <f>IFERROR(INDEX('بيانات الحركات'!A:A,MATCH(1840,'بيانات الحركات'!$G:$G,0)),"")</f>
        <v/>
      </c>
      <c r="B1841" s="5" t="str">
        <f>IFERROR(INDEX('بيانات الحركات'!B:B,MATCH(1840,'بيانات الحركات'!$G:$G,0)),"")</f>
        <v/>
      </c>
      <c r="C1841" s="3" t="str">
        <f>IFERROR(INDEX('بيانات الحركات'!C:C,MATCH(1840,'بيانات الحركات'!$G:$G,0)),"")</f>
        <v/>
      </c>
      <c r="D1841" s="3" t="str">
        <f>IFERROR(INDEX('بيانات الحركات'!D:D,MATCH(1840,'بيانات الحركات'!$G:$G,0)),"")</f>
        <v/>
      </c>
      <c r="E1841" s="21" t="str">
        <f>IF($B1841="إنتاج طبخة","",IFERROR(INDEX('بيانات الحركات'!E:E,MATCH(1840,'بيانات الحركات'!$G:$G,0)),""))</f>
        <v/>
      </c>
      <c r="F1841" s="3" t="str">
        <f>IFERROR(INDEX('بيانات الحركات'!F:F,MATCH(1840,'بيانات الحركات'!$G:$G,0)),"")</f>
        <v/>
      </c>
    </row>
    <row r="1842" spans="1:6" ht="21.95" customHeight="1">
      <c r="A1842" s="8" t="str">
        <f>IFERROR(INDEX('بيانات الحركات'!A:A,MATCH(1841,'بيانات الحركات'!$G:$G,0)),"")</f>
        <v/>
      </c>
      <c r="B1842" s="5" t="str">
        <f>IFERROR(INDEX('بيانات الحركات'!B:B,MATCH(1841,'بيانات الحركات'!$G:$G,0)),"")</f>
        <v/>
      </c>
      <c r="C1842" s="3" t="str">
        <f>IFERROR(INDEX('بيانات الحركات'!C:C,MATCH(1841,'بيانات الحركات'!$G:$G,0)),"")</f>
        <v/>
      </c>
      <c r="D1842" s="3" t="str">
        <f>IFERROR(INDEX('بيانات الحركات'!D:D,MATCH(1841,'بيانات الحركات'!$G:$G,0)),"")</f>
        <v/>
      </c>
      <c r="E1842" s="21" t="str">
        <f>IF($B1842="إنتاج طبخة","",IFERROR(INDEX('بيانات الحركات'!E:E,MATCH(1841,'بيانات الحركات'!$G:$G,0)),""))</f>
        <v/>
      </c>
      <c r="F1842" s="3" t="str">
        <f>IFERROR(INDEX('بيانات الحركات'!F:F,MATCH(1841,'بيانات الحركات'!$G:$G,0)),"")</f>
        <v/>
      </c>
    </row>
    <row r="1843" spans="1:6" ht="21.95" customHeight="1">
      <c r="A1843" s="8" t="str">
        <f>IFERROR(INDEX('بيانات الحركات'!A:A,MATCH(1842,'بيانات الحركات'!$G:$G,0)),"")</f>
        <v/>
      </c>
      <c r="B1843" s="5" t="str">
        <f>IFERROR(INDEX('بيانات الحركات'!B:B,MATCH(1842,'بيانات الحركات'!$G:$G,0)),"")</f>
        <v/>
      </c>
      <c r="C1843" s="3" t="str">
        <f>IFERROR(INDEX('بيانات الحركات'!C:C,MATCH(1842,'بيانات الحركات'!$G:$G,0)),"")</f>
        <v/>
      </c>
      <c r="D1843" s="3" t="str">
        <f>IFERROR(INDEX('بيانات الحركات'!D:D,MATCH(1842,'بيانات الحركات'!$G:$G,0)),"")</f>
        <v/>
      </c>
      <c r="E1843" s="21" t="str">
        <f>IF($B1843="إنتاج طبخة","",IFERROR(INDEX('بيانات الحركات'!E:E,MATCH(1842,'بيانات الحركات'!$G:$G,0)),""))</f>
        <v/>
      </c>
      <c r="F1843" s="3" t="str">
        <f>IFERROR(INDEX('بيانات الحركات'!F:F,MATCH(1842,'بيانات الحركات'!$G:$G,0)),"")</f>
        <v/>
      </c>
    </row>
    <row r="1844" spans="1:6" ht="21.95" customHeight="1">
      <c r="A1844" s="8" t="str">
        <f>IFERROR(INDEX('بيانات الحركات'!A:A,MATCH(1843,'بيانات الحركات'!$G:$G,0)),"")</f>
        <v/>
      </c>
      <c r="B1844" s="5" t="str">
        <f>IFERROR(INDEX('بيانات الحركات'!B:B,MATCH(1843,'بيانات الحركات'!$G:$G,0)),"")</f>
        <v/>
      </c>
      <c r="C1844" s="3" t="str">
        <f>IFERROR(INDEX('بيانات الحركات'!C:C,MATCH(1843,'بيانات الحركات'!$G:$G,0)),"")</f>
        <v/>
      </c>
      <c r="D1844" s="3" t="str">
        <f>IFERROR(INDEX('بيانات الحركات'!D:D,MATCH(1843,'بيانات الحركات'!$G:$G,0)),"")</f>
        <v/>
      </c>
      <c r="E1844" s="21" t="str">
        <f>IF($B1844="إنتاج طبخة","",IFERROR(INDEX('بيانات الحركات'!E:E,MATCH(1843,'بيانات الحركات'!$G:$G,0)),""))</f>
        <v/>
      </c>
      <c r="F1844" s="3" t="str">
        <f>IFERROR(INDEX('بيانات الحركات'!F:F,MATCH(1843,'بيانات الحركات'!$G:$G,0)),"")</f>
        <v/>
      </c>
    </row>
    <row r="1845" spans="1:6" ht="21.95" customHeight="1">
      <c r="A1845" s="8" t="str">
        <f>IFERROR(INDEX('بيانات الحركات'!A:A,MATCH(1844,'بيانات الحركات'!$G:$G,0)),"")</f>
        <v/>
      </c>
      <c r="B1845" s="5" t="str">
        <f>IFERROR(INDEX('بيانات الحركات'!B:B,MATCH(1844,'بيانات الحركات'!$G:$G,0)),"")</f>
        <v/>
      </c>
      <c r="C1845" s="3" t="str">
        <f>IFERROR(INDEX('بيانات الحركات'!C:C,MATCH(1844,'بيانات الحركات'!$G:$G,0)),"")</f>
        <v/>
      </c>
      <c r="D1845" s="3" t="str">
        <f>IFERROR(INDEX('بيانات الحركات'!D:D,MATCH(1844,'بيانات الحركات'!$G:$G,0)),"")</f>
        <v/>
      </c>
      <c r="E1845" s="21" t="str">
        <f>IF($B1845="إنتاج طبخة","",IFERROR(INDEX('بيانات الحركات'!E:E,MATCH(1844,'بيانات الحركات'!$G:$G,0)),""))</f>
        <v/>
      </c>
      <c r="F1845" s="3" t="str">
        <f>IFERROR(INDEX('بيانات الحركات'!F:F,MATCH(1844,'بيانات الحركات'!$G:$G,0)),"")</f>
        <v/>
      </c>
    </row>
    <row r="1846" spans="1:6" ht="21.95" customHeight="1">
      <c r="A1846" s="8" t="str">
        <f>IFERROR(INDEX('بيانات الحركات'!A:A,MATCH(1845,'بيانات الحركات'!$G:$G,0)),"")</f>
        <v/>
      </c>
      <c r="B1846" s="5" t="str">
        <f>IFERROR(INDEX('بيانات الحركات'!B:B,MATCH(1845,'بيانات الحركات'!$G:$G,0)),"")</f>
        <v/>
      </c>
      <c r="C1846" s="3" t="str">
        <f>IFERROR(INDEX('بيانات الحركات'!C:C,MATCH(1845,'بيانات الحركات'!$G:$G,0)),"")</f>
        <v/>
      </c>
      <c r="D1846" s="3" t="str">
        <f>IFERROR(INDEX('بيانات الحركات'!D:D,MATCH(1845,'بيانات الحركات'!$G:$G,0)),"")</f>
        <v/>
      </c>
      <c r="E1846" s="21" t="str">
        <f>IF($B1846="إنتاج طبخة","",IFERROR(INDEX('بيانات الحركات'!E:E,MATCH(1845,'بيانات الحركات'!$G:$G,0)),""))</f>
        <v/>
      </c>
      <c r="F1846" s="3" t="str">
        <f>IFERROR(INDEX('بيانات الحركات'!F:F,MATCH(1845,'بيانات الحركات'!$G:$G,0)),"")</f>
        <v/>
      </c>
    </row>
    <row r="1847" spans="1:6" ht="21.95" customHeight="1">
      <c r="A1847" s="8" t="str">
        <f>IFERROR(INDEX('بيانات الحركات'!A:A,MATCH(1846,'بيانات الحركات'!$G:$G,0)),"")</f>
        <v/>
      </c>
      <c r="B1847" s="5" t="str">
        <f>IFERROR(INDEX('بيانات الحركات'!B:B,MATCH(1846,'بيانات الحركات'!$G:$G,0)),"")</f>
        <v/>
      </c>
      <c r="C1847" s="3" t="str">
        <f>IFERROR(INDEX('بيانات الحركات'!C:C,MATCH(1846,'بيانات الحركات'!$G:$G,0)),"")</f>
        <v/>
      </c>
      <c r="D1847" s="3" t="str">
        <f>IFERROR(INDEX('بيانات الحركات'!D:D,MATCH(1846,'بيانات الحركات'!$G:$G,0)),"")</f>
        <v/>
      </c>
      <c r="E1847" s="21" t="str">
        <f>IF($B1847="إنتاج طبخة","",IFERROR(INDEX('بيانات الحركات'!E:E,MATCH(1846,'بيانات الحركات'!$G:$G,0)),""))</f>
        <v/>
      </c>
      <c r="F1847" s="3" t="str">
        <f>IFERROR(INDEX('بيانات الحركات'!F:F,MATCH(1846,'بيانات الحركات'!$G:$G,0)),"")</f>
        <v/>
      </c>
    </row>
    <row r="1848" spans="1:6" ht="21.95" customHeight="1">
      <c r="A1848" s="8" t="str">
        <f>IFERROR(INDEX('بيانات الحركات'!A:A,MATCH(1847,'بيانات الحركات'!$G:$G,0)),"")</f>
        <v/>
      </c>
      <c r="B1848" s="5" t="str">
        <f>IFERROR(INDEX('بيانات الحركات'!B:B,MATCH(1847,'بيانات الحركات'!$G:$G,0)),"")</f>
        <v/>
      </c>
      <c r="C1848" s="3" t="str">
        <f>IFERROR(INDEX('بيانات الحركات'!C:C,MATCH(1847,'بيانات الحركات'!$G:$G,0)),"")</f>
        <v/>
      </c>
      <c r="D1848" s="3" t="str">
        <f>IFERROR(INDEX('بيانات الحركات'!D:D,MATCH(1847,'بيانات الحركات'!$G:$G,0)),"")</f>
        <v/>
      </c>
      <c r="E1848" s="21" t="str">
        <f>IF($B1848="إنتاج طبخة","",IFERROR(INDEX('بيانات الحركات'!E:E,MATCH(1847,'بيانات الحركات'!$G:$G,0)),""))</f>
        <v/>
      </c>
      <c r="F1848" s="3" t="str">
        <f>IFERROR(INDEX('بيانات الحركات'!F:F,MATCH(1847,'بيانات الحركات'!$G:$G,0)),"")</f>
        <v/>
      </c>
    </row>
    <row r="1849" spans="1:6" ht="21.95" customHeight="1">
      <c r="A1849" s="8" t="str">
        <f>IFERROR(INDEX('بيانات الحركات'!A:A,MATCH(1848,'بيانات الحركات'!$G:$G,0)),"")</f>
        <v/>
      </c>
      <c r="B1849" s="5" t="str">
        <f>IFERROR(INDEX('بيانات الحركات'!B:B,MATCH(1848,'بيانات الحركات'!$G:$G,0)),"")</f>
        <v/>
      </c>
      <c r="C1849" s="3" t="str">
        <f>IFERROR(INDEX('بيانات الحركات'!C:C,MATCH(1848,'بيانات الحركات'!$G:$G,0)),"")</f>
        <v/>
      </c>
      <c r="D1849" s="3" t="str">
        <f>IFERROR(INDEX('بيانات الحركات'!D:D,MATCH(1848,'بيانات الحركات'!$G:$G,0)),"")</f>
        <v/>
      </c>
      <c r="E1849" s="21" t="str">
        <f>IF($B1849="إنتاج طبخة","",IFERROR(INDEX('بيانات الحركات'!E:E,MATCH(1848,'بيانات الحركات'!$G:$G,0)),""))</f>
        <v/>
      </c>
      <c r="F1849" s="3" t="str">
        <f>IFERROR(INDEX('بيانات الحركات'!F:F,MATCH(1848,'بيانات الحركات'!$G:$G,0)),"")</f>
        <v/>
      </c>
    </row>
    <row r="1850" spans="1:6" ht="21.95" customHeight="1">
      <c r="A1850" s="8" t="str">
        <f>IFERROR(INDEX('بيانات الحركات'!A:A,MATCH(1849,'بيانات الحركات'!$G:$G,0)),"")</f>
        <v/>
      </c>
      <c r="B1850" s="5" t="str">
        <f>IFERROR(INDEX('بيانات الحركات'!B:B,MATCH(1849,'بيانات الحركات'!$G:$G,0)),"")</f>
        <v/>
      </c>
      <c r="C1850" s="3" t="str">
        <f>IFERROR(INDEX('بيانات الحركات'!C:C,MATCH(1849,'بيانات الحركات'!$G:$G,0)),"")</f>
        <v/>
      </c>
      <c r="D1850" s="3" t="str">
        <f>IFERROR(INDEX('بيانات الحركات'!D:D,MATCH(1849,'بيانات الحركات'!$G:$G,0)),"")</f>
        <v/>
      </c>
      <c r="E1850" s="21" t="str">
        <f>IF($B1850="إنتاج طبخة","",IFERROR(INDEX('بيانات الحركات'!E:E,MATCH(1849,'بيانات الحركات'!$G:$G,0)),""))</f>
        <v/>
      </c>
      <c r="F1850" s="3" t="str">
        <f>IFERROR(INDEX('بيانات الحركات'!F:F,MATCH(1849,'بيانات الحركات'!$G:$G,0)),"")</f>
        <v/>
      </c>
    </row>
    <row r="1851" spans="1:6" ht="21.95" customHeight="1">
      <c r="A1851" s="8" t="str">
        <f>IFERROR(INDEX('بيانات الحركات'!A:A,MATCH(1850,'بيانات الحركات'!$G:$G,0)),"")</f>
        <v/>
      </c>
      <c r="B1851" s="5" t="str">
        <f>IFERROR(INDEX('بيانات الحركات'!B:B,MATCH(1850,'بيانات الحركات'!$G:$G,0)),"")</f>
        <v/>
      </c>
      <c r="C1851" s="3" t="str">
        <f>IFERROR(INDEX('بيانات الحركات'!C:C,MATCH(1850,'بيانات الحركات'!$G:$G,0)),"")</f>
        <v/>
      </c>
      <c r="D1851" s="3" t="str">
        <f>IFERROR(INDEX('بيانات الحركات'!D:D,MATCH(1850,'بيانات الحركات'!$G:$G,0)),"")</f>
        <v/>
      </c>
      <c r="E1851" s="21" t="str">
        <f>IF($B1851="إنتاج طبخة","",IFERROR(INDEX('بيانات الحركات'!E:E,MATCH(1850,'بيانات الحركات'!$G:$G,0)),""))</f>
        <v/>
      </c>
      <c r="F1851" s="3" t="str">
        <f>IFERROR(INDEX('بيانات الحركات'!F:F,MATCH(1850,'بيانات الحركات'!$G:$G,0)),"")</f>
        <v/>
      </c>
    </row>
    <row r="1852" spans="1:6" ht="21.95" customHeight="1">
      <c r="A1852" s="8" t="str">
        <f>IFERROR(INDEX('بيانات الحركات'!A:A,MATCH(1851,'بيانات الحركات'!$G:$G,0)),"")</f>
        <v/>
      </c>
      <c r="B1852" s="5" t="str">
        <f>IFERROR(INDEX('بيانات الحركات'!B:B,MATCH(1851,'بيانات الحركات'!$G:$G,0)),"")</f>
        <v/>
      </c>
      <c r="C1852" s="3" t="str">
        <f>IFERROR(INDEX('بيانات الحركات'!C:C,MATCH(1851,'بيانات الحركات'!$G:$G,0)),"")</f>
        <v/>
      </c>
      <c r="D1852" s="3" t="str">
        <f>IFERROR(INDEX('بيانات الحركات'!D:D,MATCH(1851,'بيانات الحركات'!$G:$G,0)),"")</f>
        <v/>
      </c>
      <c r="E1852" s="21" t="str">
        <f>IF($B1852="إنتاج طبخة","",IFERROR(INDEX('بيانات الحركات'!E:E,MATCH(1851,'بيانات الحركات'!$G:$G,0)),""))</f>
        <v/>
      </c>
      <c r="F1852" s="3" t="str">
        <f>IFERROR(INDEX('بيانات الحركات'!F:F,MATCH(1851,'بيانات الحركات'!$G:$G,0)),"")</f>
        <v/>
      </c>
    </row>
    <row r="1853" spans="1:6" ht="21.95" customHeight="1">
      <c r="A1853" s="8" t="str">
        <f>IFERROR(INDEX('بيانات الحركات'!A:A,MATCH(1852,'بيانات الحركات'!$G:$G,0)),"")</f>
        <v/>
      </c>
      <c r="B1853" s="5" t="str">
        <f>IFERROR(INDEX('بيانات الحركات'!B:B,MATCH(1852,'بيانات الحركات'!$G:$G,0)),"")</f>
        <v/>
      </c>
      <c r="C1853" s="3" t="str">
        <f>IFERROR(INDEX('بيانات الحركات'!C:C,MATCH(1852,'بيانات الحركات'!$G:$G,0)),"")</f>
        <v/>
      </c>
      <c r="D1853" s="3" t="str">
        <f>IFERROR(INDEX('بيانات الحركات'!D:D,MATCH(1852,'بيانات الحركات'!$G:$G,0)),"")</f>
        <v/>
      </c>
      <c r="E1853" s="21" t="str">
        <f>IF($B1853="إنتاج طبخة","",IFERROR(INDEX('بيانات الحركات'!E:E,MATCH(1852,'بيانات الحركات'!$G:$G,0)),""))</f>
        <v/>
      </c>
      <c r="F1853" s="3" t="str">
        <f>IFERROR(INDEX('بيانات الحركات'!F:F,MATCH(1852,'بيانات الحركات'!$G:$G,0)),"")</f>
        <v/>
      </c>
    </row>
    <row r="1854" spans="1:6" ht="21.95" customHeight="1">
      <c r="A1854" s="8" t="str">
        <f>IFERROR(INDEX('بيانات الحركات'!A:A,MATCH(1853,'بيانات الحركات'!$G:$G,0)),"")</f>
        <v/>
      </c>
      <c r="B1854" s="5" t="str">
        <f>IFERROR(INDEX('بيانات الحركات'!B:B,MATCH(1853,'بيانات الحركات'!$G:$G,0)),"")</f>
        <v/>
      </c>
      <c r="C1854" s="3" t="str">
        <f>IFERROR(INDEX('بيانات الحركات'!C:C,MATCH(1853,'بيانات الحركات'!$G:$G,0)),"")</f>
        <v/>
      </c>
      <c r="D1854" s="3" t="str">
        <f>IFERROR(INDEX('بيانات الحركات'!D:D,MATCH(1853,'بيانات الحركات'!$G:$G,0)),"")</f>
        <v/>
      </c>
      <c r="E1854" s="21" t="str">
        <f>IF($B1854="إنتاج طبخة","",IFERROR(INDEX('بيانات الحركات'!E:E,MATCH(1853,'بيانات الحركات'!$G:$G,0)),""))</f>
        <v/>
      </c>
      <c r="F1854" s="3" t="str">
        <f>IFERROR(INDEX('بيانات الحركات'!F:F,MATCH(1853,'بيانات الحركات'!$G:$G,0)),"")</f>
        <v/>
      </c>
    </row>
    <row r="1855" spans="1:6" ht="21.95" customHeight="1">
      <c r="A1855" s="8" t="str">
        <f>IFERROR(INDEX('بيانات الحركات'!A:A,MATCH(1854,'بيانات الحركات'!$G:$G,0)),"")</f>
        <v/>
      </c>
      <c r="B1855" s="5" t="str">
        <f>IFERROR(INDEX('بيانات الحركات'!B:B,MATCH(1854,'بيانات الحركات'!$G:$G,0)),"")</f>
        <v/>
      </c>
      <c r="C1855" s="3" t="str">
        <f>IFERROR(INDEX('بيانات الحركات'!C:C,MATCH(1854,'بيانات الحركات'!$G:$G,0)),"")</f>
        <v/>
      </c>
      <c r="D1855" s="3" t="str">
        <f>IFERROR(INDEX('بيانات الحركات'!D:D,MATCH(1854,'بيانات الحركات'!$G:$G,0)),"")</f>
        <v/>
      </c>
      <c r="E1855" s="21" t="str">
        <f>IF($B1855="إنتاج طبخة","",IFERROR(INDEX('بيانات الحركات'!E:E,MATCH(1854,'بيانات الحركات'!$G:$G,0)),""))</f>
        <v/>
      </c>
      <c r="F1855" s="3" t="str">
        <f>IFERROR(INDEX('بيانات الحركات'!F:F,MATCH(1854,'بيانات الحركات'!$G:$G,0)),"")</f>
        <v/>
      </c>
    </row>
    <row r="1856" spans="1:6" ht="21.95" customHeight="1">
      <c r="A1856" s="8" t="str">
        <f>IFERROR(INDEX('بيانات الحركات'!A:A,MATCH(1855,'بيانات الحركات'!$G:$G,0)),"")</f>
        <v/>
      </c>
      <c r="B1856" s="5" t="str">
        <f>IFERROR(INDEX('بيانات الحركات'!B:B,MATCH(1855,'بيانات الحركات'!$G:$G,0)),"")</f>
        <v/>
      </c>
      <c r="C1856" s="3" t="str">
        <f>IFERROR(INDEX('بيانات الحركات'!C:C,MATCH(1855,'بيانات الحركات'!$G:$G,0)),"")</f>
        <v/>
      </c>
      <c r="D1856" s="3" t="str">
        <f>IFERROR(INDEX('بيانات الحركات'!D:D,MATCH(1855,'بيانات الحركات'!$G:$G,0)),"")</f>
        <v/>
      </c>
      <c r="E1856" s="21" t="str">
        <f>IF($B1856="إنتاج طبخة","",IFERROR(INDEX('بيانات الحركات'!E:E,MATCH(1855,'بيانات الحركات'!$G:$G,0)),""))</f>
        <v/>
      </c>
      <c r="F1856" s="3" t="str">
        <f>IFERROR(INDEX('بيانات الحركات'!F:F,MATCH(1855,'بيانات الحركات'!$G:$G,0)),"")</f>
        <v/>
      </c>
    </row>
    <row r="1857" spans="1:6" ht="21.95" customHeight="1">
      <c r="A1857" s="8" t="str">
        <f>IFERROR(INDEX('بيانات الحركات'!A:A,MATCH(1856,'بيانات الحركات'!$G:$G,0)),"")</f>
        <v/>
      </c>
      <c r="B1857" s="5" t="str">
        <f>IFERROR(INDEX('بيانات الحركات'!B:B,MATCH(1856,'بيانات الحركات'!$G:$G,0)),"")</f>
        <v/>
      </c>
      <c r="C1857" s="3" t="str">
        <f>IFERROR(INDEX('بيانات الحركات'!C:C,MATCH(1856,'بيانات الحركات'!$G:$G,0)),"")</f>
        <v/>
      </c>
      <c r="D1857" s="3" t="str">
        <f>IFERROR(INDEX('بيانات الحركات'!D:D,MATCH(1856,'بيانات الحركات'!$G:$G,0)),"")</f>
        <v/>
      </c>
      <c r="E1857" s="21" t="str">
        <f>IF($B1857="إنتاج طبخة","",IFERROR(INDEX('بيانات الحركات'!E:E,MATCH(1856,'بيانات الحركات'!$G:$G,0)),""))</f>
        <v/>
      </c>
      <c r="F1857" s="3" t="str">
        <f>IFERROR(INDEX('بيانات الحركات'!F:F,MATCH(1856,'بيانات الحركات'!$G:$G,0)),"")</f>
        <v/>
      </c>
    </row>
    <row r="1858" spans="1:6" ht="21.95" customHeight="1">
      <c r="A1858" s="8" t="str">
        <f>IFERROR(INDEX('بيانات الحركات'!A:A,MATCH(1857,'بيانات الحركات'!$G:$G,0)),"")</f>
        <v/>
      </c>
      <c r="B1858" s="5" t="str">
        <f>IFERROR(INDEX('بيانات الحركات'!B:B,MATCH(1857,'بيانات الحركات'!$G:$G,0)),"")</f>
        <v/>
      </c>
      <c r="C1858" s="3" t="str">
        <f>IFERROR(INDEX('بيانات الحركات'!C:C,MATCH(1857,'بيانات الحركات'!$G:$G,0)),"")</f>
        <v/>
      </c>
      <c r="D1858" s="3" t="str">
        <f>IFERROR(INDEX('بيانات الحركات'!D:D,MATCH(1857,'بيانات الحركات'!$G:$G,0)),"")</f>
        <v/>
      </c>
      <c r="E1858" s="21" t="str">
        <f>IF($B1858="إنتاج طبخة","",IFERROR(INDEX('بيانات الحركات'!E:E,MATCH(1857,'بيانات الحركات'!$G:$G,0)),""))</f>
        <v/>
      </c>
      <c r="F1858" s="3" t="str">
        <f>IFERROR(INDEX('بيانات الحركات'!F:F,MATCH(1857,'بيانات الحركات'!$G:$G,0)),"")</f>
        <v/>
      </c>
    </row>
    <row r="1859" spans="1:6" ht="21.95" customHeight="1">
      <c r="A1859" s="8" t="str">
        <f>IFERROR(INDEX('بيانات الحركات'!A:A,MATCH(1858,'بيانات الحركات'!$G:$G,0)),"")</f>
        <v/>
      </c>
      <c r="B1859" s="5" t="str">
        <f>IFERROR(INDEX('بيانات الحركات'!B:B,MATCH(1858,'بيانات الحركات'!$G:$G,0)),"")</f>
        <v/>
      </c>
      <c r="C1859" s="3" t="str">
        <f>IFERROR(INDEX('بيانات الحركات'!C:C,MATCH(1858,'بيانات الحركات'!$G:$G,0)),"")</f>
        <v/>
      </c>
      <c r="D1859" s="3" t="str">
        <f>IFERROR(INDEX('بيانات الحركات'!D:D,MATCH(1858,'بيانات الحركات'!$G:$G,0)),"")</f>
        <v/>
      </c>
      <c r="E1859" s="21" t="str">
        <f>IF($B1859="إنتاج طبخة","",IFERROR(INDEX('بيانات الحركات'!E:E,MATCH(1858,'بيانات الحركات'!$G:$G,0)),""))</f>
        <v/>
      </c>
      <c r="F1859" s="3" t="str">
        <f>IFERROR(INDEX('بيانات الحركات'!F:F,MATCH(1858,'بيانات الحركات'!$G:$G,0)),"")</f>
        <v/>
      </c>
    </row>
    <row r="1860" spans="1:6" ht="21.95" customHeight="1">
      <c r="A1860" s="8" t="str">
        <f>IFERROR(INDEX('بيانات الحركات'!A:A,MATCH(1859,'بيانات الحركات'!$G:$G,0)),"")</f>
        <v/>
      </c>
      <c r="B1860" s="5" t="str">
        <f>IFERROR(INDEX('بيانات الحركات'!B:B,MATCH(1859,'بيانات الحركات'!$G:$G,0)),"")</f>
        <v/>
      </c>
      <c r="C1860" s="3" t="str">
        <f>IFERROR(INDEX('بيانات الحركات'!C:C,MATCH(1859,'بيانات الحركات'!$G:$G,0)),"")</f>
        <v/>
      </c>
      <c r="D1860" s="3" t="str">
        <f>IFERROR(INDEX('بيانات الحركات'!D:D,MATCH(1859,'بيانات الحركات'!$G:$G,0)),"")</f>
        <v/>
      </c>
      <c r="E1860" s="21" t="str">
        <f>IF($B1860="إنتاج طبخة","",IFERROR(INDEX('بيانات الحركات'!E:E,MATCH(1859,'بيانات الحركات'!$G:$G,0)),""))</f>
        <v/>
      </c>
      <c r="F1860" s="3" t="str">
        <f>IFERROR(INDEX('بيانات الحركات'!F:F,MATCH(1859,'بيانات الحركات'!$G:$G,0)),"")</f>
        <v/>
      </c>
    </row>
    <row r="1861" spans="1:6" ht="21.95" customHeight="1">
      <c r="A1861" s="8" t="str">
        <f>IFERROR(INDEX('بيانات الحركات'!A:A,MATCH(1860,'بيانات الحركات'!$G:$G,0)),"")</f>
        <v/>
      </c>
      <c r="B1861" s="5" t="str">
        <f>IFERROR(INDEX('بيانات الحركات'!B:B,MATCH(1860,'بيانات الحركات'!$G:$G,0)),"")</f>
        <v/>
      </c>
      <c r="C1861" s="3" t="str">
        <f>IFERROR(INDEX('بيانات الحركات'!C:C,MATCH(1860,'بيانات الحركات'!$G:$G,0)),"")</f>
        <v/>
      </c>
      <c r="D1861" s="3" t="str">
        <f>IFERROR(INDEX('بيانات الحركات'!D:D,MATCH(1860,'بيانات الحركات'!$G:$G,0)),"")</f>
        <v/>
      </c>
      <c r="E1861" s="21" t="str">
        <f>IF($B1861="إنتاج طبخة","",IFERROR(INDEX('بيانات الحركات'!E:E,MATCH(1860,'بيانات الحركات'!$G:$G,0)),""))</f>
        <v/>
      </c>
      <c r="F1861" s="3" t="str">
        <f>IFERROR(INDEX('بيانات الحركات'!F:F,MATCH(1860,'بيانات الحركات'!$G:$G,0)),"")</f>
        <v/>
      </c>
    </row>
    <row r="1862" spans="1:6" ht="21.95" customHeight="1">
      <c r="A1862" s="8" t="str">
        <f>IFERROR(INDEX('بيانات الحركات'!A:A,MATCH(1861,'بيانات الحركات'!$G:$G,0)),"")</f>
        <v/>
      </c>
      <c r="B1862" s="5" t="str">
        <f>IFERROR(INDEX('بيانات الحركات'!B:B,MATCH(1861,'بيانات الحركات'!$G:$G,0)),"")</f>
        <v/>
      </c>
      <c r="C1862" s="3" t="str">
        <f>IFERROR(INDEX('بيانات الحركات'!C:C,MATCH(1861,'بيانات الحركات'!$G:$G,0)),"")</f>
        <v/>
      </c>
      <c r="D1862" s="3" t="str">
        <f>IFERROR(INDEX('بيانات الحركات'!D:D,MATCH(1861,'بيانات الحركات'!$G:$G,0)),"")</f>
        <v/>
      </c>
      <c r="E1862" s="21" t="str">
        <f>IF($B1862="إنتاج طبخة","",IFERROR(INDEX('بيانات الحركات'!E:E,MATCH(1861,'بيانات الحركات'!$G:$G,0)),""))</f>
        <v/>
      </c>
      <c r="F1862" s="3" t="str">
        <f>IFERROR(INDEX('بيانات الحركات'!F:F,MATCH(1861,'بيانات الحركات'!$G:$G,0)),"")</f>
        <v/>
      </c>
    </row>
    <row r="1863" spans="1:6" ht="21.95" customHeight="1">
      <c r="A1863" s="8" t="str">
        <f>IFERROR(INDEX('بيانات الحركات'!A:A,MATCH(1862,'بيانات الحركات'!$G:$G,0)),"")</f>
        <v/>
      </c>
      <c r="B1863" s="5" t="str">
        <f>IFERROR(INDEX('بيانات الحركات'!B:B,MATCH(1862,'بيانات الحركات'!$G:$G,0)),"")</f>
        <v/>
      </c>
      <c r="C1863" s="3" t="str">
        <f>IFERROR(INDEX('بيانات الحركات'!C:C,MATCH(1862,'بيانات الحركات'!$G:$G,0)),"")</f>
        <v/>
      </c>
      <c r="D1863" s="3" t="str">
        <f>IFERROR(INDEX('بيانات الحركات'!D:D,MATCH(1862,'بيانات الحركات'!$G:$G,0)),"")</f>
        <v/>
      </c>
      <c r="E1863" s="21" t="str">
        <f>IF($B1863="إنتاج طبخة","",IFERROR(INDEX('بيانات الحركات'!E:E,MATCH(1862,'بيانات الحركات'!$G:$G,0)),""))</f>
        <v/>
      </c>
      <c r="F1863" s="3" t="str">
        <f>IFERROR(INDEX('بيانات الحركات'!F:F,MATCH(1862,'بيانات الحركات'!$G:$G,0)),"")</f>
        <v/>
      </c>
    </row>
    <row r="1864" spans="1:6" ht="21.95" customHeight="1">
      <c r="A1864" s="8" t="str">
        <f>IFERROR(INDEX('بيانات الحركات'!A:A,MATCH(1863,'بيانات الحركات'!$G:$G,0)),"")</f>
        <v/>
      </c>
      <c r="B1864" s="5" t="str">
        <f>IFERROR(INDEX('بيانات الحركات'!B:B,MATCH(1863,'بيانات الحركات'!$G:$G,0)),"")</f>
        <v/>
      </c>
      <c r="C1864" s="3" t="str">
        <f>IFERROR(INDEX('بيانات الحركات'!C:C,MATCH(1863,'بيانات الحركات'!$G:$G,0)),"")</f>
        <v/>
      </c>
      <c r="D1864" s="3" t="str">
        <f>IFERROR(INDEX('بيانات الحركات'!D:D,MATCH(1863,'بيانات الحركات'!$G:$G,0)),"")</f>
        <v/>
      </c>
      <c r="E1864" s="21" t="str">
        <f>IF($B1864="إنتاج طبخة","",IFERROR(INDEX('بيانات الحركات'!E:E,MATCH(1863,'بيانات الحركات'!$G:$G,0)),""))</f>
        <v/>
      </c>
      <c r="F1864" s="3" t="str">
        <f>IFERROR(INDEX('بيانات الحركات'!F:F,MATCH(1863,'بيانات الحركات'!$G:$G,0)),"")</f>
        <v/>
      </c>
    </row>
    <row r="1865" spans="1:6" ht="21.95" customHeight="1">
      <c r="A1865" s="8" t="str">
        <f>IFERROR(INDEX('بيانات الحركات'!A:A,MATCH(1864,'بيانات الحركات'!$G:$G,0)),"")</f>
        <v/>
      </c>
      <c r="B1865" s="5" t="str">
        <f>IFERROR(INDEX('بيانات الحركات'!B:B,MATCH(1864,'بيانات الحركات'!$G:$G,0)),"")</f>
        <v/>
      </c>
      <c r="C1865" s="3" t="str">
        <f>IFERROR(INDEX('بيانات الحركات'!C:C,MATCH(1864,'بيانات الحركات'!$G:$G,0)),"")</f>
        <v/>
      </c>
      <c r="D1865" s="3" t="str">
        <f>IFERROR(INDEX('بيانات الحركات'!D:D,MATCH(1864,'بيانات الحركات'!$G:$G,0)),"")</f>
        <v/>
      </c>
      <c r="E1865" s="21" t="str">
        <f>IF($B1865="إنتاج طبخة","",IFERROR(INDEX('بيانات الحركات'!E:E,MATCH(1864,'بيانات الحركات'!$G:$G,0)),""))</f>
        <v/>
      </c>
      <c r="F1865" s="3" t="str">
        <f>IFERROR(INDEX('بيانات الحركات'!F:F,MATCH(1864,'بيانات الحركات'!$G:$G,0)),"")</f>
        <v/>
      </c>
    </row>
    <row r="1866" spans="1:6" ht="21.95" customHeight="1">
      <c r="A1866" s="8" t="str">
        <f>IFERROR(INDEX('بيانات الحركات'!A:A,MATCH(1865,'بيانات الحركات'!$G:$G,0)),"")</f>
        <v/>
      </c>
      <c r="B1866" s="5" t="str">
        <f>IFERROR(INDEX('بيانات الحركات'!B:B,MATCH(1865,'بيانات الحركات'!$G:$G,0)),"")</f>
        <v/>
      </c>
      <c r="C1866" s="3" t="str">
        <f>IFERROR(INDEX('بيانات الحركات'!C:C,MATCH(1865,'بيانات الحركات'!$G:$G,0)),"")</f>
        <v/>
      </c>
      <c r="D1866" s="3" t="str">
        <f>IFERROR(INDEX('بيانات الحركات'!D:D,MATCH(1865,'بيانات الحركات'!$G:$G,0)),"")</f>
        <v/>
      </c>
      <c r="E1866" s="21" t="str">
        <f>IF($B1866="إنتاج طبخة","",IFERROR(INDEX('بيانات الحركات'!E:E,MATCH(1865,'بيانات الحركات'!$G:$G,0)),""))</f>
        <v/>
      </c>
      <c r="F1866" s="3" t="str">
        <f>IFERROR(INDEX('بيانات الحركات'!F:F,MATCH(1865,'بيانات الحركات'!$G:$G,0)),"")</f>
        <v/>
      </c>
    </row>
    <row r="1867" spans="1:6" ht="21.95" customHeight="1">
      <c r="A1867" s="8" t="str">
        <f>IFERROR(INDEX('بيانات الحركات'!A:A,MATCH(1866,'بيانات الحركات'!$G:$G,0)),"")</f>
        <v/>
      </c>
      <c r="B1867" s="5" t="str">
        <f>IFERROR(INDEX('بيانات الحركات'!B:B,MATCH(1866,'بيانات الحركات'!$G:$G,0)),"")</f>
        <v/>
      </c>
      <c r="C1867" s="3" t="str">
        <f>IFERROR(INDEX('بيانات الحركات'!C:C,MATCH(1866,'بيانات الحركات'!$G:$G,0)),"")</f>
        <v/>
      </c>
      <c r="D1867" s="3" t="str">
        <f>IFERROR(INDEX('بيانات الحركات'!D:D,MATCH(1866,'بيانات الحركات'!$G:$G,0)),"")</f>
        <v/>
      </c>
      <c r="E1867" s="21" t="str">
        <f>IF($B1867="إنتاج طبخة","",IFERROR(INDEX('بيانات الحركات'!E:E,MATCH(1866,'بيانات الحركات'!$G:$G,0)),""))</f>
        <v/>
      </c>
      <c r="F1867" s="3" t="str">
        <f>IFERROR(INDEX('بيانات الحركات'!F:F,MATCH(1866,'بيانات الحركات'!$G:$G,0)),"")</f>
        <v/>
      </c>
    </row>
    <row r="1868" spans="1:6" ht="21.95" customHeight="1">
      <c r="A1868" s="8" t="str">
        <f>IFERROR(INDEX('بيانات الحركات'!A:A,MATCH(1867,'بيانات الحركات'!$G:$G,0)),"")</f>
        <v/>
      </c>
      <c r="B1868" s="5" t="str">
        <f>IFERROR(INDEX('بيانات الحركات'!B:B,MATCH(1867,'بيانات الحركات'!$G:$G,0)),"")</f>
        <v/>
      </c>
      <c r="C1868" s="3" t="str">
        <f>IFERROR(INDEX('بيانات الحركات'!C:C,MATCH(1867,'بيانات الحركات'!$G:$G,0)),"")</f>
        <v/>
      </c>
      <c r="D1868" s="3" t="str">
        <f>IFERROR(INDEX('بيانات الحركات'!D:D,MATCH(1867,'بيانات الحركات'!$G:$G,0)),"")</f>
        <v/>
      </c>
      <c r="E1868" s="21" t="str">
        <f>IF($B1868="إنتاج طبخة","",IFERROR(INDEX('بيانات الحركات'!E:E,MATCH(1867,'بيانات الحركات'!$G:$G,0)),""))</f>
        <v/>
      </c>
      <c r="F1868" s="3" t="str">
        <f>IFERROR(INDEX('بيانات الحركات'!F:F,MATCH(1867,'بيانات الحركات'!$G:$G,0)),"")</f>
        <v/>
      </c>
    </row>
    <row r="1869" spans="1:6" ht="21.95" customHeight="1">
      <c r="A1869" s="8" t="str">
        <f>IFERROR(INDEX('بيانات الحركات'!A:A,MATCH(1868,'بيانات الحركات'!$G:$G,0)),"")</f>
        <v/>
      </c>
      <c r="B1869" s="5" t="str">
        <f>IFERROR(INDEX('بيانات الحركات'!B:B,MATCH(1868,'بيانات الحركات'!$G:$G,0)),"")</f>
        <v/>
      </c>
      <c r="C1869" s="3" t="str">
        <f>IFERROR(INDEX('بيانات الحركات'!C:C,MATCH(1868,'بيانات الحركات'!$G:$G,0)),"")</f>
        <v/>
      </c>
      <c r="D1869" s="3" t="str">
        <f>IFERROR(INDEX('بيانات الحركات'!D:D,MATCH(1868,'بيانات الحركات'!$G:$G,0)),"")</f>
        <v/>
      </c>
      <c r="E1869" s="21" t="str">
        <f>IF($B1869="إنتاج طبخة","",IFERROR(INDEX('بيانات الحركات'!E:E,MATCH(1868,'بيانات الحركات'!$G:$G,0)),""))</f>
        <v/>
      </c>
      <c r="F1869" s="3" t="str">
        <f>IFERROR(INDEX('بيانات الحركات'!F:F,MATCH(1868,'بيانات الحركات'!$G:$G,0)),"")</f>
        <v/>
      </c>
    </row>
    <row r="1870" spans="1:6" ht="21.95" customHeight="1">
      <c r="A1870" s="8" t="str">
        <f>IFERROR(INDEX('بيانات الحركات'!A:A,MATCH(1869,'بيانات الحركات'!$G:$G,0)),"")</f>
        <v/>
      </c>
      <c r="B1870" s="5" t="str">
        <f>IFERROR(INDEX('بيانات الحركات'!B:B,MATCH(1869,'بيانات الحركات'!$G:$G,0)),"")</f>
        <v/>
      </c>
      <c r="C1870" s="3" t="str">
        <f>IFERROR(INDEX('بيانات الحركات'!C:C,MATCH(1869,'بيانات الحركات'!$G:$G,0)),"")</f>
        <v/>
      </c>
      <c r="D1870" s="3" t="str">
        <f>IFERROR(INDEX('بيانات الحركات'!D:D,MATCH(1869,'بيانات الحركات'!$G:$G,0)),"")</f>
        <v/>
      </c>
      <c r="E1870" s="21" t="str">
        <f>IF($B1870="إنتاج طبخة","",IFERROR(INDEX('بيانات الحركات'!E:E,MATCH(1869,'بيانات الحركات'!$G:$G,0)),""))</f>
        <v/>
      </c>
      <c r="F1870" s="3" t="str">
        <f>IFERROR(INDEX('بيانات الحركات'!F:F,MATCH(1869,'بيانات الحركات'!$G:$G,0)),"")</f>
        <v/>
      </c>
    </row>
    <row r="1871" spans="1:6" ht="21.95" customHeight="1">
      <c r="A1871" s="8" t="str">
        <f>IFERROR(INDEX('بيانات الحركات'!A:A,MATCH(1870,'بيانات الحركات'!$G:$G,0)),"")</f>
        <v/>
      </c>
      <c r="B1871" s="5" t="str">
        <f>IFERROR(INDEX('بيانات الحركات'!B:B,MATCH(1870,'بيانات الحركات'!$G:$G,0)),"")</f>
        <v/>
      </c>
      <c r="C1871" s="3" t="str">
        <f>IFERROR(INDEX('بيانات الحركات'!C:C,MATCH(1870,'بيانات الحركات'!$G:$G,0)),"")</f>
        <v/>
      </c>
      <c r="D1871" s="3" t="str">
        <f>IFERROR(INDEX('بيانات الحركات'!D:D,MATCH(1870,'بيانات الحركات'!$G:$G,0)),"")</f>
        <v/>
      </c>
      <c r="E1871" s="21" t="str">
        <f>IF($B1871="إنتاج طبخة","",IFERROR(INDEX('بيانات الحركات'!E:E,MATCH(1870,'بيانات الحركات'!$G:$G,0)),""))</f>
        <v/>
      </c>
      <c r="F1871" s="3" t="str">
        <f>IFERROR(INDEX('بيانات الحركات'!F:F,MATCH(1870,'بيانات الحركات'!$G:$G,0)),"")</f>
        <v/>
      </c>
    </row>
    <row r="1872" spans="1:6" ht="21.95" customHeight="1">
      <c r="A1872" s="8" t="str">
        <f>IFERROR(INDEX('بيانات الحركات'!A:A,MATCH(1871,'بيانات الحركات'!$G:$G,0)),"")</f>
        <v/>
      </c>
      <c r="B1872" s="5" t="str">
        <f>IFERROR(INDEX('بيانات الحركات'!B:B,MATCH(1871,'بيانات الحركات'!$G:$G,0)),"")</f>
        <v/>
      </c>
      <c r="C1872" s="3" t="str">
        <f>IFERROR(INDEX('بيانات الحركات'!C:C,MATCH(1871,'بيانات الحركات'!$G:$G,0)),"")</f>
        <v/>
      </c>
      <c r="D1872" s="3" t="str">
        <f>IFERROR(INDEX('بيانات الحركات'!D:D,MATCH(1871,'بيانات الحركات'!$G:$G,0)),"")</f>
        <v/>
      </c>
      <c r="E1872" s="21" t="str">
        <f>IF($B1872="إنتاج طبخة","",IFERROR(INDEX('بيانات الحركات'!E:E,MATCH(1871,'بيانات الحركات'!$G:$G,0)),""))</f>
        <v/>
      </c>
      <c r="F1872" s="3" t="str">
        <f>IFERROR(INDEX('بيانات الحركات'!F:F,MATCH(1871,'بيانات الحركات'!$G:$G,0)),"")</f>
        <v/>
      </c>
    </row>
    <row r="1873" spans="1:6" ht="21.95" customHeight="1">
      <c r="A1873" s="8" t="str">
        <f>IFERROR(INDEX('بيانات الحركات'!A:A,MATCH(1872,'بيانات الحركات'!$G:$G,0)),"")</f>
        <v/>
      </c>
      <c r="B1873" s="5" t="str">
        <f>IFERROR(INDEX('بيانات الحركات'!B:B,MATCH(1872,'بيانات الحركات'!$G:$G,0)),"")</f>
        <v/>
      </c>
      <c r="C1873" s="3" t="str">
        <f>IFERROR(INDEX('بيانات الحركات'!C:C,MATCH(1872,'بيانات الحركات'!$G:$G,0)),"")</f>
        <v/>
      </c>
      <c r="D1873" s="3" t="str">
        <f>IFERROR(INDEX('بيانات الحركات'!D:D,MATCH(1872,'بيانات الحركات'!$G:$G,0)),"")</f>
        <v/>
      </c>
      <c r="E1873" s="21" t="str">
        <f>IF($B1873="إنتاج طبخة","",IFERROR(INDEX('بيانات الحركات'!E:E,MATCH(1872,'بيانات الحركات'!$G:$G,0)),""))</f>
        <v/>
      </c>
      <c r="F1873" s="3" t="str">
        <f>IFERROR(INDEX('بيانات الحركات'!F:F,MATCH(1872,'بيانات الحركات'!$G:$G,0)),"")</f>
        <v/>
      </c>
    </row>
    <row r="1874" spans="1:6" ht="21.95" customHeight="1">
      <c r="A1874" s="8" t="str">
        <f>IFERROR(INDEX('بيانات الحركات'!A:A,MATCH(1873,'بيانات الحركات'!$G:$G,0)),"")</f>
        <v/>
      </c>
      <c r="B1874" s="5" t="str">
        <f>IFERROR(INDEX('بيانات الحركات'!B:B,MATCH(1873,'بيانات الحركات'!$G:$G,0)),"")</f>
        <v/>
      </c>
      <c r="C1874" s="3" t="str">
        <f>IFERROR(INDEX('بيانات الحركات'!C:C,MATCH(1873,'بيانات الحركات'!$G:$G,0)),"")</f>
        <v/>
      </c>
      <c r="D1874" s="3" t="str">
        <f>IFERROR(INDEX('بيانات الحركات'!D:D,MATCH(1873,'بيانات الحركات'!$G:$G,0)),"")</f>
        <v/>
      </c>
      <c r="E1874" s="21" t="str">
        <f>IF($B1874="إنتاج طبخة","",IFERROR(INDEX('بيانات الحركات'!E:E,MATCH(1873,'بيانات الحركات'!$G:$G,0)),""))</f>
        <v/>
      </c>
      <c r="F1874" s="3" t="str">
        <f>IFERROR(INDEX('بيانات الحركات'!F:F,MATCH(1873,'بيانات الحركات'!$G:$G,0)),"")</f>
        <v/>
      </c>
    </row>
    <row r="1875" spans="1:6" ht="21.95" customHeight="1">
      <c r="A1875" s="8" t="str">
        <f>IFERROR(INDEX('بيانات الحركات'!A:A,MATCH(1874,'بيانات الحركات'!$G:$G,0)),"")</f>
        <v/>
      </c>
      <c r="B1875" s="5" t="str">
        <f>IFERROR(INDEX('بيانات الحركات'!B:B,MATCH(1874,'بيانات الحركات'!$G:$G,0)),"")</f>
        <v/>
      </c>
      <c r="C1875" s="3" t="str">
        <f>IFERROR(INDEX('بيانات الحركات'!C:C,MATCH(1874,'بيانات الحركات'!$G:$G,0)),"")</f>
        <v/>
      </c>
      <c r="D1875" s="3" t="str">
        <f>IFERROR(INDEX('بيانات الحركات'!D:D,MATCH(1874,'بيانات الحركات'!$G:$G,0)),"")</f>
        <v/>
      </c>
      <c r="E1875" s="21" t="str">
        <f>IF($B1875="إنتاج طبخة","",IFERROR(INDEX('بيانات الحركات'!E:E,MATCH(1874,'بيانات الحركات'!$G:$G,0)),""))</f>
        <v/>
      </c>
      <c r="F1875" s="3" t="str">
        <f>IFERROR(INDEX('بيانات الحركات'!F:F,MATCH(1874,'بيانات الحركات'!$G:$G,0)),"")</f>
        <v/>
      </c>
    </row>
    <row r="1876" spans="1:6" ht="21.95" customHeight="1">
      <c r="A1876" s="8" t="str">
        <f>IFERROR(INDEX('بيانات الحركات'!A:A,MATCH(1875,'بيانات الحركات'!$G:$G,0)),"")</f>
        <v/>
      </c>
      <c r="B1876" s="5" t="str">
        <f>IFERROR(INDEX('بيانات الحركات'!B:B,MATCH(1875,'بيانات الحركات'!$G:$G,0)),"")</f>
        <v/>
      </c>
      <c r="C1876" s="3" t="str">
        <f>IFERROR(INDEX('بيانات الحركات'!C:C,MATCH(1875,'بيانات الحركات'!$G:$G,0)),"")</f>
        <v/>
      </c>
      <c r="D1876" s="3" t="str">
        <f>IFERROR(INDEX('بيانات الحركات'!D:D,MATCH(1875,'بيانات الحركات'!$G:$G,0)),"")</f>
        <v/>
      </c>
      <c r="E1876" s="21" t="str">
        <f>IF($B1876="إنتاج طبخة","",IFERROR(INDEX('بيانات الحركات'!E:E,MATCH(1875,'بيانات الحركات'!$G:$G,0)),""))</f>
        <v/>
      </c>
      <c r="F1876" s="3" t="str">
        <f>IFERROR(INDEX('بيانات الحركات'!F:F,MATCH(1875,'بيانات الحركات'!$G:$G,0)),"")</f>
        <v/>
      </c>
    </row>
    <row r="1877" spans="1:6" ht="21.95" customHeight="1">
      <c r="A1877" s="8" t="str">
        <f>IFERROR(INDEX('بيانات الحركات'!A:A,MATCH(1876,'بيانات الحركات'!$G:$G,0)),"")</f>
        <v/>
      </c>
      <c r="B1877" s="5" t="str">
        <f>IFERROR(INDEX('بيانات الحركات'!B:B,MATCH(1876,'بيانات الحركات'!$G:$G,0)),"")</f>
        <v/>
      </c>
      <c r="C1877" s="3" t="str">
        <f>IFERROR(INDEX('بيانات الحركات'!C:C,MATCH(1876,'بيانات الحركات'!$G:$G,0)),"")</f>
        <v/>
      </c>
      <c r="D1877" s="3" t="str">
        <f>IFERROR(INDEX('بيانات الحركات'!D:D,MATCH(1876,'بيانات الحركات'!$G:$G,0)),"")</f>
        <v/>
      </c>
      <c r="E1877" s="21" t="str">
        <f>IF($B1877="إنتاج طبخة","",IFERROR(INDEX('بيانات الحركات'!E:E,MATCH(1876,'بيانات الحركات'!$G:$G,0)),""))</f>
        <v/>
      </c>
      <c r="F1877" s="3" t="str">
        <f>IFERROR(INDEX('بيانات الحركات'!F:F,MATCH(1876,'بيانات الحركات'!$G:$G,0)),"")</f>
        <v/>
      </c>
    </row>
    <row r="1878" spans="1:6" ht="21.95" customHeight="1">
      <c r="A1878" s="8" t="str">
        <f>IFERROR(INDEX('بيانات الحركات'!A:A,MATCH(1877,'بيانات الحركات'!$G:$G,0)),"")</f>
        <v/>
      </c>
      <c r="B1878" s="5" t="str">
        <f>IFERROR(INDEX('بيانات الحركات'!B:B,MATCH(1877,'بيانات الحركات'!$G:$G,0)),"")</f>
        <v/>
      </c>
      <c r="C1878" s="3" t="str">
        <f>IFERROR(INDEX('بيانات الحركات'!C:C,MATCH(1877,'بيانات الحركات'!$G:$G,0)),"")</f>
        <v/>
      </c>
      <c r="D1878" s="3" t="str">
        <f>IFERROR(INDEX('بيانات الحركات'!D:D,MATCH(1877,'بيانات الحركات'!$G:$G,0)),"")</f>
        <v/>
      </c>
      <c r="E1878" s="21" t="str">
        <f>IF($B1878="إنتاج طبخة","",IFERROR(INDEX('بيانات الحركات'!E:E,MATCH(1877,'بيانات الحركات'!$G:$G,0)),""))</f>
        <v/>
      </c>
      <c r="F1878" s="3" t="str">
        <f>IFERROR(INDEX('بيانات الحركات'!F:F,MATCH(1877,'بيانات الحركات'!$G:$G,0)),"")</f>
        <v/>
      </c>
    </row>
    <row r="1879" spans="1:6" ht="21.95" customHeight="1">
      <c r="A1879" s="8" t="str">
        <f>IFERROR(INDEX('بيانات الحركات'!A:A,MATCH(1878,'بيانات الحركات'!$G:$G,0)),"")</f>
        <v/>
      </c>
      <c r="B1879" s="5" t="str">
        <f>IFERROR(INDEX('بيانات الحركات'!B:B,MATCH(1878,'بيانات الحركات'!$G:$G,0)),"")</f>
        <v/>
      </c>
      <c r="C1879" s="3" t="str">
        <f>IFERROR(INDEX('بيانات الحركات'!C:C,MATCH(1878,'بيانات الحركات'!$G:$G,0)),"")</f>
        <v/>
      </c>
      <c r="D1879" s="3" t="str">
        <f>IFERROR(INDEX('بيانات الحركات'!D:D,MATCH(1878,'بيانات الحركات'!$G:$G,0)),"")</f>
        <v/>
      </c>
      <c r="E1879" s="21" t="str">
        <f>IF($B1879="إنتاج طبخة","",IFERROR(INDEX('بيانات الحركات'!E:E,MATCH(1878,'بيانات الحركات'!$G:$G,0)),""))</f>
        <v/>
      </c>
      <c r="F1879" s="3" t="str">
        <f>IFERROR(INDEX('بيانات الحركات'!F:F,MATCH(1878,'بيانات الحركات'!$G:$G,0)),"")</f>
        <v/>
      </c>
    </row>
    <row r="1880" spans="1:6" ht="21.95" customHeight="1">
      <c r="A1880" s="8" t="str">
        <f>IFERROR(INDEX('بيانات الحركات'!A:A,MATCH(1879,'بيانات الحركات'!$G:$G,0)),"")</f>
        <v/>
      </c>
      <c r="B1880" s="5" t="str">
        <f>IFERROR(INDEX('بيانات الحركات'!B:B,MATCH(1879,'بيانات الحركات'!$G:$G,0)),"")</f>
        <v/>
      </c>
      <c r="C1880" s="3" t="str">
        <f>IFERROR(INDEX('بيانات الحركات'!C:C,MATCH(1879,'بيانات الحركات'!$G:$G,0)),"")</f>
        <v/>
      </c>
      <c r="D1880" s="3" t="str">
        <f>IFERROR(INDEX('بيانات الحركات'!D:D,MATCH(1879,'بيانات الحركات'!$G:$G,0)),"")</f>
        <v/>
      </c>
      <c r="E1880" s="21" t="str">
        <f>IF($B1880="إنتاج طبخة","",IFERROR(INDEX('بيانات الحركات'!E:E,MATCH(1879,'بيانات الحركات'!$G:$G,0)),""))</f>
        <v/>
      </c>
      <c r="F1880" s="3" t="str">
        <f>IFERROR(INDEX('بيانات الحركات'!F:F,MATCH(1879,'بيانات الحركات'!$G:$G,0)),"")</f>
        <v/>
      </c>
    </row>
    <row r="1881" spans="1:6" ht="21.95" customHeight="1">
      <c r="A1881" s="8" t="str">
        <f>IFERROR(INDEX('بيانات الحركات'!A:A,MATCH(1880,'بيانات الحركات'!$G:$G,0)),"")</f>
        <v/>
      </c>
      <c r="B1881" s="5" t="str">
        <f>IFERROR(INDEX('بيانات الحركات'!B:B,MATCH(1880,'بيانات الحركات'!$G:$G,0)),"")</f>
        <v/>
      </c>
      <c r="C1881" s="3" t="str">
        <f>IFERROR(INDEX('بيانات الحركات'!C:C,MATCH(1880,'بيانات الحركات'!$G:$G,0)),"")</f>
        <v/>
      </c>
      <c r="D1881" s="3" t="str">
        <f>IFERROR(INDEX('بيانات الحركات'!D:D,MATCH(1880,'بيانات الحركات'!$G:$G,0)),"")</f>
        <v/>
      </c>
      <c r="E1881" s="21" t="str">
        <f>IF($B1881="إنتاج طبخة","",IFERROR(INDEX('بيانات الحركات'!E:E,MATCH(1880,'بيانات الحركات'!$G:$G,0)),""))</f>
        <v/>
      </c>
      <c r="F1881" s="3" t="str">
        <f>IFERROR(INDEX('بيانات الحركات'!F:F,MATCH(1880,'بيانات الحركات'!$G:$G,0)),"")</f>
        <v/>
      </c>
    </row>
    <row r="1882" spans="1:6" ht="21.95" customHeight="1">
      <c r="A1882" s="8" t="str">
        <f>IFERROR(INDEX('بيانات الحركات'!A:A,MATCH(1881,'بيانات الحركات'!$G:$G,0)),"")</f>
        <v/>
      </c>
      <c r="B1882" s="5" t="str">
        <f>IFERROR(INDEX('بيانات الحركات'!B:B,MATCH(1881,'بيانات الحركات'!$G:$G,0)),"")</f>
        <v/>
      </c>
      <c r="C1882" s="3" t="str">
        <f>IFERROR(INDEX('بيانات الحركات'!C:C,MATCH(1881,'بيانات الحركات'!$G:$G,0)),"")</f>
        <v/>
      </c>
      <c r="D1882" s="3" t="str">
        <f>IFERROR(INDEX('بيانات الحركات'!D:D,MATCH(1881,'بيانات الحركات'!$G:$G,0)),"")</f>
        <v/>
      </c>
      <c r="E1882" s="21" t="str">
        <f>IF($B1882="إنتاج طبخة","",IFERROR(INDEX('بيانات الحركات'!E:E,MATCH(1881,'بيانات الحركات'!$G:$G,0)),""))</f>
        <v/>
      </c>
      <c r="F1882" s="3" t="str">
        <f>IFERROR(INDEX('بيانات الحركات'!F:F,MATCH(1881,'بيانات الحركات'!$G:$G,0)),"")</f>
        <v/>
      </c>
    </row>
    <row r="1883" spans="1:6" ht="21.95" customHeight="1">
      <c r="A1883" s="8" t="str">
        <f>IFERROR(INDEX('بيانات الحركات'!A:A,MATCH(1882,'بيانات الحركات'!$G:$G,0)),"")</f>
        <v/>
      </c>
      <c r="B1883" s="5" t="str">
        <f>IFERROR(INDEX('بيانات الحركات'!B:B,MATCH(1882,'بيانات الحركات'!$G:$G,0)),"")</f>
        <v/>
      </c>
      <c r="C1883" s="3" t="str">
        <f>IFERROR(INDEX('بيانات الحركات'!C:C,MATCH(1882,'بيانات الحركات'!$G:$G,0)),"")</f>
        <v/>
      </c>
      <c r="D1883" s="3" t="str">
        <f>IFERROR(INDEX('بيانات الحركات'!D:D,MATCH(1882,'بيانات الحركات'!$G:$G,0)),"")</f>
        <v/>
      </c>
      <c r="E1883" s="21" t="str">
        <f>IF($B1883="إنتاج طبخة","",IFERROR(INDEX('بيانات الحركات'!E:E,MATCH(1882,'بيانات الحركات'!$G:$G,0)),""))</f>
        <v/>
      </c>
      <c r="F1883" s="3" t="str">
        <f>IFERROR(INDEX('بيانات الحركات'!F:F,MATCH(1882,'بيانات الحركات'!$G:$G,0)),"")</f>
        <v/>
      </c>
    </row>
    <row r="1884" spans="1:6" ht="21.95" customHeight="1">
      <c r="A1884" s="8" t="str">
        <f>IFERROR(INDEX('بيانات الحركات'!A:A,MATCH(1883,'بيانات الحركات'!$G:$G,0)),"")</f>
        <v/>
      </c>
      <c r="B1884" s="5" t="str">
        <f>IFERROR(INDEX('بيانات الحركات'!B:B,MATCH(1883,'بيانات الحركات'!$G:$G,0)),"")</f>
        <v/>
      </c>
      <c r="C1884" s="3" t="str">
        <f>IFERROR(INDEX('بيانات الحركات'!C:C,MATCH(1883,'بيانات الحركات'!$G:$G,0)),"")</f>
        <v/>
      </c>
      <c r="D1884" s="3" t="str">
        <f>IFERROR(INDEX('بيانات الحركات'!D:D,MATCH(1883,'بيانات الحركات'!$G:$G,0)),"")</f>
        <v/>
      </c>
      <c r="E1884" s="21" t="str">
        <f>IF($B1884="إنتاج طبخة","",IFERROR(INDEX('بيانات الحركات'!E:E,MATCH(1883,'بيانات الحركات'!$G:$G,0)),""))</f>
        <v/>
      </c>
      <c r="F1884" s="3" t="str">
        <f>IFERROR(INDEX('بيانات الحركات'!F:F,MATCH(1883,'بيانات الحركات'!$G:$G,0)),"")</f>
        <v/>
      </c>
    </row>
    <row r="1885" spans="1:6" ht="21.95" customHeight="1">
      <c r="A1885" s="8" t="str">
        <f>IFERROR(INDEX('بيانات الحركات'!A:A,MATCH(1884,'بيانات الحركات'!$G:$G,0)),"")</f>
        <v/>
      </c>
      <c r="B1885" s="5" t="str">
        <f>IFERROR(INDEX('بيانات الحركات'!B:B,MATCH(1884,'بيانات الحركات'!$G:$G,0)),"")</f>
        <v/>
      </c>
      <c r="C1885" s="3" t="str">
        <f>IFERROR(INDEX('بيانات الحركات'!C:C,MATCH(1884,'بيانات الحركات'!$G:$G,0)),"")</f>
        <v/>
      </c>
      <c r="D1885" s="3" t="str">
        <f>IFERROR(INDEX('بيانات الحركات'!D:D,MATCH(1884,'بيانات الحركات'!$G:$G,0)),"")</f>
        <v/>
      </c>
      <c r="E1885" s="21" t="str">
        <f>IF($B1885="إنتاج طبخة","",IFERROR(INDEX('بيانات الحركات'!E:E,MATCH(1884,'بيانات الحركات'!$G:$G,0)),""))</f>
        <v/>
      </c>
      <c r="F1885" s="3" t="str">
        <f>IFERROR(INDEX('بيانات الحركات'!F:F,MATCH(1884,'بيانات الحركات'!$G:$G,0)),"")</f>
        <v/>
      </c>
    </row>
    <row r="1886" spans="1:6" ht="21.95" customHeight="1">
      <c r="A1886" s="8" t="str">
        <f>IFERROR(INDEX('بيانات الحركات'!A:A,MATCH(1885,'بيانات الحركات'!$G:$G,0)),"")</f>
        <v/>
      </c>
      <c r="B1886" s="5" t="str">
        <f>IFERROR(INDEX('بيانات الحركات'!B:B,MATCH(1885,'بيانات الحركات'!$G:$G,0)),"")</f>
        <v/>
      </c>
      <c r="C1886" s="3" t="str">
        <f>IFERROR(INDEX('بيانات الحركات'!C:C,MATCH(1885,'بيانات الحركات'!$G:$G,0)),"")</f>
        <v/>
      </c>
      <c r="D1886" s="3" t="str">
        <f>IFERROR(INDEX('بيانات الحركات'!D:D,MATCH(1885,'بيانات الحركات'!$G:$G,0)),"")</f>
        <v/>
      </c>
      <c r="E1886" s="21" t="str">
        <f>IF($B1886="إنتاج طبخة","",IFERROR(INDEX('بيانات الحركات'!E:E,MATCH(1885,'بيانات الحركات'!$G:$G,0)),""))</f>
        <v/>
      </c>
      <c r="F1886" s="3" t="str">
        <f>IFERROR(INDEX('بيانات الحركات'!F:F,MATCH(1885,'بيانات الحركات'!$G:$G,0)),"")</f>
        <v/>
      </c>
    </row>
    <row r="1887" spans="1:6" ht="21.95" customHeight="1">
      <c r="A1887" s="8" t="str">
        <f>IFERROR(INDEX('بيانات الحركات'!A:A,MATCH(1886,'بيانات الحركات'!$G:$G,0)),"")</f>
        <v/>
      </c>
      <c r="B1887" s="5" t="str">
        <f>IFERROR(INDEX('بيانات الحركات'!B:B,MATCH(1886,'بيانات الحركات'!$G:$G,0)),"")</f>
        <v/>
      </c>
      <c r="C1887" s="3" t="str">
        <f>IFERROR(INDEX('بيانات الحركات'!C:C,MATCH(1886,'بيانات الحركات'!$G:$G,0)),"")</f>
        <v/>
      </c>
      <c r="D1887" s="3" t="str">
        <f>IFERROR(INDEX('بيانات الحركات'!D:D,MATCH(1886,'بيانات الحركات'!$G:$G,0)),"")</f>
        <v/>
      </c>
      <c r="E1887" s="21" t="str">
        <f>IF($B1887="إنتاج طبخة","",IFERROR(INDEX('بيانات الحركات'!E:E,MATCH(1886,'بيانات الحركات'!$G:$G,0)),""))</f>
        <v/>
      </c>
      <c r="F1887" s="3" t="str">
        <f>IFERROR(INDEX('بيانات الحركات'!F:F,MATCH(1886,'بيانات الحركات'!$G:$G,0)),"")</f>
        <v/>
      </c>
    </row>
    <row r="1888" spans="1:6" ht="21.95" customHeight="1">
      <c r="A1888" s="8" t="str">
        <f>IFERROR(INDEX('بيانات الحركات'!A:A,MATCH(1887,'بيانات الحركات'!$G:$G,0)),"")</f>
        <v/>
      </c>
      <c r="B1888" s="5" t="str">
        <f>IFERROR(INDEX('بيانات الحركات'!B:B,MATCH(1887,'بيانات الحركات'!$G:$G,0)),"")</f>
        <v/>
      </c>
      <c r="C1888" s="3" t="str">
        <f>IFERROR(INDEX('بيانات الحركات'!C:C,MATCH(1887,'بيانات الحركات'!$G:$G,0)),"")</f>
        <v/>
      </c>
      <c r="D1888" s="3" t="str">
        <f>IFERROR(INDEX('بيانات الحركات'!D:D,MATCH(1887,'بيانات الحركات'!$G:$G,0)),"")</f>
        <v/>
      </c>
      <c r="E1888" s="21" t="str">
        <f>IF($B1888="إنتاج طبخة","",IFERROR(INDEX('بيانات الحركات'!E:E,MATCH(1887,'بيانات الحركات'!$G:$G,0)),""))</f>
        <v/>
      </c>
      <c r="F1888" s="3" t="str">
        <f>IFERROR(INDEX('بيانات الحركات'!F:F,MATCH(1887,'بيانات الحركات'!$G:$G,0)),"")</f>
        <v/>
      </c>
    </row>
    <row r="1889" spans="1:6" ht="21.95" customHeight="1">
      <c r="A1889" s="8" t="str">
        <f>IFERROR(INDEX('بيانات الحركات'!A:A,MATCH(1888,'بيانات الحركات'!$G:$G,0)),"")</f>
        <v/>
      </c>
      <c r="B1889" s="5" t="str">
        <f>IFERROR(INDEX('بيانات الحركات'!B:B,MATCH(1888,'بيانات الحركات'!$G:$G,0)),"")</f>
        <v/>
      </c>
      <c r="C1889" s="3" t="str">
        <f>IFERROR(INDEX('بيانات الحركات'!C:C,MATCH(1888,'بيانات الحركات'!$G:$G,0)),"")</f>
        <v/>
      </c>
      <c r="D1889" s="3" t="str">
        <f>IFERROR(INDEX('بيانات الحركات'!D:D,MATCH(1888,'بيانات الحركات'!$G:$G,0)),"")</f>
        <v/>
      </c>
      <c r="E1889" s="21" t="str">
        <f>IF($B1889="إنتاج طبخة","",IFERROR(INDEX('بيانات الحركات'!E:E,MATCH(1888,'بيانات الحركات'!$G:$G,0)),""))</f>
        <v/>
      </c>
      <c r="F1889" s="3" t="str">
        <f>IFERROR(INDEX('بيانات الحركات'!F:F,MATCH(1888,'بيانات الحركات'!$G:$G,0)),"")</f>
        <v/>
      </c>
    </row>
    <row r="1890" spans="1:6" ht="21.95" customHeight="1">
      <c r="A1890" s="8" t="str">
        <f>IFERROR(INDEX('بيانات الحركات'!A:A,MATCH(1889,'بيانات الحركات'!$G:$G,0)),"")</f>
        <v/>
      </c>
      <c r="B1890" s="5" t="str">
        <f>IFERROR(INDEX('بيانات الحركات'!B:B,MATCH(1889,'بيانات الحركات'!$G:$G,0)),"")</f>
        <v/>
      </c>
      <c r="C1890" s="3" t="str">
        <f>IFERROR(INDEX('بيانات الحركات'!C:C,MATCH(1889,'بيانات الحركات'!$G:$G,0)),"")</f>
        <v/>
      </c>
      <c r="D1890" s="3" t="str">
        <f>IFERROR(INDEX('بيانات الحركات'!D:D,MATCH(1889,'بيانات الحركات'!$G:$G,0)),"")</f>
        <v/>
      </c>
      <c r="E1890" s="21" t="str">
        <f>IF($B1890="إنتاج طبخة","",IFERROR(INDEX('بيانات الحركات'!E:E,MATCH(1889,'بيانات الحركات'!$G:$G,0)),""))</f>
        <v/>
      </c>
      <c r="F1890" s="3" t="str">
        <f>IFERROR(INDEX('بيانات الحركات'!F:F,MATCH(1889,'بيانات الحركات'!$G:$G,0)),"")</f>
        <v/>
      </c>
    </row>
    <row r="1891" spans="1:6" ht="21.95" customHeight="1">
      <c r="A1891" s="8" t="str">
        <f>IFERROR(INDEX('بيانات الحركات'!A:A,MATCH(1890,'بيانات الحركات'!$G:$G,0)),"")</f>
        <v/>
      </c>
      <c r="B1891" s="5" t="str">
        <f>IFERROR(INDEX('بيانات الحركات'!B:B,MATCH(1890,'بيانات الحركات'!$G:$G,0)),"")</f>
        <v/>
      </c>
      <c r="C1891" s="3" t="str">
        <f>IFERROR(INDEX('بيانات الحركات'!C:C,MATCH(1890,'بيانات الحركات'!$G:$G,0)),"")</f>
        <v/>
      </c>
      <c r="D1891" s="3" t="str">
        <f>IFERROR(INDEX('بيانات الحركات'!D:D,MATCH(1890,'بيانات الحركات'!$G:$G,0)),"")</f>
        <v/>
      </c>
      <c r="E1891" s="21" t="str">
        <f>IF($B1891="إنتاج طبخة","",IFERROR(INDEX('بيانات الحركات'!E:E,MATCH(1890,'بيانات الحركات'!$G:$G,0)),""))</f>
        <v/>
      </c>
      <c r="F1891" s="3" t="str">
        <f>IFERROR(INDEX('بيانات الحركات'!F:F,MATCH(1890,'بيانات الحركات'!$G:$G,0)),"")</f>
        <v/>
      </c>
    </row>
    <row r="1892" spans="1:6" ht="21.95" customHeight="1">
      <c r="A1892" s="8" t="str">
        <f>IFERROR(INDEX('بيانات الحركات'!A:A,MATCH(1891,'بيانات الحركات'!$G:$G,0)),"")</f>
        <v/>
      </c>
      <c r="B1892" s="5" t="str">
        <f>IFERROR(INDEX('بيانات الحركات'!B:B,MATCH(1891,'بيانات الحركات'!$G:$G,0)),"")</f>
        <v/>
      </c>
      <c r="C1892" s="3" t="str">
        <f>IFERROR(INDEX('بيانات الحركات'!C:C,MATCH(1891,'بيانات الحركات'!$G:$G,0)),"")</f>
        <v/>
      </c>
      <c r="D1892" s="3" t="str">
        <f>IFERROR(INDEX('بيانات الحركات'!D:D,MATCH(1891,'بيانات الحركات'!$G:$G,0)),"")</f>
        <v/>
      </c>
      <c r="E1892" s="21" t="str">
        <f>IF($B1892="إنتاج طبخة","",IFERROR(INDEX('بيانات الحركات'!E:E,MATCH(1891,'بيانات الحركات'!$G:$G,0)),""))</f>
        <v/>
      </c>
      <c r="F1892" s="3" t="str">
        <f>IFERROR(INDEX('بيانات الحركات'!F:F,MATCH(1891,'بيانات الحركات'!$G:$G,0)),"")</f>
        <v/>
      </c>
    </row>
    <row r="1893" spans="1:6" ht="21.95" customHeight="1">
      <c r="A1893" s="8" t="str">
        <f>IFERROR(INDEX('بيانات الحركات'!A:A,MATCH(1892,'بيانات الحركات'!$G:$G,0)),"")</f>
        <v/>
      </c>
      <c r="B1893" s="5" t="str">
        <f>IFERROR(INDEX('بيانات الحركات'!B:B,MATCH(1892,'بيانات الحركات'!$G:$G,0)),"")</f>
        <v/>
      </c>
      <c r="C1893" s="3" t="str">
        <f>IFERROR(INDEX('بيانات الحركات'!C:C,MATCH(1892,'بيانات الحركات'!$G:$G,0)),"")</f>
        <v/>
      </c>
      <c r="D1893" s="3" t="str">
        <f>IFERROR(INDEX('بيانات الحركات'!D:D,MATCH(1892,'بيانات الحركات'!$G:$G,0)),"")</f>
        <v/>
      </c>
      <c r="E1893" s="21" t="str">
        <f>IF($B1893="إنتاج طبخة","",IFERROR(INDEX('بيانات الحركات'!E:E,MATCH(1892,'بيانات الحركات'!$G:$G,0)),""))</f>
        <v/>
      </c>
      <c r="F1893" s="3" t="str">
        <f>IFERROR(INDEX('بيانات الحركات'!F:F,MATCH(1892,'بيانات الحركات'!$G:$G,0)),"")</f>
        <v/>
      </c>
    </row>
    <row r="1894" spans="1:6" ht="21.95" customHeight="1">
      <c r="A1894" s="8" t="str">
        <f>IFERROR(INDEX('بيانات الحركات'!A:A,MATCH(1893,'بيانات الحركات'!$G:$G,0)),"")</f>
        <v/>
      </c>
      <c r="B1894" s="5" t="str">
        <f>IFERROR(INDEX('بيانات الحركات'!B:B,MATCH(1893,'بيانات الحركات'!$G:$G,0)),"")</f>
        <v/>
      </c>
      <c r="C1894" s="3" t="str">
        <f>IFERROR(INDEX('بيانات الحركات'!C:C,MATCH(1893,'بيانات الحركات'!$G:$G,0)),"")</f>
        <v/>
      </c>
      <c r="D1894" s="3" t="str">
        <f>IFERROR(INDEX('بيانات الحركات'!D:D,MATCH(1893,'بيانات الحركات'!$G:$G,0)),"")</f>
        <v/>
      </c>
      <c r="E1894" s="21" t="str">
        <f>IF($B1894="إنتاج طبخة","",IFERROR(INDEX('بيانات الحركات'!E:E,MATCH(1893,'بيانات الحركات'!$G:$G,0)),""))</f>
        <v/>
      </c>
      <c r="F1894" s="3" t="str">
        <f>IFERROR(INDEX('بيانات الحركات'!F:F,MATCH(1893,'بيانات الحركات'!$G:$G,0)),"")</f>
        <v/>
      </c>
    </row>
    <row r="1895" spans="1:6" ht="21.95" customHeight="1">
      <c r="A1895" s="8" t="str">
        <f>IFERROR(INDEX('بيانات الحركات'!A:A,MATCH(1894,'بيانات الحركات'!$G:$G,0)),"")</f>
        <v/>
      </c>
      <c r="B1895" s="5" t="str">
        <f>IFERROR(INDEX('بيانات الحركات'!B:B,MATCH(1894,'بيانات الحركات'!$G:$G,0)),"")</f>
        <v/>
      </c>
      <c r="C1895" s="3" t="str">
        <f>IFERROR(INDEX('بيانات الحركات'!C:C,MATCH(1894,'بيانات الحركات'!$G:$G,0)),"")</f>
        <v/>
      </c>
      <c r="D1895" s="3" t="str">
        <f>IFERROR(INDEX('بيانات الحركات'!D:D,MATCH(1894,'بيانات الحركات'!$G:$G,0)),"")</f>
        <v/>
      </c>
      <c r="E1895" s="21" t="str">
        <f>IF($B1895="إنتاج طبخة","",IFERROR(INDEX('بيانات الحركات'!E:E,MATCH(1894,'بيانات الحركات'!$G:$G,0)),""))</f>
        <v/>
      </c>
      <c r="F1895" s="3" t="str">
        <f>IFERROR(INDEX('بيانات الحركات'!F:F,MATCH(1894,'بيانات الحركات'!$G:$G,0)),"")</f>
        <v/>
      </c>
    </row>
    <row r="1896" spans="1:6" ht="21.95" customHeight="1">
      <c r="A1896" s="8" t="str">
        <f>IFERROR(INDEX('بيانات الحركات'!A:A,MATCH(1895,'بيانات الحركات'!$G:$G,0)),"")</f>
        <v/>
      </c>
      <c r="B1896" s="5" t="str">
        <f>IFERROR(INDEX('بيانات الحركات'!B:B,MATCH(1895,'بيانات الحركات'!$G:$G,0)),"")</f>
        <v/>
      </c>
      <c r="C1896" s="3" t="str">
        <f>IFERROR(INDEX('بيانات الحركات'!C:C,MATCH(1895,'بيانات الحركات'!$G:$G,0)),"")</f>
        <v/>
      </c>
      <c r="D1896" s="3" t="str">
        <f>IFERROR(INDEX('بيانات الحركات'!D:D,MATCH(1895,'بيانات الحركات'!$G:$G,0)),"")</f>
        <v/>
      </c>
      <c r="E1896" s="21" t="str">
        <f>IF($B1896="إنتاج طبخة","",IFERROR(INDEX('بيانات الحركات'!E:E,MATCH(1895,'بيانات الحركات'!$G:$G,0)),""))</f>
        <v/>
      </c>
      <c r="F1896" s="3" t="str">
        <f>IFERROR(INDEX('بيانات الحركات'!F:F,MATCH(1895,'بيانات الحركات'!$G:$G,0)),"")</f>
        <v/>
      </c>
    </row>
    <row r="1897" spans="1:6" ht="21.95" customHeight="1">
      <c r="A1897" s="8" t="str">
        <f>IFERROR(INDEX('بيانات الحركات'!A:A,MATCH(1896,'بيانات الحركات'!$G:$G,0)),"")</f>
        <v/>
      </c>
      <c r="B1897" s="5" t="str">
        <f>IFERROR(INDEX('بيانات الحركات'!B:B,MATCH(1896,'بيانات الحركات'!$G:$G,0)),"")</f>
        <v/>
      </c>
      <c r="C1897" s="3" t="str">
        <f>IFERROR(INDEX('بيانات الحركات'!C:C,MATCH(1896,'بيانات الحركات'!$G:$G,0)),"")</f>
        <v/>
      </c>
      <c r="D1897" s="3" t="str">
        <f>IFERROR(INDEX('بيانات الحركات'!D:D,MATCH(1896,'بيانات الحركات'!$G:$G,0)),"")</f>
        <v/>
      </c>
      <c r="E1897" s="21" t="str">
        <f>IF($B1897="إنتاج طبخة","",IFERROR(INDEX('بيانات الحركات'!E:E,MATCH(1896,'بيانات الحركات'!$G:$G,0)),""))</f>
        <v/>
      </c>
      <c r="F1897" s="3" t="str">
        <f>IFERROR(INDEX('بيانات الحركات'!F:F,MATCH(1896,'بيانات الحركات'!$G:$G,0)),"")</f>
        <v/>
      </c>
    </row>
    <row r="1898" spans="1:6" ht="21.95" customHeight="1">
      <c r="A1898" s="8" t="str">
        <f>IFERROR(INDEX('بيانات الحركات'!A:A,MATCH(1897,'بيانات الحركات'!$G:$G,0)),"")</f>
        <v/>
      </c>
      <c r="B1898" s="5" t="str">
        <f>IFERROR(INDEX('بيانات الحركات'!B:B,MATCH(1897,'بيانات الحركات'!$G:$G,0)),"")</f>
        <v/>
      </c>
      <c r="C1898" s="3" t="str">
        <f>IFERROR(INDEX('بيانات الحركات'!C:C,MATCH(1897,'بيانات الحركات'!$G:$G,0)),"")</f>
        <v/>
      </c>
      <c r="D1898" s="3" t="str">
        <f>IFERROR(INDEX('بيانات الحركات'!D:D,MATCH(1897,'بيانات الحركات'!$G:$G,0)),"")</f>
        <v/>
      </c>
      <c r="E1898" s="21" t="str">
        <f>IF($B1898="إنتاج طبخة","",IFERROR(INDEX('بيانات الحركات'!E:E,MATCH(1897,'بيانات الحركات'!$G:$G,0)),""))</f>
        <v/>
      </c>
      <c r="F1898" s="3" t="str">
        <f>IFERROR(INDEX('بيانات الحركات'!F:F,MATCH(1897,'بيانات الحركات'!$G:$G,0)),"")</f>
        <v/>
      </c>
    </row>
    <row r="1899" spans="1:6" ht="21.95" customHeight="1">
      <c r="A1899" s="8" t="str">
        <f>IFERROR(INDEX('بيانات الحركات'!A:A,MATCH(1898,'بيانات الحركات'!$G:$G,0)),"")</f>
        <v/>
      </c>
      <c r="B1899" s="5" t="str">
        <f>IFERROR(INDEX('بيانات الحركات'!B:B,MATCH(1898,'بيانات الحركات'!$G:$G,0)),"")</f>
        <v/>
      </c>
      <c r="C1899" s="3" t="str">
        <f>IFERROR(INDEX('بيانات الحركات'!C:C,MATCH(1898,'بيانات الحركات'!$G:$G,0)),"")</f>
        <v/>
      </c>
      <c r="D1899" s="3" t="str">
        <f>IFERROR(INDEX('بيانات الحركات'!D:D,MATCH(1898,'بيانات الحركات'!$G:$G,0)),"")</f>
        <v/>
      </c>
      <c r="E1899" s="21" t="str">
        <f>IF($B1899="إنتاج طبخة","",IFERROR(INDEX('بيانات الحركات'!E:E,MATCH(1898,'بيانات الحركات'!$G:$G,0)),""))</f>
        <v/>
      </c>
      <c r="F1899" s="3" t="str">
        <f>IFERROR(INDEX('بيانات الحركات'!F:F,MATCH(1898,'بيانات الحركات'!$G:$G,0)),"")</f>
        <v/>
      </c>
    </row>
    <row r="1900" spans="1:6" ht="21.95" customHeight="1">
      <c r="A1900" s="8" t="str">
        <f>IFERROR(INDEX('بيانات الحركات'!A:A,MATCH(1899,'بيانات الحركات'!$G:$G,0)),"")</f>
        <v/>
      </c>
      <c r="B1900" s="5" t="str">
        <f>IFERROR(INDEX('بيانات الحركات'!B:B,MATCH(1899,'بيانات الحركات'!$G:$G,0)),"")</f>
        <v/>
      </c>
      <c r="C1900" s="3" t="str">
        <f>IFERROR(INDEX('بيانات الحركات'!C:C,MATCH(1899,'بيانات الحركات'!$G:$G,0)),"")</f>
        <v/>
      </c>
      <c r="D1900" s="3" t="str">
        <f>IFERROR(INDEX('بيانات الحركات'!D:D,MATCH(1899,'بيانات الحركات'!$G:$G,0)),"")</f>
        <v/>
      </c>
      <c r="E1900" s="21" t="str">
        <f>IF($B1900="إنتاج طبخة","",IFERROR(INDEX('بيانات الحركات'!E:E,MATCH(1899,'بيانات الحركات'!$G:$G,0)),""))</f>
        <v/>
      </c>
      <c r="F1900" s="3" t="str">
        <f>IFERROR(INDEX('بيانات الحركات'!F:F,MATCH(1899,'بيانات الحركات'!$G:$G,0)),"")</f>
        <v/>
      </c>
    </row>
    <row r="1901" spans="1:6" ht="21.95" customHeight="1">
      <c r="A1901" s="8" t="str">
        <f>IFERROR(INDEX('بيانات الحركات'!A:A,MATCH(1900,'بيانات الحركات'!$G:$G,0)),"")</f>
        <v/>
      </c>
      <c r="B1901" s="5" t="str">
        <f>IFERROR(INDEX('بيانات الحركات'!B:B,MATCH(1900,'بيانات الحركات'!$G:$G,0)),"")</f>
        <v/>
      </c>
      <c r="C1901" s="3" t="str">
        <f>IFERROR(INDEX('بيانات الحركات'!C:C,MATCH(1900,'بيانات الحركات'!$G:$G,0)),"")</f>
        <v/>
      </c>
      <c r="D1901" s="3" t="str">
        <f>IFERROR(INDEX('بيانات الحركات'!D:D,MATCH(1900,'بيانات الحركات'!$G:$G,0)),"")</f>
        <v/>
      </c>
      <c r="E1901" s="21" t="str">
        <f>IF($B1901="إنتاج طبخة","",IFERROR(INDEX('بيانات الحركات'!E:E,MATCH(1900,'بيانات الحركات'!$G:$G,0)),""))</f>
        <v/>
      </c>
      <c r="F1901" s="3" t="str">
        <f>IFERROR(INDEX('بيانات الحركات'!F:F,MATCH(1900,'بيانات الحركات'!$G:$G,0)),"")</f>
        <v/>
      </c>
    </row>
    <row r="1902" spans="1:6" ht="21.95" customHeight="1">
      <c r="A1902" s="8" t="str">
        <f>IFERROR(INDEX('بيانات الحركات'!A:A,MATCH(1901,'بيانات الحركات'!$G:$G,0)),"")</f>
        <v/>
      </c>
      <c r="B1902" s="5" t="str">
        <f>IFERROR(INDEX('بيانات الحركات'!B:B,MATCH(1901,'بيانات الحركات'!$G:$G,0)),"")</f>
        <v/>
      </c>
      <c r="C1902" s="3" t="str">
        <f>IFERROR(INDEX('بيانات الحركات'!C:C,MATCH(1901,'بيانات الحركات'!$G:$G,0)),"")</f>
        <v/>
      </c>
      <c r="D1902" s="3" t="str">
        <f>IFERROR(INDEX('بيانات الحركات'!D:D,MATCH(1901,'بيانات الحركات'!$G:$G,0)),"")</f>
        <v/>
      </c>
      <c r="E1902" s="21" t="str">
        <f>IF($B1902="إنتاج طبخة","",IFERROR(INDEX('بيانات الحركات'!E:E,MATCH(1901,'بيانات الحركات'!$G:$G,0)),""))</f>
        <v/>
      </c>
      <c r="F1902" s="3" t="str">
        <f>IFERROR(INDEX('بيانات الحركات'!F:F,MATCH(1901,'بيانات الحركات'!$G:$G,0)),"")</f>
        <v/>
      </c>
    </row>
    <row r="1903" spans="1:6" ht="21.95" customHeight="1">
      <c r="A1903" s="8" t="str">
        <f>IFERROR(INDEX('بيانات الحركات'!A:A,MATCH(1902,'بيانات الحركات'!$G:$G,0)),"")</f>
        <v/>
      </c>
      <c r="B1903" s="5" t="str">
        <f>IFERROR(INDEX('بيانات الحركات'!B:B,MATCH(1902,'بيانات الحركات'!$G:$G,0)),"")</f>
        <v/>
      </c>
      <c r="C1903" s="3" t="str">
        <f>IFERROR(INDEX('بيانات الحركات'!C:C,MATCH(1902,'بيانات الحركات'!$G:$G,0)),"")</f>
        <v/>
      </c>
      <c r="D1903" s="3" t="str">
        <f>IFERROR(INDEX('بيانات الحركات'!D:D,MATCH(1902,'بيانات الحركات'!$G:$G,0)),"")</f>
        <v/>
      </c>
      <c r="E1903" s="21" t="str">
        <f>IF($B1903="إنتاج طبخة","",IFERROR(INDEX('بيانات الحركات'!E:E,MATCH(1902,'بيانات الحركات'!$G:$G,0)),""))</f>
        <v/>
      </c>
      <c r="F1903" s="3" t="str">
        <f>IFERROR(INDEX('بيانات الحركات'!F:F,MATCH(1902,'بيانات الحركات'!$G:$G,0)),"")</f>
        <v/>
      </c>
    </row>
    <row r="1904" spans="1:6" ht="21.95" customHeight="1">
      <c r="A1904" s="8" t="str">
        <f>IFERROR(INDEX('بيانات الحركات'!A:A,MATCH(1903,'بيانات الحركات'!$G:$G,0)),"")</f>
        <v/>
      </c>
      <c r="B1904" s="5" t="str">
        <f>IFERROR(INDEX('بيانات الحركات'!B:B,MATCH(1903,'بيانات الحركات'!$G:$G,0)),"")</f>
        <v/>
      </c>
      <c r="C1904" s="3" t="str">
        <f>IFERROR(INDEX('بيانات الحركات'!C:C,MATCH(1903,'بيانات الحركات'!$G:$G,0)),"")</f>
        <v/>
      </c>
      <c r="D1904" s="3" t="str">
        <f>IFERROR(INDEX('بيانات الحركات'!D:D,MATCH(1903,'بيانات الحركات'!$G:$G,0)),"")</f>
        <v/>
      </c>
      <c r="E1904" s="21" t="str">
        <f>IF($B1904="إنتاج طبخة","",IFERROR(INDEX('بيانات الحركات'!E:E,MATCH(1903,'بيانات الحركات'!$G:$G,0)),""))</f>
        <v/>
      </c>
      <c r="F1904" s="3" t="str">
        <f>IFERROR(INDEX('بيانات الحركات'!F:F,MATCH(1903,'بيانات الحركات'!$G:$G,0)),"")</f>
        <v/>
      </c>
    </row>
    <row r="1905" spans="1:6" ht="21.95" customHeight="1">
      <c r="A1905" s="8" t="str">
        <f>IFERROR(INDEX('بيانات الحركات'!A:A,MATCH(1904,'بيانات الحركات'!$G:$G,0)),"")</f>
        <v/>
      </c>
      <c r="B1905" s="5" t="str">
        <f>IFERROR(INDEX('بيانات الحركات'!B:B,MATCH(1904,'بيانات الحركات'!$G:$G,0)),"")</f>
        <v/>
      </c>
      <c r="C1905" s="3" t="str">
        <f>IFERROR(INDEX('بيانات الحركات'!C:C,MATCH(1904,'بيانات الحركات'!$G:$G,0)),"")</f>
        <v/>
      </c>
      <c r="D1905" s="3" t="str">
        <f>IFERROR(INDEX('بيانات الحركات'!D:D,MATCH(1904,'بيانات الحركات'!$G:$G,0)),"")</f>
        <v/>
      </c>
      <c r="E1905" s="21" t="str">
        <f>IF($B1905="إنتاج طبخة","",IFERROR(INDEX('بيانات الحركات'!E:E,MATCH(1904,'بيانات الحركات'!$G:$G,0)),""))</f>
        <v/>
      </c>
      <c r="F1905" s="3" t="str">
        <f>IFERROR(INDEX('بيانات الحركات'!F:F,MATCH(1904,'بيانات الحركات'!$G:$G,0)),"")</f>
        <v/>
      </c>
    </row>
    <row r="1906" spans="1:6" ht="21.95" customHeight="1">
      <c r="A1906" s="8" t="str">
        <f>IFERROR(INDEX('بيانات الحركات'!A:A,MATCH(1905,'بيانات الحركات'!$G:$G,0)),"")</f>
        <v/>
      </c>
      <c r="B1906" s="5" t="str">
        <f>IFERROR(INDEX('بيانات الحركات'!B:B,MATCH(1905,'بيانات الحركات'!$G:$G,0)),"")</f>
        <v/>
      </c>
      <c r="C1906" s="3" t="str">
        <f>IFERROR(INDEX('بيانات الحركات'!C:C,MATCH(1905,'بيانات الحركات'!$G:$G,0)),"")</f>
        <v/>
      </c>
      <c r="D1906" s="3" t="str">
        <f>IFERROR(INDEX('بيانات الحركات'!D:D,MATCH(1905,'بيانات الحركات'!$G:$G,0)),"")</f>
        <v/>
      </c>
      <c r="E1906" s="21" t="str">
        <f>IF($B1906="إنتاج طبخة","",IFERROR(INDEX('بيانات الحركات'!E:E,MATCH(1905,'بيانات الحركات'!$G:$G,0)),""))</f>
        <v/>
      </c>
      <c r="F1906" s="3" t="str">
        <f>IFERROR(INDEX('بيانات الحركات'!F:F,MATCH(1905,'بيانات الحركات'!$G:$G,0)),"")</f>
        <v/>
      </c>
    </row>
    <row r="1907" spans="1:6" ht="21.95" customHeight="1">
      <c r="A1907" s="8" t="str">
        <f>IFERROR(INDEX('بيانات الحركات'!A:A,MATCH(1906,'بيانات الحركات'!$G:$G,0)),"")</f>
        <v/>
      </c>
      <c r="B1907" s="5" t="str">
        <f>IFERROR(INDEX('بيانات الحركات'!B:B,MATCH(1906,'بيانات الحركات'!$G:$G,0)),"")</f>
        <v/>
      </c>
      <c r="C1907" s="3" t="str">
        <f>IFERROR(INDEX('بيانات الحركات'!C:C,MATCH(1906,'بيانات الحركات'!$G:$G,0)),"")</f>
        <v/>
      </c>
      <c r="D1907" s="3" t="str">
        <f>IFERROR(INDEX('بيانات الحركات'!D:D,MATCH(1906,'بيانات الحركات'!$G:$G,0)),"")</f>
        <v/>
      </c>
      <c r="E1907" s="21" t="str">
        <f>IF($B1907="إنتاج طبخة","",IFERROR(INDEX('بيانات الحركات'!E:E,MATCH(1906,'بيانات الحركات'!$G:$G,0)),""))</f>
        <v/>
      </c>
      <c r="F1907" s="3" t="str">
        <f>IFERROR(INDEX('بيانات الحركات'!F:F,MATCH(1906,'بيانات الحركات'!$G:$G,0)),"")</f>
        <v/>
      </c>
    </row>
    <row r="1908" spans="1:6" ht="21.95" customHeight="1">
      <c r="A1908" s="8" t="str">
        <f>IFERROR(INDEX('بيانات الحركات'!A:A,MATCH(1907,'بيانات الحركات'!$G:$G,0)),"")</f>
        <v/>
      </c>
      <c r="B1908" s="5" t="str">
        <f>IFERROR(INDEX('بيانات الحركات'!B:B,MATCH(1907,'بيانات الحركات'!$G:$G,0)),"")</f>
        <v/>
      </c>
      <c r="C1908" s="3" t="str">
        <f>IFERROR(INDEX('بيانات الحركات'!C:C,MATCH(1907,'بيانات الحركات'!$G:$G,0)),"")</f>
        <v/>
      </c>
      <c r="D1908" s="3" t="str">
        <f>IFERROR(INDEX('بيانات الحركات'!D:D,MATCH(1907,'بيانات الحركات'!$G:$G,0)),"")</f>
        <v/>
      </c>
      <c r="E1908" s="21" t="str">
        <f>IF($B1908="إنتاج طبخة","",IFERROR(INDEX('بيانات الحركات'!E:E,MATCH(1907,'بيانات الحركات'!$G:$G,0)),""))</f>
        <v/>
      </c>
      <c r="F1908" s="3" t="str">
        <f>IFERROR(INDEX('بيانات الحركات'!F:F,MATCH(1907,'بيانات الحركات'!$G:$G,0)),"")</f>
        <v/>
      </c>
    </row>
    <row r="1909" spans="1:6" ht="21.95" customHeight="1">
      <c r="A1909" s="8" t="str">
        <f>IFERROR(INDEX('بيانات الحركات'!A:A,MATCH(1908,'بيانات الحركات'!$G:$G,0)),"")</f>
        <v/>
      </c>
      <c r="B1909" s="5" t="str">
        <f>IFERROR(INDEX('بيانات الحركات'!B:B,MATCH(1908,'بيانات الحركات'!$G:$G,0)),"")</f>
        <v/>
      </c>
      <c r="C1909" s="3" t="str">
        <f>IFERROR(INDEX('بيانات الحركات'!C:C,MATCH(1908,'بيانات الحركات'!$G:$G,0)),"")</f>
        <v/>
      </c>
      <c r="D1909" s="3" t="str">
        <f>IFERROR(INDEX('بيانات الحركات'!D:D,MATCH(1908,'بيانات الحركات'!$G:$G,0)),"")</f>
        <v/>
      </c>
      <c r="E1909" s="21" t="str">
        <f>IF($B1909="إنتاج طبخة","",IFERROR(INDEX('بيانات الحركات'!E:E,MATCH(1908,'بيانات الحركات'!$G:$G,0)),""))</f>
        <v/>
      </c>
      <c r="F1909" s="3" t="str">
        <f>IFERROR(INDEX('بيانات الحركات'!F:F,MATCH(1908,'بيانات الحركات'!$G:$G,0)),"")</f>
        <v/>
      </c>
    </row>
    <row r="1910" spans="1:6" ht="21.95" customHeight="1">
      <c r="A1910" s="8" t="str">
        <f>IFERROR(INDEX('بيانات الحركات'!A:A,MATCH(1909,'بيانات الحركات'!$G:$G,0)),"")</f>
        <v/>
      </c>
      <c r="B1910" s="5" t="str">
        <f>IFERROR(INDEX('بيانات الحركات'!B:B,MATCH(1909,'بيانات الحركات'!$G:$G,0)),"")</f>
        <v/>
      </c>
      <c r="C1910" s="3" t="str">
        <f>IFERROR(INDEX('بيانات الحركات'!C:C,MATCH(1909,'بيانات الحركات'!$G:$G,0)),"")</f>
        <v/>
      </c>
      <c r="D1910" s="3" t="str">
        <f>IFERROR(INDEX('بيانات الحركات'!D:D,MATCH(1909,'بيانات الحركات'!$G:$G,0)),"")</f>
        <v/>
      </c>
      <c r="E1910" s="21" t="str">
        <f>IF($B1910="إنتاج طبخة","",IFERROR(INDEX('بيانات الحركات'!E:E,MATCH(1909,'بيانات الحركات'!$G:$G,0)),""))</f>
        <v/>
      </c>
      <c r="F1910" s="3" t="str">
        <f>IFERROR(INDEX('بيانات الحركات'!F:F,MATCH(1909,'بيانات الحركات'!$G:$G,0)),"")</f>
        <v/>
      </c>
    </row>
    <row r="1911" spans="1:6" ht="21.95" customHeight="1">
      <c r="A1911" s="8" t="str">
        <f>IFERROR(INDEX('بيانات الحركات'!A:A,MATCH(1910,'بيانات الحركات'!$G:$G,0)),"")</f>
        <v/>
      </c>
      <c r="B1911" s="5" t="str">
        <f>IFERROR(INDEX('بيانات الحركات'!B:B,MATCH(1910,'بيانات الحركات'!$G:$G,0)),"")</f>
        <v/>
      </c>
      <c r="C1911" s="3" t="str">
        <f>IFERROR(INDEX('بيانات الحركات'!C:C,MATCH(1910,'بيانات الحركات'!$G:$G,0)),"")</f>
        <v/>
      </c>
      <c r="D1911" s="3" t="str">
        <f>IFERROR(INDEX('بيانات الحركات'!D:D,MATCH(1910,'بيانات الحركات'!$G:$G,0)),"")</f>
        <v/>
      </c>
      <c r="E1911" s="21" t="str">
        <f>IF($B1911="إنتاج طبخة","",IFERROR(INDEX('بيانات الحركات'!E:E,MATCH(1910,'بيانات الحركات'!$G:$G,0)),""))</f>
        <v/>
      </c>
      <c r="F1911" s="3" t="str">
        <f>IFERROR(INDEX('بيانات الحركات'!F:F,MATCH(1910,'بيانات الحركات'!$G:$G,0)),"")</f>
        <v/>
      </c>
    </row>
    <row r="1912" spans="1:6" ht="21.95" customHeight="1">
      <c r="A1912" s="8" t="str">
        <f>IFERROR(INDEX('بيانات الحركات'!A:A,MATCH(1911,'بيانات الحركات'!$G:$G,0)),"")</f>
        <v/>
      </c>
      <c r="B1912" s="5" t="str">
        <f>IFERROR(INDEX('بيانات الحركات'!B:B,MATCH(1911,'بيانات الحركات'!$G:$G,0)),"")</f>
        <v/>
      </c>
      <c r="C1912" s="3" t="str">
        <f>IFERROR(INDEX('بيانات الحركات'!C:C,MATCH(1911,'بيانات الحركات'!$G:$G,0)),"")</f>
        <v/>
      </c>
      <c r="D1912" s="3" t="str">
        <f>IFERROR(INDEX('بيانات الحركات'!D:D,MATCH(1911,'بيانات الحركات'!$G:$G,0)),"")</f>
        <v/>
      </c>
      <c r="E1912" s="21" t="str">
        <f>IF($B1912="إنتاج طبخة","",IFERROR(INDEX('بيانات الحركات'!E:E,MATCH(1911,'بيانات الحركات'!$G:$G,0)),""))</f>
        <v/>
      </c>
      <c r="F1912" s="3" t="str">
        <f>IFERROR(INDEX('بيانات الحركات'!F:F,MATCH(1911,'بيانات الحركات'!$G:$G,0)),"")</f>
        <v/>
      </c>
    </row>
    <row r="1913" spans="1:6" ht="21.95" customHeight="1">
      <c r="A1913" s="8" t="str">
        <f>IFERROR(INDEX('بيانات الحركات'!A:A,MATCH(1912,'بيانات الحركات'!$G:$G,0)),"")</f>
        <v/>
      </c>
      <c r="B1913" s="5" t="str">
        <f>IFERROR(INDEX('بيانات الحركات'!B:B,MATCH(1912,'بيانات الحركات'!$G:$G,0)),"")</f>
        <v/>
      </c>
      <c r="C1913" s="3" t="str">
        <f>IFERROR(INDEX('بيانات الحركات'!C:C,MATCH(1912,'بيانات الحركات'!$G:$G,0)),"")</f>
        <v/>
      </c>
      <c r="D1913" s="3" t="str">
        <f>IFERROR(INDEX('بيانات الحركات'!D:D,MATCH(1912,'بيانات الحركات'!$G:$G,0)),"")</f>
        <v/>
      </c>
      <c r="E1913" s="21" t="str">
        <f>IF($B1913="إنتاج طبخة","",IFERROR(INDEX('بيانات الحركات'!E:E,MATCH(1912,'بيانات الحركات'!$G:$G,0)),""))</f>
        <v/>
      </c>
      <c r="F1913" s="3" t="str">
        <f>IFERROR(INDEX('بيانات الحركات'!F:F,MATCH(1912,'بيانات الحركات'!$G:$G,0)),"")</f>
        <v/>
      </c>
    </row>
    <row r="1914" spans="1:6" ht="21.95" customHeight="1">
      <c r="A1914" s="8" t="str">
        <f>IFERROR(INDEX('بيانات الحركات'!A:A,MATCH(1913,'بيانات الحركات'!$G:$G,0)),"")</f>
        <v/>
      </c>
      <c r="B1914" s="5" t="str">
        <f>IFERROR(INDEX('بيانات الحركات'!B:B,MATCH(1913,'بيانات الحركات'!$G:$G,0)),"")</f>
        <v/>
      </c>
      <c r="C1914" s="3" t="str">
        <f>IFERROR(INDEX('بيانات الحركات'!C:C,MATCH(1913,'بيانات الحركات'!$G:$G,0)),"")</f>
        <v/>
      </c>
      <c r="D1914" s="3" t="str">
        <f>IFERROR(INDEX('بيانات الحركات'!D:D,MATCH(1913,'بيانات الحركات'!$G:$G,0)),"")</f>
        <v/>
      </c>
      <c r="E1914" s="21" t="str">
        <f>IF($B1914="إنتاج طبخة","",IFERROR(INDEX('بيانات الحركات'!E:E,MATCH(1913,'بيانات الحركات'!$G:$G,0)),""))</f>
        <v/>
      </c>
      <c r="F1914" s="3" t="str">
        <f>IFERROR(INDEX('بيانات الحركات'!F:F,MATCH(1913,'بيانات الحركات'!$G:$G,0)),"")</f>
        <v/>
      </c>
    </row>
    <row r="1915" spans="1:6" ht="21.95" customHeight="1">
      <c r="A1915" s="8" t="str">
        <f>IFERROR(INDEX('بيانات الحركات'!A:A,MATCH(1914,'بيانات الحركات'!$G:$G,0)),"")</f>
        <v/>
      </c>
      <c r="B1915" s="5" t="str">
        <f>IFERROR(INDEX('بيانات الحركات'!B:B,MATCH(1914,'بيانات الحركات'!$G:$G,0)),"")</f>
        <v/>
      </c>
      <c r="C1915" s="3" t="str">
        <f>IFERROR(INDEX('بيانات الحركات'!C:C,MATCH(1914,'بيانات الحركات'!$G:$G,0)),"")</f>
        <v/>
      </c>
      <c r="D1915" s="3" t="str">
        <f>IFERROR(INDEX('بيانات الحركات'!D:D,MATCH(1914,'بيانات الحركات'!$G:$G,0)),"")</f>
        <v/>
      </c>
      <c r="E1915" s="21" t="str">
        <f>IF($B1915="إنتاج طبخة","",IFERROR(INDEX('بيانات الحركات'!E:E,MATCH(1914,'بيانات الحركات'!$G:$G,0)),""))</f>
        <v/>
      </c>
      <c r="F1915" s="3" t="str">
        <f>IFERROR(INDEX('بيانات الحركات'!F:F,MATCH(1914,'بيانات الحركات'!$G:$G,0)),"")</f>
        <v/>
      </c>
    </row>
    <row r="1916" spans="1:6" ht="21.95" customHeight="1">
      <c r="A1916" s="8" t="str">
        <f>IFERROR(INDEX('بيانات الحركات'!A:A,MATCH(1915,'بيانات الحركات'!$G:$G,0)),"")</f>
        <v/>
      </c>
      <c r="B1916" s="5" t="str">
        <f>IFERROR(INDEX('بيانات الحركات'!B:B,MATCH(1915,'بيانات الحركات'!$G:$G,0)),"")</f>
        <v/>
      </c>
      <c r="C1916" s="3" t="str">
        <f>IFERROR(INDEX('بيانات الحركات'!C:C,MATCH(1915,'بيانات الحركات'!$G:$G,0)),"")</f>
        <v/>
      </c>
      <c r="D1916" s="3" t="str">
        <f>IFERROR(INDEX('بيانات الحركات'!D:D,MATCH(1915,'بيانات الحركات'!$G:$G,0)),"")</f>
        <v/>
      </c>
      <c r="E1916" s="21" t="str">
        <f>IF($B1916="إنتاج طبخة","",IFERROR(INDEX('بيانات الحركات'!E:E,MATCH(1915,'بيانات الحركات'!$G:$G,0)),""))</f>
        <v/>
      </c>
      <c r="F1916" s="3" t="str">
        <f>IFERROR(INDEX('بيانات الحركات'!F:F,MATCH(1915,'بيانات الحركات'!$G:$G,0)),"")</f>
        <v/>
      </c>
    </row>
    <row r="1917" spans="1:6" ht="21.95" customHeight="1">
      <c r="A1917" s="8" t="str">
        <f>IFERROR(INDEX('بيانات الحركات'!A:A,MATCH(1916,'بيانات الحركات'!$G:$G,0)),"")</f>
        <v/>
      </c>
      <c r="B1917" s="5" t="str">
        <f>IFERROR(INDEX('بيانات الحركات'!B:B,MATCH(1916,'بيانات الحركات'!$G:$G,0)),"")</f>
        <v/>
      </c>
      <c r="C1917" s="3" t="str">
        <f>IFERROR(INDEX('بيانات الحركات'!C:C,MATCH(1916,'بيانات الحركات'!$G:$G,0)),"")</f>
        <v/>
      </c>
      <c r="D1917" s="3" t="str">
        <f>IFERROR(INDEX('بيانات الحركات'!D:D,MATCH(1916,'بيانات الحركات'!$G:$G,0)),"")</f>
        <v/>
      </c>
      <c r="E1917" s="21" t="str">
        <f>IF($B1917="إنتاج طبخة","",IFERROR(INDEX('بيانات الحركات'!E:E,MATCH(1916,'بيانات الحركات'!$G:$G,0)),""))</f>
        <v/>
      </c>
      <c r="F1917" s="3" t="str">
        <f>IFERROR(INDEX('بيانات الحركات'!F:F,MATCH(1916,'بيانات الحركات'!$G:$G,0)),"")</f>
        <v/>
      </c>
    </row>
    <row r="1918" spans="1:6" ht="21.95" customHeight="1">
      <c r="A1918" s="8" t="str">
        <f>IFERROR(INDEX('بيانات الحركات'!A:A,MATCH(1917,'بيانات الحركات'!$G:$G,0)),"")</f>
        <v/>
      </c>
      <c r="B1918" s="5" t="str">
        <f>IFERROR(INDEX('بيانات الحركات'!B:B,MATCH(1917,'بيانات الحركات'!$G:$G,0)),"")</f>
        <v/>
      </c>
      <c r="C1918" s="3" t="str">
        <f>IFERROR(INDEX('بيانات الحركات'!C:C,MATCH(1917,'بيانات الحركات'!$G:$G,0)),"")</f>
        <v/>
      </c>
      <c r="D1918" s="3" t="str">
        <f>IFERROR(INDEX('بيانات الحركات'!D:D,MATCH(1917,'بيانات الحركات'!$G:$G,0)),"")</f>
        <v/>
      </c>
      <c r="E1918" s="21" t="str">
        <f>IF($B1918="إنتاج طبخة","",IFERROR(INDEX('بيانات الحركات'!E:E,MATCH(1917,'بيانات الحركات'!$G:$G,0)),""))</f>
        <v/>
      </c>
      <c r="F1918" s="3" t="str">
        <f>IFERROR(INDEX('بيانات الحركات'!F:F,MATCH(1917,'بيانات الحركات'!$G:$G,0)),"")</f>
        <v/>
      </c>
    </row>
    <row r="1919" spans="1:6" ht="21.95" customHeight="1">
      <c r="A1919" s="8" t="str">
        <f>IFERROR(INDEX('بيانات الحركات'!A:A,MATCH(1918,'بيانات الحركات'!$G:$G,0)),"")</f>
        <v/>
      </c>
      <c r="B1919" s="5" t="str">
        <f>IFERROR(INDEX('بيانات الحركات'!B:B,MATCH(1918,'بيانات الحركات'!$G:$G,0)),"")</f>
        <v/>
      </c>
      <c r="C1919" s="3" t="str">
        <f>IFERROR(INDEX('بيانات الحركات'!C:C,MATCH(1918,'بيانات الحركات'!$G:$G,0)),"")</f>
        <v/>
      </c>
      <c r="D1919" s="3" t="str">
        <f>IFERROR(INDEX('بيانات الحركات'!D:D,MATCH(1918,'بيانات الحركات'!$G:$G,0)),"")</f>
        <v/>
      </c>
      <c r="E1919" s="21" t="str">
        <f>IF($B1919="إنتاج طبخة","",IFERROR(INDEX('بيانات الحركات'!E:E,MATCH(1918,'بيانات الحركات'!$G:$G,0)),""))</f>
        <v/>
      </c>
      <c r="F1919" s="3" t="str">
        <f>IFERROR(INDEX('بيانات الحركات'!F:F,MATCH(1918,'بيانات الحركات'!$G:$G,0)),"")</f>
        <v/>
      </c>
    </row>
    <row r="1920" spans="1:6" ht="21.95" customHeight="1">
      <c r="A1920" s="8" t="str">
        <f>IFERROR(INDEX('بيانات الحركات'!A:A,MATCH(1919,'بيانات الحركات'!$G:$G,0)),"")</f>
        <v/>
      </c>
      <c r="B1920" s="5" t="str">
        <f>IFERROR(INDEX('بيانات الحركات'!B:B,MATCH(1919,'بيانات الحركات'!$G:$G,0)),"")</f>
        <v/>
      </c>
      <c r="C1920" s="3" t="str">
        <f>IFERROR(INDEX('بيانات الحركات'!C:C,MATCH(1919,'بيانات الحركات'!$G:$G,0)),"")</f>
        <v/>
      </c>
      <c r="D1920" s="3" t="str">
        <f>IFERROR(INDEX('بيانات الحركات'!D:D,MATCH(1919,'بيانات الحركات'!$G:$G,0)),"")</f>
        <v/>
      </c>
      <c r="E1920" s="21" t="str">
        <f>IF($B1920="إنتاج طبخة","",IFERROR(INDEX('بيانات الحركات'!E:E,MATCH(1919,'بيانات الحركات'!$G:$G,0)),""))</f>
        <v/>
      </c>
      <c r="F1920" s="3" t="str">
        <f>IFERROR(INDEX('بيانات الحركات'!F:F,MATCH(1919,'بيانات الحركات'!$G:$G,0)),"")</f>
        <v/>
      </c>
    </row>
    <row r="1921" spans="1:6" ht="21.95" customHeight="1">
      <c r="A1921" s="8" t="str">
        <f>IFERROR(INDEX('بيانات الحركات'!A:A,MATCH(1920,'بيانات الحركات'!$G:$G,0)),"")</f>
        <v/>
      </c>
      <c r="B1921" s="5" t="str">
        <f>IFERROR(INDEX('بيانات الحركات'!B:B,MATCH(1920,'بيانات الحركات'!$G:$G,0)),"")</f>
        <v/>
      </c>
      <c r="C1921" s="3" t="str">
        <f>IFERROR(INDEX('بيانات الحركات'!C:C,MATCH(1920,'بيانات الحركات'!$G:$G,0)),"")</f>
        <v/>
      </c>
      <c r="D1921" s="3" t="str">
        <f>IFERROR(INDEX('بيانات الحركات'!D:D,MATCH(1920,'بيانات الحركات'!$G:$G,0)),"")</f>
        <v/>
      </c>
      <c r="E1921" s="21" t="str">
        <f>IF($B1921="إنتاج طبخة","",IFERROR(INDEX('بيانات الحركات'!E:E,MATCH(1920,'بيانات الحركات'!$G:$G,0)),""))</f>
        <v/>
      </c>
      <c r="F1921" s="3" t="str">
        <f>IFERROR(INDEX('بيانات الحركات'!F:F,MATCH(1920,'بيانات الحركات'!$G:$G,0)),"")</f>
        <v/>
      </c>
    </row>
    <row r="1922" spans="1:6" ht="21.95" customHeight="1">
      <c r="A1922" s="8" t="str">
        <f>IFERROR(INDEX('بيانات الحركات'!A:A,MATCH(1921,'بيانات الحركات'!$G:$G,0)),"")</f>
        <v/>
      </c>
      <c r="B1922" s="5" t="str">
        <f>IFERROR(INDEX('بيانات الحركات'!B:B,MATCH(1921,'بيانات الحركات'!$G:$G,0)),"")</f>
        <v/>
      </c>
      <c r="C1922" s="3" t="str">
        <f>IFERROR(INDEX('بيانات الحركات'!C:C,MATCH(1921,'بيانات الحركات'!$G:$G,0)),"")</f>
        <v/>
      </c>
      <c r="D1922" s="3" t="str">
        <f>IFERROR(INDEX('بيانات الحركات'!D:D,MATCH(1921,'بيانات الحركات'!$G:$G,0)),"")</f>
        <v/>
      </c>
      <c r="E1922" s="21" t="str">
        <f>IF($B1922="إنتاج طبخة","",IFERROR(INDEX('بيانات الحركات'!E:E,MATCH(1921,'بيانات الحركات'!$G:$G,0)),""))</f>
        <v/>
      </c>
      <c r="F1922" s="3" t="str">
        <f>IFERROR(INDEX('بيانات الحركات'!F:F,MATCH(1921,'بيانات الحركات'!$G:$G,0)),"")</f>
        <v/>
      </c>
    </row>
    <row r="1923" spans="1:6" ht="21.95" customHeight="1">
      <c r="A1923" s="8" t="str">
        <f>IFERROR(INDEX('بيانات الحركات'!A:A,MATCH(1922,'بيانات الحركات'!$G:$G,0)),"")</f>
        <v/>
      </c>
      <c r="B1923" s="5" t="str">
        <f>IFERROR(INDEX('بيانات الحركات'!B:B,MATCH(1922,'بيانات الحركات'!$G:$G,0)),"")</f>
        <v/>
      </c>
      <c r="C1923" s="3" t="str">
        <f>IFERROR(INDEX('بيانات الحركات'!C:C,MATCH(1922,'بيانات الحركات'!$G:$G,0)),"")</f>
        <v/>
      </c>
      <c r="D1923" s="3" t="str">
        <f>IFERROR(INDEX('بيانات الحركات'!D:D,MATCH(1922,'بيانات الحركات'!$G:$G,0)),"")</f>
        <v/>
      </c>
      <c r="E1923" s="21" t="str">
        <f>IF($B1923="إنتاج طبخة","",IFERROR(INDEX('بيانات الحركات'!E:E,MATCH(1922,'بيانات الحركات'!$G:$G,0)),""))</f>
        <v/>
      </c>
      <c r="F1923" s="3" t="str">
        <f>IFERROR(INDEX('بيانات الحركات'!F:F,MATCH(1922,'بيانات الحركات'!$G:$G,0)),"")</f>
        <v/>
      </c>
    </row>
    <row r="1924" spans="1:6" ht="21.95" customHeight="1">
      <c r="A1924" s="8" t="str">
        <f>IFERROR(INDEX('بيانات الحركات'!A:A,MATCH(1923,'بيانات الحركات'!$G:$G,0)),"")</f>
        <v/>
      </c>
      <c r="B1924" s="5" t="str">
        <f>IFERROR(INDEX('بيانات الحركات'!B:B,MATCH(1923,'بيانات الحركات'!$G:$G,0)),"")</f>
        <v/>
      </c>
      <c r="C1924" s="3" t="str">
        <f>IFERROR(INDEX('بيانات الحركات'!C:C,MATCH(1923,'بيانات الحركات'!$G:$G,0)),"")</f>
        <v/>
      </c>
      <c r="D1924" s="3" t="str">
        <f>IFERROR(INDEX('بيانات الحركات'!D:D,MATCH(1923,'بيانات الحركات'!$G:$G,0)),"")</f>
        <v/>
      </c>
      <c r="E1924" s="21" t="str">
        <f>IF($B1924="إنتاج طبخة","",IFERROR(INDEX('بيانات الحركات'!E:E,MATCH(1923,'بيانات الحركات'!$G:$G,0)),""))</f>
        <v/>
      </c>
      <c r="F1924" s="3" t="str">
        <f>IFERROR(INDEX('بيانات الحركات'!F:F,MATCH(1923,'بيانات الحركات'!$G:$G,0)),"")</f>
        <v/>
      </c>
    </row>
    <row r="1925" spans="1:6" ht="21.95" customHeight="1">
      <c r="A1925" s="8" t="str">
        <f>IFERROR(INDEX('بيانات الحركات'!A:A,MATCH(1924,'بيانات الحركات'!$G:$G,0)),"")</f>
        <v/>
      </c>
      <c r="B1925" s="5" t="str">
        <f>IFERROR(INDEX('بيانات الحركات'!B:B,MATCH(1924,'بيانات الحركات'!$G:$G,0)),"")</f>
        <v/>
      </c>
      <c r="C1925" s="3" t="str">
        <f>IFERROR(INDEX('بيانات الحركات'!C:C,MATCH(1924,'بيانات الحركات'!$G:$G,0)),"")</f>
        <v/>
      </c>
      <c r="D1925" s="3" t="str">
        <f>IFERROR(INDEX('بيانات الحركات'!D:D,MATCH(1924,'بيانات الحركات'!$G:$G,0)),"")</f>
        <v/>
      </c>
      <c r="E1925" s="21" t="str">
        <f>IF($B1925="إنتاج طبخة","",IFERROR(INDEX('بيانات الحركات'!E:E,MATCH(1924,'بيانات الحركات'!$G:$G,0)),""))</f>
        <v/>
      </c>
      <c r="F1925" s="3" t="str">
        <f>IFERROR(INDEX('بيانات الحركات'!F:F,MATCH(1924,'بيانات الحركات'!$G:$G,0)),"")</f>
        <v/>
      </c>
    </row>
    <row r="1926" spans="1:6" ht="21.95" customHeight="1">
      <c r="A1926" s="8" t="str">
        <f>IFERROR(INDEX('بيانات الحركات'!A:A,MATCH(1925,'بيانات الحركات'!$G:$G,0)),"")</f>
        <v/>
      </c>
      <c r="B1926" s="5" t="str">
        <f>IFERROR(INDEX('بيانات الحركات'!B:B,MATCH(1925,'بيانات الحركات'!$G:$G,0)),"")</f>
        <v/>
      </c>
      <c r="C1926" s="3" t="str">
        <f>IFERROR(INDEX('بيانات الحركات'!C:C,MATCH(1925,'بيانات الحركات'!$G:$G,0)),"")</f>
        <v/>
      </c>
      <c r="D1926" s="3" t="str">
        <f>IFERROR(INDEX('بيانات الحركات'!D:D,MATCH(1925,'بيانات الحركات'!$G:$G,0)),"")</f>
        <v/>
      </c>
      <c r="E1926" s="21" t="str">
        <f>IF($B1926="إنتاج طبخة","",IFERROR(INDEX('بيانات الحركات'!E:E,MATCH(1925,'بيانات الحركات'!$G:$G,0)),""))</f>
        <v/>
      </c>
      <c r="F1926" s="3" t="str">
        <f>IFERROR(INDEX('بيانات الحركات'!F:F,MATCH(1925,'بيانات الحركات'!$G:$G,0)),"")</f>
        <v/>
      </c>
    </row>
    <row r="1927" spans="1:6" ht="21.95" customHeight="1">
      <c r="A1927" s="8" t="str">
        <f>IFERROR(INDEX('بيانات الحركات'!A:A,MATCH(1926,'بيانات الحركات'!$G:$G,0)),"")</f>
        <v/>
      </c>
      <c r="B1927" s="5" t="str">
        <f>IFERROR(INDEX('بيانات الحركات'!B:B,MATCH(1926,'بيانات الحركات'!$G:$G,0)),"")</f>
        <v/>
      </c>
      <c r="C1927" s="3" t="str">
        <f>IFERROR(INDEX('بيانات الحركات'!C:C,MATCH(1926,'بيانات الحركات'!$G:$G,0)),"")</f>
        <v/>
      </c>
      <c r="D1927" s="3" t="str">
        <f>IFERROR(INDEX('بيانات الحركات'!D:D,MATCH(1926,'بيانات الحركات'!$G:$G,0)),"")</f>
        <v/>
      </c>
      <c r="E1927" s="21" t="str">
        <f>IF($B1927="إنتاج طبخة","",IFERROR(INDEX('بيانات الحركات'!E:E,MATCH(1926,'بيانات الحركات'!$G:$G,0)),""))</f>
        <v/>
      </c>
      <c r="F1927" s="3" t="str">
        <f>IFERROR(INDEX('بيانات الحركات'!F:F,MATCH(1926,'بيانات الحركات'!$G:$G,0)),"")</f>
        <v/>
      </c>
    </row>
    <row r="1928" spans="1:6" ht="21.95" customHeight="1">
      <c r="A1928" s="8" t="str">
        <f>IFERROR(INDEX('بيانات الحركات'!A:A,MATCH(1927,'بيانات الحركات'!$G:$G,0)),"")</f>
        <v/>
      </c>
      <c r="B1928" s="5" t="str">
        <f>IFERROR(INDEX('بيانات الحركات'!B:B,MATCH(1927,'بيانات الحركات'!$G:$G,0)),"")</f>
        <v/>
      </c>
      <c r="C1928" s="3" t="str">
        <f>IFERROR(INDEX('بيانات الحركات'!C:C,MATCH(1927,'بيانات الحركات'!$G:$G,0)),"")</f>
        <v/>
      </c>
      <c r="D1928" s="3" t="str">
        <f>IFERROR(INDEX('بيانات الحركات'!D:D,MATCH(1927,'بيانات الحركات'!$G:$G,0)),"")</f>
        <v/>
      </c>
      <c r="E1928" s="21" t="str">
        <f>IF($B1928="إنتاج طبخة","",IFERROR(INDEX('بيانات الحركات'!E:E,MATCH(1927,'بيانات الحركات'!$G:$G,0)),""))</f>
        <v/>
      </c>
      <c r="F1928" s="3" t="str">
        <f>IFERROR(INDEX('بيانات الحركات'!F:F,MATCH(1927,'بيانات الحركات'!$G:$G,0)),"")</f>
        <v/>
      </c>
    </row>
    <row r="1929" spans="1:6" ht="21.95" customHeight="1">
      <c r="A1929" s="8" t="str">
        <f>IFERROR(INDEX('بيانات الحركات'!A:A,MATCH(1928,'بيانات الحركات'!$G:$G,0)),"")</f>
        <v/>
      </c>
      <c r="B1929" s="5" t="str">
        <f>IFERROR(INDEX('بيانات الحركات'!B:B,MATCH(1928,'بيانات الحركات'!$G:$G,0)),"")</f>
        <v/>
      </c>
      <c r="C1929" s="3" t="str">
        <f>IFERROR(INDEX('بيانات الحركات'!C:C,MATCH(1928,'بيانات الحركات'!$G:$G,0)),"")</f>
        <v/>
      </c>
      <c r="D1929" s="3" t="str">
        <f>IFERROR(INDEX('بيانات الحركات'!D:D,MATCH(1928,'بيانات الحركات'!$G:$G,0)),"")</f>
        <v/>
      </c>
      <c r="E1929" s="21" t="str">
        <f>IF($B1929="إنتاج طبخة","",IFERROR(INDEX('بيانات الحركات'!E:E,MATCH(1928,'بيانات الحركات'!$G:$G,0)),""))</f>
        <v/>
      </c>
      <c r="F1929" s="3" t="str">
        <f>IFERROR(INDEX('بيانات الحركات'!F:F,MATCH(1928,'بيانات الحركات'!$G:$G,0)),"")</f>
        <v/>
      </c>
    </row>
    <row r="1930" spans="1:6" ht="21.95" customHeight="1">
      <c r="A1930" s="8" t="str">
        <f>IFERROR(INDEX('بيانات الحركات'!A:A,MATCH(1929,'بيانات الحركات'!$G:$G,0)),"")</f>
        <v/>
      </c>
      <c r="B1930" s="5" t="str">
        <f>IFERROR(INDEX('بيانات الحركات'!B:B,MATCH(1929,'بيانات الحركات'!$G:$G,0)),"")</f>
        <v/>
      </c>
      <c r="C1930" s="3" t="str">
        <f>IFERROR(INDEX('بيانات الحركات'!C:C,MATCH(1929,'بيانات الحركات'!$G:$G,0)),"")</f>
        <v/>
      </c>
      <c r="D1930" s="3" t="str">
        <f>IFERROR(INDEX('بيانات الحركات'!D:D,MATCH(1929,'بيانات الحركات'!$G:$G,0)),"")</f>
        <v/>
      </c>
      <c r="E1930" s="21" t="str">
        <f>IF($B1930="إنتاج طبخة","",IFERROR(INDEX('بيانات الحركات'!E:E,MATCH(1929,'بيانات الحركات'!$G:$G,0)),""))</f>
        <v/>
      </c>
      <c r="F1930" s="3" t="str">
        <f>IFERROR(INDEX('بيانات الحركات'!F:F,MATCH(1929,'بيانات الحركات'!$G:$G,0)),"")</f>
        <v/>
      </c>
    </row>
    <row r="1931" spans="1:6" ht="21.95" customHeight="1">
      <c r="A1931" s="8" t="str">
        <f>IFERROR(INDEX('بيانات الحركات'!A:A,MATCH(1930,'بيانات الحركات'!$G:$G,0)),"")</f>
        <v/>
      </c>
      <c r="B1931" s="5" t="str">
        <f>IFERROR(INDEX('بيانات الحركات'!B:B,MATCH(1930,'بيانات الحركات'!$G:$G,0)),"")</f>
        <v/>
      </c>
      <c r="C1931" s="3" t="str">
        <f>IFERROR(INDEX('بيانات الحركات'!C:C,MATCH(1930,'بيانات الحركات'!$G:$G,0)),"")</f>
        <v/>
      </c>
      <c r="D1931" s="3" t="str">
        <f>IFERROR(INDEX('بيانات الحركات'!D:D,MATCH(1930,'بيانات الحركات'!$G:$G,0)),"")</f>
        <v/>
      </c>
      <c r="E1931" s="21" t="str">
        <f>IF($B1931="إنتاج طبخة","",IFERROR(INDEX('بيانات الحركات'!E:E,MATCH(1930,'بيانات الحركات'!$G:$G,0)),""))</f>
        <v/>
      </c>
      <c r="F1931" s="3" t="str">
        <f>IFERROR(INDEX('بيانات الحركات'!F:F,MATCH(1930,'بيانات الحركات'!$G:$G,0)),"")</f>
        <v/>
      </c>
    </row>
    <row r="1932" spans="1:6" ht="21.95" customHeight="1">
      <c r="A1932" s="8" t="str">
        <f>IFERROR(INDEX('بيانات الحركات'!A:A,MATCH(1931,'بيانات الحركات'!$G:$G,0)),"")</f>
        <v/>
      </c>
      <c r="B1932" s="5" t="str">
        <f>IFERROR(INDEX('بيانات الحركات'!B:B,MATCH(1931,'بيانات الحركات'!$G:$G,0)),"")</f>
        <v/>
      </c>
      <c r="C1932" s="3" t="str">
        <f>IFERROR(INDEX('بيانات الحركات'!C:C,MATCH(1931,'بيانات الحركات'!$G:$G,0)),"")</f>
        <v/>
      </c>
      <c r="D1932" s="3" t="str">
        <f>IFERROR(INDEX('بيانات الحركات'!D:D,MATCH(1931,'بيانات الحركات'!$G:$G,0)),"")</f>
        <v/>
      </c>
      <c r="E1932" s="21" t="str">
        <f>IF($B1932="إنتاج طبخة","",IFERROR(INDEX('بيانات الحركات'!E:E,MATCH(1931,'بيانات الحركات'!$G:$G,0)),""))</f>
        <v/>
      </c>
      <c r="F1932" s="3" t="str">
        <f>IFERROR(INDEX('بيانات الحركات'!F:F,MATCH(1931,'بيانات الحركات'!$G:$G,0)),"")</f>
        <v/>
      </c>
    </row>
    <row r="1933" spans="1:6" ht="21.95" customHeight="1">
      <c r="A1933" s="8" t="str">
        <f>IFERROR(INDEX('بيانات الحركات'!A:A,MATCH(1932,'بيانات الحركات'!$G:$G,0)),"")</f>
        <v/>
      </c>
      <c r="B1933" s="5" t="str">
        <f>IFERROR(INDEX('بيانات الحركات'!B:B,MATCH(1932,'بيانات الحركات'!$G:$G,0)),"")</f>
        <v/>
      </c>
      <c r="C1933" s="3" t="str">
        <f>IFERROR(INDEX('بيانات الحركات'!C:C,MATCH(1932,'بيانات الحركات'!$G:$G,0)),"")</f>
        <v/>
      </c>
      <c r="D1933" s="3" t="str">
        <f>IFERROR(INDEX('بيانات الحركات'!D:D,MATCH(1932,'بيانات الحركات'!$G:$G,0)),"")</f>
        <v/>
      </c>
      <c r="E1933" s="21" t="str">
        <f>IF($B1933="إنتاج طبخة","",IFERROR(INDEX('بيانات الحركات'!E:E,MATCH(1932,'بيانات الحركات'!$G:$G,0)),""))</f>
        <v/>
      </c>
      <c r="F1933" s="3" t="str">
        <f>IFERROR(INDEX('بيانات الحركات'!F:F,MATCH(1932,'بيانات الحركات'!$G:$G,0)),"")</f>
        <v/>
      </c>
    </row>
    <row r="1934" spans="1:6" ht="21.95" customHeight="1">
      <c r="A1934" s="8" t="str">
        <f>IFERROR(INDEX('بيانات الحركات'!A:A,MATCH(1933,'بيانات الحركات'!$G:$G,0)),"")</f>
        <v/>
      </c>
      <c r="B1934" s="5" t="str">
        <f>IFERROR(INDEX('بيانات الحركات'!B:B,MATCH(1933,'بيانات الحركات'!$G:$G,0)),"")</f>
        <v/>
      </c>
      <c r="C1934" s="3" t="str">
        <f>IFERROR(INDEX('بيانات الحركات'!C:C,MATCH(1933,'بيانات الحركات'!$G:$G,0)),"")</f>
        <v/>
      </c>
      <c r="D1934" s="3" t="str">
        <f>IFERROR(INDEX('بيانات الحركات'!D:D,MATCH(1933,'بيانات الحركات'!$G:$G,0)),"")</f>
        <v/>
      </c>
      <c r="E1934" s="21" t="str">
        <f>IF($B1934="إنتاج طبخة","",IFERROR(INDEX('بيانات الحركات'!E:E,MATCH(1933,'بيانات الحركات'!$G:$G,0)),""))</f>
        <v/>
      </c>
      <c r="F1934" s="3" t="str">
        <f>IFERROR(INDEX('بيانات الحركات'!F:F,MATCH(1933,'بيانات الحركات'!$G:$G,0)),"")</f>
        <v/>
      </c>
    </row>
    <row r="1935" spans="1:6" ht="21.95" customHeight="1">
      <c r="A1935" s="8" t="str">
        <f>IFERROR(INDEX('بيانات الحركات'!A:A,MATCH(1934,'بيانات الحركات'!$G:$G,0)),"")</f>
        <v/>
      </c>
      <c r="B1935" s="5" t="str">
        <f>IFERROR(INDEX('بيانات الحركات'!B:B,MATCH(1934,'بيانات الحركات'!$G:$G,0)),"")</f>
        <v/>
      </c>
      <c r="C1935" s="3" t="str">
        <f>IFERROR(INDEX('بيانات الحركات'!C:C,MATCH(1934,'بيانات الحركات'!$G:$G,0)),"")</f>
        <v/>
      </c>
      <c r="D1935" s="3" t="str">
        <f>IFERROR(INDEX('بيانات الحركات'!D:D,MATCH(1934,'بيانات الحركات'!$G:$G,0)),"")</f>
        <v/>
      </c>
      <c r="E1935" s="21" t="str">
        <f>IF($B1935="إنتاج طبخة","",IFERROR(INDEX('بيانات الحركات'!E:E,MATCH(1934,'بيانات الحركات'!$G:$G,0)),""))</f>
        <v/>
      </c>
      <c r="F1935" s="3" t="str">
        <f>IFERROR(INDEX('بيانات الحركات'!F:F,MATCH(1934,'بيانات الحركات'!$G:$G,0)),"")</f>
        <v/>
      </c>
    </row>
    <row r="1936" spans="1:6" ht="21.95" customHeight="1">
      <c r="A1936" s="8" t="str">
        <f>IFERROR(INDEX('بيانات الحركات'!A:A,MATCH(1935,'بيانات الحركات'!$G:$G,0)),"")</f>
        <v/>
      </c>
      <c r="B1936" s="5" t="str">
        <f>IFERROR(INDEX('بيانات الحركات'!B:B,MATCH(1935,'بيانات الحركات'!$G:$G,0)),"")</f>
        <v/>
      </c>
      <c r="C1936" s="3" t="str">
        <f>IFERROR(INDEX('بيانات الحركات'!C:C,MATCH(1935,'بيانات الحركات'!$G:$G,0)),"")</f>
        <v/>
      </c>
      <c r="D1936" s="3" t="str">
        <f>IFERROR(INDEX('بيانات الحركات'!D:D,MATCH(1935,'بيانات الحركات'!$G:$G,0)),"")</f>
        <v/>
      </c>
      <c r="E1936" s="21" t="str">
        <f>IF($B1936="إنتاج طبخة","",IFERROR(INDEX('بيانات الحركات'!E:E,MATCH(1935,'بيانات الحركات'!$G:$G,0)),""))</f>
        <v/>
      </c>
      <c r="F1936" s="3" t="str">
        <f>IFERROR(INDEX('بيانات الحركات'!F:F,MATCH(1935,'بيانات الحركات'!$G:$G,0)),"")</f>
        <v/>
      </c>
    </row>
    <row r="1937" spans="1:6" ht="21.95" customHeight="1">
      <c r="A1937" s="8" t="str">
        <f>IFERROR(INDEX('بيانات الحركات'!A:A,MATCH(1936,'بيانات الحركات'!$G:$G,0)),"")</f>
        <v/>
      </c>
      <c r="B1937" s="5" t="str">
        <f>IFERROR(INDEX('بيانات الحركات'!B:B,MATCH(1936,'بيانات الحركات'!$G:$G,0)),"")</f>
        <v/>
      </c>
      <c r="C1937" s="3" t="str">
        <f>IFERROR(INDEX('بيانات الحركات'!C:C,MATCH(1936,'بيانات الحركات'!$G:$G,0)),"")</f>
        <v/>
      </c>
      <c r="D1937" s="3" t="str">
        <f>IFERROR(INDEX('بيانات الحركات'!D:D,MATCH(1936,'بيانات الحركات'!$G:$G,0)),"")</f>
        <v/>
      </c>
      <c r="E1937" s="21" t="str">
        <f>IF($B1937="إنتاج طبخة","",IFERROR(INDEX('بيانات الحركات'!E:E,MATCH(1936,'بيانات الحركات'!$G:$G,0)),""))</f>
        <v/>
      </c>
      <c r="F1937" s="3" t="str">
        <f>IFERROR(INDEX('بيانات الحركات'!F:F,MATCH(1936,'بيانات الحركات'!$G:$G,0)),"")</f>
        <v/>
      </c>
    </row>
    <row r="1938" spans="1:6" ht="21.95" customHeight="1">
      <c r="A1938" s="8" t="str">
        <f>IFERROR(INDEX('بيانات الحركات'!A:A,MATCH(1937,'بيانات الحركات'!$G:$G,0)),"")</f>
        <v/>
      </c>
      <c r="B1938" s="5" t="str">
        <f>IFERROR(INDEX('بيانات الحركات'!B:B,MATCH(1937,'بيانات الحركات'!$G:$G,0)),"")</f>
        <v/>
      </c>
      <c r="C1938" s="3" t="str">
        <f>IFERROR(INDEX('بيانات الحركات'!C:C,MATCH(1937,'بيانات الحركات'!$G:$G,0)),"")</f>
        <v/>
      </c>
      <c r="D1938" s="3" t="str">
        <f>IFERROR(INDEX('بيانات الحركات'!D:D,MATCH(1937,'بيانات الحركات'!$G:$G,0)),"")</f>
        <v/>
      </c>
      <c r="E1938" s="21" t="str">
        <f>IF($B1938="إنتاج طبخة","",IFERROR(INDEX('بيانات الحركات'!E:E,MATCH(1937,'بيانات الحركات'!$G:$G,0)),""))</f>
        <v/>
      </c>
      <c r="F1938" s="3" t="str">
        <f>IFERROR(INDEX('بيانات الحركات'!F:F,MATCH(1937,'بيانات الحركات'!$G:$G,0)),"")</f>
        <v/>
      </c>
    </row>
    <row r="1939" spans="1:6" ht="21.95" customHeight="1">
      <c r="A1939" s="8" t="str">
        <f>IFERROR(INDEX('بيانات الحركات'!A:A,MATCH(1938,'بيانات الحركات'!$G:$G,0)),"")</f>
        <v/>
      </c>
      <c r="B1939" s="5" t="str">
        <f>IFERROR(INDEX('بيانات الحركات'!B:B,MATCH(1938,'بيانات الحركات'!$G:$G,0)),"")</f>
        <v/>
      </c>
      <c r="C1939" s="3" t="str">
        <f>IFERROR(INDEX('بيانات الحركات'!C:C,MATCH(1938,'بيانات الحركات'!$G:$G,0)),"")</f>
        <v/>
      </c>
      <c r="D1939" s="3" t="str">
        <f>IFERROR(INDEX('بيانات الحركات'!D:D,MATCH(1938,'بيانات الحركات'!$G:$G,0)),"")</f>
        <v/>
      </c>
      <c r="E1939" s="21" t="str">
        <f>IF($B1939="إنتاج طبخة","",IFERROR(INDEX('بيانات الحركات'!E:E,MATCH(1938,'بيانات الحركات'!$G:$G,0)),""))</f>
        <v/>
      </c>
      <c r="F1939" s="3" t="str">
        <f>IFERROR(INDEX('بيانات الحركات'!F:F,MATCH(1938,'بيانات الحركات'!$G:$G,0)),"")</f>
        <v/>
      </c>
    </row>
    <row r="1940" spans="1:6" ht="21.95" customHeight="1">
      <c r="A1940" s="8" t="str">
        <f>IFERROR(INDEX('بيانات الحركات'!A:A,MATCH(1939,'بيانات الحركات'!$G:$G,0)),"")</f>
        <v/>
      </c>
      <c r="B1940" s="5" t="str">
        <f>IFERROR(INDEX('بيانات الحركات'!B:B,MATCH(1939,'بيانات الحركات'!$G:$G,0)),"")</f>
        <v/>
      </c>
      <c r="C1940" s="3" t="str">
        <f>IFERROR(INDEX('بيانات الحركات'!C:C,MATCH(1939,'بيانات الحركات'!$G:$G,0)),"")</f>
        <v/>
      </c>
      <c r="D1940" s="3" t="str">
        <f>IFERROR(INDEX('بيانات الحركات'!D:D,MATCH(1939,'بيانات الحركات'!$G:$G,0)),"")</f>
        <v/>
      </c>
      <c r="E1940" s="21" t="str">
        <f>IF($B1940="إنتاج طبخة","",IFERROR(INDEX('بيانات الحركات'!E:E,MATCH(1939,'بيانات الحركات'!$G:$G,0)),""))</f>
        <v/>
      </c>
      <c r="F1940" s="3" t="str">
        <f>IFERROR(INDEX('بيانات الحركات'!F:F,MATCH(1939,'بيانات الحركات'!$G:$G,0)),"")</f>
        <v/>
      </c>
    </row>
    <row r="1941" spans="1:6" ht="21.95" customHeight="1">
      <c r="A1941" s="8" t="str">
        <f>IFERROR(INDEX('بيانات الحركات'!A:A,MATCH(1940,'بيانات الحركات'!$G:$G,0)),"")</f>
        <v/>
      </c>
      <c r="B1941" s="5" t="str">
        <f>IFERROR(INDEX('بيانات الحركات'!B:B,MATCH(1940,'بيانات الحركات'!$G:$G,0)),"")</f>
        <v/>
      </c>
      <c r="C1941" s="3" t="str">
        <f>IFERROR(INDEX('بيانات الحركات'!C:C,MATCH(1940,'بيانات الحركات'!$G:$G,0)),"")</f>
        <v/>
      </c>
      <c r="D1941" s="3" t="str">
        <f>IFERROR(INDEX('بيانات الحركات'!D:D,MATCH(1940,'بيانات الحركات'!$G:$G,0)),"")</f>
        <v/>
      </c>
      <c r="E1941" s="21" t="str">
        <f>IF($B1941="إنتاج طبخة","",IFERROR(INDEX('بيانات الحركات'!E:E,MATCH(1940,'بيانات الحركات'!$G:$G,0)),""))</f>
        <v/>
      </c>
      <c r="F1941" s="3" t="str">
        <f>IFERROR(INDEX('بيانات الحركات'!F:F,MATCH(1940,'بيانات الحركات'!$G:$G,0)),"")</f>
        <v/>
      </c>
    </row>
    <row r="1942" spans="1:6" ht="21.95" customHeight="1">
      <c r="A1942" s="8" t="str">
        <f>IFERROR(INDEX('بيانات الحركات'!A:A,MATCH(1941,'بيانات الحركات'!$G:$G,0)),"")</f>
        <v/>
      </c>
      <c r="B1942" s="5" t="str">
        <f>IFERROR(INDEX('بيانات الحركات'!B:B,MATCH(1941,'بيانات الحركات'!$G:$G,0)),"")</f>
        <v/>
      </c>
      <c r="C1942" s="3" t="str">
        <f>IFERROR(INDEX('بيانات الحركات'!C:C,MATCH(1941,'بيانات الحركات'!$G:$G,0)),"")</f>
        <v/>
      </c>
      <c r="D1942" s="3" t="str">
        <f>IFERROR(INDEX('بيانات الحركات'!D:D,MATCH(1941,'بيانات الحركات'!$G:$G,0)),"")</f>
        <v/>
      </c>
      <c r="E1942" s="21" t="str">
        <f>IF($B1942="إنتاج طبخة","",IFERROR(INDEX('بيانات الحركات'!E:E,MATCH(1941,'بيانات الحركات'!$G:$G,0)),""))</f>
        <v/>
      </c>
      <c r="F1942" s="3" t="str">
        <f>IFERROR(INDEX('بيانات الحركات'!F:F,MATCH(1941,'بيانات الحركات'!$G:$G,0)),"")</f>
        <v/>
      </c>
    </row>
    <row r="1943" spans="1:6" ht="21.95" customHeight="1">
      <c r="A1943" s="8" t="str">
        <f>IFERROR(INDEX('بيانات الحركات'!A:A,MATCH(1942,'بيانات الحركات'!$G:$G,0)),"")</f>
        <v/>
      </c>
      <c r="B1943" s="5" t="str">
        <f>IFERROR(INDEX('بيانات الحركات'!B:B,MATCH(1942,'بيانات الحركات'!$G:$G,0)),"")</f>
        <v/>
      </c>
      <c r="C1943" s="3" t="str">
        <f>IFERROR(INDEX('بيانات الحركات'!C:C,MATCH(1942,'بيانات الحركات'!$G:$G,0)),"")</f>
        <v/>
      </c>
      <c r="D1943" s="3" t="str">
        <f>IFERROR(INDEX('بيانات الحركات'!D:D,MATCH(1942,'بيانات الحركات'!$G:$G,0)),"")</f>
        <v/>
      </c>
      <c r="E1943" s="21" t="str">
        <f>IF($B1943="إنتاج طبخة","",IFERROR(INDEX('بيانات الحركات'!E:E,MATCH(1942,'بيانات الحركات'!$G:$G,0)),""))</f>
        <v/>
      </c>
      <c r="F1943" s="3" t="str">
        <f>IFERROR(INDEX('بيانات الحركات'!F:F,MATCH(1942,'بيانات الحركات'!$G:$G,0)),"")</f>
        <v/>
      </c>
    </row>
    <row r="1944" spans="1:6" ht="21.95" customHeight="1">
      <c r="A1944" s="8" t="str">
        <f>IFERROR(INDEX('بيانات الحركات'!A:A,MATCH(1943,'بيانات الحركات'!$G:$G,0)),"")</f>
        <v/>
      </c>
      <c r="B1944" s="5" t="str">
        <f>IFERROR(INDEX('بيانات الحركات'!B:B,MATCH(1943,'بيانات الحركات'!$G:$G,0)),"")</f>
        <v/>
      </c>
      <c r="C1944" s="3" t="str">
        <f>IFERROR(INDEX('بيانات الحركات'!C:C,MATCH(1943,'بيانات الحركات'!$G:$G,0)),"")</f>
        <v/>
      </c>
      <c r="D1944" s="3" t="str">
        <f>IFERROR(INDEX('بيانات الحركات'!D:D,MATCH(1943,'بيانات الحركات'!$G:$G,0)),"")</f>
        <v/>
      </c>
      <c r="E1944" s="21" t="str">
        <f>IF($B1944="إنتاج طبخة","",IFERROR(INDEX('بيانات الحركات'!E:E,MATCH(1943,'بيانات الحركات'!$G:$G,0)),""))</f>
        <v/>
      </c>
      <c r="F1944" s="3" t="str">
        <f>IFERROR(INDEX('بيانات الحركات'!F:F,MATCH(1943,'بيانات الحركات'!$G:$G,0)),"")</f>
        <v/>
      </c>
    </row>
    <row r="1945" spans="1:6" ht="21.95" customHeight="1">
      <c r="A1945" s="8" t="str">
        <f>IFERROR(INDEX('بيانات الحركات'!A:A,MATCH(1944,'بيانات الحركات'!$G:$G,0)),"")</f>
        <v/>
      </c>
      <c r="B1945" s="5" t="str">
        <f>IFERROR(INDEX('بيانات الحركات'!B:B,MATCH(1944,'بيانات الحركات'!$G:$G,0)),"")</f>
        <v/>
      </c>
      <c r="C1945" s="3" t="str">
        <f>IFERROR(INDEX('بيانات الحركات'!C:C,MATCH(1944,'بيانات الحركات'!$G:$G,0)),"")</f>
        <v/>
      </c>
      <c r="D1945" s="3" t="str">
        <f>IFERROR(INDEX('بيانات الحركات'!D:D,MATCH(1944,'بيانات الحركات'!$G:$G,0)),"")</f>
        <v/>
      </c>
      <c r="E1945" s="21" t="str">
        <f>IF($B1945="إنتاج طبخة","",IFERROR(INDEX('بيانات الحركات'!E:E,MATCH(1944,'بيانات الحركات'!$G:$G,0)),""))</f>
        <v/>
      </c>
      <c r="F1945" s="3" t="str">
        <f>IFERROR(INDEX('بيانات الحركات'!F:F,MATCH(1944,'بيانات الحركات'!$G:$G,0)),"")</f>
        <v/>
      </c>
    </row>
    <row r="1946" spans="1:6" ht="21.95" customHeight="1">
      <c r="A1946" s="8" t="str">
        <f>IFERROR(INDEX('بيانات الحركات'!A:A,MATCH(1945,'بيانات الحركات'!$G:$G,0)),"")</f>
        <v/>
      </c>
      <c r="B1946" s="5" t="str">
        <f>IFERROR(INDEX('بيانات الحركات'!B:B,MATCH(1945,'بيانات الحركات'!$G:$G,0)),"")</f>
        <v/>
      </c>
      <c r="C1946" s="3" t="str">
        <f>IFERROR(INDEX('بيانات الحركات'!C:C,MATCH(1945,'بيانات الحركات'!$G:$G,0)),"")</f>
        <v/>
      </c>
      <c r="D1946" s="3" t="str">
        <f>IFERROR(INDEX('بيانات الحركات'!D:D,MATCH(1945,'بيانات الحركات'!$G:$G,0)),"")</f>
        <v/>
      </c>
      <c r="E1946" s="21" t="str">
        <f>IF($B1946="إنتاج طبخة","",IFERROR(INDEX('بيانات الحركات'!E:E,MATCH(1945,'بيانات الحركات'!$G:$G,0)),""))</f>
        <v/>
      </c>
      <c r="F1946" s="3" t="str">
        <f>IFERROR(INDEX('بيانات الحركات'!F:F,MATCH(1945,'بيانات الحركات'!$G:$G,0)),"")</f>
        <v/>
      </c>
    </row>
    <row r="1947" spans="1:6" ht="21.95" customHeight="1">
      <c r="A1947" s="8" t="str">
        <f>IFERROR(INDEX('بيانات الحركات'!A:A,MATCH(1946,'بيانات الحركات'!$G:$G,0)),"")</f>
        <v/>
      </c>
      <c r="B1947" s="5" t="str">
        <f>IFERROR(INDEX('بيانات الحركات'!B:B,MATCH(1946,'بيانات الحركات'!$G:$G,0)),"")</f>
        <v/>
      </c>
      <c r="C1947" s="3" t="str">
        <f>IFERROR(INDEX('بيانات الحركات'!C:C,MATCH(1946,'بيانات الحركات'!$G:$G,0)),"")</f>
        <v/>
      </c>
      <c r="D1947" s="3" t="str">
        <f>IFERROR(INDEX('بيانات الحركات'!D:D,MATCH(1946,'بيانات الحركات'!$G:$G,0)),"")</f>
        <v/>
      </c>
      <c r="E1947" s="21" t="str">
        <f>IF($B1947="إنتاج طبخة","",IFERROR(INDEX('بيانات الحركات'!E:E,MATCH(1946,'بيانات الحركات'!$G:$G,0)),""))</f>
        <v/>
      </c>
      <c r="F1947" s="3" t="str">
        <f>IFERROR(INDEX('بيانات الحركات'!F:F,MATCH(1946,'بيانات الحركات'!$G:$G,0)),"")</f>
        <v/>
      </c>
    </row>
    <row r="1948" spans="1:6" ht="21.95" customHeight="1">
      <c r="A1948" s="8" t="str">
        <f>IFERROR(INDEX('بيانات الحركات'!A:A,MATCH(1947,'بيانات الحركات'!$G:$G,0)),"")</f>
        <v/>
      </c>
      <c r="B1948" s="5" t="str">
        <f>IFERROR(INDEX('بيانات الحركات'!B:B,MATCH(1947,'بيانات الحركات'!$G:$G,0)),"")</f>
        <v/>
      </c>
      <c r="C1948" s="3" t="str">
        <f>IFERROR(INDEX('بيانات الحركات'!C:C,MATCH(1947,'بيانات الحركات'!$G:$G,0)),"")</f>
        <v/>
      </c>
      <c r="D1948" s="3" t="str">
        <f>IFERROR(INDEX('بيانات الحركات'!D:D,MATCH(1947,'بيانات الحركات'!$G:$G,0)),"")</f>
        <v/>
      </c>
      <c r="E1948" s="21" t="str">
        <f>IF($B1948="إنتاج طبخة","",IFERROR(INDEX('بيانات الحركات'!E:E,MATCH(1947,'بيانات الحركات'!$G:$G,0)),""))</f>
        <v/>
      </c>
      <c r="F1948" s="3" t="str">
        <f>IFERROR(INDEX('بيانات الحركات'!F:F,MATCH(1947,'بيانات الحركات'!$G:$G,0)),"")</f>
        <v/>
      </c>
    </row>
    <row r="1949" spans="1:6" ht="21.95" customHeight="1">
      <c r="A1949" s="8" t="str">
        <f>IFERROR(INDEX('بيانات الحركات'!A:A,MATCH(1948,'بيانات الحركات'!$G:$G,0)),"")</f>
        <v/>
      </c>
      <c r="B1949" s="5" t="str">
        <f>IFERROR(INDEX('بيانات الحركات'!B:B,MATCH(1948,'بيانات الحركات'!$G:$G,0)),"")</f>
        <v/>
      </c>
      <c r="C1949" s="3" t="str">
        <f>IFERROR(INDEX('بيانات الحركات'!C:C,MATCH(1948,'بيانات الحركات'!$G:$G,0)),"")</f>
        <v/>
      </c>
      <c r="D1949" s="3" t="str">
        <f>IFERROR(INDEX('بيانات الحركات'!D:D,MATCH(1948,'بيانات الحركات'!$G:$G,0)),"")</f>
        <v/>
      </c>
      <c r="E1949" s="21" t="str">
        <f>IF($B1949="إنتاج طبخة","",IFERROR(INDEX('بيانات الحركات'!E:E,MATCH(1948,'بيانات الحركات'!$G:$G,0)),""))</f>
        <v/>
      </c>
      <c r="F1949" s="3" t="str">
        <f>IFERROR(INDEX('بيانات الحركات'!F:F,MATCH(1948,'بيانات الحركات'!$G:$G,0)),"")</f>
        <v/>
      </c>
    </row>
    <row r="1950" spans="1:6" ht="21.95" customHeight="1">
      <c r="A1950" s="8" t="str">
        <f>IFERROR(INDEX('بيانات الحركات'!A:A,MATCH(1949,'بيانات الحركات'!$G:$G,0)),"")</f>
        <v/>
      </c>
      <c r="B1950" s="5" t="str">
        <f>IFERROR(INDEX('بيانات الحركات'!B:B,MATCH(1949,'بيانات الحركات'!$G:$G,0)),"")</f>
        <v/>
      </c>
      <c r="C1950" s="3" t="str">
        <f>IFERROR(INDEX('بيانات الحركات'!C:C,MATCH(1949,'بيانات الحركات'!$G:$G,0)),"")</f>
        <v/>
      </c>
      <c r="D1950" s="3" t="str">
        <f>IFERROR(INDEX('بيانات الحركات'!D:D,MATCH(1949,'بيانات الحركات'!$G:$G,0)),"")</f>
        <v/>
      </c>
      <c r="E1950" s="21" t="str">
        <f>IF($B1950="إنتاج طبخة","",IFERROR(INDEX('بيانات الحركات'!E:E,MATCH(1949,'بيانات الحركات'!$G:$G,0)),""))</f>
        <v/>
      </c>
      <c r="F1950" s="3" t="str">
        <f>IFERROR(INDEX('بيانات الحركات'!F:F,MATCH(1949,'بيانات الحركات'!$G:$G,0)),"")</f>
        <v/>
      </c>
    </row>
    <row r="1951" spans="1:6" ht="21.95" customHeight="1">
      <c r="A1951" s="8" t="str">
        <f>IFERROR(INDEX('بيانات الحركات'!A:A,MATCH(1950,'بيانات الحركات'!$G:$G,0)),"")</f>
        <v/>
      </c>
      <c r="B1951" s="5" t="str">
        <f>IFERROR(INDEX('بيانات الحركات'!B:B,MATCH(1950,'بيانات الحركات'!$G:$G,0)),"")</f>
        <v/>
      </c>
      <c r="C1951" s="3" t="str">
        <f>IFERROR(INDEX('بيانات الحركات'!C:C,MATCH(1950,'بيانات الحركات'!$G:$G,0)),"")</f>
        <v/>
      </c>
      <c r="D1951" s="3" t="str">
        <f>IFERROR(INDEX('بيانات الحركات'!D:D,MATCH(1950,'بيانات الحركات'!$G:$G,0)),"")</f>
        <v/>
      </c>
      <c r="E1951" s="21" t="str">
        <f>IF($B1951="إنتاج طبخة","",IFERROR(INDEX('بيانات الحركات'!E:E,MATCH(1950,'بيانات الحركات'!$G:$G,0)),""))</f>
        <v/>
      </c>
      <c r="F1951" s="3" t="str">
        <f>IFERROR(INDEX('بيانات الحركات'!F:F,MATCH(1950,'بيانات الحركات'!$G:$G,0)),"")</f>
        <v/>
      </c>
    </row>
    <row r="1952" spans="1:6" ht="21.95" customHeight="1">
      <c r="A1952" s="8" t="str">
        <f>IFERROR(INDEX('بيانات الحركات'!A:A,MATCH(1951,'بيانات الحركات'!$G:$G,0)),"")</f>
        <v/>
      </c>
      <c r="B1952" s="5" t="str">
        <f>IFERROR(INDEX('بيانات الحركات'!B:B,MATCH(1951,'بيانات الحركات'!$G:$G,0)),"")</f>
        <v/>
      </c>
      <c r="C1952" s="3" t="str">
        <f>IFERROR(INDEX('بيانات الحركات'!C:C,MATCH(1951,'بيانات الحركات'!$G:$G,0)),"")</f>
        <v/>
      </c>
      <c r="D1952" s="3" t="str">
        <f>IFERROR(INDEX('بيانات الحركات'!D:D,MATCH(1951,'بيانات الحركات'!$G:$G,0)),"")</f>
        <v/>
      </c>
      <c r="E1952" s="21" t="str">
        <f>IF($B1952="إنتاج طبخة","",IFERROR(INDEX('بيانات الحركات'!E:E,MATCH(1951,'بيانات الحركات'!$G:$G,0)),""))</f>
        <v/>
      </c>
      <c r="F1952" s="3" t="str">
        <f>IFERROR(INDEX('بيانات الحركات'!F:F,MATCH(1951,'بيانات الحركات'!$G:$G,0)),"")</f>
        <v/>
      </c>
    </row>
    <row r="1953" spans="1:6" ht="21.95" customHeight="1">
      <c r="A1953" s="8" t="str">
        <f>IFERROR(INDEX('بيانات الحركات'!A:A,MATCH(1952,'بيانات الحركات'!$G:$G,0)),"")</f>
        <v/>
      </c>
      <c r="B1953" s="5" t="str">
        <f>IFERROR(INDEX('بيانات الحركات'!B:B,MATCH(1952,'بيانات الحركات'!$G:$G,0)),"")</f>
        <v/>
      </c>
      <c r="C1953" s="3" t="str">
        <f>IFERROR(INDEX('بيانات الحركات'!C:C,MATCH(1952,'بيانات الحركات'!$G:$G,0)),"")</f>
        <v/>
      </c>
      <c r="D1953" s="3" t="str">
        <f>IFERROR(INDEX('بيانات الحركات'!D:D,MATCH(1952,'بيانات الحركات'!$G:$G,0)),"")</f>
        <v/>
      </c>
      <c r="E1953" s="21" t="str">
        <f>IF($B1953="إنتاج طبخة","",IFERROR(INDEX('بيانات الحركات'!E:E,MATCH(1952,'بيانات الحركات'!$G:$G,0)),""))</f>
        <v/>
      </c>
      <c r="F1953" s="3" t="str">
        <f>IFERROR(INDEX('بيانات الحركات'!F:F,MATCH(1952,'بيانات الحركات'!$G:$G,0)),"")</f>
        <v/>
      </c>
    </row>
    <row r="1954" spans="1:6" ht="21.95" customHeight="1">
      <c r="A1954" s="8" t="str">
        <f>IFERROR(INDEX('بيانات الحركات'!A:A,MATCH(1953,'بيانات الحركات'!$G:$G,0)),"")</f>
        <v/>
      </c>
      <c r="B1954" s="5" t="str">
        <f>IFERROR(INDEX('بيانات الحركات'!B:B,MATCH(1953,'بيانات الحركات'!$G:$G,0)),"")</f>
        <v/>
      </c>
      <c r="C1954" s="3" t="str">
        <f>IFERROR(INDEX('بيانات الحركات'!C:C,MATCH(1953,'بيانات الحركات'!$G:$G,0)),"")</f>
        <v/>
      </c>
      <c r="D1954" s="3" t="str">
        <f>IFERROR(INDEX('بيانات الحركات'!D:D,MATCH(1953,'بيانات الحركات'!$G:$G,0)),"")</f>
        <v/>
      </c>
      <c r="E1954" s="21" t="str">
        <f>IF($B1954="إنتاج طبخة","",IFERROR(INDEX('بيانات الحركات'!E:E,MATCH(1953,'بيانات الحركات'!$G:$G,0)),""))</f>
        <v/>
      </c>
      <c r="F1954" s="3" t="str">
        <f>IFERROR(INDEX('بيانات الحركات'!F:F,MATCH(1953,'بيانات الحركات'!$G:$G,0)),"")</f>
        <v/>
      </c>
    </row>
    <row r="1955" spans="1:6" ht="21.95" customHeight="1">
      <c r="A1955" s="8" t="str">
        <f>IFERROR(INDEX('بيانات الحركات'!A:A,MATCH(1954,'بيانات الحركات'!$G:$G,0)),"")</f>
        <v/>
      </c>
      <c r="B1955" s="5" t="str">
        <f>IFERROR(INDEX('بيانات الحركات'!B:B,MATCH(1954,'بيانات الحركات'!$G:$G,0)),"")</f>
        <v/>
      </c>
      <c r="C1955" s="3" t="str">
        <f>IFERROR(INDEX('بيانات الحركات'!C:C,MATCH(1954,'بيانات الحركات'!$G:$G,0)),"")</f>
        <v/>
      </c>
      <c r="D1955" s="3" t="str">
        <f>IFERROR(INDEX('بيانات الحركات'!D:D,MATCH(1954,'بيانات الحركات'!$G:$G,0)),"")</f>
        <v/>
      </c>
      <c r="E1955" s="21" t="str">
        <f>IF($B1955="إنتاج طبخة","",IFERROR(INDEX('بيانات الحركات'!E:E,MATCH(1954,'بيانات الحركات'!$G:$G,0)),""))</f>
        <v/>
      </c>
      <c r="F1955" s="3" t="str">
        <f>IFERROR(INDEX('بيانات الحركات'!F:F,MATCH(1954,'بيانات الحركات'!$G:$G,0)),"")</f>
        <v/>
      </c>
    </row>
    <row r="1956" spans="1:6" ht="21.95" customHeight="1">
      <c r="A1956" s="8" t="str">
        <f>IFERROR(INDEX('بيانات الحركات'!A:A,MATCH(1955,'بيانات الحركات'!$G:$G,0)),"")</f>
        <v/>
      </c>
      <c r="B1956" s="5" t="str">
        <f>IFERROR(INDEX('بيانات الحركات'!B:B,MATCH(1955,'بيانات الحركات'!$G:$G,0)),"")</f>
        <v/>
      </c>
      <c r="C1956" s="3" t="str">
        <f>IFERROR(INDEX('بيانات الحركات'!C:C,MATCH(1955,'بيانات الحركات'!$G:$G,0)),"")</f>
        <v/>
      </c>
      <c r="D1956" s="3" t="str">
        <f>IFERROR(INDEX('بيانات الحركات'!D:D,MATCH(1955,'بيانات الحركات'!$G:$G,0)),"")</f>
        <v/>
      </c>
      <c r="E1956" s="21" t="str">
        <f>IF($B1956="إنتاج طبخة","",IFERROR(INDEX('بيانات الحركات'!E:E,MATCH(1955,'بيانات الحركات'!$G:$G,0)),""))</f>
        <v/>
      </c>
      <c r="F1956" s="3" t="str">
        <f>IFERROR(INDEX('بيانات الحركات'!F:F,MATCH(1955,'بيانات الحركات'!$G:$G,0)),"")</f>
        <v/>
      </c>
    </row>
    <row r="1957" spans="1:6" ht="21.95" customHeight="1">
      <c r="A1957" s="8" t="str">
        <f>IFERROR(INDEX('بيانات الحركات'!A:A,MATCH(1956,'بيانات الحركات'!$G:$G,0)),"")</f>
        <v/>
      </c>
      <c r="B1957" s="5" t="str">
        <f>IFERROR(INDEX('بيانات الحركات'!B:B,MATCH(1956,'بيانات الحركات'!$G:$G,0)),"")</f>
        <v/>
      </c>
      <c r="C1957" s="3" t="str">
        <f>IFERROR(INDEX('بيانات الحركات'!C:C,MATCH(1956,'بيانات الحركات'!$G:$G,0)),"")</f>
        <v/>
      </c>
      <c r="D1957" s="3" t="str">
        <f>IFERROR(INDEX('بيانات الحركات'!D:D,MATCH(1956,'بيانات الحركات'!$G:$G,0)),"")</f>
        <v/>
      </c>
      <c r="E1957" s="21" t="str">
        <f>IF($B1957="إنتاج طبخة","",IFERROR(INDEX('بيانات الحركات'!E:E,MATCH(1956,'بيانات الحركات'!$G:$G,0)),""))</f>
        <v/>
      </c>
      <c r="F1957" s="3" t="str">
        <f>IFERROR(INDEX('بيانات الحركات'!F:F,MATCH(1956,'بيانات الحركات'!$G:$G,0)),"")</f>
        <v/>
      </c>
    </row>
    <row r="1958" spans="1:6" ht="21.95" customHeight="1">
      <c r="A1958" s="8" t="str">
        <f>IFERROR(INDEX('بيانات الحركات'!A:A,MATCH(1957,'بيانات الحركات'!$G:$G,0)),"")</f>
        <v/>
      </c>
      <c r="B1958" s="5" t="str">
        <f>IFERROR(INDEX('بيانات الحركات'!B:B,MATCH(1957,'بيانات الحركات'!$G:$G,0)),"")</f>
        <v/>
      </c>
      <c r="C1958" s="3" t="str">
        <f>IFERROR(INDEX('بيانات الحركات'!C:C,MATCH(1957,'بيانات الحركات'!$G:$G,0)),"")</f>
        <v/>
      </c>
      <c r="D1958" s="3" t="str">
        <f>IFERROR(INDEX('بيانات الحركات'!D:D,MATCH(1957,'بيانات الحركات'!$G:$G,0)),"")</f>
        <v/>
      </c>
      <c r="E1958" s="21" t="str">
        <f>IF($B1958="إنتاج طبخة","",IFERROR(INDEX('بيانات الحركات'!E:E,MATCH(1957,'بيانات الحركات'!$G:$G,0)),""))</f>
        <v/>
      </c>
      <c r="F1958" s="3" t="str">
        <f>IFERROR(INDEX('بيانات الحركات'!F:F,MATCH(1957,'بيانات الحركات'!$G:$G,0)),"")</f>
        <v/>
      </c>
    </row>
    <row r="1959" spans="1:6" ht="21.95" customHeight="1">
      <c r="A1959" s="8" t="str">
        <f>IFERROR(INDEX('بيانات الحركات'!A:A,MATCH(1958,'بيانات الحركات'!$G:$G,0)),"")</f>
        <v/>
      </c>
      <c r="B1959" s="5" t="str">
        <f>IFERROR(INDEX('بيانات الحركات'!B:B,MATCH(1958,'بيانات الحركات'!$G:$G,0)),"")</f>
        <v/>
      </c>
      <c r="C1959" s="3" t="str">
        <f>IFERROR(INDEX('بيانات الحركات'!C:C,MATCH(1958,'بيانات الحركات'!$G:$G,0)),"")</f>
        <v/>
      </c>
      <c r="D1959" s="3" t="str">
        <f>IFERROR(INDEX('بيانات الحركات'!D:D,MATCH(1958,'بيانات الحركات'!$G:$G,0)),"")</f>
        <v/>
      </c>
      <c r="E1959" s="21" t="str">
        <f>IF($B1959="إنتاج طبخة","",IFERROR(INDEX('بيانات الحركات'!E:E,MATCH(1958,'بيانات الحركات'!$G:$G,0)),""))</f>
        <v/>
      </c>
      <c r="F1959" s="3" t="str">
        <f>IFERROR(INDEX('بيانات الحركات'!F:F,MATCH(1958,'بيانات الحركات'!$G:$G,0)),"")</f>
        <v/>
      </c>
    </row>
    <row r="1960" spans="1:6" ht="21.95" customHeight="1">
      <c r="A1960" s="8" t="str">
        <f>IFERROR(INDEX('بيانات الحركات'!A:A,MATCH(1959,'بيانات الحركات'!$G:$G,0)),"")</f>
        <v/>
      </c>
      <c r="B1960" s="5" t="str">
        <f>IFERROR(INDEX('بيانات الحركات'!B:B,MATCH(1959,'بيانات الحركات'!$G:$G,0)),"")</f>
        <v/>
      </c>
      <c r="C1960" s="3" t="str">
        <f>IFERROR(INDEX('بيانات الحركات'!C:C,MATCH(1959,'بيانات الحركات'!$G:$G,0)),"")</f>
        <v/>
      </c>
      <c r="D1960" s="3" t="str">
        <f>IFERROR(INDEX('بيانات الحركات'!D:D,MATCH(1959,'بيانات الحركات'!$G:$G,0)),"")</f>
        <v/>
      </c>
      <c r="E1960" s="21" t="str">
        <f>IF($B1960="إنتاج طبخة","",IFERROR(INDEX('بيانات الحركات'!E:E,MATCH(1959,'بيانات الحركات'!$G:$G,0)),""))</f>
        <v/>
      </c>
      <c r="F1960" s="3" t="str">
        <f>IFERROR(INDEX('بيانات الحركات'!F:F,MATCH(1959,'بيانات الحركات'!$G:$G,0)),"")</f>
        <v/>
      </c>
    </row>
    <row r="1961" spans="1:6" ht="21.95" customHeight="1">
      <c r="A1961" s="8" t="str">
        <f>IFERROR(INDEX('بيانات الحركات'!A:A,MATCH(1960,'بيانات الحركات'!$G:$G,0)),"")</f>
        <v/>
      </c>
      <c r="B1961" s="5" t="str">
        <f>IFERROR(INDEX('بيانات الحركات'!B:B,MATCH(1960,'بيانات الحركات'!$G:$G,0)),"")</f>
        <v/>
      </c>
      <c r="C1961" s="3" t="str">
        <f>IFERROR(INDEX('بيانات الحركات'!C:C,MATCH(1960,'بيانات الحركات'!$G:$G,0)),"")</f>
        <v/>
      </c>
      <c r="D1961" s="3" t="str">
        <f>IFERROR(INDEX('بيانات الحركات'!D:D,MATCH(1960,'بيانات الحركات'!$G:$G,0)),"")</f>
        <v/>
      </c>
      <c r="E1961" s="21" t="str">
        <f>IF($B1961="إنتاج طبخة","",IFERROR(INDEX('بيانات الحركات'!E:E,MATCH(1960,'بيانات الحركات'!$G:$G,0)),""))</f>
        <v/>
      </c>
      <c r="F1961" s="3" t="str">
        <f>IFERROR(INDEX('بيانات الحركات'!F:F,MATCH(1960,'بيانات الحركات'!$G:$G,0)),"")</f>
        <v/>
      </c>
    </row>
    <row r="1962" spans="1:6" ht="21.95" customHeight="1">
      <c r="A1962" s="8" t="str">
        <f>IFERROR(INDEX('بيانات الحركات'!A:A,MATCH(1961,'بيانات الحركات'!$G:$G,0)),"")</f>
        <v/>
      </c>
      <c r="B1962" s="5" t="str">
        <f>IFERROR(INDEX('بيانات الحركات'!B:B,MATCH(1961,'بيانات الحركات'!$G:$G,0)),"")</f>
        <v/>
      </c>
      <c r="C1962" s="3" t="str">
        <f>IFERROR(INDEX('بيانات الحركات'!C:C,MATCH(1961,'بيانات الحركات'!$G:$G,0)),"")</f>
        <v/>
      </c>
      <c r="D1962" s="3" t="str">
        <f>IFERROR(INDEX('بيانات الحركات'!D:D,MATCH(1961,'بيانات الحركات'!$G:$G,0)),"")</f>
        <v/>
      </c>
      <c r="E1962" s="21" t="str">
        <f>IF($B1962="إنتاج طبخة","",IFERROR(INDEX('بيانات الحركات'!E:E,MATCH(1961,'بيانات الحركات'!$G:$G,0)),""))</f>
        <v/>
      </c>
      <c r="F1962" s="3" t="str">
        <f>IFERROR(INDEX('بيانات الحركات'!F:F,MATCH(1961,'بيانات الحركات'!$G:$G,0)),"")</f>
        <v/>
      </c>
    </row>
    <row r="1963" spans="1:6" ht="21.95" customHeight="1">
      <c r="A1963" s="8" t="str">
        <f>IFERROR(INDEX('بيانات الحركات'!A:A,MATCH(1962,'بيانات الحركات'!$G:$G,0)),"")</f>
        <v/>
      </c>
      <c r="B1963" s="5" t="str">
        <f>IFERROR(INDEX('بيانات الحركات'!B:B,MATCH(1962,'بيانات الحركات'!$G:$G,0)),"")</f>
        <v/>
      </c>
      <c r="C1963" s="3" t="str">
        <f>IFERROR(INDEX('بيانات الحركات'!C:C,MATCH(1962,'بيانات الحركات'!$G:$G,0)),"")</f>
        <v/>
      </c>
      <c r="D1963" s="3" t="str">
        <f>IFERROR(INDEX('بيانات الحركات'!D:D,MATCH(1962,'بيانات الحركات'!$G:$G,0)),"")</f>
        <v/>
      </c>
      <c r="E1963" s="21" t="str">
        <f>IF($B1963="إنتاج طبخة","",IFERROR(INDEX('بيانات الحركات'!E:E,MATCH(1962,'بيانات الحركات'!$G:$G,0)),""))</f>
        <v/>
      </c>
      <c r="F1963" s="3" t="str">
        <f>IFERROR(INDEX('بيانات الحركات'!F:F,MATCH(1962,'بيانات الحركات'!$G:$G,0)),"")</f>
        <v/>
      </c>
    </row>
    <row r="1964" spans="1:6" ht="21.95" customHeight="1">
      <c r="A1964" s="8" t="str">
        <f>IFERROR(INDEX('بيانات الحركات'!A:A,MATCH(1963,'بيانات الحركات'!$G:$G,0)),"")</f>
        <v/>
      </c>
      <c r="B1964" s="5" t="str">
        <f>IFERROR(INDEX('بيانات الحركات'!B:B,MATCH(1963,'بيانات الحركات'!$G:$G,0)),"")</f>
        <v/>
      </c>
      <c r="C1964" s="3" t="str">
        <f>IFERROR(INDEX('بيانات الحركات'!C:C,MATCH(1963,'بيانات الحركات'!$G:$G,0)),"")</f>
        <v/>
      </c>
      <c r="D1964" s="3" t="str">
        <f>IFERROR(INDEX('بيانات الحركات'!D:D,MATCH(1963,'بيانات الحركات'!$G:$G,0)),"")</f>
        <v/>
      </c>
      <c r="E1964" s="21" t="str">
        <f>IF($B1964="إنتاج طبخة","",IFERROR(INDEX('بيانات الحركات'!E:E,MATCH(1963,'بيانات الحركات'!$G:$G,0)),""))</f>
        <v/>
      </c>
      <c r="F1964" s="3" t="str">
        <f>IFERROR(INDEX('بيانات الحركات'!F:F,MATCH(1963,'بيانات الحركات'!$G:$G,0)),"")</f>
        <v/>
      </c>
    </row>
    <row r="1965" spans="1:6" ht="21.95" customHeight="1">
      <c r="A1965" s="8" t="str">
        <f>IFERROR(INDEX('بيانات الحركات'!A:A,MATCH(1964,'بيانات الحركات'!$G:$G,0)),"")</f>
        <v/>
      </c>
      <c r="B1965" s="5" t="str">
        <f>IFERROR(INDEX('بيانات الحركات'!B:B,MATCH(1964,'بيانات الحركات'!$G:$G,0)),"")</f>
        <v/>
      </c>
      <c r="C1965" s="3" t="str">
        <f>IFERROR(INDEX('بيانات الحركات'!C:C,MATCH(1964,'بيانات الحركات'!$G:$G,0)),"")</f>
        <v/>
      </c>
      <c r="D1965" s="3" t="str">
        <f>IFERROR(INDEX('بيانات الحركات'!D:D,MATCH(1964,'بيانات الحركات'!$G:$G,0)),"")</f>
        <v/>
      </c>
      <c r="E1965" s="21" t="str">
        <f>IF($B1965="إنتاج طبخة","",IFERROR(INDEX('بيانات الحركات'!E:E,MATCH(1964,'بيانات الحركات'!$G:$G,0)),""))</f>
        <v/>
      </c>
      <c r="F1965" s="3" t="str">
        <f>IFERROR(INDEX('بيانات الحركات'!F:F,MATCH(1964,'بيانات الحركات'!$G:$G,0)),"")</f>
        <v/>
      </c>
    </row>
    <row r="1966" spans="1:6" ht="21.95" customHeight="1">
      <c r="A1966" s="8" t="str">
        <f>IFERROR(INDEX('بيانات الحركات'!A:A,MATCH(1965,'بيانات الحركات'!$G:$G,0)),"")</f>
        <v/>
      </c>
      <c r="B1966" s="5" t="str">
        <f>IFERROR(INDEX('بيانات الحركات'!B:B,MATCH(1965,'بيانات الحركات'!$G:$G,0)),"")</f>
        <v/>
      </c>
      <c r="C1966" s="3" t="str">
        <f>IFERROR(INDEX('بيانات الحركات'!C:C,MATCH(1965,'بيانات الحركات'!$G:$G,0)),"")</f>
        <v/>
      </c>
      <c r="D1966" s="3" t="str">
        <f>IFERROR(INDEX('بيانات الحركات'!D:D,MATCH(1965,'بيانات الحركات'!$G:$G,0)),"")</f>
        <v/>
      </c>
      <c r="E1966" s="21" t="str">
        <f>IF($B1966="إنتاج طبخة","",IFERROR(INDEX('بيانات الحركات'!E:E,MATCH(1965,'بيانات الحركات'!$G:$G,0)),""))</f>
        <v/>
      </c>
      <c r="F1966" s="3" t="str">
        <f>IFERROR(INDEX('بيانات الحركات'!F:F,MATCH(1965,'بيانات الحركات'!$G:$G,0)),"")</f>
        <v/>
      </c>
    </row>
    <row r="1967" spans="1:6" ht="21.95" customHeight="1">
      <c r="A1967" s="8" t="str">
        <f>IFERROR(INDEX('بيانات الحركات'!A:A,MATCH(1966,'بيانات الحركات'!$G:$G,0)),"")</f>
        <v/>
      </c>
      <c r="B1967" s="5" t="str">
        <f>IFERROR(INDEX('بيانات الحركات'!B:B,MATCH(1966,'بيانات الحركات'!$G:$G,0)),"")</f>
        <v/>
      </c>
      <c r="C1967" s="3" t="str">
        <f>IFERROR(INDEX('بيانات الحركات'!C:C,MATCH(1966,'بيانات الحركات'!$G:$G,0)),"")</f>
        <v/>
      </c>
      <c r="D1967" s="3" t="str">
        <f>IFERROR(INDEX('بيانات الحركات'!D:D,MATCH(1966,'بيانات الحركات'!$G:$G,0)),"")</f>
        <v/>
      </c>
      <c r="E1967" s="21" t="str">
        <f>IF($B1967="إنتاج طبخة","",IFERROR(INDEX('بيانات الحركات'!E:E,MATCH(1966,'بيانات الحركات'!$G:$G,0)),""))</f>
        <v/>
      </c>
      <c r="F1967" s="3" t="str">
        <f>IFERROR(INDEX('بيانات الحركات'!F:F,MATCH(1966,'بيانات الحركات'!$G:$G,0)),"")</f>
        <v/>
      </c>
    </row>
    <row r="1968" spans="1:6" ht="21.95" customHeight="1">
      <c r="A1968" s="8" t="str">
        <f>IFERROR(INDEX('بيانات الحركات'!A:A,MATCH(1967,'بيانات الحركات'!$G:$G,0)),"")</f>
        <v/>
      </c>
      <c r="B1968" s="5" t="str">
        <f>IFERROR(INDEX('بيانات الحركات'!B:B,MATCH(1967,'بيانات الحركات'!$G:$G,0)),"")</f>
        <v/>
      </c>
      <c r="C1968" s="3" t="str">
        <f>IFERROR(INDEX('بيانات الحركات'!C:C,MATCH(1967,'بيانات الحركات'!$G:$G,0)),"")</f>
        <v/>
      </c>
      <c r="D1968" s="3" t="str">
        <f>IFERROR(INDEX('بيانات الحركات'!D:D,MATCH(1967,'بيانات الحركات'!$G:$G,0)),"")</f>
        <v/>
      </c>
      <c r="E1968" s="21" t="str">
        <f>IF($B1968="إنتاج طبخة","",IFERROR(INDEX('بيانات الحركات'!E:E,MATCH(1967,'بيانات الحركات'!$G:$G,0)),""))</f>
        <v/>
      </c>
      <c r="F1968" s="3" t="str">
        <f>IFERROR(INDEX('بيانات الحركات'!F:F,MATCH(1967,'بيانات الحركات'!$G:$G,0)),"")</f>
        <v/>
      </c>
    </row>
    <row r="1969" spans="1:6" ht="21.95" customHeight="1">
      <c r="A1969" s="8" t="str">
        <f>IFERROR(INDEX('بيانات الحركات'!A:A,MATCH(1968,'بيانات الحركات'!$G:$G,0)),"")</f>
        <v/>
      </c>
      <c r="B1969" s="5" t="str">
        <f>IFERROR(INDEX('بيانات الحركات'!B:B,MATCH(1968,'بيانات الحركات'!$G:$G,0)),"")</f>
        <v/>
      </c>
      <c r="C1969" s="3" t="str">
        <f>IFERROR(INDEX('بيانات الحركات'!C:C,MATCH(1968,'بيانات الحركات'!$G:$G,0)),"")</f>
        <v/>
      </c>
      <c r="D1969" s="3" t="str">
        <f>IFERROR(INDEX('بيانات الحركات'!D:D,MATCH(1968,'بيانات الحركات'!$G:$G,0)),"")</f>
        <v/>
      </c>
      <c r="E1969" s="21" t="str">
        <f>IF($B1969="إنتاج طبخة","",IFERROR(INDEX('بيانات الحركات'!E:E,MATCH(1968,'بيانات الحركات'!$G:$G,0)),""))</f>
        <v/>
      </c>
      <c r="F1969" s="3" t="str">
        <f>IFERROR(INDEX('بيانات الحركات'!F:F,MATCH(1968,'بيانات الحركات'!$G:$G,0)),"")</f>
        <v/>
      </c>
    </row>
    <row r="1970" spans="1:6" ht="21.95" customHeight="1">
      <c r="A1970" s="8" t="str">
        <f>IFERROR(INDEX('بيانات الحركات'!A:A,MATCH(1969,'بيانات الحركات'!$G:$G,0)),"")</f>
        <v/>
      </c>
      <c r="B1970" s="5" t="str">
        <f>IFERROR(INDEX('بيانات الحركات'!B:B,MATCH(1969,'بيانات الحركات'!$G:$G,0)),"")</f>
        <v/>
      </c>
      <c r="C1970" s="3" t="str">
        <f>IFERROR(INDEX('بيانات الحركات'!C:C,MATCH(1969,'بيانات الحركات'!$G:$G,0)),"")</f>
        <v/>
      </c>
      <c r="D1970" s="3" t="str">
        <f>IFERROR(INDEX('بيانات الحركات'!D:D,MATCH(1969,'بيانات الحركات'!$G:$G,0)),"")</f>
        <v/>
      </c>
      <c r="E1970" s="21" t="str">
        <f>IF($B1970="إنتاج طبخة","",IFERROR(INDEX('بيانات الحركات'!E:E,MATCH(1969,'بيانات الحركات'!$G:$G,0)),""))</f>
        <v/>
      </c>
      <c r="F1970" s="3" t="str">
        <f>IFERROR(INDEX('بيانات الحركات'!F:F,MATCH(1969,'بيانات الحركات'!$G:$G,0)),"")</f>
        <v/>
      </c>
    </row>
    <row r="1971" spans="1:6" ht="21.95" customHeight="1">
      <c r="A1971" s="8" t="str">
        <f>IFERROR(INDEX('بيانات الحركات'!A:A,MATCH(1970,'بيانات الحركات'!$G:$G,0)),"")</f>
        <v/>
      </c>
      <c r="B1971" s="5" t="str">
        <f>IFERROR(INDEX('بيانات الحركات'!B:B,MATCH(1970,'بيانات الحركات'!$G:$G,0)),"")</f>
        <v/>
      </c>
      <c r="C1971" s="3" t="str">
        <f>IFERROR(INDEX('بيانات الحركات'!C:C,MATCH(1970,'بيانات الحركات'!$G:$G,0)),"")</f>
        <v/>
      </c>
      <c r="D1971" s="3" t="str">
        <f>IFERROR(INDEX('بيانات الحركات'!D:D,MATCH(1970,'بيانات الحركات'!$G:$G,0)),"")</f>
        <v/>
      </c>
      <c r="E1971" s="21" t="str">
        <f>IF($B1971="إنتاج طبخة","",IFERROR(INDEX('بيانات الحركات'!E:E,MATCH(1970,'بيانات الحركات'!$G:$G,0)),""))</f>
        <v/>
      </c>
      <c r="F1971" s="3" t="str">
        <f>IFERROR(INDEX('بيانات الحركات'!F:F,MATCH(1970,'بيانات الحركات'!$G:$G,0)),"")</f>
        <v/>
      </c>
    </row>
    <row r="1972" spans="1:6" ht="21.95" customHeight="1">
      <c r="A1972" s="8" t="str">
        <f>IFERROR(INDEX('بيانات الحركات'!A:A,MATCH(1971,'بيانات الحركات'!$G:$G,0)),"")</f>
        <v/>
      </c>
      <c r="B1972" s="5" t="str">
        <f>IFERROR(INDEX('بيانات الحركات'!B:B,MATCH(1971,'بيانات الحركات'!$G:$G,0)),"")</f>
        <v/>
      </c>
      <c r="C1972" s="3" t="str">
        <f>IFERROR(INDEX('بيانات الحركات'!C:C,MATCH(1971,'بيانات الحركات'!$G:$G,0)),"")</f>
        <v/>
      </c>
      <c r="D1972" s="3" t="str">
        <f>IFERROR(INDEX('بيانات الحركات'!D:D,MATCH(1971,'بيانات الحركات'!$G:$G,0)),"")</f>
        <v/>
      </c>
      <c r="E1972" s="21" t="str">
        <f>IF($B1972="إنتاج طبخة","",IFERROR(INDEX('بيانات الحركات'!E:E,MATCH(1971,'بيانات الحركات'!$G:$G,0)),""))</f>
        <v/>
      </c>
      <c r="F1972" s="3" t="str">
        <f>IFERROR(INDEX('بيانات الحركات'!F:F,MATCH(1971,'بيانات الحركات'!$G:$G,0)),"")</f>
        <v/>
      </c>
    </row>
    <row r="1973" spans="1:6" ht="21.95" customHeight="1">
      <c r="A1973" s="8" t="str">
        <f>IFERROR(INDEX('بيانات الحركات'!A:A,MATCH(1972,'بيانات الحركات'!$G:$G,0)),"")</f>
        <v/>
      </c>
      <c r="B1973" s="5" t="str">
        <f>IFERROR(INDEX('بيانات الحركات'!B:B,MATCH(1972,'بيانات الحركات'!$G:$G,0)),"")</f>
        <v/>
      </c>
      <c r="C1973" s="3" t="str">
        <f>IFERROR(INDEX('بيانات الحركات'!C:C,MATCH(1972,'بيانات الحركات'!$G:$G,0)),"")</f>
        <v/>
      </c>
      <c r="D1973" s="3" t="str">
        <f>IFERROR(INDEX('بيانات الحركات'!D:D,MATCH(1972,'بيانات الحركات'!$G:$G,0)),"")</f>
        <v/>
      </c>
      <c r="E1973" s="21" t="str">
        <f>IF($B1973="إنتاج طبخة","",IFERROR(INDEX('بيانات الحركات'!E:E,MATCH(1972,'بيانات الحركات'!$G:$G,0)),""))</f>
        <v/>
      </c>
      <c r="F1973" s="3" t="str">
        <f>IFERROR(INDEX('بيانات الحركات'!F:F,MATCH(1972,'بيانات الحركات'!$G:$G,0)),"")</f>
        <v/>
      </c>
    </row>
    <row r="1974" spans="1:6" ht="21.95" customHeight="1">
      <c r="A1974" s="8" t="str">
        <f>IFERROR(INDEX('بيانات الحركات'!A:A,MATCH(1973,'بيانات الحركات'!$G:$G,0)),"")</f>
        <v/>
      </c>
      <c r="B1974" s="5" t="str">
        <f>IFERROR(INDEX('بيانات الحركات'!B:B,MATCH(1973,'بيانات الحركات'!$G:$G,0)),"")</f>
        <v/>
      </c>
      <c r="C1974" s="3" t="str">
        <f>IFERROR(INDEX('بيانات الحركات'!C:C,MATCH(1973,'بيانات الحركات'!$G:$G,0)),"")</f>
        <v/>
      </c>
      <c r="D1974" s="3" t="str">
        <f>IFERROR(INDEX('بيانات الحركات'!D:D,MATCH(1973,'بيانات الحركات'!$G:$G,0)),"")</f>
        <v/>
      </c>
      <c r="E1974" s="21" t="str">
        <f>IF($B1974="إنتاج طبخة","",IFERROR(INDEX('بيانات الحركات'!E:E,MATCH(1973,'بيانات الحركات'!$G:$G,0)),""))</f>
        <v/>
      </c>
      <c r="F1974" s="3" t="str">
        <f>IFERROR(INDEX('بيانات الحركات'!F:F,MATCH(1973,'بيانات الحركات'!$G:$G,0)),"")</f>
        <v/>
      </c>
    </row>
    <row r="1975" spans="1:6" ht="21.95" customHeight="1">
      <c r="A1975" s="8" t="str">
        <f>IFERROR(INDEX('بيانات الحركات'!A:A,MATCH(1974,'بيانات الحركات'!$G:$G,0)),"")</f>
        <v/>
      </c>
      <c r="B1975" s="5" t="str">
        <f>IFERROR(INDEX('بيانات الحركات'!B:B,MATCH(1974,'بيانات الحركات'!$G:$G,0)),"")</f>
        <v/>
      </c>
      <c r="C1975" s="3" t="str">
        <f>IFERROR(INDEX('بيانات الحركات'!C:C,MATCH(1974,'بيانات الحركات'!$G:$G,0)),"")</f>
        <v/>
      </c>
      <c r="D1975" s="3" t="str">
        <f>IFERROR(INDEX('بيانات الحركات'!D:D,MATCH(1974,'بيانات الحركات'!$G:$G,0)),"")</f>
        <v/>
      </c>
      <c r="E1975" s="21" t="str">
        <f>IF($B1975="إنتاج طبخة","",IFERROR(INDEX('بيانات الحركات'!E:E,MATCH(1974,'بيانات الحركات'!$G:$G,0)),""))</f>
        <v/>
      </c>
      <c r="F1975" s="3" t="str">
        <f>IFERROR(INDEX('بيانات الحركات'!F:F,MATCH(1974,'بيانات الحركات'!$G:$G,0)),"")</f>
        <v/>
      </c>
    </row>
    <row r="1976" spans="1:6" ht="21.95" customHeight="1">
      <c r="A1976" s="8" t="str">
        <f>IFERROR(INDEX('بيانات الحركات'!A:A,MATCH(1975,'بيانات الحركات'!$G:$G,0)),"")</f>
        <v/>
      </c>
      <c r="B1976" s="5" t="str">
        <f>IFERROR(INDEX('بيانات الحركات'!B:B,MATCH(1975,'بيانات الحركات'!$G:$G,0)),"")</f>
        <v/>
      </c>
      <c r="C1976" s="3" t="str">
        <f>IFERROR(INDEX('بيانات الحركات'!C:C,MATCH(1975,'بيانات الحركات'!$G:$G,0)),"")</f>
        <v/>
      </c>
      <c r="D1976" s="3" t="str">
        <f>IFERROR(INDEX('بيانات الحركات'!D:D,MATCH(1975,'بيانات الحركات'!$G:$G,0)),"")</f>
        <v/>
      </c>
      <c r="E1976" s="21" t="str">
        <f>IF($B1976="إنتاج طبخة","",IFERROR(INDEX('بيانات الحركات'!E:E,MATCH(1975,'بيانات الحركات'!$G:$G,0)),""))</f>
        <v/>
      </c>
      <c r="F1976" s="3" t="str">
        <f>IFERROR(INDEX('بيانات الحركات'!F:F,MATCH(1975,'بيانات الحركات'!$G:$G,0)),"")</f>
        <v/>
      </c>
    </row>
    <row r="1977" spans="1:6" ht="21.95" customHeight="1">
      <c r="A1977" s="8" t="str">
        <f>IFERROR(INDEX('بيانات الحركات'!A:A,MATCH(1976,'بيانات الحركات'!$G:$G,0)),"")</f>
        <v/>
      </c>
      <c r="B1977" s="5" t="str">
        <f>IFERROR(INDEX('بيانات الحركات'!B:B,MATCH(1976,'بيانات الحركات'!$G:$G,0)),"")</f>
        <v/>
      </c>
      <c r="C1977" s="3" t="str">
        <f>IFERROR(INDEX('بيانات الحركات'!C:C,MATCH(1976,'بيانات الحركات'!$G:$G,0)),"")</f>
        <v/>
      </c>
      <c r="D1977" s="3" t="str">
        <f>IFERROR(INDEX('بيانات الحركات'!D:D,MATCH(1976,'بيانات الحركات'!$G:$G,0)),"")</f>
        <v/>
      </c>
      <c r="E1977" s="21" t="str">
        <f>IF($B1977="إنتاج طبخة","",IFERROR(INDEX('بيانات الحركات'!E:E,MATCH(1976,'بيانات الحركات'!$G:$G,0)),""))</f>
        <v/>
      </c>
      <c r="F1977" s="3" t="str">
        <f>IFERROR(INDEX('بيانات الحركات'!F:F,MATCH(1976,'بيانات الحركات'!$G:$G,0)),"")</f>
        <v/>
      </c>
    </row>
    <row r="1978" spans="1:6" ht="21.95" customHeight="1">
      <c r="A1978" s="8" t="str">
        <f>IFERROR(INDEX('بيانات الحركات'!A:A,MATCH(1977,'بيانات الحركات'!$G:$G,0)),"")</f>
        <v/>
      </c>
      <c r="B1978" s="5" t="str">
        <f>IFERROR(INDEX('بيانات الحركات'!B:B,MATCH(1977,'بيانات الحركات'!$G:$G,0)),"")</f>
        <v/>
      </c>
      <c r="C1978" s="3" t="str">
        <f>IFERROR(INDEX('بيانات الحركات'!C:C,MATCH(1977,'بيانات الحركات'!$G:$G,0)),"")</f>
        <v/>
      </c>
      <c r="D1978" s="3" t="str">
        <f>IFERROR(INDEX('بيانات الحركات'!D:D,MATCH(1977,'بيانات الحركات'!$G:$G,0)),"")</f>
        <v/>
      </c>
      <c r="E1978" s="21" t="str">
        <f>IF($B1978="إنتاج طبخة","",IFERROR(INDEX('بيانات الحركات'!E:E,MATCH(1977,'بيانات الحركات'!$G:$G,0)),""))</f>
        <v/>
      </c>
      <c r="F1978" s="3" t="str">
        <f>IFERROR(INDEX('بيانات الحركات'!F:F,MATCH(1977,'بيانات الحركات'!$G:$G,0)),"")</f>
        <v/>
      </c>
    </row>
    <row r="1979" spans="1:6" ht="21.95" customHeight="1">
      <c r="A1979" s="8" t="str">
        <f>IFERROR(INDEX('بيانات الحركات'!A:A,MATCH(1978,'بيانات الحركات'!$G:$G,0)),"")</f>
        <v/>
      </c>
      <c r="B1979" s="5" t="str">
        <f>IFERROR(INDEX('بيانات الحركات'!B:B,MATCH(1978,'بيانات الحركات'!$G:$G,0)),"")</f>
        <v/>
      </c>
      <c r="C1979" s="3" t="str">
        <f>IFERROR(INDEX('بيانات الحركات'!C:C,MATCH(1978,'بيانات الحركات'!$G:$G,0)),"")</f>
        <v/>
      </c>
      <c r="D1979" s="3" t="str">
        <f>IFERROR(INDEX('بيانات الحركات'!D:D,MATCH(1978,'بيانات الحركات'!$G:$G,0)),"")</f>
        <v/>
      </c>
      <c r="E1979" s="21" t="str">
        <f>IF($B1979="إنتاج طبخة","",IFERROR(INDEX('بيانات الحركات'!E:E,MATCH(1978,'بيانات الحركات'!$G:$G,0)),""))</f>
        <v/>
      </c>
      <c r="F1979" s="3" t="str">
        <f>IFERROR(INDEX('بيانات الحركات'!F:F,MATCH(1978,'بيانات الحركات'!$G:$G,0)),"")</f>
        <v/>
      </c>
    </row>
    <row r="1980" spans="1:6" ht="21.95" customHeight="1">
      <c r="A1980" s="8" t="str">
        <f>IFERROR(INDEX('بيانات الحركات'!A:A,MATCH(1979,'بيانات الحركات'!$G:$G,0)),"")</f>
        <v/>
      </c>
      <c r="B1980" s="5" t="str">
        <f>IFERROR(INDEX('بيانات الحركات'!B:B,MATCH(1979,'بيانات الحركات'!$G:$G,0)),"")</f>
        <v/>
      </c>
      <c r="C1980" s="3" t="str">
        <f>IFERROR(INDEX('بيانات الحركات'!C:C,MATCH(1979,'بيانات الحركات'!$G:$G,0)),"")</f>
        <v/>
      </c>
      <c r="D1980" s="3" t="str">
        <f>IFERROR(INDEX('بيانات الحركات'!D:D,MATCH(1979,'بيانات الحركات'!$G:$G,0)),"")</f>
        <v/>
      </c>
      <c r="E1980" s="21" t="str">
        <f>IF($B1980="إنتاج طبخة","",IFERROR(INDEX('بيانات الحركات'!E:E,MATCH(1979,'بيانات الحركات'!$G:$G,0)),""))</f>
        <v/>
      </c>
      <c r="F1980" s="3" t="str">
        <f>IFERROR(INDEX('بيانات الحركات'!F:F,MATCH(1979,'بيانات الحركات'!$G:$G,0)),"")</f>
        <v/>
      </c>
    </row>
    <row r="1981" spans="1:6" ht="21.95" customHeight="1">
      <c r="A1981" s="8" t="str">
        <f>IFERROR(INDEX('بيانات الحركات'!A:A,MATCH(1980,'بيانات الحركات'!$G:$G,0)),"")</f>
        <v/>
      </c>
      <c r="B1981" s="5" t="str">
        <f>IFERROR(INDEX('بيانات الحركات'!B:B,MATCH(1980,'بيانات الحركات'!$G:$G,0)),"")</f>
        <v/>
      </c>
      <c r="C1981" s="3" t="str">
        <f>IFERROR(INDEX('بيانات الحركات'!C:C,MATCH(1980,'بيانات الحركات'!$G:$G,0)),"")</f>
        <v/>
      </c>
      <c r="D1981" s="3" t="str">
        <f>IFERROR(INDEX('بيانات الحركات'!D:D,MATCH(1980,'بيانات الحركات'!$G:$G,0)),"")</f>
        <v/>
      </c>
      <c r="E1981" s="21" t="str">
        <f>IF($B1981="إنتاج طبخة","",IFERROR(INDEX('بيانات الحركات'!E:E,MATCH(1980,'بيانات الحركات'!$G:$G,0)),""))</f>
        <v/>
      </c>
      <c r="F1981" s="3" t="str">
        <f>IFERROR(INDEX('بيانات الحركات'!F:F,MATCH(1980,'بيانات الحركات'!$G:$G,0)),"")</f>
        <v/>
      </c>
    </row>
    <row r="1982" spans="1:6" ht="21.95" customHeight="1">
      <c r="A1982" s="8" t="str">
        <f>IFERROR(INDEX('بيانات الحركات'!A:A,MATCH(1981,'بيانات الحركات'!$G:$G,0)),"")</f>
        <v/>
      </c>
      <c r="B1982" s="5" t="str">
        <f>IFERROR(INDEX('بيانات الحركات'!B:B,MATCH(1981,'بيانات الحركات'!$G:$G,0)),"")</f>
        <v/>
      </c>
      <c r="C1982" s="3" t="str">
        <f>IFERROR(INDEX('بيانات الحركات'!C:C,MATCH(1981,'بيانات الحركات'!$G:$G,0)),"")</f>
        <v/>
      </c>
      <c r="D1982" s="3" t="str">
        <f>IFERROR(INDEX('بيانات الحركات'!D:D,MATCH(1981,'بيانات الحركات'!$G:$G,0)),"")</f>
        <v/>
      </c>
      <c r="E1982" s="21" t="str">
        <f>IF($B1982="إنتاج طبخة","",IFERROR(INDEX('بيانات الحركات'!E:E,MATCH(1981,'بيانات الحركات'!$G:$G,0)),""))</f>
        <v/>
      </c>
      <c r="F1982" s="3" t="str">
        <f>IFERROR(INDEX('بيانات الحركات'!F:F,MATCH(1981,'بيانات الحركات'!$G:$G,0)),"")</f>
        <v/>
      </c>
    </row>
    <row r="1983" spans="1:6" ht="21.95" customHeight="1">
      <c r="A1983" s="8" t="str">
        <f>IFERROR(INDEX('بيانات الحركات'!A:A,MATCH(1982,'بيانات الحركات'!$G:$G,0)),"")</f>
        <v/>
      </c>
      <c r="B1983" s="5" t="str">
        <f>IFERROR(INDEX('بيانات الحركات'!B:B,MATCH(1982,'بيانات الحركات'!$G:$G,0)),"")</f>
        <v/>
      </c>
      <c r="C1983" s="3" t="str">
        <f>IFERROR(INDEX('بيانات الحركات'!C:C,MATCH(1982,'بيانات الحركات'!$G:$G,0)),"")</f>
        <v/>
      </c>
      <c r="D1983" s="3" t="str">
        <f>IFERROR(INDEX('بيانات الحركات'!D:D,MATCH(1982,'بيانات الحركات'!$G:$G,0)),"")</f>
        <v/>
      </c>
      <c r="E1983" s="21" t="str">
        <f>IF($B1983="إنتاج طبخة","",IFERROR(INDEX('بيانات الحركات'!E:E,MATCH(1982,'بيانات الحركات'!$G:$G,0)),""))</f>
        <v/>
      </c>
      <c r="F1983" s="3" t="str">
        <f>IFERROR(INDEX('بيانات الحركات'!F:F,MATCH(1982,'بيانات الحركات'!$G:$G,0)),"")</f>
        <v/>
      </c>
    </row>
    <row r="1984" spans="1:6" ht="21.95" customHeight="1">
      <c r="A1984" s="8" t="str">
        <f>IFERROR(INDEX('بيانات الحركات'!A:A,MATCH(1983,'بيانات الحركات'!$G:$G,0)),"")</f>
        <v/>
      </c>
      <c r="B1984" s="5" t="str">
        <f>IFERROR(INDEX('بيانات الحركات'!B:B,MATCH(1983,'بيانات الحركات'!$G:$G,0)),"")</f>
        <v/>
      </c>
      <c r="C1984" s="3" t="str">
        <f>IFERROR(INDEX('بيانات الحركات'!C:C,MATCH(1983,'بيانات الحركات'!$G:$G,0)),"")</f>
        <v/>
      </c>
      <c r="D1984" s="3" t="str">
        <f>IFERROR(INDEX('بيانات الحركات'!D:D,MATCH(1983,'بيانات الحركات'!$G:$G,0)),"")</f>
        <v/>
      </c>
      <c r="E1984" s="21" t="str">
        <f>IF($B1984="إنتاج طبخة","",IFERROR(INDEX('بيانات الحركات'!E:E,MATCH(1983,'بيانات الحركات'!$G:$G,0)),""))</f>
        <v/>
      </c>
      <c r="F1984" s="3" t="str">
        <f>IFERROR(INDEX('بيانات الحركات'!F:F,MATCH(1983,'بيانات الحركات'!$G:$G,0)),"")</f>
        <v/>
      </c>
    </row>
    <row r="1985" spans="1:6" ht="21.95" customHeight="1">
      <c r="A1985" s="8" t="str">
        <f>IFERROR(INDEX('بيانات الحركات'!A:A,MATCH(1984,'بيانات الحركات'!$G:$G,0)),"")</f>
        <v/>
      </c>
      <c r="B1985" s="5" t="str">
        <f>IFERROR(INDEX('بيانات الحركات'!B:B,MATCH(1984,'بيانات الحركات'!$G:$G,0)),"")</f>
        <v/>
      </c>
      <c r="C1985" s="3" t="str">
        <f>IFERROR(INDEX('بيانات الحركات'!C:C,MATCH(1984,'بيانات الحركات'!$G:$G,0)),"")</f>
        <v/>
      </c>
      <c r="D1985" s="3" t="str">
        <f>IFERROR(INDEX('بيانات الحركات'!D:D,MATCH(1984,'بيانات الحركات'!$G:$G,0)),"")</f>
        <v/>
      </c>
      <c r="E1985" s="21" t="str">
        <f>IF($B1985="إنتاج طبخة","",IFERROR(INDEX('بيانات الحركات'!E:E,MATCH(1984,'بيانات الحركات'!$G:$G,0)),""))</f>
        <v/>
      </c>
      <c r="F1985" s="3" t="str">
        <f>IFERROR(INDEX('بيانات الحركات'!F:F,MATCH(1984,'بيانات الحركات'!$G:$G,0)),"")</f>
        <v/>
      </c>
    </row>
    <row r="1986" spans="1:6" ht="21.95" customHeight="1">
      <c r="A1986" s="8" t="str">
        <f>IFERROR(INDEX('بيانات الحركات'!A:A,MATCH(1985,'بيانات الحركات'!$G:$G,0)),"")</f>
        <v/>
      </c>
      <c r="B1986" s="5" t="str">
        <f>IFERROR(INDEX('بيانات الحركات'!B:B,MATCH(1985,'بيانات الحركات'!$G:$G,0)),"")</f>
        <v/>
      </c>
      <c r="C1986" s="3" t="str">
        <f>IFERROR(INDEX('بيانات الحركات'!C:C,MATCH(1985,'بيانات الحركات'!$G:$G,0)),"")</f>
        <v/>
      </c>
      <c r="D1986" s="3" t="str">
        <f>IFERROR(INDEX('بيانات الحركات'!D:D,MATCH(1985,'بيانات الحركات'!$G:$G,0)),"")</f>
        <v/>
      </c>
      <c r="E1986" s="21" t="str">
        <f>IF($B1986="إنتاج طبخة","",IFERROR(INDEX('بيانات الحركات'!E:E,MATCH(1985,'بيانات الحركات'!$G:$G,0)),""))</f>
        <v/>
      </c>
      <c r="F1986" s="3" t="str">
        <f>IFERROR(INDEX('بيانات الحركات'!F:F,MATCH(1985,'بيانات الحركات'!$G:$G,0)),"")</f>
        <v/>
      </c>
    </row>
    <row r="1987" spans="1:6" ht="21.95" customHeight="1">
      <c r="A1987" s="8" t="str">
        <f>IFERROR(INDEX('بيانات الحركات'!A:A,MATCH(1986,'بيانات الحركات'!$G:$G,0)),"")</f>
        <v/>
      </c>
      <c r="B1987" s="5" t="str">
        <f>IFERROR(INDEX('بيانات الحركات'!B:B,MATCH(1986,'بيانات الحركات'!$G:$G,0)),"")</f>
        <v/>
      </c>
      <c r="C1987" s="3" t="str">
        <f>IFERROR(INDEX('بيانات الحركات'!C:C,MATCH(1986,'بيانات الحركات'!$G:$G,0)),"")</f>
        <v/>
      </c>
      <c r="D1987" s="3" t="str">
        <f>IFERROR(INDEX('بيانات الحركات'!D:D,MATCH(1986,'بيانات الحركات'!$G:$G,0)),"")</f>
        <v/>
      </c>
      <c r="E1987" s="21" t="str">
        <f>IF($B1987="إنتاج طبخة","",IFERROR(INDEX('بيانات الحركات'!E:E,MATCH(1986,'بيانات الحركات'!$G:$G,0)),""))</f>
        <v/>
      </c>
      <c r="F1987" s="3" t="str">
        <f>IFERROR(INDEX('بيانات الحركات'!F:F,MATCH(1986,'بيانات الحركات'!$G:$G,0)),"")</f>
        <v/>
      </c>
    </row>
    <row r="1988" spans="1:6" ht="21.95" customHeight="1">
      <c r="A1988" s="8" t="str">
        <f>IFERROR(INDEX('بيانات الحركات'!A:A,MATCH(1987,'بيانات الحركات'!$G:$G,0)),"")</f>
        <v/>
      </c>
      <c r="B1988" s="5" t="str">
        <f>IFERROR(INDEX('بيانات الحركات'!B:B,MATCH(1987,'بيانات الحركات'!$G:$G,0)),"")</f>
        <v/>
      </c>
      <c r="C1988" s="3" t="str">
        <f>IFERROR(INDEX('بيانات الحركات'!C:C,MATCH(1987,'بيانات الحركات'!$G:$G,0)),"")</f>
        <v/>
      </c>
      <c r="D1988" s="3" t="str">
        <f>IFERROR(INDEX('بيانات الحركات'!D:D,MATCH(1987,'بيانات الحركات'!$G:$G,0)),"")</f>
        <v/>
      </c>
      <c r="E1988" s="21" t="str">
        <f>IF($B1988="إنتاج طبخة","",IFERROR(INDEX('بيانات الحركات'!E:E,MATCH(1987,'بيانات الحركات'!$G:$G,0)),""))</f>
        <v/>
      </c>
      <c r="F1988" s="3" t="str">
        <f>IFERROR(INDEX('بيانات الحركات'!F:F,MATCH(1987,'بيانات الحركات'!$G:$G,0)),"")</f>
        <v/>
      </c>
    </row>
    <row r="1989" spans="1:6" ht="21.95" customHeight="1">
      <c r="A1989" s="8" t="str">
        <f>IFERROR(INDEX('بيانات الحركات'!A:A,MATCH(1988,'بيانات الحركات'!$G:$G,0)),"")</f>
        <v/>
      </c>
      <c r="B1989" s="5" t="str">
        <f>IFERROR(INDEX('بيانات الحركات'!B:B,MATCH(1988,'بيانات الحركات'!$G:$G,0)),"")</f>
        <v/>
      </c>
      <c r="C1989" s="3" t="str">
        <f>IFERROR(INDEX('بيانات الحركات'!C:C,MATCH(1988,'بيانات الحركات'!$G:$G,0)),"")</f>
        <v/>
      </c>
      <c r="D1989" s="3" t="str">
        <f>IFERROR(INDEX('بيانات الحركات'!D:D,MATCH(1988,'بيانات الحركات'!$G:$G,0)),"")</f>
        <v/>
      </c>
      <c r="E1989" s="21" t="str">
        <f>IF($B1989="إنتاج طبخة","",IFERROR(INDEX('بيانات الحركات'!E:E,MATCH(1988,'بيانات الحركات'!$G:$G,0)),""))</f>
        <v/>
      </c>
      <c r="F1989" s="3" t="str">
        <f>IFERROR(INDEX('بيانات الحركات'!F:F,MATCH(1988,'بيانات الحركات'!$G:$G,0)),"")</f>
        <v/>
      </c>
    </row>
    <row r="1990" spans="1:6" ht="21.95" customHeight="1">
      <c r="A1990" s="8" t="str">
        <f>IFERROR(INDEX('بيانات الحركات'!A:A,MATCH(1989,'بيانات الحركات'!$G:$G,0)),"")</f>
        <v/>
      </c>
      <c r="B1990" s="5" t="str">
        <f>IFERROR(INDEX('بيانات الحركات'!B:B,MATCH(1989,'بيانات الحركات'!$G:$G,0)),"")</f>
        <v/>
      </c>
      <c r="C1990" s="3" t="str">
        <f>IFERROR(INDEX('بيانات الحركات'!C:C,MATCH(1989,'بيانات الحركات'!$G:$G,0)),"")</f>
        <v/>
      </c>
      <c r="D1990" s="3" t="str">
        <f>IFERROR(INDEX('بيانات الحركات'!D:D,MATCH(1989,'بيانات الحركات'!$G:$G,0)),"")</f>
        <v/>
      </c>
      <c r="E1990" s="21" t="str">
        <f>IF($B1990="إنتاج طبخة","",IFERROR(INDEX('بيانات الحركات'!E:E,MATCH(1989,'بيانات الحركات'!$G:$G,0)),""))</f>
        <v/>
      </c>
      <c r="F1990" s="3" t="str">
        <f>IFERROR(INDEX('بيانات الحركات'!F:F,MATCH(1989,'بيانات الحركات'!$G:$G,0)),"")</f>
        <v/>
      </c>
    </row>
    <row r="1991" spans="1:6" ht="21.95" customHeight="1">
      <c r="A1991" s="8" t="str">
        <f>IFERROR(INDEX('بيانات الحركات'!A:A,MATCH(1990,'بيانات الحركات'!$G:$G,0)),"")</f>
        <v/>
      </c>
      <c r="B1991" s="5" t="str">
        <f>IFERROR(INDEX('بيانات الحركات'!B:B,MATCH(1990,'بيانات الحركات'!$G:$G,0)),"")</f>
        <v/>
      </c>
      <c r="C1991" s="3" t="str">
        <f>IFERROR(INDEX('بيانات الحركات'!C:C,MATCH(1990,'بيانات الحركات'!$G:$G,0)),"")</f>
        <v/>
      </c>
      <c r="D1991" s="3" t="str">
        <f>IFERROR(INDEX('بيانات الحركات'!D:D,MATCH(1990,'بيانات الحركات'!$G:$G,0)),"")</f>
        <v/>
      </c>
      <c r="E1991" s="21" t="str">
        <f>IF($B1991="إنتاج طبخة","",IFERROR(INDEX('بيانات الحركات'!E:E,MATCH(1990,'بيانات الحركات'!$G:$G,0)),""))</f>
        <v/>
      </c>
      <c r="F1991" s="3" t="str">
        <f>IFERROR(INDEX('بيانات الحركات'!F:F,MATCH(1990,'بيانات الحركات'!$G:$G,0)),"")</f>
        <v/>
      </c>
    </row>
    <row r="1992" spans="1:6" ht="21.95" customHeight="1">
      <c r="A1992" s="8" t="str">
        <f>IFERROR(INDEX('بيانات الحركات'!A:A,MATCH(1991,'بيانات الحركات'!$G:$G,0)),"")</f>
        <v/>
      </c>
      <c r="B1992" s="5" t="str">
        <f>IFERROR(INDEX('بيانات الحركات'!B:B,MATCH(1991,'بيانات الحركات'!$G:$G,0)),"")</f>
        <v/>
      </c>
      <c r="C1992" s="3" t="str">
        <f>IFERROR(INDEX('بيانات الحركات'!C:C,MATCH(1991,'بيانات الحركات'!$G:$G,0)),"")</f>
        <v/>
      </c>
      <c r="D1992" s="3" t="str">
        <f>IFERROR(INDEX('بيانات الحركات'!D:D,MATCH(1991,'بيانات الحركات'!$G:$G,0)),"")</f>
        <v/>
      </c>
      <c r="E1992" s="21" t="str">
        <f>IF($B1992="إنتاج طبخة","",IFERROR(INDEX('بيانات الحركات'!E:E,MATCH(1991,'بيانات الحركات'!$G:$G,0)),""))</f>
        <v/>
      </c>
      <c r="F1992" s="3" t="str">
        <f>IFERROR(INDEX('بيانات الحركات'!F:F,MATCH(1991,'بيانات الحركات'!$G:$G,0)),"")</f>
        <v/>
      </c>
    </row>
    <row r="1993" spans="1:6" ht="21.95" customHeight="1">
      <c r="A1993" s="8" t="str">
        <f>IFERROR(INDEX('بيانات الحركات'!A:A,MATCH(1992,'بيانات الحركات'!$G:$G,0)),"")</f>
        <v/>
      </c>
      <c r="B1993" s="5" t="str">
        <f>IFERROR(INDEX('بيانات الحركات'!B:B,MATCH(1992,'بيانات الحركات'!$G:$G,0)),"")</f>
        <v/>
      </c>
      <c r="C1993" s="3" t="str">
        <f>IFERROR(INDEX('بيانات الحركات'!C:C,MATCH(1992,'بيانات الحركات'!$G:$G,0)),"")</f>
        <v/>
      </c>
      <c r="D1993" s="3" t="str">
        <f>IFERROR(INDEX('بيانات الحركات'!D:D,MATCH(1992,'بيانات الحركات'!$G:$G,0)),"")</f>
        <v/>
      </c>
      <c r="E1993" s="21" t="str">
        <f>IF($B1993="إنتاج طبخة","",IFERROR(INDEX('بيانات الحركات'!E:E,MATCH(1992,'بيانات الحركات'!$G:$G,0)),""))</f>
        <v/>
      </c>
      <c r="F1993" s="3" t="str">
        <f>IFERROR(INDEX('بيانات الحركات'!F:F,MATCH(1992,'بيانات الحركات'!$G:$G,0)),"")</f>
        <v/>
      </c>
    </row>
    <row r="1994" spans="1:6" ht="21.95" customHeight="1">
      <c r="A1994" s="8" t="str">
        <f>IFERROR(INDEX('بيانات الحركات'!A:A,MATCH(1993,'بيانات الحركات'!$G:$G,0)),"")</f>
        <v/>
      </c>
      <c r="B1994" s="5" t="str">
        <f>IFERROR(INDEX('بيانات الحركات'!B:B,MATCH(1993,'بيانات الحركات'!$G:$G,0)),"")</f>
        <v/>
      </c>
      <c r="C1994" s="3" t="str">
        <f>IFERROR(INDEX('بيانات الحركات'!C:C,MATCH(1993,'بيانات الحركات'!$G:$G,0)),"")</f>
        <v/>
      </c>
      <c r="D1994" s="3" t="str">
        <f>IFERROR(INDEX('بيانات الحركات'!D:D,MATCH(1993,'بيانات الحركات'!$G:$G,0)),"")</f>
        <v/>
      </c>
      <c r="E1994" s="21" t="str">
        <f>IF($B1994="إنتاج طبخة","",IFERROR(INDEX('بيانات الحركات'!E:E,MATCH(1993,'بيانات الحركات'!$G:$G,0)),""))</f>
        <v/>
      </c>
      <c r="F1994" s="3" t="str">
        <f>IFERROR(INDEX('بيانات الحركات'!F:F,MATCH(1993,'بيانات الحركات'!$G:$G,0)),"")</f>
        <v/>
      </c>
    </row>
    <row r="1995" spans="1:6" ht="21.95" customHeight="1">
      <c r="A1995" s="8" t="str">
        <f>IFERROR(INDEX('بيانات الحركات'!A:A,MATCH(1994,'بيانات الحركات'!$G:$G,0)),"")</f>
        <v/>
      </c>
      <c r="B1995" s="5" t="str">
        <f>IFERROR(INDEX('بيانات الحركات'!B:B,MATCH(1994,'بيانات الحركات'!$G:$G,0)),"")</f>
        <v/>
      </c>
      <c r="C1995" s="3" t="str">
        <f>IFERROR(INDEX('بيانات الحركات'!C:C,MATCH(1994,'بيانات الحركات'!$G:$G,0)),"")</f>
        <v/>
      </c>
      <c r="D1995" s="3" t="str">
        <f>IFERROR(INDEX('بيانات الحركات'!D:D,MATCH(1994,'بيانات الحركات'!$G:$G,0)),"")</f>
        <v/>
      </c>
      <c r="E1995" s="21" t="str">
        <f>IF($B1995="إنتاج طبخة","",IFERROR(INDEX('بيانات الحركات'!E:E,MATCH(1994,'بيانات الحركات'!$G:$G,0)),""))</f>
        <v/>
      </c>
      <c r="F1995" s="3" t="str">
        <f>IFERROR(INDEX('بيانات الحركات'!F:F,MATCH(1994,'بيانات الحركات'!$G:$G,0)),"")</f>
        <v/>
      </c>
    </row>
    <row r="1996" spans="1:6" ht="21.95" customHeight="1">
      <c r="A1996" s="8" t="str">
        <f>IFERROR(INDEX('بيانات الحركات'!A:A,MATCH(1995,'بيانات الحركات'!$G:$G,0)),"")</f>
        <v/>
      </c>
      <c r="B1996" s="5" t="str">
        <f>IFERROR(INDEX('بيانات الحركات'!B:B,MATCH(1995,'بيانات الحركات'!$G:$G,0)),"")</f>
        <v/>
      </c>
      <c r="C1996" s="3" t="str">
        <f>IFERROR(INDEX('بيانات الحركات'!C:C,MATCH(1995,'بيانات الحركات'!$G:$G,0)),"")</f>
        <v/>
      </c>
      <c r="D1996" s="3" t="str">
        <f>IFERROR(INDEX('بيانات الحركات'!D:D,MATCH(1995,'بيانات الحركات'!$G:$G,0)),"")</f>
        <v/>
      </c>
      <c r="E1996" s="21" t="str">
        <f>IF($B1996="إنتاج طبخة","",IFERROR(INDEX('بيانات الحركات'!E:E,MATCH(1995,'بيانات الحركات'!$G:$G,0)),""))</f>
        <v/>
      </c>
      <c r="F1996" s="3" t="str">
        <f>IFERROR(INDEX('بيانات الحركات'!F:F,MATCH(1995,'بيانات الحركات'!$G:$G,0)),"")</f>
        <v/>
      </c>
    </row>
    <row r="1997" spans="1:6" ht="21.95" customHeight="1">
      <c r="A1997" s="8" t="str">
        <f>IFERROR(INDEX('بيانات الحركات'!A:A,MATCH(1996,'بيانات الحركات'!$G:$G,0)),"")</f>
        <v/>
      </c>
      <c r="B1997" s="5" t="str">
        <f>IFERROR(INDEX('بيانات الحركات'!B:B,MATCH(1996,'بيانات الحركات'!$G:$G,0)),"")</f>
        <v/>
      </c>
      <c r="C1997" s="3" t="str">
        <f>IFERROR(INDEX('بيانات الحركات'!C:C,MATCH(1996,'بيانات الحركات'!$G:$G,0)),"")</f>
        <v/>
      </c>
      <c r="D1997" s="3" t="str">
        <f>IFERROR(INDEX('بيانات الحركات'!D:D,MATCH(1996,'بيانات الحركات'!$G:$G,0)),"")</f>
        <v/>
      </c>
      <c r="E1997" s="21" t="str">
        <f>IF($B1997="إنتاج طبخة","",IFERROR(INDEX('بيانات الحركات'!E:E,MATCH(1996,'بيانات الحركات'!$G:$G,0)),""))</f>
        <v/>
      </c>
      <c r="F1997" s="3" t="str">
        <f>IFERROR(INDEX('بيانات الحركات'!F:F,MATCH(1996,'بيانات الحركات'!$G:$G,0)),"")</f>
        <v/>
      </c>
    </row>
    <row r="1998" spans="1:6" ht="21.95" customHeight="1">
      <c r="A1998" s="8" t="str">
        <f>IFERROR(INDEX('بيانات الحركات'!A:A,MATCH(1997,'بيانات الحركات'!$G:$G,0)),"")</f>
        <v/>
      </c>
      <c r="B1998" s="5" t="str">
        <f>IFERROR(INDEX('بيانات الحركات'!B:B,MATCH(1997,'بيانات الحركات'!$G:$G,0)),"")</f>
        <v/>
      </c>
      <c r="C1998" s="3" t="str">
        <f>IFERROR(INDEX('بيانات الحركات'!C:C,MATCH(1997,'بيانات الحركات'!$G:$G,0)),"")</f>
        <v/>
      </c>
      <c r="D1998" s="3" t="str">
        <f>IFERROR(INDEX('بيانات الحركات'!D:D,MATCH(1997,'بيانات الحركات'!$G:$G,0)),"")</f>
        <v/>
      </c>
      <c r="E1998" s="21" t="str">
        <f>IF($B1998="إنتاج طبخة","",IFERROR(INDEX('بيانات الحركات'!E:E,MATCH(1997,'بيانات الحركات'!$G:$G,0)),""))</f>
        <v/>
      </c>
      <c r="F1998" s="3" t="str">
        <f>IFERROR(INDEX('بيانات الحركات'!F:F,MATCH(1997,'بيانات الحركات'!$G:$G,0)),"")</f>
        <v/>
      </c>
    </row>
    <row r="1999" spans="1:6" ht="21.95" customHeight="1">
      <c r="A1999" s="8" t="str">
        <f>IFERROR(INDEX('بيانات الحركات'!A:A,MATCH(1998,'بيانات الحركات'!$G:$G,0)),"")</f>
        <v/>
      </c>
      <c r="B1999" s="5" t="str">
        <f>IFERROR(INDEX('بيانات الحركات'!B:B,MATCH(1998,'بيانات الحركات'!$G:$G,0)),"")</f>
        <v/>
      </c>
      <c r="C1999" s="3" t="str">
        <f>IFERROR(INDEX('بيانات الحركات'!C:C,MATCH(1998,'بيانات الحركات'!$G:$G,0)),"")</f>
        <v/>
      </c>
      <c r="D1999" s="3" t="str">
        <f>IFERROR(INDEX('بيانات الحركات'!D:D,MATCH(1998,'بيانات الحركات'!$G:$G,0)),"")</f>
        <v/>
      </c>
      <c r="E1999" s="21" t="str">
        <f>IF($B1999="إنتاج طبخة","",IFERROR(INDEX('بيانات الحركات'!E:E,MATCH(1998,'بيانات الحركات'!$G:$G,0)),""))</f>
        <v/>
      </c>
      <c r="F1999" s="3" t="str">
        <f>IFERROR(INDEX('بيانات الحركات'!F:F,MATCH(1998,'بيانات الحركات'!$G:$G,0)),"")</f>
        <v/>
      </c>
    </row>
    <row r="2000" spans="1:6" ht="21.95" customHeight="1">
      <c r="A2000" s="8" t="str">
        <f>IFERROR(INDEX('بيانات الحركات'!A:A,MATCH(1999,'بيانات الحركات'!$G:$G,0)),"")</f>
        <v/>
      </c>
      <c r="B2000" s="5" t="str">
        <f>IFERROR(INDEX('بيانات الحركات'!B:B,MATCH(1999,'بيانات الحركات'!$G:$G,0)),"")</f>
        <v/>
      </c>
      <c r="C2000" s="3" t="str">
        <f>IFERROR(INDEX('بيانات الحركات'!C:C,MATCH(1999,'بيانات الحركات'!$G:$G,0)),"")</f>
        <v/>
      </c>
      <c r="D2000" s="3" t="str">
        <f>IFERROR(INDEX('بيانات الحركات'!D:D,MATCH(1999,'بيانات الحركات'!$G:$G,0)),"")</f>
        <v/>
      </c>
      <c r="E2000" s="21" t="str">
        <f>IF($B2000="إنتاج طبخة","",IFERROR(INDEX('بيانات الحركات'!E:E,MATCH(1999,'بيانات الحركات'!$G:$G,0)),""))</f>
        <v/>
      </c>
      <c r="F2000" s="3" t="str">
        <f>IFERROR(INDEX('بيانات الحركات'!F:F,MATCH(1999,'بيانات الحركات'!$G:$G,0)),"")</f>
        <v/>
      </c>
    </row>
    <row r="2001" spans="1:6" ht="21.95" customHeight="1">
      <c r="A2001" s="8" t="str">
        <f>IFERROR(INDEX('بيانات الحركات'!A:A,MATCH(2000,'بيانات الحركات'!$G:$G,0)),"")</f>
        <v/>
      </c>
      <c r="B2001" s="5" t="str">
        <f>IFERROR(INDEX('بيانات الحركات'!B:B,MATCH(2000,'بيانات الحركات'!$G:$G,0)),"")</f>
        <v/>
      </c>
      <c r="C2001" s="3" t="str">
        <f>IFERROR(INDEX('بيانات الحركات'!C:C,MATCH(2000,'بيانات الحركات'!$G:$G,0)),"")</f>
        <v/>
      </c>
      <c r="D2001" s="3" t="str">
        <f>IFERROR(INDEX('بيانات الحركات'!D:D,MATCH(2000,'بيانات الحركات'!$G:$G,0)),"")</f>
        <v/>
      </c>
      <c r="E2001" s="21" t="str">
        <f>IF($B2001="إنتاج طبخة","",IFERROR(INDEX('بيانات الحركات'!E:E,MATCH(2000,'بيانات الحركات'!$G:$G,0)),""))</f>
        <v/>
      </c>
      <c r="F2001" s="3" t="str">
        <f>IFERROR(INDEX('بيانات الحركات'!F:F,MATCH(2000,'بيانات الحركات'!$G:$G,0)),"")</f>
        <v/>
      </c>
    </row>
  </sheetData>
  <sheetProtection sheet="1" formatCells="0" formatColumns="0" formatRows="0" insertColumns="0" insertRows="0" deleteColumns="0" deleteRows="0" autoFilter="0"/>
  <autoFilter ref="A1:F2001" xr:uid="{00000000-0009-0000-0000-000008000000}"/>
  <conditionalFormatting sqref="A2:F2001">
    <cfRule type="expression" dxfId="5" priority="1">
      <formula>$B2="شراء"</formula>
    </cfRule>
    <cfRule type="expression" dxfId="4" priority="2">
      <formula>$B2="صرف مباشر"</formula>
    </cfRule>
    <cfRule type="expression" dxfId="3" priority="3">
      <formula>$B2="إنتاج طبخة"</formula>
    </cfRule>
    <cfRule type="expression" dxfId="2" priority="4">
      <formula>$B2="تعديل جرد"</formula>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F7F7F"/>
  </sheetPr>
  <dimension ref="A1:B50"/>
  <sheetViews>
    <sheetView showGridLines="0" rightToLeft="1" topLeftCell="A19" workbookViewId="0">
      <selection sqref="A1:B1"/>
    </sheetView>
  </sheetViews>
  <sheetFormatPr defaultRowHeight="14.25"/>
  <cols>
    <col min="1" max="1" width="4" customWidth="1"/>
    <col min="2" max="2" width="105" customWidth="1"/>
  </cols>
  <sheetData>
    <row r="1" spans="1:2" ht="36" customHeight="1">
      <c r="A1" s="40" t="s">
        <v>186</v>
      </c>
      <c r="B1" s="26"/>
    </row>
    <row r="4" spans="1:2" ht="18">
      <c r="B4" s="1" t="s">
        <v>187</v>
      </c>
    </row>
    <row r="5" spans="1:2" ht="39.950000000000003" customHeight="1">
      <c r="B5" s="22" t="s">
        <v>188</v>
      </c>
    </row>
    <row r="7" spans="1:2" ht="18">
      <c r="B7" s="1" t="s">
        <v>189</v>
      </c>
    </row>
    <row r="8" spans="1:2" ht="39.950000000000003" customHeight="1">
      <c r="B8" s="22" t="s">
        <v>190</v>
      </c>
    </row>
    <row r="9" spans="1:2" ht="39.950000000000003" customHeight="1">
      <c r="B9" s="22" t="s">
        <v>191</v>
      </c>
    </row>
    <row r="10" spans="1:2" ht="39.950000000000003" customHeight="1">
      <c r="B10" s="22" t="s">
        <v>192</v>
      </c>
    </row>
    <row r="11" spans="1:2" ht="39.950000000000003" customHeight="1">
      <c r="B11" s="22" t="s">
        <v>193</v>
      </c>
    </row>
    <row r="12" spans="1:2" ht="39.950000000000003" customHeight="1">
      <c r="B12" s="22" t="s">
        <v>194</v>
      </c>
    </row>
    <row r="14" spans="1:2" ht="18">
      <c r="B14" s="1" t="s">
        <v>195</v>
      </c>
    </row>
    <row r="15" spans="1:2" ht="39.950000000000003" customHeight="1">
      <c r="B15" s="22" t="s">
        <v>196</v>
      </c>
    </row>
    <row r="16" spans="1:2" ht="39.950000000000003" customHeight="1">
      <c r="B16" s="22" t="s">
        <v>197</v>
      </c>
    </row>
    <row r="18" spans="2:2" ht="18">
      <c r="B18" s="1" t="s">
        <v>198</v>
      </c>
    </row>
    <row r="19" spans="2:2" ht="39.950000000000003" customHeight="1">
      <c r="B19" s="22" t="s">
        <v>199</v>
      </c>
    </row>
    <row r="20" spans="2:2" ht="39.950000000000003" customHeight="1">
      <c r="B20" s="22" t="s">
        <v>200</v>
      </c>
    </row>
    <row r="21" spans="2:2" ht="39.950000000000003" customHeight="1">
      <c r="B21" s="22" t="s">
        <v>201</v>
      </c>
    </row>
    <row r="23" spans="2:2" ht="18">
      <c r="B23" s="1" t="s">
        <v>202</v>
      </c>
    </row>
    <row r="24" spans="2:2" ht="39.950000000000003" customHeight="1">
      <c r="B24" s="22" t="s">
        <v>203</v>
      </c>
    </row>
    <row r="25" spans="2:2" ht="39.950000000000003" customHeight="1">
      <c r="B25" s="22" t="s">
        <v>204</v>
      </c>
    </row>
    <row r="26" spans="2:2" ht="39.950000000000003" customHeight="1">
      <c r="B26" s="22" t="s">
        <v>205</v>
      </c>
    </row>
    <row r="28" spans="2:2" ht="18">
      <c r="B28" s="1" t="s">
        <v>206</v>
      </c>
    </row>
    <row r="29" spans="2:2" ht="39.950000000000003" customHeight="1">
      <c r="B29" s="22" t="s">
        <v>207</v>
      </c>
    </row>
    <row r="31" spans="2:2" ht="18">
      <c r="B31" s="1" t="s">
        <v>208</v>
      </c>
    </row>
    <row r="32" spans="2:2" ht="39.950000000000003" customHeight="1">
      <c r="B32" s="22" t="s">
        <v>209</v>
      </c>
    </row>
    <row r="34" spans="2:2" ht="18">
      <c r="B34" s="1" t="s">
        <v>210</v>
      </c>
    </row>
    <row r="35" spans="2:2" ht="39.950000000000003" customHeight="1">
      <c r="B35" s="22" t="s">
        <v>211</v>
      </c>
    </row>
    <row r="36" spans="2:2" ht="39.950000000000003" customHeight="1">
      <c r="B36" s="22" t="s">
        <v>212</v>
      </c>
    </row>
    <row r="37" spans="2:2" ht="39.950000000000003" customHeight="1">
      <c r="B37" s="22" t="s">
        <v>213</v>
      </c>
    </row>
    <row r="38" spans="2:2" ht="39.950000000000003" customHeight="1">
      <c r="B38" s="22" t="s">
        <v>214</v>
      </c>
    </row>
    <row r="39" spans="2:2" ht="39.950000000000003" customHeight="1">
      <c r="B39" s="22" t="s">
        <v>215</v>
      </c>
    </row>
    <row r="40" spans="2:2" ht="39.950000000000003" customHeight="1">
      <c r="B40" s="22" t="s">
        <v>216</v>
      </c>
    </row>
    <row r="42" spans="2:2" ht="18">
      <c r="B42" s="1" t="s">
        <v>217</v>
      </c>
    </row>
    <row r="43" spans="2:2" ht="39.950000000000003" customHeight="1">
      <c r="B43" s="22" t="s">
        <v>218</v>
      </c>
    </row>
    <row r="45" spans="2:2" ht="18">
      <c r="B45" s="1" t="s">
        <v>219</v>
      </c>
    </row>
    <row r="46" spans="2:2" ht="39.950000000000003" customHeight="1">
      <c r="B46" s="22" t="s">
        <v>220</v>
      </c>
    </row>
    <row r="48" spans="2:2" ht="18">
      <c r="B48" s="1" t="s">
        <v>221</v>
      </c>
    </row>
    <row r="49" spans="2:2" ht="39.950000000000003" customHeight="1">
      <c r="B49" s="22" t="s">
        <v>222</v>
      </c>
    </row>
    <row r="50" spans="2:2" ht="39.950000000000003" customHeight="1">
      <c r="B50" s="22" t="s">
        <v>223</v>
      </c>
    </row>
  </sheetData>
  <mergeCells count="1">
    <mergeCell ref="A1:B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320"/>
  <sheetViews>
    <sheetView rightToLeft="1" workbookViewId="0"/>
  </sheetViews>
  <sheetFormatPr defaultRowHeight="14.25"/>
  <cols>
    <col min="1" max="1" width="28" customWidth="1"/>
    <col min="2" max="2" width="36" customWidth="1"/>
    <col min="3" max="3" width="4" customWidth="1"/>
    <col min="4" max="4" width="16" customWidth="1"/>
    <col min="5" max="5" width="4" customWidth="1"/>
    <col min="6" max="6" width="18" customWidth="1"/>
  </cols>
  <sheetData>
    <row r="1" spans="1:6" ht="33">
      <c r="A1" s="14" t="s">
        <v>224</v>
      </c>
      <c r="B1" s="14" t="s">
        <v>225</v>
      </c>
      <c r="C1" s="14"/>
      <c r="D1" s="14" t="s">
        <v>226</v>
      </c>
      <c r="E1" s="14"/>
      <c r="F1" s="14" t="s">
        <v>227</v>
      </c>
    </row>
    <row r="2" spans="1:6">
      <c r="A2" t="str">
        <f>المواد!A2</f>
        <v>ملح</v>
      </c>
      <c r="B2" t="str">
        <f>IFERROR(INDEX(الطبخات!$F$2:$F$900,MATCH(1,الطبخات!$G$2:$G$900,0)),"")</f>
        <v>دوا غسيل بودرا 157 كغ - ببوري</v>
      </c>
      <c r="D2">
        <f>IF($B2="","",COUNTIF('سجل الإنتاج'!$C$2:$C$501,$B2))</f>
        <v>0</v>
      </c>
      <c r="F2">
        <f>IF($A2="","",ROUND(SUMIFS('الصرف المباشر'!$D$2:$D$501,'الصرف المباشر'!$C$2:$C$501,$A2)+SUMPRODUCT((الطبخات!$B$2:$B$900=$A2)*الطبخات!$C$2:$C$900*COUNTIF('سجل الإنتاج'!$C$2:$C$501,الطبخات!$A$2:$A$900)),3))</f>
        <v>100</v>
      </c>
    </row>
    <row r="3" spans="1:6">
      <c r="A3" t="str">
        <f>المواد!A3</f>
        <v>مقصب</v>
      </c>
      <c r="B3" t="str">
        <f>IFERROR(INDEX(الطبخات!$F$2:$F$900,MATCH(2,الطبخات!$G$2:$G$900,0)),"")</f>
        <v>دوا غسيل بودرا 45كغ مصنع</v>
      </c>
      <c r="D3">
        <f>IF($B3="","",COUNTIF('سجل الإنتاج'!$C$2:$C$501,$B3))</f>
        <v>0</v>
      </c>
      <c r="F3">
        <f>IF($A3="","",ROUND(SUMIFS('الصرف المباشر'!$D$2:$D$501,'الصرف المباشر'!$C$2:$C$501,$A3)+SUMPRODUCT((الطبخات!$B$2:$B$900=$A3)*الطبخات!$C$2:$C$900*COUNTIF('سجل الإنتاج'!$C$2:$C$501,الطبخات!$A$2:$A$900)),3))</f>
        <v>0</v>
      </c>
    </row>
    <row r="4" spans="1:6">
      <c r="A4" t="str">
        <f>المواد!A4</f>
        <v xml:space="preserve">مجمد </v>
      </c>
      <c r="B4" t="str">
        <f>IFERROR(INDEX(الطبخات!$F$2:$F$900,MATCH(3,الطبخات!$G$2:$G$900,0)),"")</f>
        <v>دوا غسيل بودرا 60 كغ -عطر ببوري</v>
      </c>
      <c r="D4">
        <f>IF($B4="","",COUNTIF('سجل الإنتاج'!$C$2:$C$501,$B4))</f>
        <v>0</v>
      </c>
      <c r="F4">
        <f>IF($A4="","",ROUND(SUMIFS('الصرف المباشر'!$D$2:$D$501,'الصرف المباشر'!$C$2:$C$501,$A4)+SUMPRODUCT((الطبخات!$B$2:$B$900=$A4)*الطبخات!$C$2:$C$900*COUNTIF('سجل الإنتاج'!$C$2:$C$501,الطبخات!$A$2:$A$900)),3))</f>
        <v>0</v>
      </c>
    </row>
    <row r="5" spans="1:6">
      <c r="A5" t="str">
        <f>المواد!A5</f>
        <v>مانع رغوة مائي</v>
      </c>
      <c r="B5" t="str">
        <f>IFERROR(INDEX(الطبخات!$F$2:$F$900,MATCH(4,الطبخات!$G$2:$G$900,0)),"")</f>
        <v>صابون سائل رمان - لافندر</v>
      </c>
      <c r="D5">
        <f>IF($B5="","",COUNTIF('سجل الإنتاج'!$C$2:$C$501,$B5))</f>
        <v>0</v>
      </c>
      <c r="F5">
        <f>IF($A5="","",ROUND(SUMIFS('الصرف المباشر'!$D$2:$D$501,'الصرف المباشر'!$C$2:$C$501,$A5)+SUMPRODUCT((الطبخات!$B$2:$B$900=$A5)*الطبخات!$C$2:$C$900*COUNTIF('سجل الإنتاج'!$C$2:$C$501,الطبخات!$A$2:$A$900)),3))</f>
        <v>0</v>
      </c>
    </row>
    <row r="6" spans="1:6">
      <c r="A6" t="str">
        <f>المواد!A6</f>
        <v>مانع رغوة سيليكون</v>
      </c>
      <c r="B6" t="str">
        <f>IFERROR(INDEX(الطبخات!$F$2:$F$900,MATCH(5,الطبخات!$G$2:$G$900,0)),"")</f>
        <v>صابون سائل عود</v>
      </c>
      <c r="D6">
        <f>IF($B6="","",COUNTIF('سجل الإنتاج'!$C$2:$C$501,$B6))</f>
        <v>0</v>
      </c>
      <c r="F6">
        <f>IF($A6="","",ROUND(SUMIFS('الصرف المباشر'!$D$2:$D$501,'الصرف المباشر'!$C$2:$C$501,$A6)+SUMPRODUCT((الطبخات!$B$2:$B$900=$A6)*الطبخات!$C$2:$C$900*COUNTIF('سجل الإنتاج'!$C$2:$C$501,الطبخات!$A$2:$A$900)),3))</f>
        <v>0</v>
      </c>
    </row>
    <row r="7" spans="1:6">
      <c r="A7" t="str">
        <f>المواد!A7</f>
        <v>ماء مقطرة</v>
      </c>
      <c r="B7" t="str">
        <f>IFERROR(INDEX(الطبخات!$F$2:$F$900,MATCH(6,الطبخات!$G$2:$G$900,0)),"")</f>
        <v>صابون سائل ماء الذهب</v>
      </c>
      <c r="D7">
        <f>IF($B7="","",COUNTIF('سجل الإنتاج'!$C$2:$C$501,$B7))</f>
        <v>0</v>
      </c>
      <c r="F7">
        <f>IF($A7="","",ROUND(SUMIFS('الصرف المباشر'!$D$2:$D$501,'الصرف المباشر'!$C$2:$C$501,$A7)+SUMPRODUCT((الطبخات!$B$2:$B$900=$A7)*الطبخات!$C$2:$C$900*COUNTIF('سجل الإنتاج'!$C$2:$C$501,الطبخات!$A$2:$A$900)),3))</f>
        <v>890</v>
      </c>
    </row>
    <row r="8" spans="1:6">
      <c r="A8" t="str">
        <f>المواد!A8</f>
        <v xml:space="preserve">ماء بلسم </v>
      </c>
      <c r="B8" t="str">
        <f>IFERROR(INDEX(الطبخات!$F$2:$F$900,MATCH(7,الطبخات!$G$2:$G$900,0)),"")</f>
        <v>صابون سادة</v>
      </c>
      <c r="D8">
        <f>IF($B8="","",COUNTIF('سجل الإنتاج'!$C$2:$C$501,$B8))</f>
        <v>0</v>
      </c>
      <c r="F8">
        <f>IF($A8="","",ROUND(SUMIFS('الصرف المباشر'!$D$2:$D$501,'الصرف المباشر'!$C$2:$C$501,$A8)+SUMPRODUCT((الطبخات!$B$2:$B$900=$A8)*الطبخات!$C$2:$C$900*COUNTIF('سجل الإنتاج'!$C$2:$C$501,الطبخات!$A$2:$A$900)),3))</f>
        <v>0</v>
      </c>
    </row>
    <row r="9" spans="1:6">
      <c r="A9" t="str">
        <f>المواد!A9</f>
        <v>لانيت 16 ماليزي</v>
      </c>
      <c r="B9" t="str">
        <f>IFERROR(INDEX(الطبخات!$F$2:$F$900,MATCH(8,الطبخات!$G$2:$G$900,0)),"")</f>
        <v>طبخة الشامبو</v>
      </c>
      <c r="D9">
        <f>IF($B9="","",COUNTIF('سجل الإنتاج'!$C$2:$C$501,$B9))</f>
        <v>0</v>
      </c>
      <c r="F9">
        <f>IF($A9="","",ROUND(SUMIFS('الصرف المباشر'!$D$2:$D$501,'الصرف المباشر'!$C$2:$C$501,$A9)+SUMPRODUCT((الطبخات!$B$2:$B$900=$A9)*الطبخات!$C$2:$C$900*COUNTIF('سجل الإنتاج'!$C$2:$C$501,الطبخات!$A$2:$A$900)),3))</f>
        <v>0</v>
      </c>
    </row>
    <row r="10" spans="1:6">
      <c r="A10" t="str">
        <f>المواد!A10</f>
        <v>كوستيك-قطرونة</v>
      </c>
      <c r="B10" t="str">
        <f>IFERROR(INDEX(الطبخات!$F$2:$F$900,MATCH(9,الطبخات!$G$2:$G$900,0)),"")</f>
        <v>طبخة دوا غسيل بودرا</v>
      </c>
      <c r="D10">
        <f>IF($B10="","",COUNTIF('سجل الإنتاج'!$C$2:$C$501,$B10))</f>
        <v>0</v>
      </c>
      <c r="F10">
        <f>IF($A10="","",ROUND(SUMIFS('الصرف المباشر'!$D$2:$D$501,'الصرف المباشر'!$C$2:$C$501,$A10)+SUMPRODUCT((الطبخات!$B$2:$B$900=$A10)*الطبخات!$C$2:$C$900*COUNTIF('سجل الإنتاج'!$C$2:$C$501,الطبخات!$A$2:$A$900)),3))</f>
        <v>0</v>
      </c>
    </row>
    <row r="11" spans="1:6">
      <c r="A11" t="str">
        <f>المواد!A11</f>
        <v>كمبرلان</v>
      </c>
      <c r="B11" t="str">
        <f>IFERROR(INDEX(الطبخات!$F$2:$F$900,MATCH(10,الطبخات!$G$2:$G$900,0)),"")</f>
        <v>طبخة قاشط</v>
      </c>
      <c r="D11">
        <f>IF($B11="","",COUNTIF('سجل الإنتاج'!$C$2:$C$501,$B11))</f>
        <v>0</v>
      </c>
      <c r="F11">
        <f>IF($A11="","",ROUND(SUMIFS('الصرف المباشر'!$D$2:$D$501,'الصرف المباشر'!$C$2:$C$501,$A11)+SUMPRODUCT((الطبخات!$B$2:$B$900=$A11)*الطبخات!$C$2:$C$900*COUNTIF('سجل الإنتاج'!$C$2:$C$501,الطبخات!$A$2:$A$900)),3))</f>
        <v>0</v>
      </c>
    </row>
    <row r="12" spans="1:6">
      <c r="A12" t="str">
        <f>المواد!A12</f>
        <v>كليمازول</v>
      </c>
      <c r="B12" t="str">
        <f>IFERROR(INDEX(الطبخات!$F$2:$F$900,MATCH(11,الطبخات!$G$2:$G$900,0)),"")</f>
        <v>عملاق 200 كغ</v>
      </c>
      <c r="D12">
        <f>IF($B12="","",COUNTIF('سجل الإنتاج'!$C$2:$C$501,$B12))</f>
        <v>0</v>
      </c>
      <c r="F12">
        <f>IF($A12="","",ROUND(SUMIFS('الصرف المباشر'!$D$2:$D$501,'الصرف المباشر'!$C$2:$C$501,$A12)+SUMPRODUCT((الطبخات!$B$2:$B$900=$A12)*الطبخات!$C$2:$C$900*COUNTIF('سجل الإنتاج'!$C$2:$C$501,الطبخات!$A$2:$A$900)),3))</f>
        <v>0</v>
      </c>
    </row>
    <row r="13" spans="1:6">
      <c r="A13" t="str">
        <f>المواد!A13</f>
        <v>كلور خام</v>
      </c>
      <c r="B13" t="str">
        <f>IFERROR(INDEX(الطبخات!$F$2:$F$900,MATCH(12,الطبخات!$G$2:$G$900,0)),"")</f>
        <v>لودلين تفاح أول</v>
      </c>
      <c r="D13">
        <f>IF($B13="","",COUNTIF('سجل الإنتاج'!$C$2:$C$501,$B13))</f>
        <v>0</v>
      </c>
      <c r="F13">
        <f>IF($A13="","",ROUND(SUMIFS('الصرف المباشر'!$D$2:$D$501,'الصرف المباشر'!$C$2:$C$501,$A13)+SUMPRODUCT((الطبخات!$B$2:$B$900=$A13)*الطبخات!$C$2:$C$900*COUNTIF('سجل الإنتاج'!$C$2:$C$501,الطبخات!$A$2:$A$900)),3))</f>
        <v>0</v>
      </c>
    </row>
    <row r="14" spans="1:6">
      <c r="A14" t="str">
        <f>المواد!A14</f>
        <v>كحول (ايثانول)</v>
      </c>
      <c r="B14" t="str">
        <f>IFERROR(INDEX(الطبخات!$F$2:$F$900,MATCH(13,الطبخات!$G$2:$G$900,0)),"")</f>
        <v>لودلين تفاح ثالث</v>
      </c>
      <c r="D14">
        <f>IF($B14="","",COUNTIF('سجل الإنتاج'!$C$2:$C$501,$B14))</f>
        <v>0</v>
      </c>
      <c r="F14">
        <f>IF($A14="","",ROUND(SUMIFS('الصرف المباشر'!$D$2:$D$501,'الصرف المباشر'!$C$2:$C$501,$A14)+SUMPRODUCT((الطبخات!$B$2:$B$900=$A14)*الطبخات!$C$2:$C$900*COUNTIF('سجل الإنتاج'!$C$2:$C$501,الطبخات!$A$2:$A$900)),3))</f>
        <v>0</v>
      </c>
    </row>
    <row r="15" spans="1:6">
      <c r="A15" t="str">
        <f>المواد!A15</f>
        <v>فورمول ( سم )</v>
      </c>
      <c r="B15" t="str">
        <f>IFERROR(INDEX(الطبخات!$F$2:$F$900,MATCH(14,الطبخات!$G$2:$G$900,0)),"")</f>
        <v>لودلين تفاح ثاني</v>
      </c>
      <c r="D15">
        <f>IF($B15="","",COUNTIF('سجل الإنتاج'!$C$2:$C$501,$B15))</f>
        <v>0</v>
      </c>
      <c r="F15">
        <f>IF($A15="","",ROUND(SUMIFS('الصرف المباشر'!$D$2:$D$501,'الصرف المباشر'!$C$2:$C$501,$A15)+SUMPRODUCT((الطبخات!$B$2:$B$900=$A15)*الطبخات!$C$2:$C$900*COUNTIF('سجل الإنتاج'!$C$2:$C$501,الطبخات!$A$2:$A$900)),3))</f>
        <v>1.5</v>
      </c>
    </row>
    <row r="16" spans="1:6">
      <c r="A16" t="str">
        <f>المواد!A16</f>
        <v>فاتي كحول</v>
      </c>
      <c r="B16" t="str">
        <f>IFERROR(INDEX(الطبخات!$F$2:$F$900,MATCH(15,الطبخات!$G$2:$G$900,0)),"")</f>
        <v>لودلين تفاح رابع</v>
      </c>
      <c r="D16">
        <f>IF($B16="","",COUNTIF('سجل الإنتاج'!$C$2:$C$501,$B16))</f>
        <v>0</v>
      </c>
      <c r="F16">
        <f>IF($A16="","",ROUND(SUMIFS('الصرف المباشر'!$D$2:$D$501,'الصرف المباشر'!$C$2:$C$501,$A16)+SUMPRODUCT((الطبخات!$B$2:$B$900=$A16)*الطبخات!$C$2:$C$900*COUNTIF('سجل الإنتاج'!$C$2:$C$501,الطبخات!$A$2:$A$900)),3))</f>
        <v>0</v>
      </c>
    </row>
    <row r="17" spans="1:6">
      <c r="A17" t="str">
        <f>المواد!A17</f>
        <v>غليسيرين</v>
      </c>
      <c r="B17" t="str">
        <f>IFERROR(INDEX(الطبخات!$F$2:$F$900,MATCH(16,الطبخات!$G$2:$G$900,0)),"")</f>
        <v>لودلين سادة أول</v>
      </c>
      <c r="D17">
        <f>IF($B17="","",COUNTIF('سجل الإنتاج'!$C$2:$C$501,$B17))</f>
        <v>0</v>
      </c>
      <c r="F17">
        <f>IF($A17="","",ROUND(SUMIFS('الصرف المباشر'!$D$2:$D$501,'الصرف المباشر'!$C$2:$C$501,$A17)+SUMPRODUCT((الطبخات!$B$2:$B$900=$A17)*الطبخات!$C$2:$C$900*COUNTIF('سجل الإنتاج'!$C$2:$C$501,الطبخات!$A$2:$A$900)),3))</f>
        <v>0</v>
      </c>
    </row>
    <row r="18" spans="1:6">
      <c r="A18" t="str">
        <f>المواد!A18</f>
        <v xml:space="preserve">عطر-نسيم-المحيط ocean-breeze - 327993 </v>
      </c>
      <c r="B18" t="str">
        <f>IFERROR(INDEX(الطبخات!$F$2:$F$900,MATCH(17,الطبخات!$G$2:$G$900,0)),"")</f>
        <v>لودلين سادة أول 500 كغ</v>
      </c>
      <c r="D18">
        <f>IF($B18="","",COUNTIF('سجل الإنتاج'!$C$2:$C$501,$B18))</f>
        <v>0</v>
      </c>
      <c r="F18">
        <f>IF($A18="","",ROUND(SUMIFS('الصرف المباشر'!$D$2:$D$501,'الصرف المباشر'!$C$2:$C$501,$A18)+SUMPRODUCT((الطبخات!$B$2:$B$900=$A18)*الطبخات!$C$2:$C$900*COUNTIF('سجل الإنتاج'!$C$2:$C$501,الطبخات!$A$2:$A$900)),3))</f>
        <v>0</v>
      </c>
    </row>
    <row r="19" spans="1:6">
      <c r="A19" t="str">
        <f>المواد!A19</f>
        <v>عطر-ليمون shiny-star - 485764</v>
      </c>
      <c r="B19" t="str">
        <f>IFERROR(INDEX(الطبخات!$F$2:$F$900,MATCH(18,الطبخات!$G$2:$G$900,0)),"")</f>
        <v>لودلين سادة ثالث</v>
      </c>
      <c r="D19">
        <f>IF($B19="","",COUNTIF('سجل الإنتاج'!$C$2:$C$501,$B19))</f>
        <v>0</v>
      </c>
      <c r="F19">
        <f>IF($A19="","",ROUND(SUMIFS('الصرف المباشر'!$D$2:$D$501,'الصرف المباشر'!$C$2:$C$501,$A19)+SUMPRODUCT((الطبخات!$B$2:$B$900=$A19)*الطبخات!$C$2:$C$900*COUNTIF('سجل الإنتاج'!$C$2:$C$501,الطبخات!$A$2:$A$900)),3))</f>
        <v>0</v>
      </c>
    </row>
    <row r="20" spans="1:6">
      <c r="A20" t="str">
        <f>المواد!A20</f>
        <v>عطر-ليمون citrus lemon new - 321639</v>
      </c>
      <c r="B20" t="str">
        <f>IFERROR(INDEX(الطبخات!$F$2:$F$900,MATCH(19,الطبخات!$G$2:$G$900,0)),"")</f>
        <v>لودلين سادة ثاني</v>
      </c>
      <c r="D20">
        <f>IF($B20="","",COUNTIF('سجل الإنتاج'!$C$2:$C$501,$B20))</f>
        <v>0</v>
      </c>
      <c r="F20">
        <f>IF($A20="","",ROUND(SUMIFS('الصرف المباشر'!$D$2:$D$501,'الصرف المباشر'!$C$2:$C$501,$A20)+SUMPRODUCT((الطبخات!$B$2:$B$900=$A20)*الطبخات!$C$2:$C$900*COUNTIF('سجل الإنتاج'!$C$2:$C$501,الطبخات!$A$2:$A$900)),3))</f>
        <v>0</v>
      </c>
    </row>
    <row r="21" spans="1:6">
      <c r="A21" t="str">
        <f>المواد!A21</f>
        <v>عطر-ليلك ariel-sensation - 318728</v>
      </c>
      <c r="B21" t="str">
        <f>IFERROR(INDEX(الطبخات!$F$2:$F$900,MATCH(20,الطبخات!$G$2:$G$900,0)),"")</f>
        <v>لودلين سادة رابع</v>
      </c>
      <c r="D21">
        <f>IF($B21="","",COUNTIF('سجل الإنتاج'!$C$2:$C$501,$B21))</f>
        <v>1</v>
      </c>
      <c r="F21">
        <f>IF($A21="","",ROUND(SUMIFS('الصرف المباشر'!$D$2:$D$501,'الصرف المباشر'!$C$2:$C$501,$A21)+SUMPRODUCT((الطبخات!$B$2:$B$900=$A21)*الطبخات!$C$2:$C$900*COUNTIF('سجل الإنتاج'!$C$2:$C$501,الطبخات!$A$2:$A$900)),3))</f>
        <v>0</v>
      </c>
    </row>
    <row r="22" spans="1:6">
      <c r="A22" t="str">
        <f>المواد!A22</f>
        <v xml:space="preserve">عطر-سلطان </v>
      </c>
      <c r="B22" t="str">
        <f>IFERROR(INDEX(الطبخات!$F$2:$F$900,MATCH(21,الطبخات!$G$2:$G$900,0)),"")</f>
        <v>لودلين فريز أول</v>
      </c>
      <c r="D22">
        <f>IF($B22="","",COUNTIF('سجل الإنتاج'!$C$2:$C$501,$B22))</f>
        <v>0</v>
      </c>
      <c r="F22">
        <f>IF($A22="","",ROUND(SUMIFS('الصرف المباشر'!$D$2:$D$501,'الصرف المباشر'!$C$2:$C$501,$A22)+SUMPRODUCT((الطبخات!$B$2:$B$900=$A22)*الطبخات!$C$2:$C$900*COUNTIF('سجل الإنتاج'!$C$2:$C$501,الطبخات!$A$2:$A$900)),3))</f>
        <v>0</v>
      </c>
    </row>
    <row r="23" spans="1:6">
      <c r="A23" t="str">
        <f>المواد!A23</f>
        <v>عطر-زهور lovely-petals - 485718</v>
      </c>
      <c r="B23" t="str">
        <f>IFERROR(INDEX(الطبخات!$F$2:$F$900,MATCH(22,الطبخات!$G$2:$G$900,0)),"")</f>
        <v>لودلين فريز ثالث</v>
      </c>
      <c r="D23">
        <f>IF($B23="","",COUNTIF('سجل الإنتاج'!$C$2:$C$501,$B23))</f>
        <v>0</v>
      </c>
      <c r="F23">
        <f>IF($A23="","",ROUND(SUMIFS('الصرف المباشر'!$D$2:$D$501,'الصرف المباشر'!$C$2:$C$501,$A23)+SUMPRODUCT((الطبخات!$B$2:$B$900=$A23)*الطبخات!$C$2:$C$900*COUNTIF('سجل الإنتاج'!$C$2:$C$501,الطبخات!$A$2:$A$900)),3))</f>
        <v>0</v>
      </c>
    </row>
    <row r="24" spans="1:6">
      <c r="A24" t="str">
        <f>المواد!A24</f>
        <v>عطر-رمان apple grandada - 322730</v>
      </c>
      <c r="B24" t="str">
        <f>IFERROR(INDEX(الطبخات!$F$2:$F$900,MATCH(23,الطبخات!$G$2:$G$900,0)),"")</f>
        <v>لودلين فريز ثاني</v>
      </c>
      <c r="D24">
        <f>IF($B24="","",COUNTIF('سجل الإنتاج'!$C$2:$C$501,$B24))</f>
        <v>0</v>
      </c>
      <c r="F24">
        <f>IF($A24="","",ROUND(SUMIFS('الصرف المباشر'!$D$2:$D$501,'الصرف المباشر'!$C$2:$C$501,$A24)+SUMPRODUCT((الطبخات!$B$2:$B$900=$A24)*الطبخات!$C$2:$C$900*COUNTIF('سجل الإنتاج'!$C$2:$C$501,الطبخات!$A$2:$A$900)),3))</f>
        <v>0</v>
      </c>
    </row>
    <row r="25" spans="1:6">
      <c r="A25" t="str">
        <f>المواد!A25</f>
        <v>عطر-توليب fresh-scent-amour - 485833</v>
      </c>
      <c r="B25" t="str">
        <f>IFERROR(INDEX(الطبخات!$F$2:$F$900,MATCH(24,الطبخات!$G$2:$G$900,0)),"")</f>
        <v>لودلين فريز رابع</v>
      </c>
      <c r="D25">
        <f>IF($B25="","",COUNTIF('سجل الإنتاج'!$C$2:$C$501,$B25))</f>
        <v>0</v>
      </c>
      <c r="F25">
        <f>IF($A25="","",ROUND(SUMIFS('الصرف المباشر'!$D$2:$D$501,'الصرف المباشر'!$C$2:$C$501,$A25)+SUMPRODUCT((الطبخات!$B$2:$B$900=$A25)*الطبخات!$C$2:$C$900*COUNTIF('سجل الإنتاج'!$C$2:$C$501,الطبخات!$A$2:$A$900)),3))</f>
        <v>0</v>
      </c>
    </row>
    <row r="26" spans="1:6">
      <c r="A26" t="str">
        <f>المواد!A26</f>
        <v xml:space="preserve">عطر-تفاح apple - 317691 </v>
      </c>
      <c r="B26" t="str">
        <f>IFERROR(INDEX(الطبخات!$F$2:$F$900,MATCH(25,الطبخات!$G$2:$G$900,0)),"")</f>
        <v>لودلين ليلك أول</v>
      </c>
      <c r="D26">
        <f>IF($B26="","",COUNTIF('سجل الإنتاج'!$C$2:$C$501,$B26))</f>
        <v>0</v>
      </c>
      <c r="F26">
        <f>IF($A26="","",ROUND(SUMIFS('الصرف المباشر'!$D$2:$D$501,'الصرف المباشر'!$C$2:$C$501,$A26)+SUMPRODUCT((الطبخات!$B$2:$B$900=$A26)*الطبخات!$C$2:$C$900*COUNTIF('سجل الإنتاج'!$C$2:$C$501,الطبخات!$A$2:$A$900)),3))</f>
        <v>0</v>
      </c>
    </row>
    <row r="27" spans="1:6">
      <c r="A27" t="str">
        <f>المواد!A27</f>
        <v>عطر-برنس</v>
      </c>
      <c r="B27" t="str">
        <f>IFERROR(INDEX(الطبخات!$F$2:$F$900,MATCH(26,الطبخات!$G$2:$G$900,0)),"")</f>
        <v>لودلين ليلك ثالث</v>
      </c>
      <c r="D27">
        <f>IF($B27="","",COUNTIF('سجل الإنتاج'!$C$2:$C$501,$B27))</f>
        <v>0</v>
      </c>
      <c r="F27">
        <f>IF($A27="","",ROUND(SUMIFS('الصرف المباشر'!$D$2:$D$501,'الصرف المباشر'!$C$2:$C$501,$A27)+SUMPRODUCT((الطبخات!$B$2:$B$900=$A27)*الطبخات!$C$2:$C$900*COUNTIF('سجل الإنتاج'!$C$2:$C$501,الطبخات!$A$2:$A$900)),3))</f>
        <v>0</v>
      </c>
    </row>
    <row r="28" spans="1:6">
      <c r="A28" t="str">
        <f>المواد!A28</f>
        <v>عطر-ببوري ultimate-mixture - 485797</v>
      </c>
      <c r="B28" t="str">
        <f>IFERROR(INDEX(الطبخات!$F$2:$F$900,MATCH(27,الطبخات!$G$2:$G$900,0)),"")</f>
        <v>لودلين ليلك ثاني</v>
      </c>
      <c r="D28">
        <f>IF($B28="","",COUNTIF('سجل الإنتاج'!$C$2:$C$501,$B28))</f>
        <v>0</v>
      </c>
      <c r="F28">
        <f>IF($A28="","",ROUND(SUMIFS('الصرف المباشر'!$D$2:$D$501,'الصرف المباشر'!$C$2:$C$501,$A28)+SUMPRODUCT((الطبخات!$B$2:$B$900=$A28)*الطبخات!$C$2:$C$900*COUNTIF('سجل الإنتاج'!$C$2:$C$501,الطبخات!$A$2:$A$900)),3))</f>
        <v>0</v>
      </c>
    </row>
    <row r="29" spans="1:6">
      <c r="A29" t="str">
        <f>المواد!A29</f>
        <v>عطر-ازهار-الربيع spring - 318643</v>
      </c>
      <c r="B29" t="str">
        <f>IFERROR(INDEX(الطبخات!$F$2:$F$900,MATCH(28,الطبخات!$G$2:$G$900,0)),"")</f>
        <v>لودلين ليلك رابع</v>
      </c>
      <c r="D29">
        <f>IF($B29="","",COUNTIF('سجل الإنتاج'!$C$2:$C$501,$B29))</f>
        <v>0</v>
      </c>
      <c r="F29">
        <f>IF($A29="","",ROUND(SUMIFS('الصرف المباشر'!$D$2:$D$501,'الصرف المباشر'!$C$2:$C$501,$A29)+SUMPRODUCT((الطبخات!$B$2:$B$900=$A29)*الطبخات!$C$2:$C$900*COUNTIF('سجل الإنتاج'!$C$2:$C$501,الطبخات!$A$2:$A$900)),3))</f>
        <v>0</v>
      </c>
    </row>
    <row r="30" spans="1:6">
      <c r="A30" t="str">
        <f>المواد!A30</f>
        <v>عطر هامول</v>
      </c>
      <c r="B30" t="str">
        <f>IFERROR(INDEX(الطبخات!$F$2:$F$900,MATCH(29,الطبخات!$G$2:$G$900,0)),"")</f>
        <v>لودلين ليمون أول</v>
      </c>
      <c r="D30">
        <f>IF($B30="","",COUNTIF('سجل الإنتاج'!$C$2:$C$501,$B30))</f>
        <v>0</v>
      </c>
      <c r="F30">
        <f>IF($A30="","",ROUND(SUMIFS('الصرف المباشر'!$D$2:$D$501,'الصرف المباشر'!$C$2:$C$501,$A30)+SUMPRODUCT((الطبخات!$B$2:$B$900=$A30)*الطبخات!$C$2:$C$900*COUNTIF('سجل الإنتاج'!$C$2:$C$501,الطبخات!$A$2:$A$900)),3))</f>
        <v>0</v>
      </c>
    </row>
    <row r="31" spans="1:6">
      <c r="A31" t="str">
        <f>المواد!A31</f>
        <v>عطر مسك احمر</v>
      </c>
      <c r="B31" t="str">
        <f>IFERROR(INDEX(الطبخات!$F$2:$F$900,MATCH(30,الطبخات!$G$2:$G$900,0)),"")</f>
        <v>لودلين ليمون ثالث</v>
      </c>
      <c r="D31">
        <f>IF($B31="","",COUNTIF('سجل الإنتاج'!$C$2:$C$501,$B31))</f>
        <v>0</v>
      </c>
      <c r="F31">
        <f>IF($A31="","",ROUND(SUMIFS('الصرف المباشر'!$D$2:$D$501,'الصرف المباشر'!$C$2:$C$501,$A31)+SUMPRODUCT((الطبخات!$B$2:$B$900=$A31)*الطبخات!$C$2:$C$900*COUNTIF('سجل الإنتاج'!$C$2:$C$501,الطبخات!$A$2:$A$900)),3))</f>
        <v>0</v>
      </c>
    </row>
    <row r="32" spans="1:6">
      <c r="A32" t="str">
        <f>المواد!A32</f>
        <v>عطر مسك</v>
      </c>
      <c r="B32" t="str">
        <f>IFERROR(INDEX(الطبخات!$F$2:$F$900,MATCH(31,الطبخات!$G$2:$G$900,0)),"")</f>
        <v>لودلين ليمون ثاني</v>
      </c>
      <c r="D32">
        <f>IF($B32="","",COUNTIF('سجل الإنتاج'!$C$2:$C$501,$B32))</f>
        <v>0</v>
      </c>
      <c r="F32">
        <f>IF($A32="","",ROUND(SUMIFS('الصرف المباشر'!$D$2:$D$501,'الصرف المباشر'!$C$2:$C$501,$A32)+SUMPRODUCT((الطبخات!$B$2:$B$900=$A32)*الطبخات!$C$2:$C$900*COUNTIF('سجل الإنتاج'!$C$2:$C$501,الطبخات!$A$2:$A$900)),3))</f>
        <v>0</v>
      </c>
    </row>
    <row r="33" spans="1:6">
      <c r="A33" t="str">
        <f>المواد!A33</f>
        <v>عطر ليمون ماكسي</v>
      </c>
      <c r="B33" t="str">
        <f>IFERROR(INDEX(الطبخات!$F$2:$F$900,MATCH(32,الطبخات!$G$2:$G$900,0)),"")</f>
        <v>لودلين ليمون رابع</v>
      </c>
      <c r="D33">
        <f>IF($B33="","",COUNTIF('سجل الإنتاج'!$C$2:$C$501,$B33))</f>
        <v>0</v>
      </c>
      <c r="F33">
        <f>IF($A33="","",ROUND(SUMIFS('الصرف المباشر'!$D$2:$D$501,'الصرف المباشر'!$C$2:$C$501,$A33)+SUMPRODUCT((الطبخات!$B$2:$B$900=$A33)*الطبخات!$C$2:$C$900*COUNTIF('سجل الإنتاج'!$C$2:$C$501,الطبخات!$A$2:$A$900)),3))</f>
        <v>0</v>
      </c>
    </row>
    <row r="34" spans="1:6">
      <c r="A34" t="str">
        <f>المواد!A34</f>
        <v>عطر عسل</v>
      </c>
      <c r="B34" t="str">
        <f>IFERROR(INDEX(الطبخات!$F$2:$F$900,MATCH(33,الطبخات!$G$2:$G$900,0)),"")</f>
        <v>معطر ارضيات أبيض - ازهار النرجس</v>
      </c>
      <c r="D34">
        <f>IF($B34="","",COUNTIF('سجل الإنتاج'!$C$2:$C$501,$B34))</f>
        <v>0</v>
      </c>
      <c r="F34">
        <f>IF($A34="","",ROUND(SUMIFS('الصرف المباشر'!$D$2:$D$501,'الصرف المباشر'!$C$2:$C$501,$A34)+SUMPRODUCT((الطبخات!$B$2:$B$900=$A34)*الطبخات!$C$2:$C$900*COUNTIF('سجل الإنتاج'!$C$2:$C$501,الطبخات!$A$2:$A$900)),3))</f>
        <v>0</v>
      </c>
    </row>
    <row r="35" spans="1:6">
      <c r="A35" t="str">
        <f>المواد!A35</f>
        <v>عطر جوز الهند</v>
      </c>
      <c r="B35" t="str">
        <f>IFERROR(INDEX(الطبخات!$F$2:$F$900,MATCH(34,الطبخات!$G$2:$G$900,0)),"")</f>
        <v>معطر ارضيات ازرق - نسيم المحيط</v>
      </c>
      <c r="D35">
        <f>IF($B35="","",COUNTIF('سجل الإنتاج'!$C$2:$C$501,$B35))</f>
        <v>0</v>
      </c>
      <c r="F35">
        <f>IF($A35="","",ROUND(SUMIFS('الصرف المباشر'!$D$2:$D$501,'الصرف المباشر'!$C$2:$C$501,$A35)+SUMPRODUCT((الطبخات!$B$2:$B$900=$A35)*الطبخات!$C$2:$C$900*COUNTIF('سجل الإنتاج'!$C$2:$C$501,الطبخات!$A$2:$A$900)),3))</f>
        <v>0</v>
      </c>
    </row>
    <row r="36" spans="1:6">
      <c r="A36" t="str">
        <f>المواد!A36</f>
        <v>عطر بانتين</v>
      </c>
      <c r="B36" t="str">
        <f>IFERROR(INDEX(الطبخات!$F$2:$F$900,MATCH(35,الطبخات!$G$2:$G$900,0)),"")</f>
        <v>معطر ارضيات الليمون المنعش</v>
      </c>
      <c r="D36">
        <f>IF($B36="","",COUNTIF('سجل الإنتاج'!$C$2:$C$501,$B36))</f>
        <v>0</v>
      </c>
      <c r="F36">
        <f>IF($A36="","",ROUND(SUMIFS('الصرف المباشر'!$D$2:$D$501,'الصرف المباشر'!$C$2:$C$501,$A36)+SUMPRODUCT((الطبخات!$B$2:$B$900=$A36)*الطبخات!$C$2:$C$900*COUNTIF('سجل الإنتاج'!$C$2:$C$501,الطبخات!$A$2:$A$900)),3))</f>
        <v>0</v>
      </c>
    </row>
    <row r="37" spans="1:6">
      <c r="A37" t="str">
        <f>المواد!A37</f>
        <v>عطر اوليفا</v>
      </c>
      <c r="B37" t="str">
        <f>IFERROR(INDEX(الطبخات!$F$2:$F$900,MATCH(36,الطبخات!$G$2:$G$900,0)),"")</f>
        <v>معطر ارضيات ببوري</v>
      </c>
      <c r="D37">
        <f>IF($B37="","",COUNTIF('سجل الإنتاج'!$C$2:$C$501,$B37))</f>
        <v>0</v>
      </c>
      <c r="F37">
        <f>IF($A37="","",ROUND(SUMIFS('الصرف المباشر'!$D$2:$D$501,'الصرف المباشر'!$C$2:$C$501,$A37)+SUMPRODUCT((الطبخات!$B$2:$B$900=$A37)*الطبخات!$C$2:$C$900*COUNTIF('سجل الإنتاج'!$C$2:$C$501,الطبخات!$A$2:$A$900)),3))</f>
        <v>0</v>
      </c>
    </row>
    <row r="38" spans="1:6">
      <c r="A38" t="str">
        <f>المواد!A38</f>
        <v>عطر ramani-kodi-000110</v>
      </c>
      <c r="B38" t="str">
        <f>IFERROR(INDEX(الطبخات!$F$2:$F$900,MATCH(37,الطبخات!$G$2:$G$900,0)),"")</f>
        <v>معطر ارضيات رائحة الجوري</v>
      </c>
      <c r="D38">
        <f>IF($B38="","",COUNTIF('سجل الإنتاج'!$C$2:$C$501,$B38))</f>
        <v>0</v>
      </c>
      <c r="F38">
        <f>IF($A38="","",ROUND(SUMIFS('الصرف المباشر'!$D$2:$D$501,'الصرف المباشر'!$C$2:$C$501,$A38)+SUMPRODUCT((الطبخات!$B$2:$B$900=$A38)*الطبخات!$C$2:$C$900*COUNTIF('سجل الإنتاج'!$C$2:$C$501,الطبخات!$A$2:$A$900)),3))</f>
        <v>0</v>
      </c>
    </row>
    <row r="39" spans="1:6">
      <c r="A39" t="str">
        <f>المواد!A39</f>
        <v>عطر magic sprel - 6168581</v>
      </c>
      <c r="B39" t="str">
        <f>IFERROR(INDEX(الطبخات!$F$2:$F$900,MATCH(38,الطبخات!$G$2:$G$900,0)),"")</f>
        <v>معطر ارضيات زهرة التوليب</v>
      </c>
      <c r="D39">
        <f>IF($B39="","",COUNTIF('سجل الإنتاج'!$C$2:$C$501,$B39))</f>
        <v>0</v>
      </c>
      <c r="F39">
        <f>IF($A39="","",ROUND(SUMIFS('الصرف المباشر'!$D$2:$D$501,'الصرف المباشر'!$C$2:$C$501,$A39)+SUMPRODUCT((الطبخات!$B$2:$B$900=$A39)*الطبخات!$C$2:$C$900*COUNTIF('سجل الإنتاج'!$C$2:$C$501,الطبخات!$A$2:$A$900)),3))</f>
        <v>0</v>
      </c>
    </row>
    <row r="40" spans="1:6">
      <c r="A40" t="str">
        <f>المواد!A40</f>
        <v>عطر kavien-clein-eforia-000020</v>
      </c>
      <c r="B40" t="str">
        <f>IFERROR(INDEX(الطبخات!$F$2:$F$900,MATCH(39,الطبخات!$G$2:$G$900,0)),"")</f>
        <v>معطر ارضيات موف او ليلك</v>
      </c>
      <c r="D40">
        <f>IF($B40="","",COUNTIF('سجل الإنتاج'!$C$2:$C$501,$B40))</f>
        <v>0</v>
      </c>
      <c r="F40">
        <f>IF($A40="","",ROUND(SUMIFS('الصرف المباشر'!$D$2:$D$501,'الصرف المباشر'!$C$2:$C$501,$A40)+SUMPRODUCT((الطبخات!$B$2:$B$900=$A40)*الطبخات!$C$2:$C$900*COUNTIF('سجل الإنتاج'!$C$2:$C$501,الطبخات!$A$2:$A$900)),3))</f>
        <v>0</v>
      </c>
    </row>
    <row r="41" spans="1:6">
      <c r="A41" t="str">
        <f>المواد!A41</f>
        <v>عطر energy-000400</v>
      </c>
      <c r="B41" t="str">
        <f>IFERROR(INDEX(الطبخات!$F$2:$F$900,MATCH(40,الطبخات!$G$2:$G$900,0)),"")</f>
        <v>ملمع دواليب</v>
      </c>
      <c r="D41">
        <f>IF($B41="","",COUNTIF('سجل الإنتاج'!$C$2:$C$501,$B41))</f>
        <v>0</v>
      </c>
      <c r="F41">
        <f>IF($A41="","",ROUND(SUMIFS('الصرف المباشر'!$D$2:$D$501,'الصرف المباشر'!$C$2:$C$501,$A41)+SUMPRODUCT((الطبخات!$B$2:$B$900=$A41)*الطبخات!$C$2:$C$900*COUNTIF('سجل الإنتاج'!$C$2:$C$501,الطبخات!$A$2:$A$900)),3))</f>
        <v>0</v>
      </c>
    </row>
    <row r="42" spans="1:6">
      <c r="A42" t="str">
        <f>المواد!A42</f>
        <v>عطر Blue APC - 0001198620</v>
      </c>
      <c r="B42" t="str">
        <f>IFERROR(INDEX(الطبخات!$F$2:$F$900,MATCH(41,الطبخات!$G$2:$G$900,0)),"")</f>
        <v>ملمع زجاج 1000 كغ</v>
      </c>
      <c r="D42">
        <f>IF($B42="","",COUNTIF('سجل الإنتاج'!$C$2:$C$501,$B42))</f>
        <v>0</v>
      </c>
      <c r="F42">
        <f>IF($A42="","",ROUND(SUMIFS('الصرف المباشر'!$D$2:$D$501,'الصرف المباشر'!$C$2:$C$501,$A42)+SUMPRODUCT((الطبخات!$B$2:$B$900=$A42)*الطبخات!$C$2:$C$900*COUNTIF('سجل الإنتاج'!$C$2:$C$501,الطبخات!$A$2:$A$900)),3))</f>
        <v>0</v>
      </c>
    </row>
    <row r="43" spans="1:6">
      <c r="A43" t="str">
        <f>المواد!A43</f>
        <v>عطر billionair-000250</v>
      </c>
      <c r="B43" t="str">
        <f>IFERROR(INDEX(الطبخات!$F$2:$F$900,MATCH(42,الطبخات!$G$2:$G$900,0)),"")</f>
        <v>ملمع زجاج 150كغ</v>
      </c>
      <c r="D43">
        <f>IF($B43="","",COUNTIF('سجل الإنتاج'!$C$2:$C$501,$B43))</f>
        <v>0</v>
      </c>
      <c r="F43">
        <f>IF($A43="","",ROUND(SUMIFS('الصرف المباشر'!$D$2:$D$501,'الصرف المباشر'!$C$2:$C$501,$A43)+SUMPRODUCT((الطبخات!$B$2:$B$900=$A43)*الطبخات!$C$2:$C$900*COUNTIF('سجل الإنتاج'!$C$2:$C$501,الطبخات!$A$2:$A$900)),3))</f>
        <v>0</v>
      </c>
    </row>
    <row r="44" spans="1:6">
      <c r="A44" t="str">
        <f>المواد!A44</f>
        <v>عطر be-apple-000320</v>
      </c>
      <c r="B44" t="str">
        <f>IFERROR(INDEX(الطبخات!$F$2:$F$900,MATCH(43,الطبخات!$G$2:$G$900,0)),"")</f>
        <v>ملمع زجاج 750 كغ</v>
      </c>
      <c r="D44">
        <f>IF($B44="","",COUNTIF('سجل الإنتاج'!$C$2:$C$501,$B44))</f>
        <v>0</v>
      </c>
      <c r="F44">
        <f>IF($A44="","",ROUND(SUMIFS('الصرف المباشر'!$D$2:$D$501,'الصرف المباشر'!$C$2:$C$501,$A44)+SUMPRODUCT((الطبخات!$B$2:$B$900=$A44)*الطبخات!$C$2:$C$900*COUNTIF('سجل الإنتاج'!$C$2:$C$501,الطبخات!$A$2:$A$900)),3))</f>
        <v>0</v>
      </c>
    </row>
    <row r="45" spans="1:6">
      <c r="A45" t="str">
        <f>المواد!A45</f>
        <v xml:space="preserve">عبوة 1 لتر </v>
      </c>
      <c r="B45" t="str">
        <f>IFERROR(INDEX(الطبخات!$F$2:$F$900,MATCH(44,الطبخات!$G$2:$G$900,0)),"")</f>
        <v>طبخة الاندومي</v>
      </c>
      <c r="D45">
        <f>IF($B45="","",COUNTIF('سجل الإنتاج'!$C$2:$C$501,$B45))</f>
        <v>0</v>
      </c>
      <c r="F45">
        <f>IF($A45="","",ROUND(SUMIFS('الصرف المباشر'!$D$2:$D$501,'الصرف المباشر'!$C$2:$C$501,$A45)+SUMPRODUCT((الطبخات!$B$2:$B$900=$A45)*الطبخات!$C$2:$C$900*COUNTIF('سجل الإنتاج'!$C$2:$C$501,الطبخات!$A$2:$A$900)),3))</f>
        <v>0</v>
      </c>
    </row>
    <row r="46" spans="1:6">
      <c r="A46" t="str">
        <f>المواد!A46</f>
        <v>طبالي خشب</v>
      </c>
      <c r="B46" t="str">
        <f>IFERROR(INDEX(الطبخات!$F$2:$F$900,MATCH(45,الطبخات!$G$2:$G$900,0)),"")</f>
        <v/>
      </c>
      <c r="D46" t="str">
        <f>IF($B46="","",COUNTIF('سجل الإنتاج'!$C$2:$C$501,$B46))</f>
        <v/>
      </c>
      <c r="F46">
        <f>IF($A46="","",ROUND(SUMIFS('الصرف المباشر'!$D$2:$D$501,'الصرف المباشر'!$C$2:$C$501,$A46)+SUMPRODUCT((الطبخات!$B$2:$B$900=$A46)*الطبخات!$C$2:$C$900*COUNTIF('سجل الإنتاج'!$C$2:$C$501,الطبخات!$A$2:$A$900)),3))</f>
        <v>0</v>
      </c>
    </row>
    <row r="47" spans="1:6">
      <c r="A47" t="str">
        <f>المواد!A47</f>
        <v xml:space="preserve">صودا أش </v>
      </c>
      <c r="B47" t="str">
        <f>IFERROR(INDEX(الطبخات!$F$2:$F$900,MATCH(46,الطبخات!$G$2:$G$900,0)),"")</f>
        <v/>
      </c>
      <c r="D47" t="str">
        <f>IF($B47="","",COUNTIF('سجل الإنتاج'!$C$2:$C$501,$B47))</f>
        <v/>
      </c>
      <c r="F47">
        <f>IF($A47="","",ROUND(SUMIFS('الصرف المباشر'!$D$2:$D$501,'الصرف المباشر'!$C$2:$C$501,$A47)+SUMPRODUCT((الطبخات!$B$2:$B$900=$A47)*الطبخات!$C$2:$C$900*COUNTIF('سجل الإنتاج'!$C$2:$C$501,الطبخات!$A$2:$A$900)),3))</f>
        <v>0</v>
      </c>
    </row>
    <row r="48" spans="1:6">
      <c r="A48" t="str">
        <f>المواد!A48</f>
        <v xml:space="preserve">صبغة </v>
      </c>
      <c r="B48" t="str">
        <f>IFERROR(INDEX(الطبخات!$F$2:$F$900,MATCH(47,الطبخات!$G$2:$G$900,0)),"")</f>
        <v/>
      </c>
      <c r="D48" t="str">
        <f>IF($B48="","",COUNTIF('سجل الإنتاج'!$C$2:$C$501,$B48))</f>
        <v/>
      </c>
      <c r="F48">
        <f>IF($A48="","",ROUND(SUMIFS('الصرف المباشر'!$D$2:$D$501,'الصرف المباشر'!$C$2:$C$501,$A48)+SUMPRODUCT((الطبخات!$B$2:$B$900=$A48)*الطبخات!$C$2:$C$900*COUNTIF('سجل الإنتاج'!$C$2:$C$501,الطبخات!$A$2:$A$900)),3))</f>
        <v>0</v>
      </c>
    </row>
    <row r="49" spans="1:6">
      <c r="A49" t="str">
        <f>المواد!A49</f>
        <v xml:space="preserve">سيليكات سائلة </v>
      </c>
      <c r="B49" t="str">
        <f>IFERROR(INDEX(الطبخات!$F$2:$F$900,MATCH(48,الطبخات!$G$2:$G$900,0)),"")</f>
        <v/>
      </c>
      <c r="D49" t="str">
        <f>IF($B49="","",COUNTIF('سجل الإنتاج'!$C$2:$C$501,$B49))</f>
        <v/>
      </c>
      <c r="F49">
        <f>IF($A49="","",ROUND(SUMIFS('الصرف المباشر'!$D$2:$D$501,'الصرف المباشر'!$C$2:$C$501,$A49)+SUMPRODUCT((الطبخات!$B$2:$B$900=$A49)*الطبخات!$C$2:$C$900*COUNTIF('سجل الإنتاج'!$C$2:$C$501,الطبخات!$A$2:$A$900)),3))</f>
        <v>0</v>
      </c>
    </row>
    <row r="50" spans="1:6">
      <c r="A50" t="str">
        <f>المواد!A50</f>
        <v>زيت الصنوبر</v>
      </c>
      <c r="B50" t="str">
        <f>IFERROR(INDEX(الطبخات!$F$2:$F$900,MATCH(49,الطبخات!$G$2:$G$900,0)),"")</f>
        <v/>
      </c>
      <c r="D50" t="str">
        <f>IF($B50="","",COUNTIF('سجل الإنتاج'!$C$2:$C$501,$B50))</f>
        <v/>
      </c>
      <c r="F50">
        <f>IF($A50="","",ROUND(SUMIFS('الصرف المباشر'!$D$2:$D$501,'الصرف المباشر'!$C$2:$C$501,$A50)+SUMPRODUCT((الطبخات!$B$2:$B$900=$A50)*الطبخات!$C$2:$C$900*COUNTIF('سجل الإنتاج'!$C$2:$C$501,الطبخات!$A$2:$A$900)),3))</f>
        <v>0</v>
      </c>
    </row>
    <row r="51" spans="1:6">
      <c r="A51" t="str">
        <f>المواد!A51</f>
        <v>زفتة</v>
      </c>
      <c r="B51" t="str">
        <f>IFERROR(INDEX(الطبخات!$F$2:$F$900,MATCH(50,الطبخات!$G$2:$G$900,0)),"")</f>
        <v/>
      </c>
      <c r="D51" t="str">
        <f>IF($B51="","",COUNTIF('سجل الإنتاج'!$C$2:$C$501,$B51))</f>
        <v/>
      </c>
      <c r="F51">
        <f>IF($A51="","",ROUND(SUMIFS('الصرف المباشر'!$D$2:$D$501,'الصرف المباشر'!$C$2:$C$501,$A51)+SUMPRODUCT((الطبخات!$B$2:$B$900=$A51)*الطبخات!$C$2:$C$900*COUNTIF('سجل الإنتاج'!$C$2:$C$501,الطبخات!$A$2:$A$900)),3))</f>
        <v>40</v>
      </c>
    </row>
    <row r="52" spans="1:6">
      <c r="A52" t="str">
        <f>المواد!A52</f>
        <v>ديباتيول فينب</v>
      </c>
      <c r="B52" t="str">
        <f>IFERROR(INDEX(الطبخات!$F$2:$F$900,MATCH(51,الطبخات!$G$2:$G$900,0)),"")</f>
        <v/>
      </c>
      <c r="D52" t="str">
        <f>IF($B52="","",COUNTIF('سجل الإنتاج'!$C$2:$C$501,$B52))</f>
        <v/>
      </c>
      <c r="F52">
        <f>IF($A52="","",ROUND(SUMIFS('الصرف المباشر'!$D$2:$D$501,'الصرف المباشر'!$C$2:$C$501,$A52)+SUMPRODUCT((الطبخات!$B$2:$B$900=$A52)*الطبخات!$C$2:$C$900*COUNTIF('سجل الإنتاج'!$C$2:$C$501,الطبخات!$A$2:$A$900)),3))</f>
        <v>0</v>
      </c>
    </row>
    <row r="53" spans="1:6">
      <c r="A53" t="str">
        <f>المواد!A53</f>
        <v>دواء غسيل نصف مصنع</v>
      </c>
      <c r="B53" t="str">
        <f>IFERROR(INDEX(الطبخات!$F$2:$F$900,MATCH(52,الطبخات!$G$2:$G$900,0)),"")</f>
        <v/>
      </c>
      <c r="D53" t="str">
        <f>IF($B53="","",COUNTIF('سجل الإنتاج'!$C$2:$C$501,$B53))</f>
        <v/>
      </c>
      <c r="F53">
        <f>IF($A53="","",ROUND(SUMIFS('الصرف المباشر'!$D$2:$D$501,'الصرف المباشر'!$C$2:$C$501,$A53)+SUMPRODUCT((الطبخات!$B$2:$B$900=$A53)*الطبخات!$C$2:$C$900*COUNTIF('سجل الإنتاج'!$C$2:$C$501,الطبخات!$A$2:$A$900)),3))</f>
        <v>0</v>
      </c>
    </row>
    <row r="54" spans="1:6">
      <c r="A54" t="str">
        <f>المواد!A54</f>
        <v>حمض الليمون</v>
      </c>
      <c r="B54" t="str">
        <f>IFERROR(INDEX(الطبخات!$F$2:$F$900,MATCH(53,الطبخات!$G$2:$G$900,0)),"")</f>
        <v/>
      </c>
      <c r="D54" t="str">
        <f>IF($B54="","",COUNTIF('سجل الإنتاج'!$C$2:$C$501,$B54))</f>
        <v/>
      </c>
      <c r="F54">
        <f>IF($A54="","",ROUND(SUMIFS('الصرف المباشر'!$D$2:$D$501,'الصرف المباشر'!$C$2:$C$501,$A54)+SUMPRODUCT((الطبخات!$B$2:$B$900=$A54)*الطبخات!$C$2:$C$900*COUNTIF('سجل الإنتاج'!$C$2:$C$501,الطبخات!$A$2:$A$900)),3))</f>
        <v>0</v>
      </c>
    </row>
    <row r="55" spans="1:6">
      <c r="A55" t="str">
        <f>المواد!A55</f>
        <v>حمض الكبريت</v>
      </c>
      <c r="B55" t="str">
        <f>IFERROR(INDEX(الطبخات!$F$2:$F$900,MATCH(54,الطبخات!$G$2:$G$900,0)),"")</f>
        <v/>
      </c>
      <c r="D55" t="str">
        <f>IF($B55="","",COUNTIF('سجل الإنتاج'!$C$2:$C$501,$B55))</f>
        <v/>
      </c>
      <c r="F55">
        <f>IF($A55="","",ROUND(SUMIFS('الصرف المباشر'!$D$2:$D$501,'الصرف المباشر'!$C$2:$C$501,$A55)+SUMPRODUCT((الطبخات!$B$2:$B$900=$A55)*الطبخات!$C$2:$C$900*COUNTIF('سجل الإنتاج'!$C$2:$C$501,الطبخات!$A$2:$A$900)),3))</f>
        <v>0</v>
      </c>
    </row>
    <row r="56" spans="1:6">
      <c r="A56" t="str">
        <f>المواد!A56</f>
        <v>حمض الخل</v>
      </c>
      <c r="B56" t="str">
        <f>IFERROR(INDEX(الطبخات!$F$2:$F$900,MATCH(55,الطبخات!$G$2:$G$900,0)),"")</f>
        <v/>
      </c>
      <c r="D56" t="str">
        <f>IF($B56="","",COUNTIF('سجل الإنتاج'!$C$2:$C$501,$B56))</f>
        <v/>
      </c>
      <c r="F56">
        <f>IF($A56="","",ROUND(SUMIFS('الصرف المباشر'!$D$2:$D$501,'الصرف المباشر'!$C$2:$C$501,$A56)+SUMPRODUCT((الطبخات!$B$2:$B$900=$A56)*الطبخات!$C$2:$C$900*COUNTIF('سجل الإنتاج'!$C$2:$C$501,الطبخات!$A$2:$A$900)),3))</f>
        <v>0</v>
      </c>
    </row>
    <row r="57" spans="1:6">
      <c r="A57" t="str">
        <f>المواد!A57</f>
        <v>حليب التين</v>
      </c>
      <c r="B57" t="str">
        <f>IFERROR(INDEX(الطبخات!$F$2:$F$900,MATCH(56,الطبخات!$G$2:$G$900,0)),"")</f>
        <v/>
      </c>
      <c r="D57" t="str">
        <f>IF($B57="","",COUNTIF('سجل الإنتاج'!$C$2:$C$501,$B57))</f>
        <v/>
      </c>
      <c r="F57">
        <f>IF($A57="","",ROUND(SUMIFS('الصرف المباشر'!$D$2:$D$501,'الصرف المباشر'!$C$2:$C$501,$A57)+SUMPRODUCT((الطبخات!$B$2:$B$900=$A57)*الطبخات!$C$2:$C$900*COUNTIF('سجل الإنتاج'!$C$2:$C$501,الطبخات!$A$2:$A$900)),3))</f>
        <v>0</v>
      </c>
    </row>
    <row r="58" spans="1:6">
      <c r="A58" t="str">
        <f>المواد!A58</f>
        <v xml:space="preserve">حبيبات ملونة </v>
      </c>
      <c r="B58" t="str">
        <f>IFERROR(INDEX(الطبخات!$F$2:$F$900,MATCH(57,الطبخات!$G$2:$G$900,0)),"")</f>
        <v/>
      </c>
      <c r="D58" t="str">
        <f>IF($B58="","",COUNTIF('سجل الإنتاج'!$C$2:$C$501,$B58))</f>
        <v/>
      </c>
      <c r="F58">
        <f>IF($A58="","",ROUND(SUMIFS('الصرف المباشر'!$D$2:$D$501,'الصرف المباشر'!$C$2:$C$501,$A58)+SUMPRODUCT((الطبخات!$B$2:$B$900=$A58)*الطبخات!$C$2:$C$900*COUNTIF('سجل الإنتاج'!$C$2:$C$501,الطبخات!$A$2:$A$900)),3))</f>
        <v>0</v>
      </c>
    </row>
    <row r="59" spans="1:6">
      <c r="A59" t="str">
        <f>المواد!A59</f>
        <v>تكسبون</v>
      </c>
      <c r="B59" t="str">
        <f>IFERROR(INDEX(الطبخات!$F$2:$F$900,MATCH(58,الطبخات!$G$2:$G$900,0)),"")</f>
        <v/>
      </c>
      <c r="D59" t="str">
        <f>IF($B59="","",COUNTIF('سجل الإنتاج'!$C$2:$C$501,$B59))</f>
        <v/>
      </c>
      <c r="F59">
        <f>IF($A59="","",ROUND(SUMIFS('الصرف المباشر'!$D$2:$D$501,'الصرف المباشر'!$C$2:$C$501,$A59)+SUMPRODUCT((الطبخات!$B$2:$B$900=$A59)*الطبخات!$C$2:$C$900*COUNTIF('سجل الإنتاج'!$C$2:$C$501,الطبخات!$A$2:$A$900)),3))</f>
        <v>43</v>
      </c>
    </row>
    <row r="60" spans="1:6">
      <c r="A60" t="str">
        <f>المواد!A60</f>
        <v xml:space="preserve">بيدون 4 لتر </v>
      </c>
      <c r="B60" t="str">
        <f>IFERROR(INDEX(الطبخات!$F$2:$F$900,MATCH(59,الطبخات!$G$2:$G$900,0)),"")</f>
        <v/>
      </c>
      <c r="D60" t="str">
        <f>IF($B60="","",COUNTIF('سجل الإنتاج'!$C$2:$C$501,$B60))</f>
        <v/>
      </c>
      <c r="F60">
        <f>IF($A60="","",ROUND(SUMIFS('الصرف المباشر'!$D$2:$D$501,'الصرف المباشر'!$C$2:$C$501,$A60)+SUMPRODUCT((الطبخات!$B$2:$B$900=$A60)*الطبخات!$C$2:$C$900*COUNTIF('سجل الإنتاج'!$C$2:$C$501,الطبخات!$A$2:$A$900)),3))</f>
        <v>0</v>
      </c>
    </row>
    <row r="61" spans="1:6">
      <c r="A61" t="str">
        <f>المواد!A61</f>
        <v>بيتائين</v>
      </c>
      <c r="B61" t="str">
        <f>IFERROR(INDEX(الطبخات!$F$2:$F$900,MATCH(60,الطبخات!$G$2:$G$900,0)),"")</f>
        <v/>
      </c>
      <c r="D61" t="str">
        <f>IF($B61="","",COUNTIF('سجل الإنتاج'!$C$2:$C$501,$B61))</f>
        <v/>
      </c>
      <c r="F61">
        <f>IF($A61="","",ROUND(SUMIFS('الصرف المباشر'!$D$2:$D$501,'الصرف المباشر'!$C$2:$C$501,$A61)+SUMPRODUCT((الطبخات!$B$2:$B$900=$A61)*الطبخات!$C$2:$C$900*COUNTIF('سجل الإنتاج'!$C$2:$C$501,الطبخات!$A$2:$A$900)),3))</f>
        <v>15</v>
      </c>
    </row>
    <row r="62" spans="1:6">
      <c r="A62" t="str">
        <f>المواد!A62</f>
        <v>بوتيل غليكول</v>
      </c>
      <c r="B62" t="str">
        <f>IFERROR(INDEX(الطبخات!$F$2:$F$900,MATCH(61,الطبخات!$G$2:$G$900,0)),"")</f>
        <v/>
      </c>
      <c r="D62" t="str">
        <f>IF($B62="","",COUNTIF('سجل الإنتاج'!$C$2:$C$501,$B62))</f>
        <v/>
      </c>
      <c r="F62">
        <f>IF($A62="","",ROUND(SUMIFS('الصرف المباشر'!$D$2:$D$501,'الصرف المباشر'!$C$2:$C$501,$A62)+SUMPRODUCT((الطبخات!$B$2:$B$900=$A62)*الطبخات!$C$2:$C$900*COUNTIF('سجل الإنتاج'!$C$2:$C$501,الطبخات!$A$2:$A$900)),3))</f>
        <v>0</v>
      </c>
    </row>
    <row r="63" spans="1:6">
      <c r="A63" t="str">
        <f>المواد!A63</f>
        <v>بلسم جامد</v>
      </c>
      <c r="B63" t="str">
        <f>IFERROR(INDEX(الطبخات!$F$2:$F$900,MATCH(62,الطبخات!$G$2:$G$900,0)),"")</f>
        <v/>
      </c>
      <c r="D63" t="str">
        <f>IF($B63="","",COUNTIF('سجل الإنتاج'!$C$2:$C$501,$B63))</f>
        <v/>
      </c>
      <c r="F63">
        <f>IF($A63="","",ROUND(SUMIFS('الصرف المباشر'!$D$2:$D$501,'الصرف المباشر'!$C$2:$C$501,$A63)+SUMPRODUCT((الطبخات!$B$2:$B$900=$A63)*الطبخات!$C$2:$C$900*COUNTIF('سجل الإنتاج'!$C$2:$C$501,الطبخات!$A$2:$A$900)),3))</f>
        <v>0</v>
      </c>
    </row>
    <row r="64" spans="1:6">
      <c r="A64" t="str">
        <f>المواد!A64</f>
        <v>بروبلين - فينب</v>
      </c>
      <c r="B64" t="str">
        <f>IFERROR(INDEX(الطبخات!$F$2:$F$900,MATCH(63,الطبخات!$G$2:$G$900,0)),"")</f>
        <v/>
      </c>
      <c r="D64" t="str">
        <f>IF($B64="","",COUNTIF('سجل الإنتاج'!$C$2:$C$501,$B64))</f>
        <v/>
      </c>
      <c r="F64">
        <f>IF($A64="","",ROUND(SUMIFS('الصرف المباشر'!$D$2:$D$501,'الصرف المباشر'!$C$2:$C$501,$A64)+SUMPRODUCT((الطبخات!$B$2:$B$900=$A64)*الطبخات!$C$2:$C$900*COUNTIF('سجل الإنتاج'!$C$2:$C$501,الطبخات!$A$2:$A$900)),3))</f>
        <v>0</v>
      </c>
    </row>
    <row r="65" spans="1:6">
      <c r="A65" t="str">
        <f>المواد!A65</f>
        <v>ايمولجين</v>
      </c>
      <c r="B65" t="str">
        <f>IFERROR(INDEX(الطبخات!$F$2:$F$900,MATCH(64,الطبخات!$G$2:$G$900,0)),"")</f>
        <v/>
      </c>
      <c r="D65" t="str">
        <f>IF($B65="","",COUNTIF('سجل الإنتاج'!$C$2:$C$501,$B65))</f>
        <v/>
      </c>
      <c r="F65">
        <f>IF($A65="","",ROUND(SUMIFS('الصرف المباشر'!$D$2:$D$501,'الصرف المباشر'!$C$2:$C$501,$A65)+SUMPRODUCT((الطبخات!$B$2:$B$900=$A65)*الطبخات!$C$2:$C$900*COUNTIF('سجل الإنتاج'!$C$2:$C$501,الطبخات!$A$2:$A$900)),3))</f>
        <v>0</v>
      </c>
    </row>
    <row r="66" spans="1:6">
      <c r="A66" t="str">
        <f>المواد!A66</f>
        <v>ايديتا</v>
      </c>
      <c r="B66" t="str">
        <f>IFERROR(INDEX(الطبخات!$F$2:$F$900,MATCH(65,الطبخات!$G$2:$G$900,0)),"")</f>
        <v/>
      </c>
      <c r="D66" t="str">
        <f>IF($B66="","",COUNTIF('سجل الإنتاج'!$C$2:$C$501,$B66))</f>
        <v/>
      </c>
      <c r="F66">
        <f>IF($A66="","",ROUND(SUMIFS('الصرف المباشر'!$D$2:$D$501,'الصرف المباشر'!$C$2:$C$501,$A66)+SUMPRODUCT((الطبخات!$B$2:$B$900=$A66)*الطبخات!$C$2:$C$900*COUNTIF('سجل الإنتاج'!$C$2:$C$501,الطبخات!$A$2:$A$900)),3))</f>
        <v>0</v>
      </c>
    </row>
    <row r="67" spans="1:6">
      <c r="A67" t="str">
        <f>المواد!A67</f>
        <v>اسيد - روح الملح - حمض كلور الماء</v>
      </c>
      <c r="B67" t="str">
        <f>IFERROR(INDEX(الطبخات!$F$2:$F$900,MATCH(66,الطبخات!$G$2:$G$900,0)),"")</f>
        <v/>
      </c>
      <c r="D67" t="str">
        <f>IF($B67="","",COUNTIF('سجل الإنتاج'!$C$2:$C$501,$B67))</f>
        <v/>
      </c>
      <c r="F67">
        <f>IF($A67="","",ROUND(SUMIFS('الصرف المباشر'!$D$2:$D$501,'الصرف المباشر'!$C$2:$C$501,$A67)+SUMPRODUCT((الطبخات!$B$2:$B$900=$A67)*الطبخات!$C$2:$C$900*COUNTIF('سجل الإنتاج'!$C$2:$C$501,الطبخات!$A$2:$A$900)),3))</f>
        <v>0</v>
      </c>
    </row>
    <row r="68" spans="1:6">
      <c r="A68" t="str">
        <f>المواد!A68</f>
        <v>اسيتون</v>
      </c>
      <c r="B68" t="str">
        <f>IFERROR(INDEX(الطبخات!$F$2:$F$900,MATCH(67,الطبخات!$G$2:$G$900,0)),"")</f>
        <v/>
      </c>
      <c r="D68" t="str">
        <f>IF($B68="","",COUNTIF('سجل الإنتاج'!$C$2:$C$501,$B68))</f>
        <v/>
      </c>
      <c r="F68">
        <f>IF($A68="","",ROUND(SUMIFS('الصرف المباشر'!$D$2:$D$501,'الصرف المباشر'!$C$2:$C$501,$A68)+SUMPRODUCT((الطبخات!$B$2:$B$900=$A68)*الطبخات!$C$2:$C$900*COUNTIF('سجل الإنتاج'!$C$2:$C$501,الطبخات!$A$2:$A$900)),3))</f>
        <v>0</v>
      </c>
    </row>
    <row r="69" spans="1:6">
      <c r="A69" t="str">
        <f>المواد!A69</f>
        <v>لصاقة طابعة</v>
      </c>
      <c r="B69" t="str">
        <f>IFERROR(INDEX(الطبخات!$F$2:$F$900,MATCH(68,الطبخات!$G$2:$G$900,0)),"")</f>
        <v/>
      </c>
      <c r="D69" t="str">
        <f>IF($B69="","",COUNTIF('سجل الإنتاج'!$C$2:$C$501,$B69))</f>
        <v/>
      </c>
      <c r="F69">
        <f>IF($A69="","",ROUND(SUMIFS('الصرف المباشر'!$D$2:$D$501,'الصرف المباشر'!$C$2:$C$501,$A69)+SUMPRODUCT((الطبخات!$B$2:$B$900=$A69)*الطبخات!$C$2:$C$900*COUNTIF('سجل الإنتاج'!$C$2:$C$501,الطبخات!$A$2:$A$900)),3))</f>
        <v>0</v>
      </c>
    </row>
    <row r="70" spans="1:6">
      <c r="A70" t="str">
        <f>المواد!A70</f>
        <v>كريك بلاستيك</v>
      </c>
      <c r="B70" t="str">
        <f>IFERROR(INDEX(الطبخات!$F$2:$F$900,MATCH(69,الطبخات!$G$2:$G$900,0)),"")</f>
        <v/>
      </c>
      <c r="D70" t="str">
        <f>IF($B70="","",COUNTIF('سجل الإنتاج'!$C$2:$C$501,$B70))</f>
        <v/>
      </c>
      <c r="F70">
        <f>IF($A70="","",ROUND(SUMIFS('الصرف المباشر'!$D$2:$D$501,'الصرف المباشر'!$C$2:$C$501,$A70)+SUMPRODUCT((الطبخات!$B$2:$B$900=$A70)*الطبخات!$C$2:$C$900*COUNTIF('سجل الإنتاج'!$C$2:$C$501,الطبخات!$A$2:$A$900)),3))</f>
        <v>0</v>
      </c>
    </row>
    <row r="71" spans="1:6">
      <c r="A71" t="str">
        <f>المواد!A71</f>
        <v>فازلين</v>
      </c>
      <c r="B71" t="str">
        <f>IFERROR(INDEX(الطبخات!$F$2:$F$900,MATCH(70,الطبخات!$G$2:$G$900,0)),"")</f>
        <v/>
      </c>
      <c r="D71" t="str">
        <f>IF($B71="","",COUNTIF('سجل الإنتاج'!$C$2:$C$501,$B71))</f>
        <v/>
      </c>
      <c r="F71">
        <f>IF($A71="","",ROUND(SUMIFS('الصرف المباشر'!$D$2:$D$501,'الصرف المباشر'!$C$2:$C$501,$A71)+SUMPRODUCT((الطبخات!$B$2:$B$900=$A71)*الطبخات!$C$2:$C$900*COUNTIF('سجل الإنتاج'!$C$2:$C$501,الطبخات!$A$2:$A$900)),3))</f>
        <v>0</v>
      </c>
    </row>
    <row r="72" spans="1:6">
      <c r="A72" t="str">
        <f>المواد!A72</f>
        <v xml:space="preserve">عبوات كلور + فلاش فارغة </v>
      </c>
      <c r="B72" t="str">
        <f>IFERROR(INDEX(الطبخات!$F$2:$F$900,MATCH(71,الطبخات!$G$2:$G$900,0)),"")</f>
        <v/>
      </c>
      <c r="D72" t="str">
        <f>IF($B72="","",COUNTIF('سجل الإنتاج'!$C$2:$C$501,$B72))</f>
        <v/>
      </c>
      <c r="F72">
        <f>IF($A72="","",ROUND(SUMIFS('الصرف المباشر'!$D$2:$D$501,'الصرف المباشر'!$C$2:$C$501,$A72)+SUMPRODUCT((الطبخات!$B$2:$B$900=$A72)*الطبخات!$C$2:$C$900*COUNTIF('سجل الإنتاج'!$C$2:$C$501,الطبخات!$A$2:$A$900)),3))</f>
        <v>0</v>
      </c>
    </row>
    <row r="73" spans="1:6">
      <c r="A73" t="str">
        <f>المواد!A73</f>
        <v>عبوات شفافة 3 لتر</v>
      </c>
      <c r="B73" t="str">
        <f>IFERROR(INDEX(الطبخات!$F$2:$F$900,MATCH(72,الطبخات!$G$2:$G$900,0)),"")</f>
        <v/>
      </c>
      <c r="D73" t="str">
        <f>IF($B73="","",COUNTIF('سجل الإنتاج'!$C$2:$C$501,$B73))</f>
        <v/>
      </c>
      <c r="F73">
        <f>IF($A73="","",ROUND(SUMIFS('الصرف المباشر'!$D$2:$D$501,'الصرف المباشر'!$C$2:$C$501,$A73)+SUMPRODUCT((الطبخات!$B$2:$B$900=$A73)*الطبخات!$C$2:$C$900*COUNTIF('سجل الإنتاج'!$C$2:$C$501,الطبخات!$A$2:$A$900)),3))</f>
        <v>0</v>
      </c>
    </row>
    <row r="74" spans="1:6">
      <c r="A74" t="str">
        <f>المواد!A74</f>
        <v>عبوات حليبي</v>
      </c>
      <c r="B74" t="str">
        <f>IFERROR(INDEX(الطبخات!$F$2:$F$900,MATCH(73,الطبخات!$G$2:$G$900,0)),"")</f>
        <v/>
      </c>
      <c r="D74" t="str">
        <f>IF($B74="","",COUNTIF('سجل الإنتاج'!$C$2:$C$501,$B74))</f>
        <v/>
      </c>
      <c r="F74">
        <f>IF($A74="","",ROUND(SUMIFS('الصرف المباشر'!$D$2:$D$501,'الصرف المباشر'!$C$2:$C$501,$A74)+SUMPRODUCT((الطبخات!$B$2:$B$900=$A74)*الطبخات!$C$2:$C$900*COUNTIF('سجل الإنتاج'!$C$2:$C$501,الطبخات!$A$2:$A$900)),3))</f>
        <v>0</v>
      </c>
    </row>
    <row r="75" spans="1:6">
      <c r="A75" t="str">
        <f>المواد!A75</f>
        <v>ديتول خام</v>
      </c>
      <c r="B75" t="str">
        <f>IFERROR(INDEX(الطبخات!$F$2:$F$900,MATCH(74,الطبخات!$G$2:$G$900,0)),"")</f>
        <v/>
      </c>
      <c r="D75" t="str">
        <f>IF($B75="","",COUNTIF('سجل الإنتاج'!$C$2:$C$501,$B75))</f>
        <v/>
      </c>
      <c r="F75">
        <f>IF($A75="","",ROUND(SUMIFS('الصرف المباشر'!$D$2:$D$501,'الصرف المباشر'!$C$2:$C$501,$A75)+SUMPRODUCT((الطبخات!$B$2:$B$900=$A75)*الطبخات!$C$2:$C$900*COUNTIF('سجل الإنتاج'!$C$2:$C$501,الطبخات!$A$2:$A$900)),3))</f>
        <v>0</v>
      </c>
    </row>
    <row r="76" spans="1:6">
      <c r="A76">
        <f>المواد!A76</f>
        <v>0</v>
      </c>
      <c r="B76" t="str">
        <f>IFERROR(INDEX(الطبخات!$F$2:$F$900,MATCH(75,الطبخات!$G$2:$G$900,0)),"")</f>
        <v/>
      </c>
      <c r="D76" t="str">
        <f>IF($B76="","",COUNTIF('سجل الإنتاج'!$C$2:$C$501,$B76))</f>
        <v/>
      </c>
      <c r="F76">
        <f>IF($A76="","",ROUND(SUMIFS('الصرف المباشر'!$D$2:$D$501,'الصرف المباشر'!$C$2:$C$501,$A76)+SUMPRODUCT((الطبخات!$B$2:$B$900=$A76)*الطبخات!$C$2:$C$900*COUNTIF('سجل الإنتاج'!$C$2:$C$501,الطبخات!$A$2:$A$900)),3))</f>
        <v>0</v>
      </c>
    </row>
    <row r="77" spans="1:6">
      <c r="A77">
        <f>المواد!A77</f>
        <v>0</v>
      </c>
      <c r="B77" t="str">
        <f>IFERROR(INDEX(الطبخات!$F$2:$F$900,MATCH(76,الطبخات!$G$2:$G$900,0)),"")</f>
        <v/>
      </c>
      <c r="D77" t="str">
        <f>IF($B77="","",COUNTIF('سجل الإنتاج'!$C$2:$C$501,$B77))</f>
        <v/>
      </c>
      <c r="F77">
        <f>IF($A77="","",ROUND(SUMIFS('الصرف المباشر'!$D$2:$D$501,'الصرف المباشر'!$C$2:$C$501,$A77)+SUMPRODUCT((الطبخات!$B$2:$B$900=$A77)*الطبخات!$C$2:$C$900*COUNTIF('سجل الإنتاج'!$C$2:$C$501,الطبخات!$A$2:$A$900)),3))</f>
        <v>0</v>
      </c>
    </row>
    <row r="78" spans="1:6">
      <c r="A78">
        <f>المواد!A78</f>
        <v>0</v>
      </c>
      <c r="B78" t="str">
        <f>IFERROR(INDEX(الطبخات!$F$2:$F$900,MATCH(77,الطبخات!$G$2:$G$900,0)),"")</f>
        <v/>
      </c>
      <c r="D78" t="str">
        <f>IF($B78="","",COUNTIF('سجل الإنتاج'!$C$2:$C$501,$B78))</f>
        <v/>
      </c>
      <c r="F78">
        <f>IF($A78="","",ROUND(SUMIFS('الصرف المباشر'!$D$2:$D$501,'الصرف المباشر'!$C$2:$C$501,$A78)+SUMPRODUCT((الطبخات!$B$2:$B$900=$A78)*الطبخات!$C$2:$C$900*COUNTIF('سجل الإنتاج'!$C$2:$C$501,الطبخات!$A$2:$A$900)),3))</f>
        <v>0</v>
      </c>
    </row>
    <row r="79" spans="1:6">
      <c r="A79">
        <f>المواد!A79</f>
        <v>0</v>
      </c>
      <c r="B79" t="str">
        <f>IFERROR(INDEX(الطبخات!$F$2:$F$900,MATCH(78,الطبخات!$G$2:$G$900,0)),"")</f>
        <v/>
      </c>
      <c r="D79" t="str">
        <f>IF($B79="","",COUNTIF('سجل الإنتاج'!$C$2:$C$501,$B79))</f>
        <v/>
      </c>
      <c r="F79">
        <f>IF($A79="","",ROUND(SUMIFS('الصرف المباشر'!$D$2:$D$501,'الصرف المباشر'!$C$2:$C$501,$A79)+SUMPRODUCT((الطبخات!$B$2:$B$900=$A79)*الطبخات!$C$2:$C$900*COUNTIF('سجل الإنتاج'!$C$2:$C$501,الطبخات!$A$2:$A$900)),3))</f>
        <v>0</v>
      </c>
    </row>
    <row r="80" spans="1:6">
      <c r="A80">
        <f>المواد!A80</f>
        <v>0</v>
      </c>
      <c r="B80" t="str">
        <f>IFERROR(INDEX(الطبخات!$F$2:$F$900,MATCH(79,الطبخات!$G$2:$G$900,0)),"")</f>
        <v/>
      </c>
      <c r="D80" t="str">
        <f>IF($B80="","",COUNTIF('سجل الإنتاج'!$C$2:$C$501,$B80))</f>
        <v/>
      </c>
      <c r="F80">
        <f>IF($A80="","",ROUND(SUMIFS('الصرف المباشر'!$D$2:$D$501,'الصرف المباشر'!$C$2:$C$501,$A80)+SUMPRODUCT((الطبخات!$B$2:$B$900=$A80)*الطبخات!$C$2:$C$900*COUNTIF('سجل الإنتاج'!$C$2:$C$501,الطبخات!$A$2:$A$900)),3))</f>
        <v>0</v>
      </c>
    </row>
    <row r="81" spans="1:6">
      <c r="A81">
        <f>المواد!A81</f>
        <v>0</v>
      </c>
      <c r="B81" t="str">
        <f>IFERROR(INDEX(الطبخات!$F$2:$F$900,MATCH(80,الطبخات!$G$2:$G$900,0)),"")</f>
        <v/>
      </c>
      <c r="D81" t="str">
        <f>IF($B81="","",COUNTIF('سجل الإنتاج'!$C$2:$C$501,$B81))</f>
        <v/>
      </c>
      <c r="F81">
        <f>IF($A81="","",ROUND(SUMIFS('الصرف المباشر'!$D$2:$D$501,'الصرف المباشر'!$C$2:$C$501,$A81)+SUMPRODUCT((الطبخات!$B$2:$B$900=$A81)*الطبخات!$C$2:$C$900*COUNTIF('سجل الإنتاج'!$C$2:$C$501,الطبخات!$A$2:$A$900)),3))</f>
        <v>0</v>
      </c>
    </row>
    <row r="82" spans="1:6">
      <c r="A82">
        <f>المواد!A82</f>
        <v>0</v>
      </c>
      <c r="B82" t="str">
        <f>IFERROR(INDEX(الطبخات!$F$2:$F$900,MATCH(81,الطبخات!$G$2:$G$900,0)),"")</f>
        <v/>
      </c>
      <c r="D82" t="str">
        <f>IF($B82="","",COUNTIF('سجل الإنتاج'!$C$2:$C$501,$B82))</f>
        <v/>
      </c>
      <c r="F82">
        <f>IF($A82="","",ROUND(SUMIFS('الصرف المباشر'!$D$2:$D$501,'الصرف المباشر'!$C$2:$C$501,$A82)+SUMPRODUCT((الطبخات!$B$2:$B$900=$A82)*الطبخات!$C$2:$C$900*COUNTIF('سجل الإنتاج'!$C$2:$C$501,الطبخات!$A$2:$A$900)),3))</f>
        <v>0</v>
      </c>
    </row>
    <row r="83" spans="1:6">
      <c r="A83">
        <f>المواد!A83</f>
        <v>0</v>
      </c>
      <c r="B83" t="str">
        <f>IFERROR(INDEX(الطبخات!$F$2:$F$900,MATCH(82,الطبخات!$G$2:$G$900,0)),"")</f>
        <v/>
      </c>
      <c r="D83" t="str">
        <f>IF($B83="","",COUNTIF('سجل الإنتاج'!$C$2:$C$501,$B83))</f>
        <v/>
      </c>
      <c r="F83">
        <f>IF($A83="","",ROUND(SUMIFS('الصرف المباشر'!$D$2:$D$501,'الصرف المباشر'!$C$2:$C$501,$A83)+SUMPRODUCT((الطبخات!$B$2:$B$900=$A83)*الطبخات!$C$2:$C$900*COUNTIF('سجل الإنتاج'!$C$2:$C$501,الطبخات!$A$2:$A$900)),3))</f>
        <v>0</v>
      </c>
    </row>
    <row r="84" spans="1:6">
      <c r="A84">
        <f>المواد!A84</f>
        <v>0</v>
      </c>
      <c r="B84" t="str">
        <f>IFERROR(INDEX(الطبخات!$F$2:$F$900,MATCH(83,الطبخات!$G$2:$G$900,0)),"")</f>
        <v/>
      </c>
      <c r="D84" t="str">
        <f>IF($B84="","",COUNTIF('سجل الإنتاج'!$C$2:$C$501,$B84))</f>
        <v/>
      </c>
      <c r="F84">
        <f>IF($A84="","",ROUND(SUMIFS('الصرف المباشر'!$D$2:$D$501,'الصرف المباشر'!$C$2:$C$501,$A84)+SUMPRODUCT((الطبخات!$B$2:$B$900=$A84)*الطبخات!$C$2:$C$900*COUNTIF('سجل الإنتاج'!$C$2:$C$501,الطبخات!$A$2:$A$900)),3))</f>
        <v>0</v>
      </c>
    </row>
    <row r="85" spans="1:6">
      <c r="A85">
        <f>المواد!A85</f>
        <v>0</v>
      </c>
      <c r="B85" t="str">
        <f>IFERROR(INDEX(الطبخات!$F$2:$F$900,MATCH(84,الطبخات!$G$2:$G$900,0)),"")</f>
        <v/>
      </c>
      <c r="D85" t="str">
        <f>IF($B85="","",COUNTIF('سجل الإنتاج'!$C$2:$C$501,$B85))</f>
        <v/>
      </c>
      <c r="F85">
        <f>IF($A85="","",ROUND(SUMIFS('الصرف المباشر'!$D$2:$D$501,'الصرف المباشر'!$C$2:$C$501,$A85)+SUMPRODUCT((الطبخات!$B$2:$B$900=$A85)*الطبخات!$C$2:$C$900*COUNTIF('سجل الإنتاج'!$C$2:$C$501,الطبخات!$A$2:$A$900)),3))</f>
        <v>0</v>
      </c>
    </row>
    <row r="86" spans="1:6">
      <c r="A86">
        <f>المواد!A86</f>
        <v>0</v>
      </c>
      <c r="B86" t="str">
        <f>IFERROR(INDEX(الطبخات!$F$2:$F$900,MATCH(85,الطبخات!$G$2:$G$900,0)),"")</f>
        <v/>
      </c>
      <c r="D86" t="str">
        <f>IF($B86="","",COUNTIF('سجل الإنتاج'!$C$2:$C$501,$B86))</f>
        <v/>
      </c>
      <c r="F86">
        <f>IF($A86="","",ROUND(SUMIFS('الصرف المباشر'!$D$2:$D$501,'الصرف المباشر'!$C$2:$C$501,$A86)+SUMPRODUCT((الطبخات!$B$2:$B$900=$A86)*الطبخات!$C$2:$C$900*COUNTIF('سجل الإنتاج'!$C$2:$C$501,الطبخات!$A$2:$A$900)),3))</f>
        <v>0</v>
      </c>
    </row>
    <row r="87" spans="1:6">
      <c r="A87">
        <f>المواد!A87</f>
        <v>0</v>
      </c>
      <c r="B87" t="str">
        <f>IFERROR(INDEX(الطبخات!$F$2:$F$900,MATCH(86,الطبخات!$G$2:$G$900,0)),"")</f>
        <v/>
      </c>
      <c r="D87" t="str">
        <f>IF($B87="","",COUNTIF('سجل الإنتاج'!$C$2:$C$501,$B87))</f>
        <v/>
      </c>
      <c r="F87">
        <f>IF($A87="","",ROUND(SUMIFS('الصرف المباشر'!$D$2:$D$501,'الصرف المباشر'!$C$2:$C$501,$A87)+SUMPRODUCT((الطبخات!$B$2:$B$900=$A87)*الطبخات!$C$2:$C$900*COUNTIF('سجل الإنتاج'!$C$2:$C$501,الطبخات!$A$2:$A$900)),3))</f>
        <v>0</v>
      </c>
    </row>
    <row r="88" spans="1:6">
      <c r="A88">
        <f>المواد!A88</f>
        <v>0</v>
      </c>
      <c r="B88" t="str">
        <f>IFERROR(INDEX(الطبخات!$F$2:$F$900,MATCH(87,الطبخات!$G$2:$G$900,0)),"")</f>
        <v/>
      </c>
      <c r="D88" t="str">
        <f>IF($B88="","",COUNTIF('سجل الإنتاج'!$C$2:$C$501,$B88))</f>
        <v/>
      </c>
      <c r="F88">
        <f>IF($A88="","",ROUND(SUMIFS('الصرف المباشر'!$D$2:$D$501,'الصرف المباشر'!$C$2:$C$501,$A88)+SUMPRODUCT((الطبخات!$B$2:$B$900=$A88)*الطبخات!$C$2:$C$900*COUNTIF('سجل الإنتاج'!$C$2:$C$501,الطبخات!$A$2:$A$900)),3))</f>
        <v>0</v>
      </c>
    </row>
    <row r="89" spans="1:6">
      <c r="A89">
        <f>المواد!A89</f>
        <v>0</v>
      </c>
      <c r="B89" t="str">
        <f>IFERROR(INDEX(الطبخات!$F$2:$F$900,MATCH(88,الطبخات!$G$2:$G$900,0)),"")</f>
        <v/>
      </c>
      <c r="D89" t="str">
        <f>IF($B89="","",COUNTIF('سجل الإنتاج'!$C$2:$C$501,$B89))</f>
        <v/>
      </c>
      <c r="F89">
        <f>IF($A89="","",ROUND(SUMIFS('الصرف المباشر'!$D$2:$D$501,'الصرف المباشر'!$C$2:$C$501,$A89)+SUMPRODUCT((الطبخات!$B$2:$B$900=$A89)*الطبخات!$C$2:$C$900*COUNTIF('سجل الإنتاج'!$C$2:$C$501,الطبخات!$A$2:$A$900)),3))</f>
        <v>0</v>
      </c>
    </row>
    <row r="90" spans="1:6">
      <c r="A90">
        <f>المواد!A90</f>
        <v>0</v>
      </c>
      <c r="B90" t="str">
        <f>IFERROR(INDEX(الطبخات!$F$2:$F$900,MATCH(89,الطبخات!$G$2:$G$900,0)),"")</f>
        <v/>
      </c>
      <c r="D90" t="str">
        <f>IF($B90="","",COUNTIF('سجل الإنتاج'!$C$2:$C$501,$B90))</f>
        <v/>
      </c>
      <c r="F90">
        <f>IF($A90="","",ROUND(SUMIFS('الصرف المباشر'!$D$2:$D$501,'الصرف المباشر'!$C$2:$C$501,$A90)+SUMPRODUCT((الطبخات!$B$2:$B$900=$A90)*الطبخات!$C$2:$C$900*COUNTIF('سجل الإنتاج'!$C$2:$C$501,الطبخات!$A$2:$A$900)),3))</f>
        <v>0</v>
      </c>
    </row>
    <row r="91" spans="1:6">
      <c r="A91">
        <f>المواد!A91</f>
        <v>0</v>
      </c>
      <c r="B91" t="str">
        <f>IFERROR(INDEX(الطبخات!$F$2:$F$900,MATCH(90,الطبخات!$G$2:$G$900,0)),"")</f>
        <v/>
      </c>
      <c r="D91" t="str">
        <f>IF($B91="","",COUNTIF('سجل الإنتاج'!$C$2:$C$501,$B91))</f>
        <v/>
      </c>
      <c r="F91">
        <f>IF($A91="","",ROUND(SUMIFS('الصرف المباشر'!$D$2:$D$501,'الصرف المباشر'!$C$2:$C$501,$A91)+SUMPRODUCT((الطبخات!$B$2:$B$900=$A91)*الطبخات!$C$2:$C$900*COUNTIF('سجل الإنتاج'!$C$2:$C$501,الطبخات!$A$2:$A$900)),3))</f>
        <v>0</v>
      </c>
    </row>
    <row r="92" spans="1:6">
      <c r="A92">
        <f>المواد!A92</f>
        <v>0</v>
      </c>
      <c r="B92" t="str">
        <f>IFERROR(INDEX(الطبخات!$F$2:$F$900,MATCH(91,الطبخات!$G$2:$G$900,0)),"")</f>
        <v/>
      </c>
      <c r="D92" t="str">
        <f>IF($B92="","",COUNTIF('سجل الإنتاج'!$C$2:$C$501,$B92))</f>
        <v/>
      </c>
      <c r="F92">
        <f>IF($A92="","",ROUND(SUMIFS('الصرف المباشر'!$D$2:$D$501,'الصرف المباشر'!$C$2:$C$501,$A92)+SUMPRODUCT((الطبخات!$B$2:$B$900=$A92)*الطبخات!$C$2:$C$900*COUNTIF('سجل الإنتاج'!$C$2:$C$501,الطبخات!$A$2:$A$900)),3))</f>
        <v>0</v>
      </c>
    </row>
    <row r="93" spans="1:6">
      <c r="A93">
        <f>المواد!A93</f>
        <v>0</v>
      </c>
      <c r="B93" t="str">
        <f>IFERROR(INDEX(الطبخات!$F$2:$F$900,MATCH(92,الطبخات!$G$2:$G$900,0)),"")</f>
        <v/>
      </c>
      <c r="D93" t="str">
        <f>IF($B93="","",COUNTIF('سجل الإنتاج'!$C$2:$C$501,$B93))</f>
        <v/>
      </c>
      <c r="F93">
        <f>IF($A93="","",ROUND(SUMIFS('الصرف المباشر'!$D$2:$D$501,'الصرف المباشر'!$C$2:$C$501,$A93)+SUMPRODUCT((الطبخات!$B$2:$B$900=$A93)*الطبخات!$C$2:$C$900*COUNTIF('سجل الإنتاج'!$C$2:$C$501,الطبخات!$A$2:$A$900)),3))</f>
        <v>0</v>
      </c>
    </row>
    <row r="94" spans="1:6">
      <c r="A94">
        <f>المواد!A94</f>
        <v>0</v>
      </c>
      <c r="B94" t="str">
        <f>IFERROR(INDEX(الطبخات!$F$2:$F$900,MATCH(93,الطبخات!$G$2:$G$900,0)),"")</f>
        <v/>
      </c>
      <c r="D94" t="str">
        <f>IF($B94="","",COUNTIF('سجل الإنتاج'!$C$2:$C$501,$B94))</f>
        <v/>
      </c>
      <c r="F94">
        <f>IF($A94="","",ROUND(SUMIFS('الصرف المباشر'!$D$2:$D$501,'الصرف المباشر'!$C$2:$C$501,$A94)+SUMPRODUCT((الطبخات!$B$2:$B$900=$A94)*الطبخات!$C$2:$C$900*COUNTIF('سجل الإنتاج'!$C$2:$C$501,الطبخات!$A$2:$A$900)),3))</f>
        <v>0</v>
      </c>
    </row>
    <row r="95" spans="1:6">
      <c r="A95">
        <f>المواد!A95</f>
        <v>0</v>
      </c>
      <c r="B95" t="str">
        <f>IFERROR(INDEX(الطبخات!$F$2:$F$900,MATCH(94,الطبخات!$G$2:$G$900,0)),"")</f>
        <v/>
      </c>
      <c r="D95" t="str">
        <f>IF($B95="","",COUNTIF('سجل الإنتاج'!$C$2:$C$501,$B95))</f>
        <v/>
      </c>
      <c r="F95">
        <f>IF($A95="","",ROUND(SUMIFS('الصرف المباشر'!$D$2:$D$501,'الصرف المباشر'!$C$2:$C$501,$A95)+SUMPRODUCT((الطبخات!$B$2:$B$900=$A95)*الطبخات!$C$2:$C$900*COUNTIF('سجل الإنتاج'!$C$2:$C$501,الطبخات!$A$2:$A$900)),3))</f>
        <v>0</v>
      </c>
    </row>
    <row r="96" spans="1:6">
      <c r="A96">
        <f>المواد!A96</f>
        <v>0</v>
      </c>
      <c r="B96" t="str">
        <f>IFERROR(INDEX(الطبخات!$F$2:$F$900,MATCH(95,الطبخات!$G$2:$G$900,0)),"")</f>
        <v/>
      </c>
      <c r="D96" t="str">
        <f>IF($B96="","",COUNTIF('سجل الإنتاج'!$C$2:$C$501,$B96))</f>
        <v/>
      </c>
      <c r="F96">
        <f>IF($A96="","",ROUND(SUMIFS('الصرف المباشر'!$D$2:$D$501,'الصرف المباشر'!$C$2:$C$501,$A96)+SUMPRODUCT((الطبخات!$B$2:$B$900=$A96)*الطبخات!$C$2:$C$900*COUNTIF('سجل الإنتاج'!$C$2:$C$501,الطبخات!$A$2:$A$900)),3))</f>
        <v>0</v>
      </c>
    </row>
    <row r="97" spans="1:6">
      <c r="A97">
        <f>المواد!A97</f>
        <v>0</v>
      </c>
      <c r="B97" t="str">
        <f>IFERROR(INDEX(الطبخات!$F$2:$F$900,MATCH(96,الطبخات!$G$2:$G$900,0)),"")</f>
        <v/>
      </c>
      <c r="D97" t="str">
        <f>IF($B97="","",COUNTIF('سجل الإنتاج'!$C$2:$C$501,$B97))</f>
        <v/>
      </c>
      <c r="F97">
        <f>IF($A97="","",ROUND(SUMIFS('الصرف المباشر'!$D$2:$D$501,'الصرف المباشر'!$C$2:$C$501,$A97)+SUMPRODUCT((الطبخات!$B$2:$B$900=$A97)*الطبخات!$C$2:$C$900*COUNTIF('سجل الإنتاج'!$C$2:$C$501,الطبخات!$A$2:$A$900)),3))</f>
        <v>0</v>
      </c>
    </row>
    <row r="98" spans="1:6">
      <c r="A98">
        <f>المواد!A98</f>
        <v>0</v>
      </c>
      <c r="B98" t="str">
        <f>IFERROR(INDEX(الطبخات!$F$2:$F$900,MATCH(97,الطبخات!$G$2:$G$900,0)),"")</f>
        <v/>
      </c>
      <c r="D98" t="str">
        <f>IF($B98="","",COUNTIF('سجل الإنتاج'!$C$2:$C$501,$B98))</f>
        <v/>
      </c>
      <c r="F98">
        <f>IF($A98="","",ROUND(SUMIFS('الصرف المباشر'!$D$2:$D$501,'الصرف المباشر'!$C$2:$C$501,$A98)+SUMPRODUCT((الطبخات!$B$2:$B$900=$A98)*الطبخات!$C$2:$C$900*COUNTIF('سجل الإنتاج'!$C$2:$C$501,الطبخات!$A$2:$A$900)),3))</f>
        <v>0</v>
      </c>
    </row>
    <row r="99" spans="1:6">
      <c r="A99">
        <f>المواد!A99</f>
        <v>0</v>
      </c>
      <c r="B99" t="str">
        <f>IFERROR(INDEX(الطبخات!$F$2:$F$900,MATCH(98,الطبخات!$G$2:$G$900,0)),"")</f>
        <v/>
      </c>
      <c r="D99" t="str">
        <f>IF($B99="","",COUNTIF('سجل الإنتاج'!$C$2:$C$501,$B99))</f>
        <v/>
      </c>
      <c r="F99">
        <f>IF($A99="","",ROUND(SUMIFS('الصرف المباشر'!$D$2:$D$501,'الصرف المباشر'!$C$2:$C$501,$A99)+SUMPRODUCT((الطبخات!$B$2:$B$900=$A99)*الطبخات!$C$2:$C$900*COUNTIF('سجل الإنتاج'!$C$2:$C$501,الطبخات!$A$2:$A$900)),3))</f>
        <v>0</v>
      </c>
    </row>
    <row r="100" spans="1:6">
      <c r="A100">
        <f>المواد!A100</f>
        <v>0</v>
      </c>
      <c r="B100" t="str">
        <f>IFERROR(INDEX(الطبخات!$F$2:$F$900,MATCH(99,الطبخات!$G$2:$G$900,0)),"")</f>
        <v/>
      </c>
      <c r="D100" t="str">
        <f>IF($B100="","",COUNTIF('سجل الإنتاج'!$C$2:$C$501,$B100))</f>
        <v/>
      </c>
      <c r="F100">
        <f>IF($A100="","",ROUND(SUMIFS('الصرف المباشر'!$D$2:$D$501,'الصرف المباشر'!$C$2:$C$501,$A100)+SUMPRODUCT((الطبخات!$B$2:$B$900=$A100)*الطبخات!$C$2:$C$900*COUNTIF('سجل الإنتاج'!$C$2:$C$501,الطبخات!$A$2:$A$900)),3))</f>
        <v>0</v>
      </c>
    </row>
    <row r="101" spans="1:6">
      <c r="A101">
        <f>المواد!A101</f>
        <v>0</v>
      </c>
      <c r="B101" t="str">
        <f>IFERROR(INDEX(الطبخات!$F$2:$F$900,MATCH(100,الطبخات!$G$2:$G$900,0)),"")</f>
        <v/>
      </c>
      <c r="D101" t="str">
        <f>IF($B101="","",COUNTIF('سجل الإنتاج'!$C$2:$C$501,$B101))</f>
        <v/>
      </c>
      <c r="F101">
        <f>IF($A101="","",ROUND(SUMIFS('الصرف المباشر'!$D$2:$D$501,'الصرف المباشر'!$C$2:$C$501,$A101)+SUMPRODUCT((الطبخات!$B$2:$B$900=$A101)*الطبخات!$C$2:$C$900*COUNTIF('سجل الإنتاج'!$C$2:$C$501,الطبخات!$A$2:$A$900)),3))</f>
        <v>0</v>
      </c>
    </row>
    <row r="102" spans="1:6">
      <c r="A102">
        <f>المواد!A102</f>
        <v>0</v>
      </c>
      <c r="B102" t="str">
        <f>IFERROR(INDEX(الطبخات!$F$2:$F$900,MATCH(101,الطبخات!$G$2:$G$900,0)),"")</f>
        <v/>
      </c>
      <c r="D102" t="str">
        <f>IF($B102="","",COUNTIF('سجل الإنتاج'!$C$2:$C$501,$B102))</f>
        <v/>
      </c>
      <c r="F102">
        <f>IF($A102="","",ROUND(SUMIFS('الصرف المباشر'!$D$2:$D$501,'الصرف المباشر'!$C$2:$C$501,$A102)+SUMPRODUCT((الطبخات!$B$2:$B$900=$A102)*الطبخات!$C$2:$C$900*COUNTIF('سجل الإنتاج'!$C$2:$C$501,الطبخات!$A$2:$A$900)),3))</f>
        <v>0</v>
      </c>
    </row>
    <row r="103" spans="1:6">
      <c r="A103">
        <f>المواد!A103</f>
        <v>0</v>
      </c>
      <c r="B103" t="str">
        <f>IFERROR(INDEX(الطبخات!$F$2:$F$900,MATCH(102,الطبخات!$G$2:$G$900,0)),"")</f>
        <v/>
      </c>
      <c r="D103" t="str">
        <f>IF($B103="","",COUNTIF('سجل الإنتاج'!$C$2:$C$501,$B103))</f>
        <v/>
      </c>
      <c r="F103">
        <f>IF($A103="","",ROUND(SUMIFS('الصرف المباشر'!$D$2:$D$501,'الصرف المباشر'!$C$2:$C$501,$A103)+SUMPRODUCT((الطبخات!$B$2:$B$900=$A103)*الطبخات!$C$2:$C$900*COUNTIF('سجل الإنتاج'!$C$2:$C$501,الطبخات!$A$2:$A$900)),3))</f>
        <v>0</v>
      </c>
    </row>
    <row r="104" spans="1:6">
      <c r="A104">
        <f>المواد!A104</f>
        <v>0</v>
      </c>
      <c r="B104" t="str">
        <f>IFERROR(INDEX(الطبخات!$F$2:$F$900,MATCH(103,الطبخات!$G$2:$G$900,0)),"")</f>
        <v/>
      </c>
      <c r="D104" t="str">
        <f>IF($B104="","",COUNTIF('سجل الإنتاج'!$C$2:$C$501,$B104))</f>
        <v/>
      </c>
      <c r="F104">
        <f>IF($A104="","",ROUND(SUMIFS('الصرف المباشر'!$D$2:$D$501,'الصرف المباشر'!$C$2:$C$501,$A104)+SUMPRODUCT((الطبخات!$B$2:$B$900=$A104)*الطبخات!$C$2:$C$900*COUNTIF('سجل الإنتاج'!$C$2:$C$501,الطبخات!$A$2:$A$900)),3))</f>
        <v>0</v>
      </c>
    </row>
    <row r="105" spans="1:6">
      <c r="A105">
        <f>المواد!A105</f>
        <v>0</v>
      </c>
      <c r="B105" t="str">
        <f>IFERROR(INDEX(الطبخات!$F$2:$F$900,MATCH(104,الطبخات!$G$2:$G$900,0)),"")</f>
        <v/>
      </c>
      <c r="D105" t="str">
        <f>IF($B105="","",COUNTIF('سجل الإنتاج'!$C$2:$C$501,$B105))</f>
        <v/>
      </c>
      <c r="F105">
        <f>IF($A105="","",ROUND(SUMIFS('الصرف المباشر'!$D$2:$D$501,'الصرف المباشر'!$C$2:$C$501,$A105)+SUMPRODUCT((الطبخات!$B$2:$B$900=$A105)*الطبخات!$C$2:$C$900*COUNTIF('سجل الإنتاج'!$C$2:$C$501,الطبخات!$A$2:$A$900)),3))</f>
        <v>0</v>
      </c>
    </row>
    <row r="106" spans="1:6">
      <c r="A106">
        <f>المواد!A106</f>
        <v>0</v>
      </c>
      <c r="B106" t="str">
        <f>IFERROR(INDEX(الطبخات!$F$2:$F$900,MATCH(105,الطبخات!$G$2:$G$900,0)),"")</f>
        <v/>
      </c>
      <c r="D106" t="str">
        <f>IF($B106="","",COUNTIF('سجل الإنتاج'!$C$2:$C$501,$B106))</f>
        <v/>
      </c>
      <c r="F106">
        <f>IF($A106="","",ROUND(SUMIFS('الصرف المباشر'!$D$2:$D$501,'الصرف المباشر'!$C$2:$C$501,$A106)+SUMPRODUCT((الطبخات!$B$2:$B$900=$A106)*الطبخات!$C$2:$C$900*COUNTIF('سجل الإنتاج'!$C$2:$C$501,الطبخات!$A$2:$A$900)),3))</f>
        <v>0</v>
      </c>
    </row>
    <row r="107" spans="1:6">
      <c r="A107">
        <f>المواد!A107</f>
        <v>0</v>
      </c>
      <c r="B107" t="str">
        <f>IFERROR(INDEX(الطبخات!$F$2:$F$900,MATCH(106,الطبخات!$G$2:$G$900,0)),"")</f>
        <v/>
      </c>
      <c r="D107" t="str">
        <f>IF($B107="","",COUNTIF('سجل الإنتاج'!$C$2:$C$501,$B107))</f>
        <v/>
      </c>
      <c r="F107">
        <f>IF($A107="","",ROUND(SUMIFS('الصرف المباشر'!$D$2:$D$501,'الصرف المباشر'!$C$2:$C$501,$A107)+SUMPRODUCT((الطبخات!$B$2:$B$900=$A107)*الطبخات!$C$2:$C$900*COUNTIF('سجل الإنتاج'!$C$2:$C$501,الطبخات!$A$2:$A$900)),3))</f>
        <v>0</v>
      </c>
    </row>
    <row r="108" spans="1:6">
      <c r="A108">
        <f>المواد!A108</f>
        <v>0</v>
      </c>
      <c r="B108" t="str">
        <f>IFERROR(INDEX(الطبخات!$F$2:$F$900,MATCH(107,الطبخات!$G$2:$G$900,0)),"")</f>
        <v/>
      </c>
      <c r="D108" t="str">
        <f>IF($B108="","",COUNTIF('سجل الإنتاج'!$C$2:$C$501,$B108))</f>
        <v/>
      </c>
      <c r="F108">
        <f>IF($A108="","",ROUND(SUMIFS('الصرف المباشر'!$D$2:$D$501,'الصرف المباشر'!$C$2:$C$501,$A108)+SUMPRODUCT((الطبخات!$B$2:$B$900=$A108)*الطبخات!$C$2:$C$900*COUNTIF('سجل الإنتاج'!$C$2:$C$501,الطبخات!$A$2:$A$900)),3))</f>
        <v>0</v>
      </c>
    </row>
    <row r="109" spans="1:6">
      <c r="A109">
        <f>المواد!A109</f>
        <v>0</v>
      </c>
      <c r="B109" t="str">
        <f>IFERROR(INDEX(الطبخات!$F$2:$F$900,MATCH(108,الطبخات!$G$2:$G$900,0)),"")</f>
        <v/>
      </c>
      <c r="D109" t="str">
        <f>IF($B109="","",COUNTIF('سجل الإنتاج'!$C$2:$C$501,$B109))</f>
        <v/>
      </c>
      <c r="F109">
        <f>IF($A109="","",ROUND(SUMIFS('الصرف المباشر'!$D$2:$D$501,'الصرف المباشر'!$C$2:$C$501,$A109)+SUMPRODUCT((الطبخات!$B$2:$B$900=$A109)*الطبخات!$C$2:$C$900*COUNTIF('سجل الإنتاج'!$C$2:$C$501,الطبخات!$A$2:$A$900)),3))</f>
        <v>0</v>
      </c>
    </row>
    <row r="110" spans="1:6">
      <c r="A110">
        <f>المواد!A110</f>
        <v>0</v>
      </c>
      <c r="B110" t="str">
        <f>IFERROR(INDEX(الطبخات!$F$2:$F$900,MATCH(109,الطبخات!$G$2:$G$900,0)),"")</f>
        <v/>
      </c>
      <c r="D110" t="str">
        <f>IF($B110="","",COUNTIF('سجل الإنتاج'!$C$2:$C$501,$B110))</f>
        <v/>
      </c>
      <c r="F110">
        <f>IF($A110="","",ROUND(SUMIFS('الصرف المباشر'!$D$2:$D$501,'الصرف المباشر'!$C$2:$C$501,$A110)+SUMPRODUCT((الطبخات!$B$2:$B$900=$A110)*الطبخات!$C$2:$C$900*COUNTIF('سجل الإنتاج'!$C$2:$C$501,الطبخات!$A$2:$A$900)),3))</f>
        <v>0</v>
      </c>
    </row>
    <row r="111" spans="1:6">
      <c r="A111">
        <f>المواد!A111</f>
        <v>0</v>
      </c>
      <c r="B111" t="str">
        <f>IFERROR(INDEX(الطبخات!$F$2:$F$900,MATCH(110,الطبخات!$G$2:$G$900,0)),"")</f>
        <v/>
      </c>
      <c r="D111" t="str">
        <f>IF($B111="","",COUNTIF('سجل الإنتاج'!$C$2:$C$501,$B111))</f>
        <v/>
      </c>
      <c r="F111">
        <f>IF($A111="","",ROUND(SUMIFS('الصرف المباشر'!$D$2:$D$501,'الصرف المباشر'!$C$2:$C$501,$A111)+SUMPRODUCT((الطبخات!$B$2:$B$900=$A111)*الطبخات!$C$2:$C$900*COUNTIF('سجل الإنتاج'!$C$2:$C$501,الطبخات!$A$2:$A$900)),3))</f>
        <v>0</v>
      </c>
    </row>
    <row r="112" spans="1:6">
      <c r="A112">
        <f>المواد!A112</f>
        <v>0</v>
      </c>
      <c r="B112" t="str">
        <f>IFERROR(INDEX(الطبخات!$F$2:$F$900,MATCH(111,الطبخات!$G$2:$G$900,0)),"")</f>
        <v/>
      </c>
      <c r="D112" t="str">
        <f>IF($B112="","",COUNTIF('سجل الإنتاج'!$C$2:$C$501,$B112))</f>
        <v/>
      </c>
      <c r="F112">
        <f>IF($A112="","",ROUND(SUMIFS('الصرف المباشر'!$D$2:$D$501,'الصرف المباشر'!$C$2:$C$501,$A112)+SUMPRODUCT((الطبخات!$B$2:$B$900=$A112)*الطبخات!$C$2:$C$900*COUNTIF('سجل الإنتاج'!$C$2:$C$501,الطبخات!$A$2:$A$900)),3))</f>
        <v>0</v>
      </c>
    </row>
    <row r="113" spans="1:6">
      <c r="A113">
        <f>المواد!A113</f>
        <v>0</v>
      </c>
      <c r="B113" t="str">
        <f>IFERROR(INDEX(الطبخات!$F$2:$F$900,MATCH(112,الطبخات!$G$2:$G$900,0)),"")</f>
        <v/>
      </c>
      <c r="D113" t="str">
        <f>IF($B113="","",COUNTIF('سجل الإنتاج'!$C$2:$C$501,$B113))</f>
        <v/>
      </c>
      <c r="F113">
        <f>IF($A113="","",ROUND(SUMIFS('الصرف المباشر'!$D$2:$D$501,'الصرف المباشر'!$C$2:$C$501,$A113)+SUMPRODUCT((الطبخات!$B$2:$B$900=$A113)*الطبخات!$C$2:$C$900*COUNTIF('سجل الإنتاج'!$C$2:$C$501,الطبخات!$A$2:$A$900)),3))</f>
        <v>0</v>
      </c>
    </row>
    <row r="114" spans="1:6">
      <c r="A114">
        <f>المواد!A114</f>
        <v>0</v>
      </c>
      <c r="B114" t="str">
        <f>IFERROR(INDEX(الطبخات!$F$2:$F$900,MATCH(113,الطبخات!$G$2:$G$900,0)),"")</f>
        <v/>
      </c>
      <c r="D114" t="str">
        <f>IF($B114="","",COUNTIF('سجل الإنتاج'!$C$2:$C$501,$B114))</f>
        <v/>
      </c>
      <c r="F114">
        <f>IF($A114="","",ROUND(SUMIFS('الصرف المباشر'!$D$2:$D$501,'الصرف المباشر'!$C$2:$C$501,$A114)+SUMPRODUCT((الطبخات!$B$2:$B$900=$A114)*الطبخات!$C$2:$C$900*COUNTIF('سجل الإنتاج'!$C$2:$C$501,الطبخات!$A$2:$A$900)),3))</f>
        <v>0</v>
      </c>
    </row>
    <row r="115" spans="1:6">
      <c r="A115">
        <f>المواد!A115</f>
        <v>0</v>
      </c>
      <c r="B115" t="str">
        <f>IFERROR(INDEX(الطبخات!$F$2:$F$900,MATCH(114,الطبخات!$G$2:$G$900,0)),"")</f>
        <v/>
      </c>
      <c r="D115" t="str">
        <f>IF($B115="","",COUNTIF('سجل الإنتاج'!$C$2:$C$501,$B115))</f>
        <v/>
      </c>
      <c r="F115">
        <f>IF($A115="","",ROUND(SUMIFS('الصرف المباشر'!$D$2:$D$501,'الصرف المباشر'!$C$2:$C$501,$A115)+SUMPRODUCT((الطبخات!$B$2:$B$900=$A115)*الطبخات!$C$2:$C$900*COUNTIF('سجل الإنتاج'!$C$2:$C$501,الطبخات!$A$2:$A$900)),3))</f>
        <v>0</v>
      </c>
    </row>
    <row r="116" spans="1:6">
      <c r="A116">
        <f>المواد!A116</f>
        <v>0</v>
      </c>
      <c r="B116" t="str">
        <f>IFERROR(INDEX(الطبخات!$F$2:$F$900,MATCH(115,الطبخات!$G$2:$G$900,0)),"")</f>
        <v/>
      </c>
      <c r="D116" t="str">
        <f>IF($B116="","",COUNTIF('سجل الإنتاج'!$C$2:$C$501,$B116))</f>
        <v/>
      </c>
      <c r="F116">
        <f>IF($A116="","",ROUND(SUMIFS('الصرف المباشر'!$D$2:$D$501,'الصرف المباشر'!$C$2:$C$501,$A116)+SUMPRODUCT((الطبخات!$B$2:$B$900=$A116)*الطبخات!$C$2:$C$900*COUNTIF('سجل الإنتاج'!$C$2:$C$501,الطبخات!$A$2:$A$900)),3))</f>
        <v>0</v>
      </c>
    </row>
    <row r="117" spans="1:6">
      <c r="A117">
        <f>المواد!A117</f>
        <v>0</v>
      </c>
      <c r="B117" t="str">
        <f>IFERROR(INDEX(الطبخات!$F$2:$F$900,MATCH(116,الطبخات!$G$2:$G$900,0)),"")</f>
        <v/>
      </c>
      <c r="D117" t="str">
        <f>IF($B117="","",COUNTIF('سجل الإنتاج'!$C$2:$C$501,$B117))</f>
        <v/>
      </c>
      <c r="F117">
        <f>IF($A117="","",ROUND(SUMIFS('الصرف المباشر'!$D$2:$D$501,'الصرف المباشر'!$C$2:$C$501,$A117)+SUMPRODUCT((الطبخات!$B$2:$B$900=$A117)*الطبخات!$C$2:$C$900*COUNTIF('سجل الإنتاج'!$C$2:$C$501,الطبخات!$A$2:$A$900)),3))</f>
        <v>0</v>
      </c>
    </row>
    <row r="118" spans="1:6">
      <c r="A118">
        <f>المواد!A118</f>
        <v>0</v>
      </c>
      <c r="B118" t="str">
        <f>IFERROR(INDEX(الطبخات!$F$2:$F$900,MATCH(117,الطبخات!$G$2:$G$900,0)),"")</f>
        <v/>
      </c>
      <c r="D118" t="str">
        <f>IF($B118="","",COUNTIF('سجل الإنتاج'!$C$2:$C$501,$B118))</f>
        <v/>
      </c>
      <c r="F118">
        <f>IF($A118="","",ROUND(SUMIFS('الصرف المباشر'!$D$2:$D$501,'الصرف المباشر'!$C$2:$C$501,$A118)+SUMPRODUCT((الطبخات!$B$2:$B$900=$A118)*الطبخات!$C$2:$C$900*COUNTIF('سجل الإنتاج'!$C$2:$C$501,الطبخات!$A$2:$A$900)),3))</f>
        <v>0</v>
      </c>
    </row>
    <row r="119" spans="1:6">
      <c r="A119">
        <f>المواد!A119</f>
        <v>0</v>
      </c>
      <c r="B119" t="str">
        <f>IFERROR(INDEX(الطبخات!$F$2:$F$900,MATCH(118,الطبخات!$G$2:$G$900,0)),"")</f>
        <v/>
      </c>
      <c r="D119" t="str">
        <f>IF($B119="","",COUNTIF('سجل الإنتاج'!$C$2:$C$501,$B119))</f>
        <v/>
      </c>
      <c r="F119">
        <f>IF($A119="","",ROUND(SUMIFS('الصرف المباشر'!$D$2:$D$501,'الصرف المباشر'!$C$2:$C$501,$A119)+SUMPRODUCT((الطبخات!$B$2:$B$900=$A119)*الطبخات!$C$2:$C$900*COUNTIF('سجل الإنتاج'!$C$2:$C$501,الطبخات!$A$2:$A$900)),3))</f>
        <v>0</v>
      </c>
    </row>
    <row r="120" spans="1:6">
      <c r="A120">
        <f>المواد!A120</f>
        <v>0</v>
      </c>
      <c r="B120" t="str">
        <f>IFERROR(INDEX(الطبخات!$F$2:$F$900,MATCH(119,الطبخات!$G$2:$G$900,0)),"")</f>
        <v/>
      </c>
      <c r="D120" t="str">
        <f>IF($B120="","",COUNTIF('سجل الإنتاج'!$C$2:$C$501,$B120))</f>
        <v/>
      </c>
      <c r="F120">
        <f>IF($A120="","",ROUND(SUMIFS('الصرف المباشر'!$D$2:$D$501,'الصرف المباشر'!$C$2:$C$501,$A120)+SUMPRODUCT((الطبخات!$B$2:$B$900=$A120)*الطبخات!$C$2:$C$900*COUNTIF('سجل الإنتاج'!$C$2:$C$501,الطبخات!$A$2:$A$900)),3))</f>
        <v>0</v>
      </c>
    </row>
    <row r="121" spans="1:6">
      <c r="A121">
        <f>المواد!A121</f>
        <v>0</v>
      </c>
      <c r="B121" t="str">
        <f>IFERROR(INDEX(الطبخات!$F$2:$F$900,MATCH(120,الطبخات!$G$2:$G$900,0)),"")</f>
        <v/>
      </c>
      <c r="D121" t="str">
        <f>IF($B121="","",COUNTIF('سجل الإنتاج'!$C$2:$C$501,$B121))</f>
        <v/>
      </c>
      <c r="F121">
        <f>IF($A121="","",ROUND(SUMIFS('الصرف المباشر'!$D$2:$D$501,'الصرف المباشر'!$C$2:$C$501,$A121)+SUMPRODUCT((الطبخات!$B$2:$B$900=$A121)*الطبخات!$C$2:$C$900*COUNTIF('سجل الإنتاج'!$C$2:$C$501,الطبخات!$A$2:$A$900)),3))</f>
        <v>0</v>
      </c>
    </row>
    <row r="122" spans="1:6">
      <c r="A122">
        <f>المواد!A122</f>
        <v>0</v>
      </c>
      <c r="B122" t="str">
        <f>IFERROR(INDEX(الطبخات!$F$2:$F$900,MATCH(121,الطبخات!$G$2:$G$900,0)),"")</f>
        <v/>
      </c>
      <c r="D122" t="str">
        <f>IF($B122="","",COUNTIF('سجل الإنتاج'!$C$2:$C$501,$B122))</f>
        <v/>
      </c>
      <c r="F122">
        <f>IF($A122="","",ROUND(SUMIFS('الصرف المباشر'!$D$2:$D$501,'الصرف المباشر'!$C$2:$C$501,$A122)+SUMPRODUCT((الطبخات!$B$2:$B$900=$A122)*الطبخات!$C$2:$C$900*COUNTIF('سجل الإنتاج'!$C$2:$C$501,الطبخات!$A$2:$A$900)),3))</f>
        <v>0</v>
      </c>
    </row>
    <row r="123" spans="1:6">
      <c r="A123">
        <f>المواد!A123</f>
        <v>0</v>
      </c>
      <c r="B123" t="str">
        <f>IFERROR(INDEX(الطبخات!$F$2:$F$900,MATCH(122,الطبخات!$G$2:$G$900,0)),"")</f>
        <v/>
      </c>
      <c r="D123" t="str">
        <f>IF($B123="","",COUNTIF('سجل الإنتاج'!$C$2:$C$501,$B123))</f>
        <v/>
      </c>
      <c r="F123">
        <f>IF($A123="","",ROUND(SUMIFS('الصرف المباشر'!$D$2:$D$501,'الصرف المباشر'!$C$2:$C$501,$A123)+SUMPRODUCT((الطبخات!$B$2:$B$900=$A123)*الطبخات!$C$2:$C$900*COUNTIF('سجل الإنتاج'!$C$2:$C$501,الطبخات!$A$2:$A$900)),3))</f>
        <v>0</v>
      </c>
    </row>
    <row r="124" spans="1:6">
      <c r="A124">
        <f>المواد!A124</f>
        <v>0</v>
      </c>
      <c r="B124" t="str">
        <f>IFERROR(INDEX(الطبخات!$F$2:$F$900,MATCH(123,الطبخات!$G$2:$G$900,0)),"")</f>
        <v/>
      </c>
      <c r="D124" t="str">
        <f>IF($B124="","",COUNTIF('سجل الإنتاج'!$C$2:$C$501,$B124))</f>
        <v/>
      </c>
      <c r="F124">
        <f>IF($A124="","",ROUND(SUMIFS('الصرف المباشر'!$D$2:$D$501,'الصرف المباشر'!$C$2:$C$501,$A124)+SUMPRODUCT((الطبخات!$B$2:$B$900=$A124)*الطبخات!$C$2:$C$900*COUNTIF('سجل الإنتاج'!$C$2:$C$501,الطبخات!$A$2:$A$900)),3))</f>
        <v>0</v>
      </c>
    </row>
    <row r="125" spans="1:6">
      <c r="A125">
        <f>المواد!A125</f>
        <v>0</v>
      </c>
      <c r="B125" t="str">
        <f>IFERROR(INDEX(الطبخات!$F$2:$F$900,MATCH(124,الطبخات!$G$2:$G$900,0)),"")</f>
        <v/>
      </c>
      <c r="D125" t="str">
        <f>IF($B125="","",COUNTIF('سجل الإنتاج'!$C$2:$C$501,$B125))</f>
        <v/>
      </c>
      <c r="F125">
        <f>IF($A125="","",ROUND(SUMIFS('الصرف المباشر'!$D$2:$D$501,'الصرف المباشر'!$C$2:$C$501,$A125)+SUMPRODUCT((الطبخات!$B$2:$B$900=$A125)*الطبخات!$C$2:$C$900*COUNTIF('سجل الإنتاج'!$C$2:$C$501,الطبخات!$A$2:$A$900)),3))</f>
        <v>0</v>
      </c>
    </row>
    <row r="126" spans="1:6">
      <c r="A126">
        <f>المواد!A126</f>
        <v>0</v>
      </c>
      <c r="B126" t="str">
        <f>IFERROR(INDEX(الطبخات!$F$2:$F$900,MATCH(125,الطبخات!$G$2:$G$900,0)),"")</f>
        <v/>
      </c>
      <c r="D126" t="str">
        <f>IF($B126="","",COUNTIF('سجل الإنتاج'!$C$2:$C$501,$B126))</f>
        <v/>
      </c>
      <c r="F126">
        <f>IF($A126="","",ROUND(SUMIFS('الصرف المباشر'!$D$2:$D$501,'الصرف المباشر'!$C$2:$C$501,$A126)+SUMPRODUCT((الطبخات!$B$2:$B$900=$A126)*الطبخات!$C$2:$C$900*COUNTIF('سجل الإنتاج'!$C$2:$C$501,الطبخات!$A$2:$A$900)),3))</f>
        <v>0</v>
      </c>
    </row>
    <row r="127" spans="1:6">
      <c r="A127">
        <f>المواد!A127</f>
        <v>0</v>
      </c>
      <c r="B127" t="str">
        <f>IFERROR(INDEX(الطبخات!$F$2:$F$900,MATCH(126,الطبخات!$G$2:$G$900,0)),"")</f>
        <v/>
      </c>
      <c r="D127" t="str">
        <f>IF($B127="","",COUNTIF('سجل الإنتاج'!$C$2:$C$501,$B127))</f>
        <v/>
      </c>
      <c r="F127">
        <f>IF($A127="","",ROUND(SUMIFS('الصرف المباشر'!$D$2:$D$501,'الصرف المباشر'!$C$2:$C$501,$A127)+SUMPRODUCT((الطبخات!$B$2:$B$900=$A127)*الطبخات!$C$2:$C$900*COUNTIF('سجل الإنتاج'!$C$2:$C$501,الطبخات!$A$2:$A$900)),3))</f>
        <v>0</v>
      </c>
    </row>
    <row r="128" spans="1:6">
      <c r="A128">
        <f>المواد!A128</f>
        <v>0</v>
      </c>
      <c r="B128" t="str">
        <f>IFERROR(INDEX(الطبخات!$F$2:$F$900,MATCH(127,الطبخات!$G$2:$G$900,0)),"")</f>
        <v/>
      </c>
      <c r="D128" t="str">
        <f>IF($B128="","",COUNTIF('سجل الإنتاج'!$C$2:$C$501,$B128))</f>
        <v/>
      </c>
      <c r="F128">
        <f>IF($A128="","",ROUND(SUMIFS('الصرف المباشر'!$D$2:$D$501,'الصرف المباشر'!$C$2:$C$501,$A128)+SUMPRODUCT((الطبخات!$B$2:$B$900=$A128)*الطبخات!$C$2:$C$900*COUNTIF('سجل الإنتاج'!$C$2:$C$501,الطبخات!$A$2:$A$900)),3))</f>
        <v>0</v>
      </c>
    </row>
    <row r="129" spans="1:6">
      <c r="A129">
        <f>المواد!A129</f>
        <v>0</v>
      </c>
      <c r="B129" t="str">
        <f>IFERROR(INDEX(الطبخات!$F$2:$F$900,MATCH(128,الطبخات!$G$2:$G$900,0)),"")</f>
        <v/>
      </c>
      <c r="D129" t="str">
        <f>IF($B129="","",COUNTIF('سجل الإنتاج'!$C$2:$C$501,$B129))</f>
        <v/>
      </c>
      <c r="F129">
        <f>IF($A129="","",ROUND(SUMIFS('الصرف المباشر'!$D$2:$D$501,'الصرف المباشر'!$C$2:$C$501,$A129)+SUMPRODUCT((الطبخات!$B$2:$B$900=$A129)*الطبخات!$C$2:$C$900*COUNTIF('سجل الإنتاج'!$C$2:$C$501,الطبخات!$A$2:$A$900)),3))</f>
        <v>0</v>
      </c>
    </row>
    <row r="130" spans="1:6">
      <c r="A130">
        <f>المواد!A130</f>
        <v>0</v>
      </c>
      <c r="B130" t="str">
        <f>IFERROR(INDEX(الطبخات!$F$2:$F$900,MATCH(129,الطبخات!$G$2:$G$900,0)),"")</f>
        <v/>
      </c>
      <c r="D130" t="str">
        <f>IF($B130="","",COUNTIF('سجل الإنتاج'!$C$2:$C$501,$B130))</f>
        <v/>
      </c>
      <c r="F130">
        <f>IF($A130="","",ROUND(SUMIFS('الصرف المباشر'!$D$2:$D$501,'الصرف المباشر'!$C$2:$C$501,$A130)+SUMPRODUCT((الطبخات!$B$2:$B$900=$A130)*الطبخات!$C$2:$C$900*COUNTIF('سجل الإنتاج'!$C$2:$C$501,الطبخات!$A$2:$A$900)),3))</f>
        <v>0</v>
      </c>
    </row>
    <row r="131" spans="1:6">
      <c r="A131">
        <f>المواد!A131</f>
        <v>0</v>
      </c>
      <c r="B131" t="str">
        <f>IFERROR(INDEX(الطبخات!$F$2:$F$900,MATCH(130,الطبخات!$G$2:$G$900,0)),"")</f>
        <v/>
      </c>
      <c r="D131" t="str">
        <f>IF($B131="","",COUNTIF('سجل الإنتاج'!$C$2:$C$501,$B131))</f>
        <v/>
      </c>
      <c r="F131">
        <f>IF($A131="","",ROUND(SUMIFS('الصرف المباشر'!$D$2:$D$501,'الصرف المباشر'!$C$2:$C$501,$A131)+SUMPRODUCT((الطبخات!$B$2:$B$900=$A131)*الطبخات!$C$2:$C$900*COUNTIF('سجل الإنتاج'!$C$2:$C$501,الطبخات!$A$2:$A$900)),3))</f>
        <v>0</v>
      </c>
    </row>
    <row r="132" spans="1:6">
      <c r="A132">
        <f>المواد!A132</f>
        <v>0</v>
      </c>
      <c r="B132" t="str">
        <f>IFERROR(INDEX(الطبخات!$F$2:$F$900,MATCH(131,الطبخات!$G$2:$G$900,0)),"")</f>
        <v/>
      </c>
      <c r="D132" t="str">
        <f>IF($B132="","",COUNTIF('سجل الإنتاج'!$C$2:$C$501,$B132))</f>
        <v/>
      </c>
      <c r="F132">
        <f>IF($A132="","",ROUND(SUMIFS('الصرف المباشر'!$D$2:$D$501,'الصرف المباشر'!$C$2:$C$501,$A132)+SUMPRODUCT((الطبخات!$B$2:$B$900=$A132)*الطبخات!$C$2:$C$900*COUNTIF('سجل الإنتاج'!$C$2:$C$501,الطبخات!$A$2:$A$900)),3))</f>
        <v>0</v>
      </c>
    </row>
    <row r="133" spans="1:6">
      <c r="A133">
        <f>المواد!A133</f>
        <v>0</v>
      </c>
      <c r="B133" t="str">
        <f>IFERROR(INDEX(الطبخات!$F$2:$F$900,MATCH(132,الطبخات!$G$2:$G$900,0)),"")</f>
        <v/>
      </c>
      <c r="D133" t="str">
        <f>IF($B133="","",COUNTIF('سجل الإنتاج'!$C$2:$C$501,$B133))</f>
        <v/>
      </c>
      <c r="F133">
        <f>IF($A133="","",ROUND(SUMIFS('الصرف المباشر'!$D$2:$D$501,'الصرف المباشر'!$C$2:$C$501,$A133)+SUMPRODUCT((الطبخات!$B$2:$B$900=$A133)*الطبخات!$C$2:$C$900*COUNTIF('سجل الإنتاج'!$C$2:$C$501,الطبخات!$A$2:$A$900)),3))</f>
        <v>0</v>
      </c>
    </row>
    <row r="134" spans="1:6">
      <c r="A134">
        <f>المواد!A134</f>
        <v>0</v>
      </c>
      <c r="B134" t="str">
        <f>IFERROR(INDEX(الطبخات!$F$2:$F$900,MATCH(133,الطبخات!$G$2:$G$900,0)),"")</f>
        <v/>
      </c>
      <c r="D134" t="str">
        <f>IF($B134="","",COUNTIF('سجل الإنتاج'!$C$2:$C$501,$B134))</f>
        <v/>
      </c>
      <c r="F134">
        <f>IF($A134="","",ROUND(SUMIFS('الصرف المباشر'!$D$2:$D$501,'الصرف المباشر'!$C$2:$C$501,$A134)+SUMPRODUCT((الطبخات!$B$2:$B$900=$A134)*الطبخات!$C$2:$C$900*COUNTIF('سجل الإنتاج'!$C$2:$C$501,الطبخات!$A$2:$A$900)),3))</f>
        <v>0</v>
      </c>
    </row>
    <row r="135" spans="1:6">
      <c r="A135">
        <f>المواد!A135</f>
        <v>0</v>
      </c>
      <c r="B135" t="str">
        <f>IFERROR(INDEX(الطبخات!$F$2:$F$900,MATCH(134,الطبخات!$G$2:$G$900,0)),"")</f>
        <v/>
      </c>
      <c r="D135" t="str">
        <f>IF($B135="","",COUNTIF('سجل الإنتاج'!$C$2:$C$501,$B135))</f>
        <v/>
      </c>
      <c r="F135">
        <f>IF($A135="","",ROUND(SUMIFS('الصرف المباشر'!$D$2:$D$501,'الصرف المباشر'!$C$2:$C$501,$A135)+SUMPRODUCT((الطبخات!$B$2:$B$900=$A135)*الطبخات!$C$2:$C$900*COUNTIF('سجل الإنتاج'!$C$2:$C$501,الطبخات!$A$2:$A$900)),3))</f>
        <v>0</v>
      </c>
    </row>
    <row r="136" spans="1:6">
      <c r="A136">
        <f>المواد!A136</f>
        <v>0</v>
      </c>
      <c r="B136" t="str">
        <f>IFERROR(INDEX(الطبخات!$F$2:$F$900,MATCH(135,الطبخات!$G$2:$G$900,0)),"")</f>
        <v/>
      </c>
      <c r="D136" t="str">
        <f>IF($B136="","",COUNTIF('سجل الإنتاج'!$C$2:$C$501,$B136))</f>
        <v/>
      </c>
      <c r="F136">
        <f>IF($A136="","",ROUND(SUMIFS('الصرف المباشر'!$D$2:$D$501,'الصرف المباشر'!$C$2:$C$501,$A136)+SUMPRODUCT((الطبخات!$B$2:$B$900=$A136)*الطبخات!$C$2:$C$900*COUNTIF('سجل الإنتاج'!$C$2:$C$501,الطبخات!$A$2:$A$900)),3))</f>
        <v>0</v>
      </c>
    </row>
    <row r="137" spans="1:6">
      <c r="A137">
        <f>المواد!A137</f>
        <v>0</v>
      </c>
      <c r="B137" t="str">
        <f>IFERROR(INDEX(الطبخات!$F$2:$F$900,MATCH(136,الطبخات!$G$2:$G$900,0)),"")</f>
        <v/>
      </c>
      <c r="D137" t="str">
        <f>IF($B137="","",COUNTIF('سجل الإنتاج'!$C$2:$C$501,$B137))</f>
        <v/>
      </c>
      <c r="F137">
        <f>IF($A137="","",ROUND(SUMIFS('الصرف المباشر'!$D$2:$D$501,'الصرف المباشر'!$C$2:$C$501,$A137)+SUMPRODUCT((الطبخات!$B$2:$B$900=$A137)*الطبخات!$C$2:$C$900*COUNTIF('سجل الإنتاج'!$C$2:$C$501,الطبخات!$A$2:$A$900)),3))</f>
        <v>0</v>
      </c>
    </row>
    <row r="138" spans="1:6">
      <c r="A138">
        <f>المواد!A138</f>
        <v>0</v>
      </c>
      <c r="B138" t="str">
        <f>IFERROR(INDEX(الطبخات!$F$2:$F$900,MATCH(137,الطبخات!$G$2:$G$900,0)),"")</f>
        <v/>
      </c>
      <c r="D138" t="str">
        <f>IF($B138="","",COUNTIF('سجل الإنتاج'!$C$2:$C$501,$B138))</f>
        <v/>
      </c>
      <c r="F138">
        <f>IF($A138="","",ROUND(SUMIFS('الصرف المباشر'!$D$2:$D$501,'الصرف المباشر'!$C$2:$C$501,$A138)+SUMPRODUCT((الطبخات!$B$2:$B$900=$A138)*الطبخات!$C$2:$C$900*COUNTIF('سجل الإنتاج'!$C$2:$C$501,الطبخات!$A$2:$A$900)),3))</f>
        <v>0</v>
      </c>
    </row>
    <row r="139" spans="1:6">
      <c r="A139">
        <f>المواد!A139</f>
        <v>0</v>
      </c>
      <c r="B139" t="str">
        <f>IFERROR(INDEX(الطبخات!$F$2:$F$900,MATCH(138,الطبخات!$G$2:$G$900,0)),"")</f>
        <v/>
      </c>
      <c r="D139" t="str">
        <f>IF($B139="","",COUNTIF('سجل الإنتاج'!$C$2:$C$501,$B139))</f>
        <v/>
      </c>
      <c r="F139">
        <f>IF($A139="","",ROUND(SUMIFS('الصرف المباشر'!$D$2:$D$501,'الصرف المباشر'!$C$2:$C$501,$A139)+SUMPRODUCT((الطبخات!$B$2:$B$900=$A139)*الطبخات!$C$2:$C$900*COUNTIF('سجل الإنتاج'!$C$2:$C$501,الطبخات!$A$2:$A$900)),3))</f>
        <v>0</v>
      </c>
    </row>
    <row r="140" spans="1:6">
      <c r="A140">
        <f>المواد!A140</f>
        <v>0</v>
      </c>
      <c r="B140" t="str">
        <f>IFERROR(INDEX(الطبخات!$F$2:$F$900,MATCH(139,الطبخات!$G$2:$G$900,0)),"")</f>
        <v/>
      </c>
      <c r="D140" t="str">
        <f>IF($B140="","",COUNTIF('سجل الإنتاج'!$C$2:$C$501,$B140))</f>
        <v/>
      </c>
      <c r="F140">
        <f>IF($A140="","",ROUND(SUMIFS('الصرف المباشر'!$D$2:$D$501,'الصرف المباشر'!$C$2:$C$501,$A140)+SUMPRODUCT((الطبخات!$B$2:$B$900=$A140)*الطبخات!$C$2:$C$900*COUNTIF('سجل الإنتاج'!$C$2:$C$501,الطبخات!$A$2:$A$900)),3))</f>
        <v>0</v>
      </c>
    </row>
    <row r="141" spans="1:6">
      <c r="A141">
        <f>المواد!A141</f>
        <v>0</v>
      </c>
      <c r="B141" t="str">
        <f>IFERROR(INDEX(الطبخات!$F$2:$F$900,MATCH(140,الطبخات!$G$2:$G$900,0)),"")</f>
        <v/>
      </c>
      <c r="D141" t="str">
        <f>IF($B141="","",COUNTIF('سجل الإنتاج'!$C$2:$C$501,$B141))</f>
        <v/>
      </c>
      <c r="F141">
        <f>IF($A141="","",ROUND(SUMIFS('الصرف المباشر'!$D$2:$D$501,'الصرف المباشر'!$C$2:$C$501,$A141)+SUMPRODUCT((الطبخات!$B$2:$B$900=$A141)*الطبخات!$C$2:$C$900*COUNTIF('سجل الإنتاج'!$C$2:$C$501,الطبخات!$A$2:$A$900)),3))</f>
        <v>0</v>
      </c>
    </row>
    <row r="142" spans="1:6">
      <c r="A142">
        <f>المواد!A142</f>
        <v>0</v>
      </c>
      <c r="B142" t="str">
        <f>IFERROR(INDEX(الطبخات!$F$2:$F$900,MATCH(141,الطبخات!$G$2:$G$900,0)),"")</f>
        <v/>
      </c>
      <c r="D142" t="str">
        <f>IF($B142="","",COUNTIF('سجل الإنتاج'!$C$2:$C$501,$B142))</f>
        <v/>
      </c>
      <c r="F142">
        <f>IF($A142="","",ROUND(SUMIFS('الصرف المباشر'!$D$2:$D$501,'الصرف المباشر'!$C$2:$C$501,$A142)+SUMPRODUCT((الطبخات!$B$2:$B$900=$A142)*الطبخات!$C$2:$C$900*COUNTIF('سجل الإنتاج'!$C$2:$C$501,الطبخات!$A$2:$A$900)),3))</f>
        <v>0</v>
      </c>
    </row>
    <row r="143" spans="1:6">
      <c r="A143">
        <f>المواد!A143</f>
        <v>0</v>
      </c>
      <c r="B143" t="str">
        <f>IFERROR(INDEX(الطبخات!$F$2:$F$900,MATCH(142,الطبخات!$G$2:$G$900,0)),"")</f>
        <v/>
      </c>
      <c r="D143" t="str">
        <f>IF($B143="","",COUNTIF('سجل الإنتاج'!$C$2:$C$501,$B143))</f>
        <v/>
      </c>
      <c r="F143">
        <f>IF($A143="","",ROUND(SUMIFS('الصرف المباشر'!$D$2:$D$501,'الصرف المباشر'!$C$2:$C$501,$A143)+SUMPRODUCT((الطبخات!$B$2:$B$900=$A143)*الطبخات!$C$2:$C$900*COUNTIF('سجل الإنتاج'!$C$2:$C$501,الطبخات!$A$2:$A$900)),3))</f>
        <v>0</v>
      </c>
    </row>
    <row r="144" spans="1:6">
      <c r="A144">
        <f>المواد!A144</f>
        <v>0</v>
      </c>
      <c r="B144" t="str">
        <f>IFERROR(INDEX(الطبخات!$F$2:$F$900,MATCH(143,الطبخات!$G$2:$G$900,0)),"")</f>
        <v/>
      </c>
      <c r="D144" t="str">
        <f>IF($B144="","",COUNTIF('سجل الإنتاج'!$C$2:$C$501,$B144))</f>
        <v/>
      </c>
      <c r="F144">
        <f>IF($A144="","",ROUND(SUMIFS('الصرف المباشر'!$D$2:$D$501,'الصرف المباشر'!$C$2:$C$501,$A144)+SUMPRODUCT((الطبخات!$B$2:$B$900=$A144)*الطبخات!$C$2:$C$900*COUNTIF('سجل الإنتاج'!$C$2:$C$501,الطبخات!$A$2:$A$900)),3))</f>
        <v>0</v>
      </c>
    </row>
    <row r="145" spans="1:6">
      <c r="A145">
        <f>المواد!A145</f>
        <v>0</v>
      </c>
      <c r="B145" t="str">
        <f>IFERROR(INDEX(الطبخات!$F$2:$F$900,MATCH(144,الطبخات!$G$2:$G$900,0)),"")</f>
        <v/>
      </c>
      <c r="D145" t="str">
        <f>IF($B145="","",COUNTIF('سجل الإنتاج'!$C$2:$C$501,$B145))</f>
        <v/>
      </c>
      <c r="F145">
        <f>IF($A145="","",ROUND(SUMIFS('الصرف المباشر'!$D$2:$D$501,'الصرف المباشر'!$C$2:$C$501,$A145)+SUMPRODUCT((الطبخات!$B$2:$B$900=$A145)*الطبخات!$C$2:$C$900*COUNTIF('سجل الإنتاج'!$C$2:$C$501,الطبخات!$A$2:$A$900)),3))</f>
        <v>0</v>
      </c>
    </row>
    <row r="146" spans="1:6">
      <c r="A146">
        <f>المواد!A146</f>
        <v>0</v>
      </c>
      <c r="B146" t="str">
        <f>IFERROR(INDEX(الطبخات!$F$2:$F$900,MATCH(145,الطبخات!$G$2:$G$900,0)),"")</f>
        <v/>
      </c>
      <c r="D146" t="str">
        <f>IF($B146="","",COUNTIF('سجل الإنتاج'!$C$2:$C$501,$B146))</f>
        <v/>
      </c>
      <c r="F146">
        <f>IF($A146="","",ROUND(SUMIFS('الصرف المباشر'!$D$2:$D$501,'الصرف المباشر'!$C$2:$C$501,$A146)+SUMPRODUCT((الطبخات!$B$2:$B$900=$A146)*الطبخات!$C$2:$C$900*COUNTIF('سجل الإنتاج'!$C$2:$C$501,الطبخات!$A$2:$A$900)),3))</f>
        <v>0</v>
      </c>
    </row>
    <row r="147" spans="1:6">
      <c r="A147">
        <f>المواد!A147</f>
        <v>0</v>
      </c>
      <c r="B147" t="str">
        <f>IFERROR(INDEX(الطبخات!$F$2:$F$900,MATCH(146,الطبخات!$G$2:$G$900,0)),"")</f>
        <v/>
      </c>
      <c r="D147" t="str">
        <f>IF($B147="","",COUNTIF('سجل الإنتاج'!$C$2:$C$501,$B147))</f>
        <v/>
      </c>
      <c r="F147">
        <f>IF($A147="","",ROUND(SUMIFS('الصرف المباشر'!$D$2:$D$501,'الصرف المباشر'!$C$2:$C$501,$A147)+SUMPRODUCT((الطبخات!$B$2:$B$900=$A147)*الطبخات!$C$2:$C$900*COUNTIF('سجل الإنتاج'!$C$2:$C$501,الطبخات!$A$2:$A$900)),3))</f>
        <v>0</v>
      </c>
    </row>
    <row r="148" spans="1:6">
      <c r="A148">
        <f>المواد!A148</f>
        <v>0</v>
      </c>
      <c r="B148" t="str">
        <f>IFERROR(INDEX(الطبخات!$F$2:$F$900,MATCH(147,الطبخات!$G$2:$G$900,0)),"")</f>
        <v/>
      </c>
      <c r="D148" t="str">
        <f>IF($B148="","",COUNTIF('سجل الإنتاج'!$C$2:$C$501,$B148))</f>
        <v/>
      </c>
      <c r="F148">
        <f>IF($A148="","",ROUND(SUMIFS('الصرف المباشر'!$D$2:$D$501,'الصرف المباشر'!$C$2:$C$501,$A148)+SUMPRODUCT((الطبخات!$B$2:$B$900=$A148)*الطبخات!$C$2:$C$900*COUNTIF('سجل الإنتاج'!$C$2:$C$501,الطبخات!$A$2:$A$900)),3))</f>
        <v>0</v>
      </c>
    </row>
    <row r="149" spans="1:6">
      <c r="A149">
        <f>المواد!A149</f>
        <v>0</v>
      </c>
      <c r="B149" t="str">
        <f>IFERROR(INDEX(الطبخات!$F$2:$F$900,MATCH(148,الطبخات!$G$2:$G$900,0)),"")</f>
        <v/>
      </c>
      <c r="D149" t="str">
        <f>IF($B149="","",COUNTIF('سجل الإنتاج'!$C$2:$C$501,$B149))</f>
        <v/>
      </c>
      <c r="F149">
        <f>IF($A149="","",ROUND(SUMIFS('الصرف المباشر'!$D$2:$D$501,'الصرف المباشر'!$C$2:$C$501,$A149)+SUMPRODUCT((الطبخات!$B$2:$B$900=$A149)*الطبخات!$C$2:$C$900*COUNTIF('سجل الإنتاج'!$C$2:$C$501,الطبخات!$A$2:$A$900)),3))</f>
        <v>0</v>
      </c>
    </row>
    <row r="150" spans="1:6">
      <c r="A150">
        <f>المواد!A150</f>
        <v>0</v>
      </c>
      <c r="B150" t="str">
        <f>IFERROR(INDEX(الطبخات!$F$2:$F$900,MATCH(149,الطبخات!$G$2:$G$900,0)),"")</f>
        <v/>
      </c>
      <c r="D150" t="str">
        <f>IF($B150="","",COUNTIF('سجل الإنتاج'!$C$2:$C$501,$B150))</f>
        <v/>
      </c>
      <c r="F150">
        <f>IF($A150="","",ROUND(SUMIFS('الصرف المباشر'!$D$2:$D$501,'الصرف المباشر'!$C$2:$C$501,$A150)+SUMPRODUCT((الطبخات!$B$2:$B$900=$A150)*الطبخات!$C$2:$C$900*COUNTIF('سجل الإنتاج'!$C$2:$C$501,الطبخات!$A$2:$A$900)),3))</f>
        <v>0</v>
      </c>
    </row>
    <row r="151" spans="1:6">
      <c r="A151">
        <f>المواد!A151</f>
        <v>0</v>
      </c>
      <c r="F151">
        <f>IF($A151="","",ROUND(SUMIFS('الصرف المباشر'!$D$2:$D$501,'الصرف المباشر'!$C$2:$C$501,$A151)+SUMPRODUCT((الطبخات!$B$2:$B$900=$A151)*الطبخات!$C$2:$C$900*COUNTIF('سجل الإنتاج'!$C$2:$C$501,الطبخات!$A$2:$A$900)),3))</f>
        <v>0</v>
      </c>
    </row>
    <row r="152" spans="1:6">
      <c r="A152">
        <f>المواد!A152</f>
        <v>0</v>
      </c>
      <c r="F152">
        <f>IF($A152="","",ROUND(SUMIFS('الصرف المباشر'!$D$2:$D$501,'الصرف المباشر'!$C$2:$C$501,$A152)+SUMPRODUCT((الطبخات!$B$2:$B$900=$A152)*الطبخات!$C$2:$C$900*COUNTIF('سجل الإنتاج'!$C$2:$C$501,الطبخات!$A$2:$A$900)),3))</f>
        <v>0</v>
      </c>
    </row>
    <row r="153" spans="1:6">
      <c r="A153">
        <f>المواد!A153</f>
        <v>0</v>
      </c>
      <c r="F153">
        <f>IF($A153="","",ROUND(SUMIFS('الصرف المباشر'!$D$2:$D$501,'الصرف المباشر'!$C$2:$C$501,$A153)+SUMPRODUCT((الطبخات!$B$2:$B$900=$A153)*الطبخات!$C$2:$C$900*COUNTIF('سجل الإنتاج'!$C$2:$C$501,الطبخات!$A$2:$A$900)),3))</f>
        <v>0</v>
      </c>
    </row>
    <row r="154" spans="1:6">
      <c r="A154">
        <f>المواد!A154</f>
        <v>0</v>
      </c>
      <c r="F154">
        <f>IF($A154="","",ROUND(SUMIFS('الصرف المباشر'!$D$2:$D$501,'الصرف المباشر'!$C$2:$C$501,$A154)+SUMPRODUCT((الطبخات!$B$2:$B$900=$A154)*الطبخات!$C$2:$C$900*COUNTIF('سجل الإنتاج'!$C$2:$C$501,الطبخات!$A$2:$A$900)),3))</f>
        <v>0</v>
      </c>
    </row>
    <row r="155" spans="1:6">
      <c r="A155">
        <f>المواد!A155</f>
        <v>0</v>
      </c>
      <c r="F155">
        <f>IF($A155="","",ROUND(SUMIFS('الصرف المباشر'!$D$2:$D$501,'الصرف المباشر'!$C$2:$C$501,$A155)+SUMPRODUCT((الطبخات!$B$2:$B$900=$A155)*الطبخات!$C$2:$C$900*COUNTIF('سجل الإنتاج'!$C$2:$C$501,الطبخات!$A$2:$A$900)),3))</f>
        <v>0</v>
      </c>
    </row>
    <row r="156" spans="1:6">
      <c r="A156">
        <f>المواد!A156</f>
        <v>0</v>
      </c>
      <c r="F156">
        <f>IF($A156="","",ROUND(SUMIFS('الصرف المباشر'!$D$2:$D$501,'الصرف المباشر'!$C$2:$C$501,$A156)+SUMPRODUCT((الطبخات!$B$2:$B$900=$A156)*الطبخات!$C$2:$C$900*COUNTIF('سجل الإنتاج'!$C$2:$C$501,الطبخات!$A$2:$A$900)),3))</f>
        <v>0</v>
      </c>
    </row>
    <row r="157" spans="1:6">
      <c r="A157">
        <f>المواد!A157</f>
        <v>0</v>
      </c>
      <c r="F157">
        <f>IF($A157="","",ROUND(SUMIFS('الصرف المباشر'!$D$2:$D$501,'الصرف المباشر'!$C$2:$C$501,$A157)+SUMPRODUCT((الطبخات!$B$2:$B$900=$A157)*الطبخات!$C$2:$C$900*COUNTIF('سجل الإنتاج'!$C$2:$C$501,الطبخات!$A$2:$A$900)),3))</f>
        <v>0</v>
      </c>
    </row>
    <row r="158" spans="1:6">
      <c r="A158">
        <f>المواد!A158</f>
        <v>0</v>
      </c>
      <c r="F158">
        <f>IF($A158="","",ROUND(SUMIFS('الصرف المباشر'!$D$2:$D$501,'الصرف المباشر'!$C$2:$C$501,$A158)+SUMPRODUCT((الطبخات!$B$2:$B$900=$A158)*الطبخات!$C$2:$C$900*COUNTIF('سجل الإنتاج'!$C$2:$C$501,الطبخات!$A$2:$A$900)),3))</f>
        <v>0</v>
      </c>
    </row>
    <row r="159" spans="1:6">
      <c r="A159">
        <f>المواد!A159</f>
        <v>0</v>
      </c>
      <c r="F159">
        <f>IF($A159="","",ROUND(SUMIFS('الصرف المباشر'!$D$2:$D$501,'الصرف المباشر'!$C$2:$C$501,$A159)+SUMPRODUCT((الطبخات!$B$2:$B$900=$A159)*الطبخات!$C$2:$C$900*COUNTIF('سجل الإنتاج'!$C$2:$C$501,الطبخات!$A$2:$A$900)),3))</f>
        <v>0</v>
      </c>
    </row>
    <row r="160" spans="1:6">
      <c r="A160">
        <f>المواد!A160</f>
        <v>0</v>
      </c>
      <c r="F160">
        <f>IF($A160="","",ROUND(SUMIFS('الصرف المباشر'!$D$2:$D$501,'الصرف المباشر'!$C$2:$C$501,$A160)+SUMPRODUCT((الطبخات!$B$2:$B$900=$A160)*الطبخات!$C$2:$C$900*COUNTIF('سجل الإنتاج'!$C$2:$C$501,الطبخات!$A$2:$A$900)),3))</f>
        <v>0</v>
      </c>
    </row>
    <row r="161" spans="1:6">
      <c r="A161">
        <f>المواد!A161</f>
        <v>0</v>
      </c>
      <c r="F161">
        <f>IF($A161="","",ROUND(SUMIFS('الصرف المباشر'!$D$2:$D$501,'الصرف المباشر'!$C$2:$C$501,$A161)+SUMPRODUCT((الطبخات!$B$2:$B$900=$A161)*الطبخات!$C$2:$C$900*COUNTIF('سجل الإنتاج'!$C$2:$C$501,الطبخات!$A$2:$A$900)),3))</f>
        <v>0</v>
      </c>
    </row>
    <row r="162" spans="1:6">
      <c r="A162">
        <f>المواد!A162</f>
        <v>0</v>
      </c>
      <c r="F162">
        <f>IF($A162="","",ROUND(SUMIFS('الصرف المباشر'!$D$2:$D$501,'الصرف المباشر'!$C$2:$C$501,$A162)+SUMPRODUCT((الطبخات!$B$2:$B$900=$A162)*الطبخات!$C$2:$C$900*COUNTIF('سجل الإنتاج'!$C$2:$C$501,الطبخات!$A$2:$A$900)),3))</f>
        <v>0</v>
      </c>
    </row>
    <row r="163" spans="1:6">
      <c r="A163">
        <f>المواد!A163</f>
        <v>0</v>
      </c>
      <c r="F163">
        <f>IF($A163="","",ROUND(SUMIFS('الصرف المباشر'!$D$2:$D$501,'الصرف المباشر'!$C$2:$C$501,$A163)+SUMPRODUCT((الطبخات!$B$2:$B$900=$A163)*الطبخات!$C$2:$C$900*COUNTIF('سجل الإنتاج'!$C$2:$C$501,الطبخات!$A$2:$A$900)),3))</f>
        <v>0</v>
      </c>
    </row>
    <row r="164" spans="1:6">
      <c r="A164">
        <f>المواد!A164</f>
        <v>0</v>
      </c>
      <c r="F164">
        <f>IF($A164="","",ROUND(SUMIFS('الصرف المباشر'!$D$2:$D$501,'الصرف المباشر'!$C$2:$C$501,$A164)+SUMPRODUCT((الطبخات!$B$2:$B$900=$A164)*الطبخات!$C$2:$C$900*COUNTIF('سجل الإنتاج'!$C$2:$C$501,الطبخات!$A$2:$A$900)),3))</f>
        <v>0</v>
      </c>
    </row>
    <row r="165" spans="1:6">
      <c r="A165">
        <f>المواد!A165</f>
        <v>0</v>
      </c>
      <c r="F165">
        <f>IF($A165="","",ROUND(SUMIFS('الصرف المباشر'!$D$2:$D$501,'الصرف المباشر'!$C$2:$C$501,$A165)+SUMPRODUCT((الطبخات!$B$2:$B$900=$A165)*الطبخات!$C$2:$C$900*COUNTIF('سجل الإنتاج'!$C$2:$C$501,الطبخات!$A$2:$A$900)),3))</f>
        <v>0</v>
      </c>
    </row>
    <row r="166" spans="1:6">
      <c r="A166">
        <f>المواد!A166</f>
        <v>0</v>
      </c>
      <c r="F166">
        <f>IF($A166="","",ROUND(SUMIFS('الصرف المباشر'!$D$2:$D$501,'الصرف المباشر'!$C$2:$C$501,$A166)+SUMPRODUCT((الطبخات!$B$2:$B$900=$A166)*الطبخات!$C$2:$C$900*COUNTIF('سجل الإنتاج'!$C$2:$C$501,الطبخات!$A$2:$A$900)),3))</f>
        <v>0</v>
      </c>
    </row>
    <row r="167" spans="1:6">
      <c r="A167">
        <f>المواد!A167</f>
        <v>0</v>
      </c>
      <c r="F167">
        <f>IF($A167="","",ROUND(SUMIFS('الصرف المباشر'!$D$2:$D$501,'الصرف المباشر'!$C$2:$C$501,$A167)+SUMPRODUCT((الطبخات!$B$2:$B$900=$A167)*الطبخات!$C$2:$C$900*COUNTIF('سجل الإنتاج'!$C$2:$C$501,الطبخات!$A$2:$A$900)),3))</f>
        <v>0</v>
      </c>
    </row>
    <row r="168" spans="1:6">
      <c r="A168">
        <f>المواد!A168</f>
        <v>0</v>
      </c>
      <c r="F168">
        <f>IF($A168="","",ROUND(SUMIFS('الصرف المباشر'!$D$2:$D$501,'الصرف المباشر'!$C$2:$C$501,$A168)+SUMPRODUCT((الطبخات!$B$2:$B$900=$A168)*الطبخات!$C$2:$C$900*COUNTIF('سجل الإنتاج'!$C$2:$C$501,الطبخات!$A$2:$A$900)),3))</f>
        <v>0</v>
      </c>
    </row>
    <row r="169" spans="1:6">
      <c r="A169">
        <f>المواد!A169</f>
        <v>0</v>
      </c>
      <c r="F169">
        <f>IF($A169="","",ROUND(SUMIFS('الصرف المباشر'!$D$2:$D$501,'الصرف المباشر'!$C$2:$C$501,$A169)+SUMPRODUCT((الطبخات!$B$2:$B$900=$A169)*الطبخات!$C$2:$C$900*COUNTIF('سجل الإنتاج'!$C$2:$C$501,الطبخات!$A$2:$A$900)),3))</f>
        <v>0</v>
      </c>
    </row>
    <row r="170" spans="1:6">
      <c r="A170">
        <f>المواد!A170</f>
        <v>0</v>
      </c>
      <c r="F170">
        <f>IF($A170="","",ROUND(SUMIFS('الصرف المباشر'!$D$2:$D$501,'الصرف المباشر'!$C$2:$C$501,$A170)+SUMPRODUCT((الطبخات!$B$2:$B$900=$A170)*الطبخات!$C$2:$C$900*COUNTIF('سجل الإنتاج'!$C$2:$C$501,الطبخات!$A$2:$A$900)),3))</f>
        <v>0</v>
      </c>
    </row>
    <row r="171" spans="1:6">
      <c r="A171">
        <f>المواد!A171</f>
        <v>0</v>
      </c>
      <c r="F171">
        <f>IF($A171="","",ROUND(SUMIFS('الصرف المباشر'!$D$2:$D$501,'الصرف المباشر'!$C$2:$C$501,$A171)+SUMPRODUCT((الطبخات!$B$2:$B$900=$A171)*الطبخات!$C$2:$C$900*COUNTIF('سجل الإنتاج'!$C$2:$C$501,الطبخات!$A$2:$A$900)),3))</f>
        <v>0</v>
      </c>
    </row>
    <row r="172" spans="1:6">
      <c r="A172">
        <f>المواد!A172</f>
        <v>0</v>
      </c>
      <c r="F172">
        <f>IF($A172="","",ROUND(SUMIFS('الصرف المباشر'!$D$2:$D$501,'الصرف المباشر'!$C$2:$C$501,$A172)+SUMPRODUCT((الطبخات!$B$2:$B$900=$A172)*الطبخات!$C$2:$C$900*COUNTIF('سجل الإنتاج'!$C$2:$C$501,الطبخات!$A$2:$A$900)),3))</f>
        <v>0</v>
      </c>
    </row>
    <row r="173" spans="1:6">
      <c r="A173">
        <f>المواد!A173</f>
        <v>0</v>
      </c>
      <c r="F173">
        <f>IF($A173="","",ROUND(SUMIFS('الصرف المباشر'!$D$2:$D$501,'الصرف المباشر'!$C$2:$C$501,$A173)+SUMPRODUCT((الطبخات!$B$2:$B$900=$A173)*الطبخات!$C$2:$C$900*COUNTIF('سجل الإنتاج'!$C$2:$C$501,الطبخات!$A$2:$A$900)),3))</f>
        <v>0</v>
      </c>
    </row>
    <row r="174" spans="1:6">
      <c r="A174">
        <f>المواد!A174</f>
        <v>0</v>
      </c>
      <c r="F174">
        <f>IF($A174="","",ROUND(SUMIFS('الصرف المباشر'!$D$2:$D$501,'الصرف المباشر'!$C$2:$C$501,$A174)+SUMPRODUCT((الطبخات!$B$2:$B$900=$A174)*الطبخات!$C$2:$C$900*COUNTIF('سجل الإنتاج'!$C$2:$C$501,الطبخات!$A$2:$A$900)),3))</f>
        <v>0</v>
      </c>
    </row>
    <row r="175" spans="1:6">
      <c r="A175">
        <f>المواد!A175</f>
        <v>0</v>
      </c>
      <c r="F175">
        <f>IF($A175="","",ROUND(SUMIFS('الصرف المباشر'!$D$2:$D$501,'الصرف المباشر'!$C$2:$C$501,$A175)+SUMPRODUCT((الطبخات!$B$2:$B$900=$A175)*الطبخات!$C$2:$C$900*COUNTIF('سجل الإنتاج'!$C$2:$C$501,الطبخات!$A$2:$A$900)),3))</f>
        <v>0</v>
      </c>
    </row>
    <row r="176" spans="1:6">
      <c r="A176">
        <f>المواد!A176</f>
        <v>0</v>
      </c>
      <c r="F176">
        <f>IF($A176="","",ROUND(SUMIFS('الصرف المباشر'!$D$2:$D$501,'الصرف المباشر'!$C$2:$C$501,$A176)+SUMPRODUCT((الطبخات!$B$2:$B$900=$A176)*الطبخات!$C$2:$C$900*COUNTIF('سجل الإنتاج'!$C$2:$C$501,الطبخات!$A$2:$A$900)),3))</f>
        <v>0</v>
      </c>
    </row>
    <row r="177" spans="1:6">
      <c r="A177">
        <f>المواد!A177</f>
        <v>0</v>
      </c>
      <c r="F177">
        <f>IF($A177="","",ROUND(SUMIFS('الصرف المباشر'!$D$2:$D$501,'الصرف المباشر'!$C$2:$C$501,$A177)+SUMPRODUCT((الطبخات!$B$2:$B$900=$A177)*الطبخات!$C$2:$C$900*COUNTIF('سجل الإنتاج'!$C$2:$C$501,الطبخات!$A$2:$A$900)),3))</f>
        <v>0</v>
      </c>
    </row>
    <row r="178" spans="1:6">
      <c r="A178">
        <f>المواد!A178</f>
        <v>0</v>
      </c>
      <c r="F178">
        <f>IF($A178="","",ROUND(SUMIFS('الصرف المباشر'!$D$2:$D$501,'الصرف المباشر'!$C$2:$C$501,$A178)+SUMPRODUCT((الطبخات!$B$2:$B$900=$A178)*الطبخات!$C$2:$C$900*COUNTIF('سجل الإنتاج'!$C$2:$C$501,الطبخات!$A$2:$A$900)),3))</f>
        <v>0</v>
      </c>
    </row>
    <row r="179" spans="1:6">
      <c r="A179">
        <f>المواد!A179</f>
        <v>0</v>
      </c>
      <c r="F179">
        <f>IF($A179="","",ROUND(SUMIFS('الصرف المباشر'!$D$2:$D$501,'الصرف المباشر'!$C$2:$C$501,$A179)+SUMPRODUCT((الطبخات!$B$2:$B$900=$A179)*الطبخات!$C$2:$C$900*COUNTIF('سجل الإنتاج'!$C$2:$C$501,الطبخات!$A$2:$A$900)),3))</f>
        <v>0</v>
      </c>
    </row>
    <row r="180" spans="1:6">
      <c r="A180">
        <f>المواد!A180</f>
        <v>0</v>
      </c>
      <c r="F180">
        <f>IF($A180="","",ROUND(SUMIFS('الصرف المباشر'!$D$2:$D$501,'الصرف المباشر'!$C$2:$C$501,$A180)+SUMPRODUCT((الطبخات!$B$2:$B$900=$A180)*الطبخات!$C$2:$C$900*COUNTIF('سجل الإنتاج'!$C$2:$C$501,الطبخات!$A$2:$A$900)),3))</f>
        <v>0</v>
      </c>
    </row>
    <row r="181" spans="1:6">
      <c r="A181">
        <f>المواد!A181</f>
        <v>0</v>
      </c>
      <c r="F181">
        <f>IF($A181="","",ROUND(SUMIFS('الصرف المباشر'!$D$2:$D$501,'الصرف المباشر'!$C$2:$C$501,$A181)+SUMPRODUCT((الطبخات!$B$2:$B$900=$A181)*الطبخات!$C$2:$C$900*COUNTIF('سجل الإنتاج'!$C$2:$C$501,الطبخات!$A$2:$A$900)),3))</f>
        <v>0</v>
      </c>
    </row>
    <row r="182" spans="1:6">
      <c r="A182">
        <f>المواد!A182</f>
        <v>0</v>
      </c>
      <c r="F182">
        <f>IF($A182="","",ROUND(SUMIFS('الصرف المباشر'!$D$2:$D$501,'الصرف المباشر'!$C$2:$C$501,$A182)+SUMPRODUCT((الطبخات!$B$2:$B$900=$A182)*الطبخات!$C$2:$C$900*COUNTIF('سجل الإنتاج'!$C$2:$C$501,الطبخات!$A$2:$A$900)),3))</f>
        <v>0</v>
      </c>
    </row>
    <row r="183" spans="1:6">
      <c r="A183">
        <f>المواد!A183</f>
        <v>0</v>
      </c>
      <c r="F183">
        <f>IF($A183="","",ROUND(SUMIFS('الصرف المباشر'!$D$2:$D$501,'الصرف المباشر'!$C$2:$C$501,$A183)+SUMPRODUCT((الطبخات!$B$2:$B$900=$A183)*الطبخات!$C$2:$C$900*COUNTIF('سجل الإنتاج'!$C$2:$C$501,الطبخات!$A$2:$A$900)),3))</f>
        <v>0</v>
      </c>
    </row>
    <row r="184" spans="1:6">
      <c r="A184">
        <f>المواد!A184</f>
        <v>0</v>
      </c>
      <c r="F184">
        <f>IF($A184="","",ROUND(SUMIFS('الصرف المباشر'!$D$2:$D$501,'الصرف المباشر'!$C$2:$C$501,$A184)+SUMPRODUCT((الطبخات!$B$2:$B$900=$A184)*الطبخات!$C$2:$C$900*COUNTIF('سجل الإنتاج'!$C$2:$C$501,الطبخات!$A$2:$A$900)),3))</f>
        <v>0</v>
      </c>
    </row>
    <row r="185" spans="1:6">
      <c r="A185">
        <f>المواد!A185</f>
        <v>0</v>
      </c>
      <c r="F185">
        <f>IF($A185="","",ROUND(SUMIFS('الصرف المباشر'!$D$2:$D$501,'الصرف المباشر'!$C$2:$C$501,$A185)+SUMPRODUCT((الطبخات!$B$2:$B$900=$A185)*الطبخات!$C$2:$C$900*COUNTIF('سجل الإنتاج'!$C$2:$C$501,الطبخات!$A$2:$A$900)),3))</f>
        <v>0</v>
      </c>
    </row>
    <row r="186" spans="1:6">
      <c r="A186">
        <f>المواد!A186</f>
        <v>0</v>
      </c>
      <c r="F186">
        <f>IF($A186="","",ROUND(SUMIFS('الصرف المباشر'!$D$2:$D$501,'الصرف المباشر'!$C$2:$C$501,$A186)+SUMPRODUCT((الطبخات!$B$2:$B$900=$A186)*الطبخات!$C$2:$C$900*COUNTIF('سجل الإنتاج'!$C$2:$C$501,الطبخات!$A$2:$A$900)),3))</f>
        <v>0</v>
      </c>
    </row>
    <row r="187" spans="1:6">
      <c r="A187">
        <f>المواد!A187</f>
        <v>0</v>
      </c>
      <c r="F187">
        <f>IF($A187="","",ROUND(SUMIFS('الصرف المباشر'!$D$2:$D$501,'الصرف المباشر'!$C$2:$C$501,$A187)+SUMPRODUCT((الطبخات!$B$2:$B$900=$A187)*الطبخات!$C$2:$C$900*COUNTIF('سجل الإنتاج'!$C$2:$C$501,الطبخات!$A$2:$A$900)),3))</f>
        <v>0</v>
      </c>
    </row>
    <row r="188" spans="1:6">
      <c r="A188">
        <f>المواد!A188</f>
        <v>0</v>
      </c>
      <c r="F188">
        <f>IF($A188="","",ROUND(SUMIFS('الصرف المباشر'!$D$2:$D$501,'الصرف المباشر'!$C$2:$C$501,$A188)+SUMPRODUCT((الطبخات!$B$2:$B$900=$A188)*الطبخات!$C$2:$C$900*COUNTIF('سجل الإنتاج'!$C$2:$C$501,الطبخات!$A$2:$A$900)),3))</f>
        <v>0</v>
      </c>
    </row>
    <row r="189" spans="1:6">
      <c r="A189">
        <f>المواد!A189</f>
        <v>0</v>
      </c>
      <c r="F189">
        <f>IF($A189="","",ROUND(SUMIFS('الصرف المباشر'!$D$2:$D$501,'الصرف المباشر'!$C$2:$C$501,$A189)+SUMPRODUCT((الطبخات!$B$2:$B$900=$A189)*الطبخات!$C$2:$C$900*COUNTIF('سجل الإنتاج'!$C$2:$C$501,الطبخات!$A$2:$A$900)),3))</f>
        <v>0</v>
      </c>
    </row>
    <row r="190" spans="1:6">
      <c r="A190">
        <f>المواد!A190</f>
        <v>0</v>
      </c>
      <c r="F190">
        <f>IF($A190="","",ROUND(SUMIFS('الصرف المباشر'!$D$2:$D$501,'الصرف المباشر'!$C$2:$C$501,$A190)+SUMPRODUCT((الطبخات!$B$2:$B$900=$A190)*الطبخات!$C$2:$C$900*COUNTIF('سجل الإنتاج'!$C$2:$C$501,الطبخات!$A$2:$A$900)),3))</f>
        <v>0</v>
      </c>
    </row>
    <row r="191" spans="1:6">
      <c r="A191">
        <f>المواد!A191</f>
        <v>0</v>
      </c>
      <c r="F191">
        <f>IF($A191="","",ROUND(SUMIFS('الصرف المباشر'!$D$2:$D$501,'الصرف المباشر'!$C$2:$C$501,$A191)+SUMPRODUCT((الطبخات!$B$2:$B$900=$A191)*الطبخات!$C$2:$C$900*COUNTIF('سجل الإنتاج'!$C$2:$C$501,الطبخات!$A$2:$A$900)),3))</f>
        <v>0</v>
      </c>
    </row>
    <row r="192" spans="1:6">
      <c r="A192">
        <f>المواد!A192</f>
        <v>0</v>
      </c>
      <c r="F192">
        <f>IF($A192="","",ROUND(SUMIFS('الصرف المباشر'!$D$2:$D$501,'الصرف المباشر'!$C$2:$C$501,$A192)+SUMPRODUCT((الطبخات!$B$2:$B$900=$A192)*الطبخات!$C$2:$C$900*COUNTIF('سجل الإنتاج'!$C$2:$C$501,الطبخات!$A$2:$A$900)),3))</f>
        <v>0</v>
      </c>
    </row>
    <row r="193" spans="1:6">
      <c r="A193">
        <f>المواد!A193</f>
        <v>0</v>
      </c>
      <c r="F193">
        <f>IF($A193="","",ROUND(SUMIFS('الصرف المباشر'!$D$2:$D$501,'الصرف المباشر'!$C$2:$C$501,$A193)+SUMPRODUCT((الطبخات!$B$2:$B$900=$A193)*الطبخات!$C$2:$C$900*COUNTIF('سجل الإنتاج'!$C$2:$C$501,الطبخات!$A$2:$A$900)),3))</f>
        <v>0</v>
      </c>
    </row>
    <row r="194" spans="1:6">
      <c r="A194">
        <f>المواد!A194</f>
        <v>0</v>
      </c>
      <c r="F194">
        <f>IF($A194="","",ROUND(SUMIFS('الصرف المباشر'!$D$2:$D$501,'الصرف المباشر'!$C$2:$C$501,$A194)+SUMPRODUCT((الطبخات!$B$2:$B$900=$A194)*الطبخات!$C$2:$C$900*COUNTIF('سجل الإنتاج'!$C$2:$C$501,الطبخات!$A$2:$A$900)),3))</f>
        <v>0</v>
      </c>
    </row>
    <row r="195" spans="1:6">
      <c r="A195">
        <f>المواد!A195</f>
        <v>0</v>
      </c>
      <c r="F195">
        <f>IF($A195="","",ROUND(SUMIFS('الصرف المباشر'!$D$2:$D$501,'الصرف المباشر'!$C$2:$C$501,$A195)+SUMPRODUCT((الطبخات!$B$2:$B$900=$A195)*الطبخات!$C$2:$C$900*COUNTIF('سجل الإنتاج'!$C$2:$C$501,الطبخات!$A$2:$A$900)),3))</f>
        <v>0</v>
      </c>
    </row>
    <row r="196" spans="1:6">
      <c r="A196">
        <f>المواد!A196</f>
        <v>0</v>
      </c>
      <c r="F196">
        <f>IF($A196="","",ROUND(SUMIFS('الصرف المباشر'!$D$2:$D$501,'الصرف المباشر'!$C$2:$C$501,$A196)+SUMPRODUCT((الطبخات!$B$2:$B$900=$A196)*الطبخات!$C$2:$C$900*COUNTIF('سجل الإنتاج'!$C$2:$C$501,الطبخات!$A$2:$A$900)),3))</f>
        <v>0</v>
      </c>
    </row>
    <row r="197" spans="1:6">
      <c r="A197">
        <f>المواد!A197</f>
        <v>0</v>
      </c>
      <c r="F197">
        <f>IF($A197="","",ROUND(SUMIFS('الصرف المباشر'!$D$2:$D$501,'الصرف المباشر'!$C$2:$C$501,$A197)+SUMPRODUCT((الطبخات!$B$2:$B$900=$A197)*الطبخات!$C$2:$C$900*COUNTIF('سجل الإنتاج'!$C$2:$C$501,الطبخات!$A$2:$A$900)),3))</f>
        <v>0</v>
      </c>
    </row>
    <row r="198" spans="1:6">
      <c r="A198">
        <f>المواد!A198</f>
        <v>0</v>
      </c>
      <c r="F198">
        <f>IF($A198="","",ROUND(SUMIFS('الصرف المباشر'!$D$2:$D$501,'الصرف المباشر'!$C$2:$C$501,$A198)+SUMPRODUCT((الطبخات!$B$2:$B$900=$A198)*الطبخات!$C$2:$C$900*COUNTIF('سجل الإنتاج'!$C$2:$C$501,الطبخات!$A$2:$A$900)),3))</f>
        <v>0</v>
      </c>
    </row>
    <row r="199" spans="1:6">
      <c r="A199">
        <f>المواد!A199</f>
        <v>0</v>
      </c>
      <c r="F199">
        <f>IF($A199="","",ROUND(SUMIFS('الصرف المباشر'!$D$2:$D$501,'الصرف المباشر'!$C$2:$C$501,$A199)+SUMPRODUCT((الطبخات!$B$2:$B$900=$A199)*الطبخات!$C$2:$C$900*COUNTIF('سجل الإنتاج'!$C$2:$C$501,الطبخات!$A$2:$A$900)),3))</f>
        <v>0</v>
      </c>
    </row>
    <row r="200" spans="1:6">
      <c r="A200">
        <f>المواد!A200</f>
        <v>0</v>
      </c>
      <c r="F200">
        <f>IF($A200="","",ROUND(SUMIFS('الصرف المباشر'!$D$2:$D$501,'الصرف المباشر'!$C$2:$C$501,$A200)+SUMPRODUCT((الطبخات!$B$2:$B$900=$A200)*الطبخات!$C$2:$C$900*COUNTIF('سجل الإنتاج'!$C$2:$C$501,الطبخات!$A$2:$A$900)),3))</f>
        <v>0</v>
      </c>
    </row>
    <row r="201" spans="1:6">
      <c r="A201">
        <f>المواد!A201</f>
        <v>0</v>
      </c>
      <c r="F201">
        <f>IF($A201="","",ROUND(SUMIFS('الصرف المباشر'!$D$2:$D$501,'الصرف المباشر'!$C$2:$C$501,$A201)+SUMPRODUCT((الطبخات!$B$2:$B$900=$A201)*الطبخات!$C$2:$C$900*COUNTIF('سجل الإنتاج'!$C$2:$C$501,الطبخات!$A$2:$A$900)),3))</f>
        <v>0</v>
      </c>
    </row>
    <row r="202" spans="1:6">
      <c r="A202">
        <f>المواد!A202</f>
        <v>0</v>
      </c>
      <c r="F202">
        <f>IF($A202="","",ROUND(SUMIFS('الصرف المباشر'!$D$2:$D$501,'الصرف المباشر'!$C$2:$C$501,$A202)+SUMPRODUCT((الطبخات!$B$2:$B$900=$A202)*الطبخات!$C$2:$C$900*COUNTIF('سجل الإنتاج'!$C$2:$C$501,الطبخات!$A$2:$A$900)),3))</f>
        <v>0</v>
      </c>
    </row>
    <row r="203" spans="1:6">
      <c r="A203">
        <f>المواد!A203</f>
        <v>0</v>
      </c>
      <c r="F203">
        <f>IF($A203="","",ROUND(SUMIFS('الصرف المباشر'!$D$2:$D$501,'الصرف المباشر'!$C$2:$C$501,$A203)+SUMPRODUCT((الطبخات!$B$2:$B$900=$A203)*الطبخات!$C$2:$C$900*COUNTIF('سجل الإنتاج'!$C$2:$C$501,الطبخات!$A$2:$A$900)),3))</f>
        <v>0</v>
      </c>
    </row>
    <row r="204" spans="1:6">
      <c r="A204">
        <f>المواد!A204</f>
        <v>0</v>
      </c>
      <c r="F204">
        <f>IF($A204="","",ROUND(SUMIFS('الصرف المباشر'!$D$2:$D$501,'الصرف المباشر'!$C$2:$C$501,$A204)+SUMPRODUCT((الطبخات!$B$2:$B$900=$A204)*الطبخات!$C$2:$C$900*COUNTIF('سجل الإنتاج'!$C$2:$C$501,الطبخات!$A$2:$A$900)),3))</f>
        <v>0</v>
      </c>
    </row>
    <row r="205" spans="1:6">
      <c r="A205">
        <f>المواد!A205</f>
        <v>0</v>
      </c>
      <c r="F205">
        <f>IF($A205="","",ROUND(SUMIFS('الصرف المباشر'!$D$2:$D$501,'الصرف المباشر'!$C$2:$C$501,$A205)+SUMPRODUCT((الطبخات!$B$2:$B$900=$A205)*الطبخات!$C$2:$C$900*COUNTIF('سجل الإنتاج'!$C$2:$C$501,الطبخات!$A$2:$A$900)),3))</f>
        <v>0</v>
      </c>
    </row>
    <row r="206" spans="1:6">
      <c r="A206">
        <f>المواد!A206</f>
        <v>0</v>
      </c>
      <c r="F206">
        <f>IF($A206="","",ROUND(SUMIFS('الصرف المباشر'!$D$2:$D$501,'الصرف المباشر'!$C$2:$C$501,$A206)+SUMPRODUCT((الطبخات!$B$2:$B$900=$A206)*الطبخات!$C$2:$C$900*COUNTIF('سجل الإنتاج'!$C$2:$C$501,الطبخات!$A$2:$A$900)),3))</f>
        <v>0</v>
      </c>
    </row>
    <row r="207" spans="1:6">
      <c r="A207">
        <f>المواد!A207</f>
        <v>0</v>
      </c>
      <c r="F207">
        <f>IF($A207="","",ROUND(SUMIFS('الصرف المباشر'!$D$2:$D$501,'الصرف المباشر'!$C$2:$C$501,$A207)+SUMPRODUCT((الطبخات!$B$2:$B$900=$A207)*الطبخات!$C$2:$C$900*COUNTIF('سجل الإنتاج'!$C$2:$C$501,الطبخات!$A$2:$A$900)),3))</f>
        <v>0</v>
      </c>
    </row>
    <row r="208" spans="1:6">
      <c r="A208">
        <f>المواد!A208</f>
        <v>0</v>
      </c>
      <c r="F208">
        <f>IF($A208="","",ROUND(SUMIFS('الصرف المباشر'!$D$2:$D$501,'الصرف المباشر'!$C$2:$C$501,$A208)+SUMPRODUCT((الطبخات!$B$2:$B$900=$A208)*الطبخات!$C$2:$C$900*COUNTIF('سجل الإنتاج'!$C$2:$C$501,الطبخات!$A$2:$A$900)),3))</f>
        <v>0</v>
      </c>
    </row>
    <row r="209" spans="1:6">
      <c r="A209">
        <f>المواد!A209</f>
        <v>0</v>
      </c>
      <c r="F209">
        <f>IF($A209="","",ROUND(SUMIFS('الصرف المباشر'!$D$2:$D$501,'الصرف المباشر'!$C$2:$C$501,$A209)+SUMPRODUCT((الطبخات!$B$2:$B$900=$A209)*الطبخات!$C$2:$C$900*COUNTIF('سجل الإنتاج'!$C$2:$C$501,الطبخات!$A$2:$A$900)),3))</f>
        <v>0</v>
      </c>
    </row>
    <row r="210" spans="1:6">
      <c r="A210">
        <f>المواد!A210</f>
        <v>0</v>
      </c>
      <c r="F210">
        <f>IF($A210="","",ROUND(SUMIFS('الصرف المباشر'!$D$2:$D$501,'الصرف المباشر'!$C$2:$C$501,$A210)+SUMPRODUCT((الطبخات!$B$2:$B$900=$A210)*الطبخات!$C$2:$C$900*COUNTIF('سجل الإنتاج'!$C$2:$C$501,الطبخات!$A$2:$A$900)),3))</f>
        <v>0</v>
      </c>
    </row>
    <row r="211" spans="1:6">
      <c r="A211">
        <f>المواد!A211</f>
        <v>0</v>
      </c>
      <c r="F211">
        <f>IF($A211="","",ROUND(SUMIFS('الصرف المباشر'!$D$2:$D$501,'الصرف المباشر'!$C$2:$C$501,$A211)+SUMPRODUCT((الطبخات!$B$2:$B$900=$A211)*الطبخات!$C$2:$C$900*COUNTIF('سجل الإنتاج'!$C$2:$C$501,الطبخات!$A$2:$A$900)),3))</f>
        <v>0</v>
      </c>
    </row>
    <row r="212" spans="1:6">
      <c r="A212">
        <f>المواد!A212</f>
        <v>0</v>
      </c>
      <c r="F212">
        <f>IF($A212="","",ROUND(SUMIFS('الصرف المباشر'!$D$2:$D$501,'الصرف المباشر'!$C$2:$C$501,$A212)+SUMPRODUCT((الطبخات!$B$2:$B$900=$A212)*الطبخات!$C$2:$C$900*COUNTIF('سجل الإنتاج'!$C$2:$C$501,الطبخات!$A$2:$A$900)),3))</f>
        <v>0</v>
      </c>
    </row>
    <row r="213" spans="1:6">
      <c r="A213">
        <f>المواد!A213</f>
        <v>0</v>
      </c>
      <c r="F213">
        <f>IF($A213="","",ROUND(SUMIFS('الصرف المباشر'!$D$2:$D$501,'الصرف المباشر'!$C$2:$C$501,$A213)+SUMPRODUCT((الطبخات!$B$2:$B$900=$A213)*الطبخات!$C$2:$C$900*COUNTIF('سجل الإنتاج'!$C$2:$C$501,الطبخات!$A$2:$A$900)),3))</f>
        <v>0</v>
      </c>
    </row>
    <row r="214" spans="1:6">
      <c r="A214">
        <f>المواد!A214</f>
        <v>0</v>
      </c>
      <c r="F214">
        <f>IF($A214="","",ROUND(SUMIFS('الصرف المباشر'!$D$2:$D$501,'الصرف المباشر'!$C$2:$C$501,$A214)+SUMPRODUCT((الطبخات!$B$2:$B$900=$A214)*الطبخات!$C$2:$C$900*COUNTIF('سجل الإنتاج'!$C$2:$C$501,الطبخات!$A$2:$A$900)),3))</f>
        <v>0</v>
      </c>
    </row>
    <row r="215" spans="1:6">
      <c r="A215">
        <f>المواد!A215</f>
        <v>0</v>
      </c>
      <c r="F215">
        <f>IF($A215="","",ROUND(SUMIFS('الصرف المباشر'!$D$2:$D$501,'الصرف المباشر'!$C$2:$C$501,$A215)+SUMPRODUCT((الطبخات!$B$2:$B$900=$A215)*الطبخات!$C$2:$C$900*COUNTIF('سجل الإنتاج'!$C$2:$C$501,الطبخات!$A$2:$A$900)),3))</f>
        <v>0</v>
      </c>
    </row>
    <row r="216" spans="1:6">
      <c r="A216">
        <f>المواد!A216</f>
        <v>0</v>
      </c>
      <c r="F216">
        <f>IF($A216="","",ROUND(SUMIFS('الصرف المباشر'!$D$2:$D$501,'الصرف المباشر'!$C$2:$C$501,$A216)+SUMPRODUCT((الطبخات!$B$2:$B$900=$A216)*الطبخات!$C$2:$C$900*COUNTIF('سجل الإنتاج'!$C$2:$C$501,الطبخات!$A$2:$A$900)),3))</f>
        <v>0</v>
      </c>
    </row>
    <row r="217" spans="1:6">
      <c r="A217">
        <f>المواد!A217</f>
        <v>0</v>
      </c>
      <c r="F217">
        <f>IF($A217="","",ROUND(SUMIFS('الصرف المباشر'!$D$2:$D$501,'الصرف المباشر'!$C$2:$C$501,$A217)+SUMPRODUCT((الطبخات!$B$2:$B$900=$A217)*الطبخات!$C$2:$C$900*COUNTIF('سجل الإنتاج'!$C$2:$C$501,الطبخات!$A$2:$A$900)),3))</f>
        <v>0</v>
      </c>
    </row>
    <row r="218" spans="1:6">
      <c r="A218">
        <f>المواد!A218</f>
        <v>0</v>
      </c>
      <c r="F218">
        <f>IF($A218="","",ROUND(SUMIFS('الصرف المباشر'!$D$2:$D$501,'الصرف المباشر'!$C$2:$C$501,$A218)+SUMPRODUCT((الطبخات!$B$2:$B$900=$A218)*الطبخات!$C$2:$C$900*COUNTIF('سجل الإنتاج'!$C$2:$C$501,الطبخات!$A$2:$A$900)),3))</f>
        <v>0</v>
      </c>
    </row>
    <row r="219" spans="1:6">
      <c r="A219">
        <f>المواد!A219</f>
        <v>0</v>
      </c>
      <c r="F219">
        <f>IF($A219="","",ROUND(SUMIFS('الصرف المباشر'!$D$2:$D$501,'الصرف المباشر'!$C$2:$C$501,$A219)+SUMPRODUCT((الطبخات!$B$2:$B$900=$A219)*الطبخات!$C$2:$C$900*COUNTIF('سجل الإنتاج'!$C$2:$C$501,الطبخات!$A$2:$A$900)),3))</f>
        <v>0</v>
      </c>
    </row>
    <row r="220" spans="1:6">
      <c r="A220">
        <f>المواد!A220</f>
        <v>0</v>
      </c>
      <c r="F220">
        <f>IF($A220="","",ROUND(SUMIFS('الصرف المباشر'!$D$2:$D$501,'الصرف المباشر'!$C$2:$C$501,$A220)+SUMPRODUCT((الطبخات!$B$2:$B$900=$A220)*الطبخات!$C$2:$C$900*COUNTIF('سجل الإنتاج'!$C$2:$C$501,الطبخات!$A$2:$A$900)),3))</f>
        <v>0</v>
      </c>
    </row>
    <row r="221" spans="1:6">
      <c r="A221">
        <f>المواد!A221</f>
        <v>0</v>
      </c>
      <c r="F221">
        <f>IF($A221="","",ROUND(SUMIFS('الصرف المباشر'!$D$2:$D$501,'الصرف المباشر'!$C$2:$C$501,$A221)+SUMPRODUCT((الطبخات!$B$2:$B$900=$A221)*الطبخات!$C$2:$C$900*COUNTIF('سجل الإنتاج'!$C$2:$C$501,الطبخات!$A$2:$A$900)),3))</f>
        <v>0</v>
      </c>
    </row>
    <row r="222" spans="1:6">
      <c r="A222">
        <f>المواد!A222</f>
        <v>0</v>
      </c>
      <c r="F222">
        <f>IF($A222="","",ROUND(SUMIFS('الصرف المباشر'!$D$2:$D$501,'الصرف المباشر'!$C$2:$C$501,$A222)+SUMPRODUCT((الطبخات!$B$2:$B$900=$A222)*الطبخات!$C$2:$C$900*COUNTIF('سجل الإنتاج'!$C$2:$C$501,الطبخات!$A$2:$A$900)),3))</f>
        <v>0</v>
      </c>
    </row>
    <row r="223" spans="1:6">
      <c r="A223">
        <f>المواد!A223</f>
        <v>0</v>
      </c>
      <c r="F223">
        <f>IF($A223="","",ROUND(SUMIFS('الصرف المباشر'!$D$2:$D$501,'الصرف المباشر'!$C$2:$C$501,$A223)+SUMPRODUCT((الطبخات!$B$2:$B$900=$A223)*الطبخات!$C$2:$C$900*COUNTIF('سجل الإنتاج'!$C$2:$C$501,الطبخات!$A$2:$A$900)),3))</f>
        <v>0</v>
      </c>
    </row>
    <row r="224" spans="1:6">
      <c r="A224">
        <f>المواد!A224</f>
        <v>0</v>
      </c>
      <c r="F224">
        <f>IF($A224="","",ROUND(SUMIFS('الصرف المباشر'!$D$2:$D$501,'الصرف المباشر'!$C$2:$C$501,$A224)+SUMPRODUCT((الطبخات!$B$2:$B$900=$A224)*الطبخات!$C$2:$C$900*COUNTIF('سجل الإنتاج'!$C$2:$C$501,الطبخات!$A$2:$A$900)),3))</f>
        <v>0</v>
      </c>
    </row>
    <row r="225" spans="1:6">
      <c r="A225">
        <f>المواد!A225</f>
        <v>0</v>
      </c>
      <c r="F225">
        <f>IF($A225="","",ROUND(SUMIFS('الصرف المباشر'!$D$2:$D$501,'الصرف المباشر'!$C$2:$C$501,$A225)+SUMPRODUCT((الطبخات!$B$2:$B$900=$A225)*الطبخات!$C$2:$C$900*COUNTIF('سجل الإنتاج'!$C$2:$C$501,الطبخات!$A$2:$A$900)),3))</f>
        <v>0</v>
      </c>
    </row>
    <row r="226" spans="1:6">
      <c r="A226">
        <f>المواد!A226</f>
        <v>0</v>
      </c>
      <c r="F226">
        <f>IF($A226="","",ROUND(SUMIFS('الصرف المباشر'!$D$2:$D$501,'الصرف المباشر'!$C$2:$C$501,$A226)+SUMPRODUCT((الطبخات!$B$2:$B$900=$A226)*الطبخات!$C$2:$C$900*COUNTIF('سجل الإنتاج'!$C$2:$C$501,الطبخات!$A$2:$A$900)),3))</f>
        <v>0</v>
      </c>
    </row>
    <row r="227" spans="1:6">
      <c r="A227">
        <f>المواد!A227</f>
        <v>0</v>
      </c>
      <c r="F227">
        <f>IF($A227="","",ROUND(SUMIFS('الصرف المباشر'!$D$2:$D$501,'الصرف المباشر'!$C$2:$C$501,$A227)+SUMPRODUCT((الطبخات!$B$2:$B$900=$A227)*الطبخات!$C$2:$C$900*COUNTIF('سجل الإنتاج'!$C$2:$C$501,الطبخات!$A$2:$A$900)),3))</f>
        <v>0</v>
      </c>
    </row>
    <row r="228" spans="1:6">
      <c r="A228">
        <f>المواد!A228</f>
        <v>0</v>
      </c>
      <c r="F228">
        <f>IF($A228="","",ROUND(SUMIFS('الصرف المباشر'!$D$2:$D$501,'الصرف المباشر'!$C$2:$C$501,$A228)+SUMPRODUCT((الطبخات!$B$2:$B$900=$A228)*الطبخات!$C$2:$C$900*COUNTIF('سجل الإنتاج'!$C$2:$C$501,الطبخات!$A$2:$A$900)),3))</f>
        <v>0</v>
      </c>
    </row>
    <row r="229" spans="1:6">
      <c r="A229">
        <f>المواد!A229</f>
        <v>0</v>
      </c>
      <c r="F229">
        <f>IF($A229="","",ROUND(SUMIFS('الصرف المباشر'!$D$2:$D$501,'الصرف المباشر'!$C$2:$C$501,$A229)+SUMPRODUCT((الطبخات!$B$2:$B$900=$A229)*الطبخات!$C$2:$C$900*COUNTIF('سجل الإنتاج'!$C$2:$C$501,الطبخات!$A$2:$A$900)),3))</f>
        <v>0</v>
      </c>
    </row>
    <row r="230" spans="1:6">
      <c r="A230">
        <f>المواد!A230</f>
        <v>0</v>
      </c>
      <c r="F230">
        <f>IF($A230="","",ROUND(SUMIFS('الصرف المباشر'!$D$2:$D$501,'الصرف المباشر'!$C$2:$C$501,$A230)+SUMPRODUCT((الطبخات!$B$2:$B$900=$A230)*الطبخات!$C$2:$C$900*COUNTIF('سجل الإنتاج'!$C$2:$C$501,الطبخات!$A$2:$A$900)),3))</f>
        <v>0</v>
      </c>
    </row>
    <row r="231" spans="1:6">
      <c r="A231">
        <f>المواد!A231</f>
        <v>0</v>
      </c>
      <c r="F231">
        <f>IF($A231="","",ROUND(SUMIFS('الصرف المباشر'!$D$2:$D$501,'الصرف المباشر'!$C$2:$C$501,$A231)+SUMPRODUCT((الطبخات!$B$2:$B$900=$A231)*الطبخات!$C$2:$C$900*COUNTIF('سجل الإنتاج'!$C$2:$C$501,الطبخات!$A$2:$A$900)),3))</f>
        <v>0</v>
      </c>
    </row>
    <row r="232" spans="1:6">
      <c r="A232">
        <f>المواد!A232</f>
        <v>0</v>
      </c>
      <c r="F232">
        <f>IF($A232="","",ROUND(SUMIFS('الصرف المباشر'!$D$2:$D$501,'الصرف المباشر'!$C$2:$C$501,$A232)+SUMPRODUCT((الطبخات!$B$2:$B$900=$A232)*الطبخات!$C$2:$C$900*COUNTIF('سجل الإنتاج'!$C$2:$C$501,الطبخات!$A$2:$A$900)),3))</f>
        <v>0</v>
      </c>
    </row>
    <row r="233" spans="1:6">
      <c r="A233">
        <f>المواد!A233</f>
        <v>0</v>
      </c>
      <c r="F233">
        <f>IF($A233="","",ROUND(SUMIFS('الصرف المباشر'!$D$2:$D$501,'الصرف المباشر'!$C$2:$C$501,$A233)+SUMPRODUCT((الطبخات!$B$2:$B$900=$A233)*الطبخات!$C$2:$C$900*COUNTIF('سجل الإنتاج'!$C$2:$C$501,الطبخات!$A$2:$A$900)),3))</f>
        <v>0</v>
      </c>
    </row>
    <row r="234" spans="1:6">
      <c r="A234">
        <f>المواد!A234</f>
        <v>0</v>
      </c>
      <c r="F234">
        <f>IF($A234="","",ROUND(SUMIFS('الصرف المباشر'!$D$2:$D$501,'الصرف المباشر'!$C$2:$C$501,$A234)+SUMPRODUCT((الطبخات!$B$2:$B$900=$A234)*الطبخات!$C$2:$C$900*COUNTIF('سجل الإنتاج'!$C$2:$C$501,الطبخات!$A$2:$A$900)),3))</f>
        <v>0</v>
      </c>
    </row>
    <row r="235" spans="1:6">
      <c r="A235">
        <f>المواد!A235</f>
        <v>0</v>
      </c>
      <c r="F235">
        <f>IF($A235="","",ROUND(SUMIFS('الصرف المباشر'!$D$2:$D$501,'الصرف المباشر'!$C$2:$C$501,$A235)+SUMPRODUCT((الطبخات!$B$2:$B$900=$A235)*الطبخات!$C$2:$C$900*COUNTIF('سجل الإنتاج'!$C$2:$C$501,الطبخات!$A$2:$A$900)),3))</f>
        <v>0</v>
      </c>
    </row>
    <row r="236" spans="1:6">
      <c r="A236">
        <f>المواد!A236</f>
        <v>0</v>
      </c>
      <c r="F236">
        <f>IF($A236="","",ROUND(SUMIFS('الصرف المباشر'!$D$2:$D$501,'الصرف المباشر'!$C$2:$C$501,$A236)+SUMPRODUCT((الطبخات!$B$2:$B$900=$A236)*الطبخات!$C$2:$C$900*COUNTIF('سجل الإنتاج'!$C$2:$C$501,الطبخات!$A$2:$A$900)),3))</f>
        <v>0</v>
      </c>
    </row>
    <row r="237" spans="1:6">
      <c r="A237">
        <f>المواد!A237</f>
        <v>0</v>
      </c>
      <c r="F237">
        <f>IF($A237="","",ROUND(SUMIFS('الصرف المباشر'!$D$2:$D$501,'الصرف المباشر'!$C$2:$C$501,$A237)+SUMPRODUCT((الطبخات!$B$2:$B$900=$A237)*الطبخات!$C$2:$C$900*COUNTIF('سجل الإنتاج'!$C$2:$C$501,الطبخات!$A$2:$A$900)),3))</f>
        <v>0</v>
      </c>
    </row>
    <row r="238" spans="1:6">
      <c r="A238">
        <f>المواد!A238</f>
        <v>0</v>
      </c>
      <c r="F238">
        <f>IF($A238="","",ROUND(SUMIFS('الصرف المباشر'!$D$2:$D$501,'الصرف المباشر'!$C$2:$C$501,$A238)+SUMPRODUCT((الطبخات!$B$2:$B$900=$A238)*الطبخات!$C$2:$C$900*COUNTIF('سجل الإنتاج'!$C$2:$C$501,الطبخات!$A$2:$A$900)),3))</f>
        <v>0</v>
      </c>
    </row>
    <row r="239" spans="1:6">
      <c r="A239">
        <f>المواد!A239</f>
        <v>0</v>
      </c>
      <c r="F239">
        <f>IF($A239="","",ROUND(SUMIFS('الصرف المباشر'!$D$2:$D$501,'الصرف المباشر'!$C$2:$C$501,$A239)+SUMPRODUCT((الطبخات!$B$2:$B$900=$A239)*الطبخات!$C$2:$C$900*COUNTIF('سجل الإنتاج'!$C$2:$C$501,الطبخات!$A$2:$A$900)),3))</f>
        <v>0</v>
      </c>
    </row>
    <row r="240" spans="1:6">
      <c r="A240">
        <f>المواد!A240</f>
        <v>0</v>
      </c>
      <c r="F240">
        <f>IF($A240="","",ROUND(SUMIFS('الصرف المباشر'!$D$2:$D$501,'الصرف المباشر'!$C$2:$C$501,$A240)+SUMPRODUCT((الطبخات!$B$2:$B$900=$A240)*الطبخات!$C$2:$C$900*COUNTIF('سجل الإنتاج'!$C$2:$C$501,الطبخات!$A$2:$A$900)),3))</f>
        <v>0</v>
      </c>
    </row>
    <row r="241" spans="1:6">
      <c r="A241">
        <f>المواد!A241</f>
        <v>0</v>
      </c>
      <c r="F241">
        <f>IF($A241="","",ROUND(SUMIFS('الصرف المباشر'!$D$2:$D$501,'الصرف المباشر'!$C$2:$C$501,$A241)+SUMPRODUCT((الطبخات!$B$2:$B$900=$A241)*الطبخات!$C$2:$C$900*COUNTIF('سجل الإنتاج'!$C$2:$C$501,الطبخات!$A$2:$A$900)),3))</f>
        <v>0</v>
      </c>
    </row>
    <row r="242" spans="1:6">
      <c r="A242">
        <f>المواد!A242</f>
        <v>0</v>
      </c>
      <c r="F242">
        <f>IF($A242="","",ROUND(SUMIFS('الصرف المباشر'!$D$2:$D$501,'الصرف المباشر'!$C$2:$C$501,$A242)+SUMPRODUCT((الطبخات!$B$2:$B$900=$A242)*الطبخات!$C$2:$C$900*COUNTIF('سجل الإنتاج'!$C$2:$C$501,الطبخات!$A$2:$A$900)),3))</f>
        <v>0</v>
      </c>
    </row>
    <row r="243" spans="1:6">
      <c r="A243">
        <f>المواد!A243</f>
        <v>0</v>
      </c>
      <c r="F243">
        <f>IF($A243="","",ROUND(SUMIFS('الصرف المباشر'!$D$2:$D$501,'الصرف المباشر'!$C$2:$C$501,$A243)+SUMPRODUCT((الطبخات!$B$2:$B$900=$A243)*الطبخات!$C$2:$C$900*COUNTIF('سجل الإنتاج'!$C$2:$C$501,الطبخات!$A$2:$A$900)),3))</f>
        <v>0</v>
      </c>
    </row>
    <row r="244" spans="1:6">
      <c r="A244">
        <f>المواد!A244</f>
        <v>0</v>
      </c>
      <c r="F244">
        <f>IF($A244="","",ROUND(SUMIFS('الصرف المباشر'!$D$2:$D$501,'الصرف المباشر'!$C$2:$C$501,$A244)+SUMPRODUCT((الطبخات!$B$2:$B$900=$A244)*الطبخات!$C$2:$C$900*COUNTIF('سجل الإنتاج'!$C$2:$C$501,الطبخات!$A$2:$A$900)),3))</f>
        <v>0</v>
      </c>
    </row>
    <row r="245" spans="1:6">
      <c r="A245">
        <f>المواد!A245</f>
        <v>0</v>
      </c>
      <c r="F245">
        <f>IF($A245="","",ROUND(SUMIFS('الصرف المباشر'!$D$2:$D$501,'الصرف المباشر'!$C$2:$C$501,$A245)+SUMPRODUCT((الطبخات!$B$2:$B$900=$A245)*الطبخات!$C$2:$C$900*COUNTIF('سجل الإنتاج'!$C$2:$C$501,الطبخات!$A$2:$A$900)),3))</f>
        <v>0</v>
      </c>
    </row>
    <row r="246" spans="1:6">
      <c r="A246">
        <f>المواد!A246</f>
        <v>0</v>
      </c>
      <c r="F246">
        <f>IF($A246="","",ROUND(SUMIFS('الصرف المباشر'!$D$2:$D$501,'الصرف المباشر'!$C$2:$C$501,$A246)+SUMPRODUCT((الطبخات!$B$2:$B$900=$A246)*الطبخات!$C$2:$C$900*COUNTIF('سجل الإنتاج'!$C$2:$C$501,الطبخات!$A$2:$A$900)),3))</f>
        <v>0</v>
      </c>
    </row>
    <row r="247" spans="1:6">
      <c r="A247">
        <f>المواد!A247</f>
        <v>0</v>
      </c>
      <c r="F247">
        <f>IF($A247="","",ROUND(SUMIFS('الصرف المباشر'!$D$2:$D$501,'الصرف المباشر'!$C$2:$C$501,$A247)+SUMPRODUCT((الطبخات!$B$2:$B$900=$A247)*الطبخات!$C$2:$C$900*COUNTIF('سجل الإنتاج'!$C$2:$C$501,الطبخات!$A$2:$A$900)),3))</f>
        <v>0</v>
      </c>
    </row>
    <row r="248" spans="1:6">
      <c r="A248">
        <f>المواد!A248</f>
        <v>0</v>
      </c>
      <c r="F248">
        <f>IF($A248="","",ROUND(SUMIFS('الصرف المباشر'!$D$2:$D$501,'الصرف المباشر'!$C$2:$C$501,$A248)+SUMPRODUCT((الطبخات!$B$2:$B$900=$A248)*الطبخات!$C$2:$C$900*COUNTIF('سجل الإنتاج'!$C$2:$C$501,الطبخات!$A$2:$A$900)),3))</f>
        <v>0</v>
      </c>
    </row>
    <row r="249" spans="1:6">
      <c r="A249">
        <f>المواد!A249</f>
        <v>0</v>
      </c>
      <c r="F249">
        <f>IF($A249="","",ROUND(SUMIFS('الصرف المباشر'!$D$2:$D$501,'الصرف المباشر'!$C$2:$C$501,$A249)+SUMPRODUCT((الطبخات!$B$2:$B$900=$A249)*الطبخات!$C$2:$C$900*COUNTIF('سجل الإنتاج'!$C$2:$C$501,الطبخات!$A$2:$A$900)),3))</f>
        <v>0</v>
      </c>
    </row>
    <row r="250" spans="1:6">
      <c r="A250">
        <f>المواد!A250</f>
        <v>0</v>
      </c>
      <c r="F250">
        <f>IF($A250="","",ROUND(SUMIFS('الصرف المباشر'!$D$2:$D$501,'الصرف المباشر'!$C$2:$C$501,$A250)+SUMPRODUCT((الطبخات!$B$2:$B$900=$A250)*الطبخات!$C$2:$C$900*COUNTIF('سجل الإنتاج'!$C$2:$C$501,الطبخات!$A$2:$A$900)),3))</f>
        <v>0</v>
      </c>
    </row>
    <row r="251" spans="1:6">
      <c r="A251">
        <f>المواد!A251</f>
        <v>0</v>
      </c>
      <c r="F251">
        <f>IF($A251="","",ROUND(SUMIFS('الصرف المباشر'!$D$2:$D$501,'الصرف المباشر'!$C$2:$C$501,$A251)+SUMPRODUCT((الطبخات!$B$2:$B$900=$A251)*الطبخات!$C$2:$C$900*COUNTIF('سجل الإنتاج'!$C$2:$C$501,الطبخات!$A$2:$A$900)),3))</f>
        <v>0</v>
      </c>
    </row>
    <row r="252" spans="1:6">
      <c r="A252">
        <f>المواد!A252</f>
        <v>0</v>
      </c>
      <c r="F252">
        <f>IF($A252="","",ROUND(SUMIFS('الصرف المباشر'!$D$2:$D$501,'الصرف المباشر'!$C$2:$C$501,$A252)+SUMPRODUCT((الطبخات!$B$2:$B$900=$A252)*الطبخات!$C$2:$C$900*COUNTIF('سجل الإنتاج'!$C$2:$C$501,الطبخات!$A$2:$A$900)),3))</f>
        <v>0</v>
      </c>
    </row>
    <row r="253" spans="1:6">
      <c r="A253">
        <f>المواد!A253</f>
        <v>0</v>
      </c>
      <c r="F253">
        <f>IF($A253="","",ROUND(SUMIFS('الصرف المباشر'!$D$2:$D$501,'الصرف المباشر'!$C$2:$C$501,$A253)+SUMPRODUCT((الطبخات!$B$2:$B$900=$A253)*الطبخات!$C$2:$C$900*COUNTIF('سجل الإنتاج'!$C$2:$C$501,الطبخات!$A$2:$A$900)),3))</f>
        <v>0</v>
      </c>
    </row>
    <row r="254" spans="1:6">
      <c r="A254">
        <f>المواد!A254</f>
        <v>0</v>
      </c>
      <c r="F254">
        <f>IF($A254="","",ROUND(SUMIFS('الصرف المباشر'!$D$2:$D$501,'الصرف المباشر'!$C$2:$C$501,$A254)+SUMPRODUCT((الطبخات!$B$2:$B$900=$A254)*الطبخات!$C$2:$C$900*COUNTIF('سجل الإنتاج'!$C$2:$C$501,الطبخات!$A$2:$A$900)),3))</f>
        <v>0</v>
      </c>
    </row>
    <row r="255" spans="1:6">
      <c r="A255">
        <f>المواد!A255</f>
        <v>0</v>
      </c>
      <c r="F255">
        <f>IF($A255="","",ROUND(SUMIFS('الصرف المباشر'!$D$2:$D$501,'الصرف المباشر'!$C$2:$C$501,$A255)+SUMPRODUCT((الطبخات!$B$2:$B$900=$A255)*الطبخات!$C$2:$C$900*COUNTIF('سجل الإنتاج'!$C$2:$C$501,الطبخات!$A$2:$A$900)),3))</f>
        <v>0</v>
      </c>
    </row>
    <row r="256" spans="1:6">
      <c r="A256">
        <f>المواد!A256</f>
        <v>0</v>
      </c>
      <c r="F256">
        <f>IF($A256="","",ROUND(SUMIFS('الصرف المباشر'!$D$2:$D$501,'الصرف المباشر'!$C$2:$C$501,$A256)+SUMPRODUCT((الطبخات!$B$2:$B$900=$A256)*الطبخات!$C$2:$C$900*COUNTIF('سجل الإنتاج'!$C$2:$C$501,الطبخات!$A$2:$A$900)),3))</f>
        <v>0</v>
      </c>
    </row>
    <row r="257" spans="1:6">
      <c r="A257">
        <f>المواد!A257</f>
        <v>0</v>
      </c>
      <c r="F257">
        <f>IF($A257="","",ROUND(SUMIFS('الصرف المباشر'!$D$2:$D$501,'الصرف المباشر'!$C$2:$C$501,$A257)+SUMPRODUCT((الطبخات!$B$2:$B$900=$A257)*الطبخات!$C$2:$C$900*COUNTIF('سجل الإنتاج'!$C$2:$C$501,الطبخات!$A$2:$A$900)),3))</f>
        <v>0</v>
      </c>
    </row>
    <row r="258" spans="1:6">
      <c r="A258">
        <f>المواد!A258</f>
        <v>0</v>
      </c>
      <c r="F258">
        <f>IF($A258="","",ROUND(SUMIFS('الصرف المباشر'!$D$2:$D$501,'الصرف المباشر'!$C$2:$C$501,$A258)+SUMPRODUCT((الطبخات!$B$2:$B$900=$A258)*الطبخات!$C$2:$C$900*COUNTIF('سجل الإنتاج'!$C$2:$C$501,الطبخات!$A$2:$A$900)),3))</f>
        <v>0</v>
      </c>
    </row>
    <row r="259" spans="1:6">
      <c r="A259">
        <f>المواد!A259</f>
        <v>0</v>
      </c>
      <c r="F259">
        <f>IF($A259="","",ROUND(SUMIFS('الصرف المباشر'!$D$2:$D$501,'الصرف المباشر'!$C$2:$C$501,$A259)+SUMPRODUCT((الطبخات!$B$2:$B$900=$A259)*الطبخات!$C$2:$C$900*COUNTIF('سجل الإنتاج'!$C$2:$C$501,الطبخات!$A$2:$A$900)),3))</f>
        <v>0</v>
      </c>
    </row>
    <row r="260" spans="1:6">
      <c r="A260">
        <f>المواد!A260</f>
        <v>0</v>
      </c>
      <c r="F260">
        <f>IF($A260="","",ROUND(SUMIFS('الصرف المباشر'!$D$2:$D$501,'الصرف المباشر'!$C$2:$C$501,$A260)+SUMPRODUCT((الطبخات!$B$2:$B$900=$A260)*الطبخات!$C$2:$C$900*COUNTIF('سجل الإنتاج'!$C$2:$C$501,الطبخات!$A$2:$A$900)),3))</f>
        <v>0</v>
      </c>
    </row>
    <row r="261" spans="1:6">
      <c r="A261">
        <f>المواد!A261</f>
        <v>0</v>
      </c>
      <c r="F261">
        <f>IF($A261="","",ROUND(SUMIFS('الصرف المباشر'!$D$2:$D$501,'الصرف المباشر'!$C$2:$C$501,$A261)+SUMPRODUCT((الطبخات!$B$2:$B$900=$A261)*الطبخات!$C$2:$C$900*COUNTIF('سجل الإنتاج'!$C$2:$C$501,الطبخات!$A$2:$A$900)),3))</f>
        <v>0</v>
      </c>
    </row>
    <row r="262" spans="1:6">
      <c r="A262">
        <f>المواد!A262</f>
        <v>0</v>
      </c>
      <c r="F262">
        <f>IF($A262="","",ROUND(SUMIFS('الصرف المباشر'!$D$2:$D$501,'الصرف المباشر'!$C$2:$C$501,$A262)+SUMPRODUCT((الطبخات!$B$2:$B$900=$A262)*الطبخات!$C$2:$C$900*COUNTIF('سجل الإنتاج'!$C$2:$C$501,الطبخات!$A$2:$A$900)),3))</f>
        <v>0</v>
      </c>
    </row>
    <row r="263" spans="1:6">
      <c r="A263">
        <f>المواد!A263</f>
        <v>0</v>
      </c>
      <c r="F263">
        <f>IF($A263="","",ROUND(SUMIFS('الصرف المباشر'!$D$2:$D$501,'الصرف المباشر'!$C$2:$C$501,$A263)+SUMPRODUCT((الطبخات!$B$2:$B$900=$A263)*الطبخات!$C$2:$C$900*COUNTIF('سجل الإنتاج'!$C$2:$C$501,الطبخات!$A$2:$A$900)),3))</f>
        <v>0</v>
      </c>
    </row>
    <row r="264" spans="1:6">
      <c r="A264">
        <f>المواد!A264</f>
        <v>0</v>
      </c>
      <c r="F264">
        <f>IF($A264="","",ROUND(SUMIFS('الصرف المباشر'!$D$2:$D$501,'الصرف المباشر'!$C$2:$C$501,$A264)+SUMPRODUCT((الطبخات!$B$2:$B$900=$A264)*الطبخات!$C$2:$C$900*COUNTIF('سجل الإنتاج'!$C$2:$C$501,الطبخات!$A$2:$A$900)),3))</f>
        <v>0</v>
      </c>
    </row>
    <row r="265" spans="1:6">
      <c r="A265">
        <f>المواد!A265</f>
        <v>0</v>
      </c>
      <c r="F265">
        <f>IF($A265="","",ROUND(SUMIFS('الصرف المباشر'!$D$2:$D$501,'الصرف المباشر'!$C$2:$C$501,$A265)+SUMPRODUCT((الطبخات!$B$2:$B$900=$A265)*الطبخات!$C$2:$C$900*COUNTIF('سجل الإنتاج'!$C$2:$C$501,الطبخات!$A$2:$A$900)),3))</f>
        <v>0</v>
      </c>
    </row>
    <row r="266" spans="1:6">
      <c r="A266">
        <f>المواد!A266</f>
        <v>0</v>
      </c>
      <c r="F266">
        <f>IF($A266="","",ROUND(SUMIFS('الصرف المباشر'!$D$2:$D$501,'الصرف المباشر'!$C$2:$C$501,$A266)+SUMPRODUCT((الطبخات!$B$2:$B$900=$A266)*الطبخات!$C$2:$C$900*COUNTIF('سجل الإنتاج'!$C$2:$C$501,الطبخات!$A$2:$A$900)),3))</f>
        <v>0</v>
      </c>
    </row>
    <row r="267" spans="1:6">
      <c r="A267">
        <f>المواد!A267</f>
        <v>0</v>
      </c>
      <c r="F267">
        <f>IF($A267="","",ROUND(SUMIFS('الصرف المباشر'!$D$2:$D$501,'الصرف المباشر'!$C$2:$C$501,$A267)+SUMPRODUCT((الطبخات!$B$2:$B$900=$A267)*الطبخات!$C$2:$C$900*COUNTIF('سجل الإنتاج'!$C$2:$C$501,الطبخات!$A$2:$A$900)),3))</f>
        <v>0</v>
      </c>
    </row>
    <row r="268" spans="1:6">
      <c r="A268">
        <f>المواد!A268</f>
        <v>0</v>
      </c>
      <c r="F268">
        <f>IF($A268="","",ROUND(SUMIFS('الصرف المباشر'!$D$2:$D$501,'الصرف المباشر'!$C$2:$C$501,$A268)+SUMPRODUCT((الطبخات!$B$2:$B$900=$A268)*الطبخات!$C$2:$C$900*COUNTIF('سجل الإنتاج'!$C$2:$C$501,الطبخات!$A$2:$A$900)),3))</f>
        <v>0</v>
      </c>
    </row>
    <row r="269" spans="1:6">
      <c r="A269">
        <f>المواد!A269</f>
        <v>0</v>
      </c>
      <c r="F269">
        <f>IF($A269="","",ROUND(SUMIFS('الصرف المباشر'!$D$2:$D$501,'الصرف المباشر'!$C$2:$C$501,$A269)+SUMPRODUCT((الطبخات!$B$2:$B$900=$A269)*الطبخات!$C$2:$C$900*COUNTIF('سجل الإنتاج'!$C$2:$C$501,الطبخات!$A$2:$A$900)),3))</f>
        <v>0</v>
      </c>
    </row>
    <row r="270" spans="1:6">
      <c r="A270">
        <f>المواد!A270</f>
        <v>0</v>
      </c>
      <c r="F270">
        <f>IF($A270="","",ROUND(SUMIFS('الصرف المباشر'!$D$2:$D$501,'الصرف المباشر'!$C$2:$C$501,$A270)+SUMPRODUCT((الطبخات!$B$2:$B$900=$A270)*الطبخات!$C$2:$C$900*COUNTIF('سجل الإنتاج'!$C$2:$C$501,الطبخات!$A$2:$A$900)),3))</f>
        <v>0</v>
      </c>
    </row>
    <row r="271" spans="1:6">
      <c r="A271">
        <f>المواد!A271</f>
        <v>0</v>
      </c>
      <c r="F271">
        <f>IF($A271="","",ROUND(SUMIFS('الصرف المباشر'!$D$2:$D$501,'الصرف المباشر'!$C$2:$C$501,$A271)+SUMPRODUCT((الطبخات!$B$2:$B$900=$A271)*الطبخات!$C$2:$C$900*COUNTIF('سجل الإنتاج'!$C$2:$C$501,الطبخات!$A$2:$A$900)),3))</f>
        <v>0</v>
      </c>
    </row>
    <row r="272" spans="1:6">
      <c r="A272">
        <f>المواد!A272</f>
        <v>0</v>
      </c>
      <c r="F272">
        <f>IF($A272="","",ROUND(SUMIFS('الصرف المباشر'!$D$2:$D$501,'الصرف المباشر'!$C$2:$C$501,$A272)+SUMPRODUCT((الطبخات!$B$2:$B$900=$A272)*الطبخات!$C$2:$C$900*COUNTIF('سجل الإنتاج'!$C$2:$C$501,الطبخات!$A$2:$A$900)),3))</f>
        <v>0</v>
      </c>
    </row>
    <row r="273" spans="1:6">
      <c r="A273">
        <f>المواد!A273</f>
        <v>0</v>
      </c>
      <c r="F273">
        <f>IF($A273="","",ROUND(SUMIFS('الصرف المباشر'!$D$2:$D$501,'الصرف المباشر'!$C$2:$C$501,$A273)+SUMPRODUCT((الطبخات!$B$2:$B$900=$A273)*الطبخات!$C$2:$C$900*COUNTIF('سجل الإنتاج'!$C$2:$C$501,الطبخات!$A$2:$A$900)),3))</f>
        <v>0</v>
      </c>
    </row>
    <row r="274" spans="1:6">
      <c r="A274">
        <f>المواد!A274</f>
        <v>0</v>
      </c>
      <c r="F274">
        <f>IF($A274="","",ROUND(SUMIFS('الصرف المباشر'!$D$2:$D$501,'الصرف المباشر'!$C$2:$C$501,$A274)+SUMPRODUCT((الطبخات!$B$2:$B$900=$A274)*الطبخات!$C$2:$C$900*COUNTIF('سجل الإنتاج'!$C$2:$C$501,الطبخات!$A$2:$A$900)),3))</f>
        <v>0</v>
      </c>
    </row>
    <row r="275" spans="1:6">
      <c r="A275">
        <f>المواد!A275</f>
        <v>0</v>
      </c>
      <c r="F275">
        <f>IF($A275="","",ROUND(SUMIFS('الصرف المباشر'!$D$2:$D$501,'الصرف المباشر'!$C$2:$C$501,$A275)+SUMPRODUCT((الطبخات!$B$2:$B$900=$A275)*الطبخات!$C$2:$C$900*COUNTIF('سجل الإنتاج'!$C$2:$C$501,الطبخات!$A$2:$A$900)),3))</f>
        <v>0</v>
      </c>
    </row>
    <row r="276" spans="1:6">
      <c r="A276">
        <f>المواد!A276</f>
        <v>0</v>
      </c>
      <c r="F276">
        <f>IF($A276="","",ROUND(SUMIFS('الصرف المباشر'!$D$2:$D$501,'الصرف المباشر'!$C$2:$C$501,$A276)+SUMPRODUCT((الطبخات!$B$2:$B$900=$A276)*الطبخات!$C$2:$C$900*COUNTIF('سجل الإنتاج'!$C$2:$C$501,الطبخات!$A$2:$A$900)),3))</f>
        <v>0</v>
      </c>
    </row>
    <row r="277" spans="1:6">
      <c r="A277">
        <f>المواد!A277</f>
        <v>0</v>
      </c>
      <c r="F277">
        <f>IF($A277="","",ROUND(SUMIFS('الصرف المباشر'!$D$2:$D$501,'الصرف المباشر'!$C$2:$C$501,$A277)+SUMPRODUCT((الطبخات!$B$2:$B$900=$A277)*الطبخات!$C$2:$C$900*COUNTIF('سجل الإنتاج'!$C$2:$C$501,الطبخات!$A$2:$A$900)),3))</f>
        <v>0</v>
      </c>
    </row>
    <row r="278" spans="1:6">
      <c r="A278">
        <f>المواد!A278</f>
        <v>0</v>
      </c>
      <c r="F278">
        <f>IF($A278="","",ROUND(SUMIFS('الصرف المباشر'!$D$2:$D$501,'الصرف المباشر'!$C$2:$C$501,$A278)+SUMPRODUCT((الطبخات!$B$2:$B$900=$A278)*الطبخات!$C$2:$C$900*COUNTIF('سجل الإنتاج'!$C$2:$C$501,الطبخات!$A$2:$A$900)),3))</f>
        <v>0</v>
      </c>
    </row>
    <row r="279" spans="1:6">
      <c r="A279">
        <f>المواد!A279</f>
        <v>0</v>
      </c>
      <c r="F279">
        <f>IF($A279="","",ROUND(SUMIFS('الصرف المباشر'!$D$2:$D$501,'الصرف المباشر'!$C$2:$C$501,$A279)+SUMPRODUCT((الطبخات!$B$2:$B$900=$A279)*الطبخات!$C$2:$C$900*COUNTIF('سجل الإنتاج'!$C$2:$C$501,الطبخات!$A$2:$A$900)),3))</f>
        <v>0</v>
      </c>
    </row>
    <row r="280" spans="1:6">
      <c r="A280">
        <f>المواد!A280</f>
        <v>0</v>
      </c>
      <c r="F280">
        <f>IF($A280="","",ROUND(SUMIFS('الصرف المباشر'!$D$2:$D$501,'الصرف المباشر'!$C$2:$C$501,$A280)+SUMPRODUCT((الطبخات!$B$2:$B$900=$A280)*الطبخات!$C$2:$C$900*COUNTIF('سجل الإنتاج'!$C$2:$C$501,الطبخات!$A$2:$A$900)),3))</f>
        <v>0</v>
      </c>
    </row>
    <row r="281" spans="1:6">
      <c r="A281">
        <f>المواد!A281</f>
        <v>0</v>
      </c>
      <c r="F281">
        <f>IF($A281="","",ROUND(SUMIFS('الصرف المباشر'!$D$2:$D$501,'الصرف المباشر'!$C$2:$C$501,$A281)+SUMPRODUCT((الطبخات!$B$2:$B$900=$A281)*الطبخات!$C$2:$C$900*COUNTIF('سجل الإنتاج'!$C$2:$C$501,الطبخات!$A$2:$A$900)),3))</f>
        <v>0</v>
      </c>
    </row>
    <row r="282" spans="1:6">
      <c r="A282">
        <f>المواد!A282</f>
        <v>0</v>
      </c>
      <c r="F282">
        <f>IF($A282="","",ROUND(SUMIFS('الصرف المباشر'!$D$2:$D$501,'الصرف المباشر'!$C$2:$C$501,$A282)+SUMPRODUCT((الطبخات!$B$2:$B$900=$A282)*الطبخات!$C$2:$C$900*COUNTIF('سجل الإنتاج'!$C$2:$C$501,الطبخات!$A$2:$A$900)),3))</f>
        <v>0</v>
      </c>
    </row>
    <row r="283" spans="1:6">
      <c r="A283">
        <f>المواد!A283</f>
        <v>0</v>
      </c>
      <c r="F283">
        <f>IF($A283="","",ROUND(SUMIFS('الصرف المباشر'!$D$2:$D$501,'الصرف المباشر'!$C$2:$C$501,$A283)+SUMPRODUCT((الطبخات!$B$2:$B$900=$A283)*الطبخات!$C$2:$C$900*COUNTIF('سجل الإنتاج'!$C$2:$C$501,الطبخات!$A$2:$A$900)),3))</f>
        <v>0</v>
      </c>
    </row>
    <row r="284" spans="1:6">
      <c r="A284">
        <f>المواد!A284</f>
        <v>0</v>
      </c>
      <c r="F284">
        <f>IF($A284="","",ROUND(SUMIFS('الصرف المباشر'!$D$2:$D$501,'الصرف المباشر'!$C$2:$C$501,$A284)+SUMPRODUCT((الطبخات!$B$2:$B$900=$A284)*الطبخات!$C$2:$C$900*COUNTIF('سجل الإنتاج'!$C$2:$C$501,الطبخات!$A$2:$A$900)),3))</f>
        <v>0</v>
      </c>
    </row>
    <row r="285" spans="1:6">
      <c r="A285">
        <f>المواد!A285</f>
        <v>0</v>
      </c>
      <c r="F285">
        <f>IF($A285="","",ROUND(SUMIFS('الصرف المباشر'!$D$2:$D$501,'الصرف المباشر'!$C$2:$C$501,$A285)+SUMPRODUCT((الطبخات!$B$2:$B$900=$A285)*الطبخات!$C$2:$C$900*COUNTIF('سجل الإنتاج'!$C$2:$C$501,الطبخات!$A$2:$A$900)),3))</f>
        <v>0</v>
      </c>
    </row>
    <row r="286" spans="1:6">
      <c r="A286">
        <f>المواد!A286</f>
        <v>0</v>
      </c>
      <c r="F286">
        <f>IF($A286="","",ROUND(SUMIFS('الصرف المباشر'!$D$2:$D$501,'الصرف المباشر'!$C$2:$C$501,$A286)+SUMPRODUCT((الطبخات!$B$2:$B$900=$A286)*الطبخات!$C$2:$C$900*COUNTIF('سجل الإنتاج'!$C$2:$C$501,الطبخات!$A$2:$A$900)),3))</f>
        <v>0</v>
      </c>
    </row>
    <row r="287" spans="1:6">
      <c r="A287">
        <f>المواد!A287</f>
        <v>0</v>
      </c>
      <c r="F287">
        <f>IF($A287="","",ROUND(SUMIFS('الصرف المباشر'!$D$2:$D$501,'الصرف المباشر'!$C$2:$C$501,$A287)+SUMPRODUCT((الطبخات!$B$2:$B$900=$A287)*الطبخات!$C$2:$C$900*COUNTIF('سجل الإنتاج'!$C$2:$C$501,الطبخات!$A$2:$A$900)),3))</f>
        <v>0</v>
      </c>
    </row>
    <row r="288" spans="1:6">
      <c r="A288">
        <f>المواد!A288</f>
        <v>0</v>
      </c>
      <c r="F288">
        <f>IF($A288="","",ROUND(SUMIFS('الصرف المباشر'!$D$2:$D$501,'الصرف المباشر'!$C$2:$C$501,$A288)+SUMPRODUCT((الطبخات!$B$2:$B$900=$A288)*الطبخات!$C$2:$C$900*COUNTIF('سجل الإنتاج'!$C$2:$C$501,الطبخات!$A$2:$A$900)),3))</f>
        <v>0</v>
      </c>
    </row>
    <row r="289" spans="1:6">
      <c r="A289">
        <f>المواد!A289</f>
        <v>0</v>
      </c>
      <c r="F289">
        <f>IF($A289="","",ROUND(SUMIFS('الصرف المباشر'!$D$2:$D$501,'الصرف المباشر'!$C$2:$C$501,$A289)+SUMPRODUCT((الطبخات!$B$2:$B$900=$A289)*الطبخات!$C$2:$C$900*COUNTIF('سجل الإنتاج'!$C$2:$C$501,الطبخات!$A$2:$A$900)),3))</f>
        <v>0</v>
      </c>
    </row>
    <row r="290" spans="1:6">
      <c r="A290">
        <f>المواد!A290</f>
        <v>0</v>
      </c>
      <c r="F290">
        <f>IF($A290="","",ROUND(SUMIFS('الصرف المباشر'!$D$2:$D$501,'الصرف المباشر'!$C$2:$C$501,$A290)+SUMPRODUCT((الطبخات!$B$2:$B$900=$A290)*الطبخات!$C$2:$C$900*COUNTIF('سجل الإنتاج'!$C$2:$C$501,الطبخات!$A$2:$A$900)),3))</f>
        <v>0</v>
      </c>
    </row>
    <row r="291" spans="1:6">
      <c r="A291">
        <f>المواد!A291</f>
        <v>0</v>
      </c>
      <c r="F291">
        <f>IF($A291="","",ROUND(SUMIFS('الصرف المباشر'!$D$2:$D$501,'الصرف المباشر'!$C$2:$C$501,$A291)+SUMPRODUCT((الطبخات!$B$2:$B$900=$A291)*الطبخات!$C$2:$C$900*COUNTIF('سجل الإنتاج'!$C$2:$C$501,الطبخات!$A$2:$A$900)),3))</f>
        <v>0</v>
      </c>
    </row>
    <row r="292" spans="1:6">
      <c r="A292">
        <f>المواد!A292</f>
        <v>0</v>
      </c>
      <c r="F292">
        <f>IF($A292="","",ROUND(SUMIFS('الصرف المباشر'!$D$2:$D$501,'الصرف المباشر'!$C$2:$C$501,$A292)+SUMPRODUCT((الطبخات!$B$2:$B$900=$A292)*الطبخات!$C$2:$C$900*COUNTIF('سجل الإنتاج'!$C$2:$C$501,الطبخات!$A$2:$A$900)),3))</f>
        <v>0</v>
      </c>
    </row>
    <row r="293" spans="1:6">
      <c r="A293">
        <f>المواد!A293</f>
        <v>0</v>
      </c>
      <c r="F293">
        <f>IF($A293="","",ROUND(SUMIFS('الصرف المباشر'!$D$2:$D$501,'الصرف المباشر'!$C$2:$C$501,$A293)+SUMPRODUCT((الطبخات!$B$2:$B$900=$A293)*الطبخات!$C$2:$C$900*COUNTIF('سجل الإنتاج'!$C$2:$C$501,الطبخات!$A$2:$A$900)),3))</f>
        <v>0</v>
      </c>
    </row>
    <row r="294" spans="1:6">
      <c r="A294">
        <f>المواد!A294</f>
        <v>0</v>
      </c>
      <c r="F294">
        <f>IF($A294="","",ROUND(SUMIFS('الصرف المباشر'!$D$2:$D$501,'الصرف المباشر'!$C$2:$C$501,$A294)+SUMPRODUCT((الطبخات!$B$2:$B$900=$A294)*الطبخات!$C$2:$C$900*COUNTIF('سجل الإنتاج'!$C$2:$C$501,الطبخات!$A$2:$A$900)),3))</f>
        <v>0</v>
      </c>
    </row>
    <row r="295" spans="1:6">
      <c r="A295">
        <f>المواد!A295</f>
        <v>0</v>
      </c>
      <c r="F295">
        <f>IF($A295="","",ROUND(SUMIFS('الصرف المباشر'!$D$2:$D$501,'الصرف المباشر'!$C$2:$C$501,$A295)+SUMPRODUCT((الطبخات!$B$2:$B$900=$A295)*الطبخات!$C$2:$C$900*COUNTIF('سجل الإنتاج'!$C$2:$C$501,الطبخات!$A$2:$A$900)),3))</f>
        <v>0</v>
      </c>
    </row>
    <row r="296" spans="1:6">
      <c r="A296">
        <f>المواد!A296</f>
        <v>0</v>
      </c>
      <c r="F296">
        <f>IF($A296="","",ROUND(SUMIFS('الصرف المباشر'!$D$2:$D$501,'الصرف المباشر'!$C$2:$C$501,$A296)+SUMPRODUCT((الطبخات!$B$2:$B$900=$A296)*الطبخات!$C$2:$C$900*COUNTIF('سجل الإنتاج'!$C$2:$C$501,الطبخات!$A$2:$A$900)),3))</f>
        <v>0</v>
      </c>
    </row>
    <row r="297" spans="1:6">
      <c r="A297">
        <f>المواد!A297</f>
        <v>0</v>
      </c>
      <c r="F297">
        <f>IF($A297="","",ROUND(SUMIFS('الصرف المباشر'!$D$2:$D$501,'الصرف المباشر'!$C$2:$C$501,$A297)+SUMPRODUCT((الطبخات!$B$2:$B$900=$A297)*الطبخات!$C$2:$C$900*COUNTIF('سجل الإنتاج'!$C$2:$C$501,الطبخات!$A$2:$A$900)),3))</f>
        <v>0</v>
      </c>
    </row>
    <row r="298" spans="1:6">
      <c r="A298">
        <f>المواد!A298</f>
        <v>0</v>
      </c>
      <c r="F298">
        <f>IF($A298="","",ROUND(SUMIFS('الصرف المباشر'!$D$2:$D$501,'الصرف المباشر'!$C$2:$C$501,$A298)+SUMPRODUCT((الطبخات!$B$2:$B$900=$A298)*الطبخات!$C$2:$C$900*COUNTIF('سجل الإنتاج'!$C$2:$C$501,الطبخات!$A$2:$A$900)),3))</f>
        <v>0</v>
      </c>
    </row>
    <row r="299" spans="1:6">
      <c r="A299">
        <f>المواد!A299</f>
        <v>0</v>
      </c>
      <c r="F299">
        <f>IF($A299="","",ROUND(SUMIFS('الصرف المباشر'!$D$2:$D$501,'الصرف المباشر'!$C$2:$C$501,$A299)+SUMPRODUCT((الطبخات!$B$2:$B$900=$A299)*الطبخات!$C$2:$C$900*COUNTIF('سجل الإنتاج'!$C$2:$C$501,الطبخات!$A$2:$A$900)),3))</f>
        <v>0</v>
      </c>
    </row>
    <row r="300" spans="1:6">
      <c r="A300">
        <f>المواد!A300</f>
        <v>0</v>
      </c>
      <c r="F300">
        <f>IF($A300="","",ROUND(SUMIFS('الصرف المباشر'!$D$2:$D$501,'الصرف المباشر'!$C$2:$C$501,$A300)+SUMPRODUCT((الطبخات!$B$2:$B$900=$A300)*الطبخات!$C$2:$C$900*COUNTIF('سجل الإنتاج'!$C$2:$C$501,الطبخات!$A$2:$A$900)),3))</f>
        <v>0</v>
      </c>
    </row>
    <row r="301" spans="1:6">
      <c r="A301">
        <f>المواد!A301</f>
        <v>0</v>
      </c>
      <c r="F301">
        <f>IF($A301="","",ROUND(SUMIFS('الصرف المباشر'!$D$2:$D$501,'الصرف المباشر'!$C$2:$C$501,$A301)+SUMPRODUCT((الطبخات!$B$2:$B$900=$A301)*الطبخات!$C$2:$C$900*COUNTIF('سجل الإنتاج'!$C$2:$C$501,الطبخات!$A$2:$A$900)),3))</f>
        <v>0</v>
      </c>
    </row>
    <row r="302" spans="1:6">
      <c r="A302">
        <f>المواد!A302</f>
        <v>0</v>
      </c>
      <c r="F302">
        <f>IF($A302="","",ROUND(SUMIFS('الصرف المباشر'!$D$2:$D$501,'الصرف المباشر'!$C$2:$C$501,$A302)+SUMPRODUCT((الطبخات!$B$2:$B$900=$A302)*الطبخات!$C$2:$C$900*COUNTIF('سجل الإنتاج'!$C$2:$C$501,الطبخات!$A$2:$A$900)),3))</f>
        <v>0</v>
      </c>
    </row>
    <row r="303" spans="1:6">
      <c r="A303">
        <f>المواد!A303</f>
        <v>0</v>
      </c>
      <c r="F303">
        <f>IF($A303="","",ROUND(SUMIFS('الصرف المباشر'!$D$2:$D$501,'الصرف المباشر'!$C$2:$C$501,$A303)+SUMPRODUCT((الطبخات!$B$2:$B$900=$A303)*الطبخات!$C$2:$C$900*COUNTIF('سجل الإنتاج'!$C$2:$C$501,الطبخات!$A$2:$A$900)),3))</f>
        <v>0</v>
      </c>
    </row>
    <row r="304" spans="1:6">
      <c r="A304">
        <f>المواد!A304</f>
        <v>0</v>
      </c>
      <c r="F304">
        <f>IF($A304="","",ROUND(SUMIFS('الصرف المباشر'!$D$2:$D$501,'الصرف المباشر'!$C$2:$C$501,$A304)+SUMPRODUCT((الطبخات!$B$2:$B$900=$A304)*الطبخات!$C$2:$C$900*COUNTIF('سجل الإنتاج'!$C$2:$C$501,الطبخات!$A$2:$A$900)),3))</f>
        <v>0</v>
      </c>
    </row>
    <row r="305" spans="1:6">
      <c r="A305">
        <f>المواد!A305</f>
        <v>0</v>
      </c>
      <c r="F305">
        <f>IF($A305="","",ROUND(SUMIFS('الصرف المباشر'!$D$2:$D$501,'الصرف المباشر'!$C$2:$C$501,$A305)+SUMPRODUCT((الطبخات!$B$2:$B$900=$A305)*الطبخات!$C$2:$C$900*COUNTIF('سجل الإنتاج'!$C$2:$C$501,الطبخات!$A$2:$A$900)),3))</f>
        <v>0</v>
      </c>
    </row>
    <row r="306" spans="1:6">
      <c r="A306">
        <f>المواد!A306</f>
        <v>0</v>
      </c>
      <c r="F306">
        <f>IF($A306="","",ROUND(SUMIFS('الصرف المباشر'!$D$2:$D$501,'الصرف المباشر'!$C$2:$C$501,$A306)+SUMPRODUCT((الطبخات!$B$2:$B$900=$A306)*الطبخات!$C$2:$C$900*COUNTIF('سجل الإنتاج'!$C$2:$C$501,الطبخات!$A$2:$A$900)),3))</f>
        <v>0</v>
      </c>
    </row>
    <row r="307" spans="1:6">
      <c r="A307">
        <f>المواد!A307</f>
        <v>0</v>
      </c>
      <c r="F307">
        <f>IF($A307="","",ROUND(SUMIFS('الصرف المباشر'!$D$2:$D$501,'الصرف المباشر'!$C$2:$C$501,$A307)+SUMPRODUCT((الطبخات!$B$2:$B$900=$A307)*الطبخات!$C$2:$C$900*COUNTIF('سجل الإنتاج'!$C$2:$C$501,الطبخات!$A$2:$A$900)),3))</f>
        <v>0</v>
      </c>
    </row>
    <row r="308" spans="1:6">
      <c r="A308">
        <f>المواد!A308</f>
        <v>0</v>
      </c>
      <c r="F308">
        <f>IF($A308="","",ROUND(SUMIFS('الصرف المباشر'!$D$2:$D$501,'الصرف المباشر'!$C$2:$C$501,$A308)+SUMPRODUCT((الطبخات!$B$2:$B$900=$A308)*الطبخات!$C$2:$C$900*COUNTIF('سجل الإنتاج'!$C$2:$C$501,الطبخات!$A$2:$A$900)),3))</f>
        <v>0</v>
      </c>
    </row>
    <row r="309" spans="1:6">
      <c r="A309">
        <f>المواد!A309</f>
        <v>0</v>
      </c>
      <c r="F309">
        <f>IF($A309="","",ROUND(SUMIFS('الصرف المباشر'!$D$2:$D$501,'الصرف المباشر'!$C$2:$C$501,$A309)+SUMPRODUCT((الطبخات!$B$2:$B$900=$A309)*الطبخات!$C$2:$C$900*COUNTIF('سجل الإنتاج'!$C$2:$C$501,الطبخات!$A$2:$A$900)),3))</f>
        <v>0</v>
      </c>
    </row>
    <row r="310" spans="1:6">
      <c r="A310">
        <f>المواد!A310</f>
        <v>0</v>
      </c>
      <c r="F310">
        <f>IF($A310="","",ROUND(SUMIFS('الصرف المباشر'!$D$2:$D$501,'الصرف المباشر'!$C$2:$C$501,$A310)+SUMPRODUCT((الطبخات!$B$2:$B$900=$A310)*الطبخات!$C$2:$C$900*COUNTIF('سجل الإنتاج'!$C$2:$C$501,الطبخات!$A$2:$A$900)),3))</f>
        <v>0</v>
      </c>
    </row>
    <row r="311" spans="1:6">
      <c r="A311">
        <f>المواد!A311</f>
        <v>0</v>
      </c>
      <c r="F311">
        <f>IF($A311="","",ROUND(SUMIFS('الصرف المباشر'!$D$2:$D$501,'الصرف المباشر'!$C$2:$C$501,$A311)+SUMPRODUCT((الطبخات!$B$2:$B$900=$A311)*الطبخات!$C$2:$C$900*COUNTIF('سجل الإنتاج'!$C$2:$C$501,الطبخات!$A$2:$A$900)),3))</f>
        <v>0</v>
      </c>
    </row>
    <row r="312" spans="1:6">
      <c r="A312">
        <f>المواد!A312</f>
        <v>0</v>
      </c>
      <c r="F312">
        <f>IF($A312="","",ROUND(SUMIFS('الصرف المباشر'!$D$2:$D$501,'الصرف المباشر'!$C$2:$C$501,$A312)+SUMPRODUCT((الطبخات!$B$2:$B$900=$A312)*الطبخات!$C$2:$C$900*COUNTIF('سجل الإنتاج'!$C$2:$C$501,الطبخات!$A$2:$A$900)),3))</f>
        <v>0</v>
      </c>
    </row>
    <row r="313" spans="1:6">
      <c r="A313">
        <f>المواد!A313</f>
        <v>0</v>
      </c>
      <c r="F313">
        <f>IF($A313="","",ROUND(SUMIFS('الصرف المباشر'!$D$2:$D$501,'الصرف المباشر'!$C$2:$C$501,$A313)+SUMPRODUCT((الطبخات!$B$2:$B$900=$A313)*الطبخات!$C$2:$C$900*COUNTIF('سجل الإنتاج'!$C$2:$C$501,الطبخات!$A$2:$A$900)),3))</f>
        <v>0</v>
      </c>
    </row>
    <row r="314" spans="1:6">
      <c r="A314">
        <f>المواد!A314</f>
        <v>0</v>
      </c>
      <c r="F314">
        <f>IF($A314="","",ROUND(SUMIFS('الصرف المباشر'!$D$2:$D$501,'الصرف المباشر'!$C$2:$C$501,$A314)+SUMPRODUCT((الطبخات!$B$2:$B$900=$A314)*الطبخات!$C$2:$C$900*COUNTIF('سجل الإنتاج'!$C$2:$C$501,الطبخات!$A$2:$A$900)),3))</f>
        <v>0</v>
      </c>
    </row>
    <row r="315" spans="1:6">
      <c r="A315">
        <f>المواد!A315</f>
        <v>0</v>
      </c>
      <c r="F315">
        <f>IF($A315="","",ROUND(SUMIFS('الصرف المباشر'!$D$2:$D$501,'الصرف المباشر'!$C$2:$C$501,$A315)+SUMPRODUCT((الطبخات!$B$2:$B$900=$A315)*الطبخات!$C$2:$C$900*COUNTIF('سجل الإنتاج'!$C$2:$C$501,الطبخات!$A$2:$A$900)),3))</f>
        <v>0</v>
      </c>
    </row>
    <row r="316" spans="1:6">
      <c r="A316">
        <f>المواد!A316</f>
        <v>0</v>
      </c>
      <c r="F316">
        <f>IF($A316="","",ROUND(SUMIFS('الصرف المباشر'!$D$2:$D$501,'الصرف المباشر'!$C$2:$C$501,$A316)+SUMPRODUCT((الطبخات!$B$2:$B$900=$A316)*الطبخات!$C$2:$C$900*COUNTIF('سجل الإنتاج'!$C$2:$C$501,الطبخات!$A$2:$A$900)),3))</f>
        <v>0</v>
      </c>
    </row>
    <row r="317" spans="1:6">
      <c r="A317">
        <f>المواد!A317</f>
        <v>0</v>
      </c>
      <c r="F317">
        <f>IF($A317="","",ROUND(SUMIFS('الصرف المباشر'!$D$2:$D$501,'الصرف المباشر'!$C$2:$C$501,$A317)+SUMPRODUCT((الطبخات!$B$2:$B$900=$A317)*الطبخات!$C$2:$C$900*COUNTIF('سجل الإنتاج'!$C$2:$C$501,الطبخات!$A$2:$A$900)),3))</f>
        <v>0</v>
      </c>
    </row>
    <row r="318" spans="1:6">
      <c r="A318">
        <f>المواد!A318</f>
        <v>0</v>
      </c>
      <c r="F318">
        <f>IF($A318="","",ROUND(SUMIFS('الصرف المباشر'!$D$2:$D$501,'الصرف المباشر'!$C$2:$C$501,$A318)+SUMPRODUCT((الطبخات!$B$2:$B$900=$A318)*الطبخات!$C$2:$C$900*COUNTIF('سجل الإنتاج'!$C$2:$C$501,الطبخات!$A$2:$A$900)),3))</f>
        <v>0</v>
      </c>
    </row>
    <row r="319" spans="1:6">
      <c r="A319">
        <f>المواد!A319</f>
        <v>0</v>
      </c>
      <c r="F319">
        <f>IF($A319="","",ROUND(SUMIFS('الصرف المباشر'!$D$2:$D$501,'الصرف المباشر'!$C$2:$C$501,$A319)+SUMPRODUCT((الطبخات!$B$2:$B$900=$A319)*الطبخات!$C$2:$C$900*COUNTIF('سجل الإنتاج'!$C$2:$C$501,الطبخات!$A$2:$A$900)),3))</f>
        <v>0</v>
      </c>
    </row>
    <row r="320" spans="1:6">
      <c r="A320">
        <f>المواد!A320</f>
        <v>0</v>
      </c>
      <c r="F320">
        <f>IF($A320="","",ROUND(SUMIFS('الصرف المباشر'!$D$2:$D$501,'الصرف المباشر'!$C$2:$C$501,$A320)+SUMPRODUCT((الطبخات!$B$2:$B$900=$A320)*الطبخات!$C$2:$C$900*COUNTIF('سجل الإنتاج'!$C$2:$C$501,الطبخات!$A$2:$A$900)),3))</f>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001"/>
  <sheetViews>
    <sheetView rightToLeft="1" workbookViewId="0"/>
  </sheetViews>
  <sheetFormatPr defaultRowHeight="14.25"/>
  <cols>
    <col min="1" max="1" width="19.5" customWidth="1"/>
    <col min="2" max="2" width="17.375" customWidth="1"/>
    <col min="3" max="3" width="25.25" customWidth="1"/>
    <col min="4" max="4" width="15.5" customWidth="1"/>
    <col min="5" max="5" width="20.5" customWidth="1"/>
    <col min="7" max="7" width="23.875" customWidth="1"/>
  </cols>
  <sheetData>
    <row r="1" spans="1:7">
      <c r="A1" t="s">
        <v>20</v>
      </c>
      <c r="B1" t="s">
        <v>182</v>
      </c>
      <c r="C1" t="s">
        <v>183</v>
      </c>
      <c r="D1" t="s">
        <v>21</v>
      </c>
      <c r="E1" t="s">
        <v>184</v>
      </c>
      <c r="F1" t="s">
        <v>26</v>
      </c>
      <c r="G1" t="s">
        <v>228</v>
      </c>
    </row>
    <row r="2" spans="1:7">
      <c r="A2" s="23">
        <f>IF(الإدخالات!C2="","",الإدخالات!B2)</f>
        <v>46218</v>
      </c>
      <c r="B2" t="str">
        <f>IF(الإدخالات!C2="","","شراء")</f>
        <v>شراء</v>
      </c>
      <c r="C2" t="str">
        <f>IF(الإدخالات!C2="","",IF(الإدخالات!E2="","-",الإدخالات!E2))</f>
        <v>امين</v>
      </c>
      <c r="D2" t="str">
        <f>IF(الإدخالات!C2="","",الإدخالات!C2)</f>
        <v>ملح</v>
      </c>
      <c r="E2" s="24">
        <f>IF(الإدخالات!C2="","",الإدخالات!D2)</f>
        <v>138.04</v>
      </c>
      <c r="F2" t="str">
        <f>IF(الإدخالات!C2="","",IF(الإدخالات!G2="","",الإدخالات!G2))</f>
        <v>تنزيل البيانات لأول مرة</v>
      </c>
      <c r="G2">
        <f>IF($B2&lt;&gt;"",SUMPRODUCT(($B$2:$B2&lt;&gt;"")*1),"")</f>
        <v>1</v>
      </c>
    </row>
    <row r="3" spans="1:7">
      <c r="A3" s="23">
        <f>IF(الإدخالات!C3="","",الإدخالات!B3)</f>
        <v>46218</v>
      </c>
      <c r="B3" t="str">
        <f>IF(الإدخالات!C3="","","شراء")</f>
        <v>شراء</v>
      </c>
      <c r="C3" t="str">
        <f>IF(الإدخالات!C3="","",IF(الإدخالات!E3="","-",الإدخالات!E3))</f>
        <v>امين</v>
      </c>
      <c r="D3" t="str">
        <f>IF(الإدخالات!C3="","",الإدخالات!C3)</f>
        <v>مقصب</v>
      </c>
      <c r="E3" s="24">
        <f>IF(الإدخالات!C3="","",الإدخالات!D3)</f>
        <v>2</v>
      </c>
      <c r="F3" t="str">
        <f>IF(الإدخالات!C3="","",IF(الإدخالات!G3="","",الإدخالات!G3))</f>
        <v>تنزيل البيانات لأول مرة</v>
      </c>
      <c r="G3">
        <f>IF($B3&lt;&gt;"",SUMPRODUCT(($B$2:$B3&lt;&gt;"")*1),"")</f>
        <v>2</v>
      </c>
    </row>
    <row r="4" spans="1:7">
      <c r="A4" s="23">
        <f>IF(الإدخالات!C4="","",الإدخالات!B4)</f>
        <v>46218</v>
      </c>
      <c r="B4" t="str">
        <f>IF(الإدخالات!C4="","","شراء")</f>
        <v>شراء</v>
      </c>
      <c r="C4" t="str">
        <f>IF(الإدخالات!C4="","",IF(الإدخالات!E4="","-",الإدخالات!E4))</f>
        <v>امين</v>
      </c>
      <c r="D4" t="str">
        <f>IF(الإدخالات!C4="","",الإدخالات!C4)</f>
        <v xml:space="preserve">مجمد </v>
      </c>
      <c r="E4" s="24">
        <f>IF(الإدخالات!C4="","",الإدخالات!D4)</f>
        <v>63.5</v>
      </c>
      <c r="F4" t="str">
        <f>IF(الإدخالات!C4="","",IF(الإدخالات!G4="","",الإدخالات!G4))</f>
        <v>تنزيل البيانات لأول مرة</v>
      </c>
      <c r="G4">
        <f>IF($B4&lt;&gt;"",SUMPRODUCT(($B$2:$B4&lt;&gt;"")*1),"")</f>
        <v>3</v>
      </c>
    </row>
    <row r="5" spans="1:7">
      <c r="A5" s="23">
        <f>IF(الإدخالات!C5="","",الإدخالات!B5)</f>
        <v>46218</v>
      </c>
      <c r="B5" t="str">
        <f>IF(الإدخالات!C5="","","شراء")</f>
        <v>شراء</v>
      </c>
      <c r="C5" t="str">
        <f>IF(الإدخالات!C5="","",IF(الإدخالات!E5="","-",الإدخالات!E5))</f>
        <v>امين</v>
      </c>
      <c r="D5" t="str">
        <f>IF(الإدخالات!C5="","",الإدخالات!C5)</f>
        <v>مانع رغوة مائي</v>
      </c>
      <c r="E5" s="24">
        <f>IF(الإدخالات!C5="","",الإدخالات!D5)</f>
        <v>0</v>
      </c>
      <c r="F5" t="str">
        <f>IF(الإدخالات!C5="","",IF(الإدخالات!G5="","",الإدخالات!G5))</f>
        <v>تنزيل البيانات لأول مرة</v>
      </c>
      <c r="G5">
        <f>IF($B5&lt;&gt;"",SUMPRODUCT(($B$2:$B5&lt;&gt;"")*1),"")</f>
        <v>4</v>
      </c>
    </row>
    <row r="6" spans="1:7">
      <c r="A6" s="23">
        <f>IF(الإدخالات!C6="","",الإدخالات!B6)</f>
        <v>46218</v>
      </c>
      <c r="B6" t="str">
        <f>IF(الإدخالات!C6="","","شراء")</f>
        <v>شراء</v>
      </c>
      <c r="C6" t="str">
        <f>IF(الإدخالات!C6="","",IF(الإدخالات!E6="","-",الإدخالات!E6))</f>
        <v>امين</v>
      </c>
      <c r="D6" t="str">
        <f>IF(الإدخالات!C6="","",الإدخالات!C6)</f>
        <v>مانع رغوة سيليكون</v>
      </c>
      <c r="E6" s="24">
        <f>IF(الإدخالات!C6="","",الإدخالات!D6)</f>
        <v>0</v>
      </c>
      <c r="F6" t="str">
        <f>IF(الإدخالات!C6="","",IF(الإدخالات!G6="","",الإدخالات!G6))</f>
        <v>تنزيل البيانات لأول مرة</v>
      </c>
      <c r="G6">
        <f>IF($B6&lt;&gt;"",SUMPRODUCT(($B$2:$B6&lt;&gt;"")*1),"")</f>
        <v>5</v>
      </c>
    </row>
    <row r="7" spans="1:7">
      <c r="A7" s="23">
        <f>IF(الإدخالات!C7="","",الإدخالات!B7)</f>
        <v>46218</v>
      </c>
      <c r="B7" t="str">
        <f>IF(الإدخالات!C7="","","شراء")</f>
        <v>شراء</v>
      </c>
      <c r="C7" t="str">
        <f>IF(الإدخالات!C7="","",IF(الإدخالات!E7="","-",الإدخالات!E7))</f>
        <v>امين</v>
      </c>
      <c r="D7" t="str">
        <f>IF(الإدخالات!C7="","",الإدخالات!C7)</f>
        <v>ماء مقطرة</v>
      </c>
      <c r="E7" s="24">
        <f>IF(الإدخالات!C7="","",الإدخالات!D7)</f>
        <v>28622</v>
      </c>
      <c r="F7" t="str">
        <f>IF(الإدخالات!C7="","",IF(الإدخالات!G7="","",الإدخالات!G7))</f>
        <v>تنزيل البيانات لأول مرة</v>
      </c>
      <c r="G7">
        <f>IF($B7&lt;&gt;"",SUMPRODUCT(($B$2:$B7&lt;&gt;"")*1),"")</f>
        <v>6</v>
      </c>
    </row>
    <row r="8" spans="1:7">
      <c r="A8" s="23">
        <f>IF(الإدخالات!C8="","",الإدخالات!B8)</f>
        <v>46218</v>
      </c>
      <c r="B8" t="str">
        <f>IF(الإدخالات!C8="","","شراء")</f>
        <v>شراء</v>
      </c>
      <c r="C8" t="str">
        <f>IF(الإدخالات!C8="","",IF(الإدخالات!E8="","-",الإدخالات!E8))</f>
        <v>امين</v>
      </c>
      <c r="D8" t="str">
        <f>IF(الإدخالات!C8="","",الإدخالات!C8)</f>
        <v xml:space="preserve">ماء بلسم </v>
      </c>
      <c r="E8" s="24">
        <f>IF(الإدخالات!C8="","",الإدخالات!D8)</f>
        <v>3</v>
      </c>
      <c r="F8" t="str">
        <f>IF(الإدخالات!C8="","",IF(الإدخالات!G8="","",الإدخالات!G8))</f>
        <v>تنزيل البيانات لأول مرة</v>
      </c>
      <c r="G8">
        <f>IF($B8&lt;&gt;"",SUMPRODUCT(($B$2:$B8&lt;&gt;"")*1),"")</f>
        <v>7</v>
      </c>
    </row>
    <row r="9" spans="1:7">
      <c r="A9" s="23">
        <f>IF(الإدخالات!C9="","",الإدخالات!B9)</f>
        <v>46218</v>
      </c>
      <c r="B9" t="str">
        <f>IF(الإدخالات!C9="","","شراء")</f>
        <v>شراء</v>
      </c>
      <c r="C9" t="str">
        <f>IF(الإدخالات!C9="","",IF(الإدخالات!E9="","-",الإدخالات!E9))</f>
        <v>امين</v>
      </c>
      <c r="D9" t="str">
        <f>IF(الإدخالات!C9="","",الإدخالات!C9)</f>
        <v>لانيت 16 ماليزي</v>
      </c>
      <c r="E9" s="24">
        <f>IF(الإدخالات!C9="","",الإدخالات!D9)</f>
        <v>0</v>
      </c>
      <c r="F9" t="str">
        <f>IF(الإدخالات!C9="","",IF(الإدخالات!G9="","",الإدخالات!G9))</f>
        <v>تنزيل البيانات لأول مرة</v>
      </c>
      <c r="G9">
        <f>IF($B9&lt;&gt;"",SUMPRODUCT(($B$2:$B9&lt;&gt;"")*1),"")</f>
        <v>8</v>
      </c>
    </row>
    <row r="10" spans="1:7">
      <c r="A10" s="23">
        <f>IF(الإدخالات!C10="","",الإدخالات!B10)</f>
        <v>46218</v>
      </c>
      <c r="B10" t="str">
        <f>IF(الإدخالات!C10="","","شراء")</f>
        <v>شراء</v>
      </c>
      <c r="C10" t="str">
        <f>IF(الإدخالات!C10="","",IF(الإدخالات!E10="","-",الإدخالات!E10))</f>
        <v>امين</v>
      </c>
      <c r="D10" t="str">
        <f>IF(الإدخالات!C10="","",الإدخالات!C10)</f>
        <v>كوستيك-قطرونة</v>
      </c>
      <c r="E10" s="24">
        <f>IF(الإدخالات!C10="","",الإدخالات!D10)</f>
        <v>27.71</v>
      </c>
      <c r="F10" t="str">
        <f>IF(الإدخالات!C10="","",IF(الإدخالات!G10="","",الإدخالات!G10))</f>
        <v>تنزيل البيانات لأول مرة</v>
      </c>
      <c r="G10">
        <f>IF($B10&lt;&gt;"",SUMPRODUCT(($B$2:$B10&lt;&gt;"")*1),"")</f>
        <v>9</v>
      </c>
    </row>
    <row r="11" spans="1:7">
      <c r="A11" s="23">
        <f>IF(الإدخالات!C11="","",الإدخالات!B11)</f>
        <v>46218</v>
      </c>
      <c r="B11" t="str">
        <f>IF(الإدخالات!C11="","","شراء")</f>
        <v>شراء</v>
      </c>
      <c r="C11" t="str">
        <f>IF(الإدخالات!C11="","",IF(الإدخالات!E11="","-",الإدخالات!E11))</f>
        <v>امين</v>
      </c>
      <c r="D11" t="str">
        <f>IF(الإدخالات!C11="","",الإدخالات!C11)</f>
        <v>كمبرلان</v>
      </c>
      <c r="E11" s="24">
        <f>IF(الإدخالات!C11="","",الإدخالات!D11)</f>
        <v>0</v>
      </c>
      <c r="F11" t="str">
        <f>IF(الإدخالات!C11="","",IF(الإدخالات!G11="","",الإدخالات!G11))</f>
        <v>تنزيل البيانات لأول مرة</v>
      </c>
      <c r="G11">
        <f>IF($B11&lt;&gt;"",SUMPRODUCT(($B$2:$B11&lt;&gt;"")*1),"")</f>
        <v>10</v>
      </c>
    </row>
    <row r="12" spans="1:7">
      <c r="A12" s="23">
        <f>IF(الإدخالات!C12="","",الإدخالات!B12)</f>
        <v>46218</v>
      </c>
      <c r="B12" t="str">
        <f>IF(الإدخالات!C12="","","شراء")</f>
        <v>شراء</v>
      </c>
      <c r="C12" t="str">
        <f>IF(الإدخالات!C12="","",IF(الإدخالات!E12="","-",الإدخالات!E12))</f>
        <v>امين</v>
      </c>
      <c r="D12" t="str">
        <f>IF(الإدخالات!C12="","",الإدخالات!C12)</f>
        <v>كليمازول</v>
      </c>
      <c r="E12" s="24">
        <f>IF(الإدخالات!C12="","",الإدخالات!D12)</f>
        <v>0</v>
      </c>
      <c r="F12" t="str">
        <f>IF(الإدخالات!C12="","",IF(الإدخالات!G12="","",الإدخالات!G12))</f>
        <v>تنزيل البيانات لأول مرة</v>
      </c>
      <c r="G12">
        <f>IF($B12&lt;&gt;"",SUMPRODUCT(($B$2:$B12&lt;&gt;"")*1),"")</f>
        <v>11</v>
      </c>
    </row>
    <row r="13" spans="1:7">
      <c r="A13" s="23">
        <f>IF(الإدخالات!C13="","",الإدخالات!B13)</f>
        <v>46218</v>
      </c>
      <c r="B13" t="str">
        <f>IF(الإدخالات!C13="","","شراء")</f>
        <v>شراء</v>
      </c>
      <c r="C13" t="str">
        <f>IF(الإدخالات!C13="","",IF(الإدخالات!E13="","-",الإدخالات!E13))</f>
        <v>امين</v>
      </c>
      <c r="D13" t="str">
        <f>IF(الإدخالات!C13="","",الإدخالات!C13)</f>
        <v>كلور خام</v>
      </c>
      <c r="E13" s="24">
        <f>IF(الإدخالات!C13="","",الإدخالات!D13)</f>
        <v>272</v>
      </c>
      <c r="F13" t="str">
        <f>IF(الإدخالات!C13="","",IF(الإدخالات!G13="","",الإدخالات!G13))</f>
        <v>تنزيل البيانات لأول مرة</v>
      </c>
      <c r="G13">
        <f>IF($B13&lt;&gt;"",SUMPRODUCT(($B$2:$B13&lt;&gt;"")*1),"")</f>
        <v>12</v>
      </c>
    </row>
    <row r="14" spans="1:7">
      <c r="A14" s="23">
        <f>IF(الإدخالات!C14="","",الإدخالات!B14)</f>
        <v>46218</v>
      </c>
      <c r="B14" t="str">
        <f>IF(الإدخالات!C14="","","شراء")</f>
        <v>شراء</v>
      </c>
      <c r="C14" t="str">
        <f>IF(الإدخالات!C14="","",IF(الإدخالات!E14="","-",الإدخالات!E14))</f>
        <v>امين</v>
      </c>
      <c r="D14" t="str">
        <f>IF(الإدخالات!C14="","",الإدخالات!C14)</f>
        <v>كحول (ايثانول)</v>
      </c>
      <c r="E14" s="24">
        <f>IF(الإدخالات!C14="","",الإدخالات!D14)</f>
        <v>25</v>
      </c>
      <c r="F14" t="str">
        <f>IF(الإدخالات!C14="","",IF(الإدخالات!G14="","",الإدخالات!G14))</f>
        <v>تنزيل البيانات لأول مرة</v>
      </c>
      <c r="G14">
        <f>IF($B14&lt;&gt;"",SUMPRODUCT(($B$2:$B14&lt;&gt;"")*1),"")</f>
        <v>13</v>
      </c>
    </row>
    <row r="15" spans="1:7">
      <c r="A15" s="23">
        <f>IF(الإدخالات!C15="","",الإدخالات!B15)</f>
        <v>46218</v>
      </c>
      <c r="B15" t="str">
        <f>IF(الإدخالات!C15="","","شراء")</f>
        <v>شراء</v>
      </c>
      <c r="C15" t="str">
        <f>IF(الإدخالات!C15="","",IF(الإدخالات!E15="","-",الإدخالات!E15))</f>
        <v>امين</v>
      </c>
      <c r="D15" t="str">
        <f>IF(الإدخالات!C15="","",الإدخالات!C15)</f>
        <v>فورمول ( سم )</v>
      </c>
      <c r="E15" s="24">
        <f>IF(الإدخالات!C15="","",الإدخالات!D15)</f>
        <v>1.64</v>
      </c>
      <c r="F15" t="str">
        <f>IF(الإدخالات!C15="","",IF(الإدخالات!G15="","",الإدخالات!G15))</f>
        <v>تنزيل البيانات لأول مرة</v>
      </c>
      <c r="G15">
        <f>IF($B15&lt;&gt;"",SUMPRODUCT(($B$2:$B15&lt;&gt;"")*1),"")</f>
        <v>14</v>
      </c>
    </row>
    <row r="16" spans="1:7">
      <c r="A16" s="23">
        <f>IF(الإدخالات!C16="","",الإدخالات!B16)</f>
        <v>46218</v>
      </c>
      <c r="B16" t="str">
        <f>IF(الإدخالات!C16="","","شراء")</f>
        <v>شراء</v>
      </c>
      <c r="C16" t="str">
        <f>IF(الإدخالات!C16="","",IF(الإدخالات!E16="","-",الإدخالات!E16))</f>
        <v>امين</v>
      </c>
      <c r="D16" t="str">
        <f>IF(الإدخالات!C16="","",الإدخالات!C16)</f>
        <v>فاتي كحول</v>
      </c>
      <c r="E16" s="24">
        <f>IF(الإدخالات!C16="","",الإدخالات!D16)</f>
        <v>251.4</v>
      </c>
      <c r="F16" t="str">
        <f>IF(الإدخالات!C16="","",IF(الإدخالات!G16="","",الإدخالات!G16))</f>
        <v>تنزيل البيانات لأول مرة</v>
      </c>
      <c r="G16">
        <f>IF($B16&lt;&gt;"",SUMPRODUCT(($B$2:$B16&lt;&gt;"")*1),"")</f>
        <v>15</v>
      </c>
    </row>
    <row r="17" spans="1:7">
      <c r="A17" s="23">
        <f>IF(الإدخالات!C17="","",الإدخالات!B17)</f>
        <v>46218</v>
      </c>
      <c r="B17" t="str">
        <f>IF(الإدخالات!C17="","","شراء")</f>
        <v>شراء</v>
      </c>
      <c r="C17" t="str">
        <f>IF(الإدخالات!C17="","",IF(الإدخالات!E17="","-",الإدخالات!E17))</f>
        <v>امين</v>
      </c>
      <c r="D17" t="str">
        <f>IF(الإدخالات!C17="","",الإدخالات!C17)</f>
        <v>غليسيرين</v>
      </c>
      <c r="E17" s="24">
        <f>IF(الإدخالات!C17="","",الإدخالات!D17)</f>
        <v>0</v>
      </c>
      <c r="F17" t="str">
        <f>IF(الإدخالات!C17="","",IF(الإدخالات!G17="","",الإدخالات!G17))</f>
        <v>تنزيل البيانات لأول مرة</v>
      </c>
      <c r="G17">
        <f>IF($B17&lt;&gt;"",SUMPRODUCT(($B$2:$B17&lt;&gt;"")*1),"")</f>
        <v>16</v>
      </c>
    </row>
    <row r="18" spans="1:7">
      <c r="A18" s="23">
        <f>IF(الإدخالات!C18="","",الإدخالات!B18)</f>
        <v>46218</v>
      </c>
      <c r="B18" t="str">
        <f>IF(الإدخالات!C18="","","شراء")</f>
        <v>شراء</v>
      </c>
      <c r="C18" t="str">
        <f>IF(الإدخالات!C18="","",IF(الإدخالات!E18="","-",الإدخالات!E18))</f>
        <v>امين</v>
      </c>
      <c r="D18" t="str">
        <f>IF(الإدخالات!C18="","",الإدخالات!C18)</f>
        <v xml:space="preserve">عطر-نسيم-المحيط ocean-breeze - 327993 </v>
      </c>
      <c r="E18" s="24">
        <f>IF(الإدخالات!C18="","",الإدخالات!D18)</f>
        <v>0.59</v>
      </c>
      <c r="F18" t="str">
        <f>IF(الإدخالات!C18="","",IF(الإدخالات!G18="","",الإدخالات!G18))</f>
        <v>تنزيل البيانات لأول مرة</v>
      </c>
      <c r="G18">
        <f>IF($B18&lt;&gt;"",SUMPRODUCT(($B$2:$B18&lt;&gt;"")*1),"")</f>
        <v>17</v>
      </c>
    </row>
    <row r="19" spans="1:7">
      <c r="A19" s="23">
        <f>IF(الإدخالات!C19="","",الإدخالات!B19)</f>
        <v>46218</v>
      </c>
      <c r="B19" t="str">
        <f>IF(الإدخالات!C19="","","شراء")</f>
        <v>شراء</v>
      </c>
      <c r="C19" t="str">
        <f>IF(الإدخالات!C19="","",IF(الإدخالات!E19="","-",الإدخالات!E19))</f>
        <v>امين</v>
      </c>
      <c r="D19" t="str">
        <f>IF(الإدخالات!C19="","",الإدخالات!C19)</f>
        <v>عطر-ليمون shiny-star - 485764</v>
      </c>
      <c r="E19" s="24">
        <f>IF(الإدخالات!C19="","",الإدخالات!D19)</f>
        <v>0.52</v>
      </c>
      <c r="F19" t="str">
        <f>IF(الإدخالات!C19="","",IF(الإدخالات!G19="","",الإدخالات!G19))</f>
        <v>تنزيل البيانات لأول مرة</v>
      </c>
      <c r="G19">
        <f>IF($B19&lt;&gt;"",SUMPRODUCT(($B$2:$B19&lt;&gt;"")*1),"")</f>
        <v>18</v>
      </c>
    </row>
    <row r="20" spans="1:7">
      <c r="A20" s="23">
        <f>IF(الإدخالات!C20="","",الإدخالات!B20)</f>
        <v>46218</v>
      </c>
      <c r="B20" t="str">
        <f>IF(الإدخالات!C20="","","شراء")</f>
        <v>شراء</v>
      </c>
      <c r="C20" t="str">
        <f>IF(الإدخالات!C20="","",IF(الإدخالات!E20="","-",الإدخالات!E20))</f>
        <v>امين</v>
      </c>
      <c r="D20" t="str">
        <f>IF(الإدخالات!C20="","",الإدخالات!C20)</f>
        <v>عطر-ليمون citrus lemon new - 321639</v>
      </c>
      <c r="E20" s="24">
        <f>IF(الإدخالات!C20="","",الإدخالات!D20)</f>
        <v>0.36</v>
      </c>
      <c r="F20" t="str">
        <f>IF(الإدخالات!C20="","",IF(الإدخالات!G20="","",الإدخالات!G20))</f>
        <v>تنزيل البيانات لأول مرة</v>
      </c>
      <c r="G20">
        <f>IF($B20&lt;&gt;"",SUMPRODUCT(($B$2:$B20&lt;&gt;"")*1),"")</f>
        <v>19</v>
      </c>
    </row>
    <row r="21" spans="1:7">
      <c r="A21" s="23">
        <f>IF(الإدخالات!C21="","",الإدخالات!B21)</f>
        <v>46218</v>
      </c>
      <c r="B21" t="str">
        <f>IF(الإدخالات!C21="","","شراء")</f>
        <v>شراء</v>
      </c>
      <c r="C21" t="str">
        <f>IF(الإدخالات!C21="","",IF(الإدخالات!E21="","-",الإدخالات!E21))</f>
        <v>امين</v>
      </c>
      <c r="D21" t="str">
        <f>IF(الإدخالات!C21="","",الإدخالات!C21)</f>
        <v>عطر-ليلك ariel-sensation - 318728</v>
      </c>
      <c r="E21" s="24">
        <f>IF(الإدخالات!C21="","",الإدخالات!D21)</f>
        <v>0.74</v>
      </c>
      <c r="F21" t="str">
        <f>IF(الإدخالات!C21="","",IF(الإدخالات!G21="","",الإدخالات!G21))</f>
        <v>تنزيل البيانات لأول مرة</v>
      </c>
      <c r="G21">
        <f>IF($B21&lt;&gt;"",SUMPRODUCT(($B$2:$B21&lt;&gt;"")*1),"")</f>
        <v>20</v>
      </c>
    </row>
    <row r="22" spans="1:7">
      <c r="A22" s="23">
        <f>IF(الإدخالات!C22="","",الإدخالات!B22)</f>
        <v>46218</v>
      </c>
      <c r="B22" t="str">
        <f>IF(الإدخالات!C22="","","شراء")</f>
        <v>شراء</v>
      </c>
      <c r="C22" t="str">
        <f>IF(الإدخالات!C22="","",IF(الإدخالات!E22="","-",الإدخالات!E22))</f>
        <v>امين</v>
      </c>
      <c r="D22" t="str">
        <f>IF(الإدخالات!C22="","",الإدخالات!C22)</f>
        <v xml:space="preserve">عطر-سلطان </v>
      </c>
      <c r="E22" s="24">
        <f>IF(الإدخالات!C22="","",الإدخالات!D22)</f>
        <v>2.59</v>
      </c>
      <c r="F22" t="str">
        <f>IF(الإدخالات!C22="","",IF(الإدخالات!G22="","",الإدخالات!G22))</f>
        <v>تنزيل البيانات لأول مرة</v>
      </c>
      <c r="G22">
        <f>IF($B22&lt;&gt;"",SUMPRODUCT(($B$2:$B22&lt;&gt;"")*1),"")</f>
        <v>21</v>
      </c>
    </row>
    <row r="23" spans="1:7">
      <c r="A23" s="23">
        <f>IF(الإدخالات!C23="","",الإدخالات!B23)</f>
        <v>46218</v>
      </c>
      <c r="B23" t="str">
        <f>IF(الإدخالات!C23="","","شراء")</f>
        <v>شراء</v>
      </c>
      <c r="C23" t="str">
        <f>IF(الإدخالات!C23="","",IF(الإدخالات!E23="","-",الإدخالات!E23))</f>
        <v>امين</v>
      </c>
      <c r="D23" t="str">
        <f>IF(الإدخالات!C23="","",الإدخالات!C23)</f>
        <v>عطر-زهور lovely-petals - 485718</v>
      </c>
      <c r="E23" s="24">
        <f>IF(الإدخالات!C23="","",الإدخالات!D23)</f>
        <v>0.53</v>
      </c>
      <c r="F23" t="str">
        <f>IF(الإدخالات!C23="","",IF(الإدخالات!G23="","",الإدخالات!G23))</f>
        <v>تنزيل البيانات لأول مرة</v>
      </c>
      <c r="G23">
        <f>IF($B23&lt;&gt;"",SUMPRODUCT(($B$2:$B23&lt;&gt;"")*1),"")</f>
        <v>22</v>
      </c>
    </row>
    <row r="24" spans="1:7">
      <c r="A24" s="23">
        <f>IF(الإدخالات!C24="","",الإدخالات!B24)</f>
        <v>46218</v>
      </c>
      <c r="B24" t="str">
        <f>IF(الإدخالات!C24="","","شراء")</f>
        <v>شراء</v>
      </c>
      <c r="C24" t="str">
        <f>IF(الإدخالات!C24="","",IF(الإدخالات!E24="","-",الإدخالات!E24))</f>
        <v>امين</v>
      </c>
      <c r="D24" t="str">
        <f>IF(الإدخالات!C24="","",الإدخالات!C24)</f>
        <v>عطر-رمان apple grandada - 322730</v>
      </c>
      <c r="E24" s="24">
        <f>IF(الإدخالات!C24="","",الإدخالات!D24)</f>
        <v>0.66</v>
      </c>
      <c r="F24" t="str">
        <f>IF(الإدخالات!C24="","",IF(الإدخالات!G24="","",الإدخالات!G24))</f>
        <v>تنزيل البيانات لأول مرة</v>
      </c>
      <c r="G24">
        <f>IF($B24&lt;&gt;"",SUMPRODUCT(($B$2:$B24&lt;&gt;"")*1),"")</f>
        <v>23</v>
      </c>
    </row>
    <row r="25" spans="1:7">
      <c r="A25" s="23">
        <f>IF(الإدخالات!C25="","",الإدخالات!B25)</f>
        <v>46218</v>
      </c>
      <c r="B25" t="str">
        <f>IF(الإدخالات!C25="","","شراء")</f>
        <v>شراء</v>
      </c>
      <c r="C25" t="str">
        <f>IF(الإدخالات!C25="","",IF(الإدخالات!E25="","-",الإدخالات!E25))</f>
        <v>امين</v>
      </c>
      <c r="D25" t="str">
        <f>IF(الإدخالات!C25="","",الإدخالات!C25)</f>
        <v>عطر-توليب fresh-scent-amour - 485833</v>
      </c>
      <c r="E25" s="24">
        <f>IF(الإدخالات!C25="","",الإدخالات!D25)</f>
        <v>0.6</v>
      </c>
      <c r="F25" t="str">
        <f>IF(الإدخالات!C25="","",IF(الإدخالات!G25="","",الإدخالات!G25))</f>
        <v>تنزيل البيانات لأول مرة</v>
      </c>
      <c r="G25">
        <f>IF($B25&lt;&gt;"",SUMPRODUCT(($B$2:$B25&lt;&gt;"")*1),"")</f>
        <v>24</v>
      </c>
    </row>
    <row r="26" spans="1:7">
      <c r="A26" s="23">
        <f>IF(الإدخالات!C26="","",الإدخالات!B26)</f>
        <v>46218</v>
      </c>
      <c r="B26" t="str">
        <f>IF(الإدخالات!C26="","","شراء")</f>
        <v>شراء</v>
      </c>
      <c r="C26" t="str">
        <f>IF(الإدخالات!C26="","",IF(الإدخالات!E26="","-",الإدخالات!E26))</f>
        <v>امين</v>
      </c>
      <c r="D26" t="str">
        <f>IF(الإدخالات!C26="","",الإدخالات!C26)</f>
        <v xml:space="preserve">عطر-تفاح apple - 317691 </v>
      </c>
      <c r="E26" s="24">
        <f>IF(الإدخالات!C26="","",الإدخالات!D26)</f>
        <v>0.47</v>
      </c>
      <c r="F26" t="str">
        <f>IF(الإدخالات!C26="","",IF(الإدخالات!G26="","",الإدخالات!G26))</f>
        <v>تنزيل البيانات لأول مرة</v>
      </c>
      <c r="G26">
        <f>IF($B26&lt;&gt;"",SUMPRODUCT(($B$2:$B26&lt;&gt;"")*1),"")</f>
        <v>25</v>
      </c>
    </row>
    <row r="27" spans="1:7">
      <c r="A27" s="23">
        <f>IF(الإدخالات!C27="","",الإدخالات!B27)</f>
        <v>46218</v>
      </c>
      <c r="B27" t="str">
        <f>IF(الإدخالات!C27="","","شراء")</f>
        <v>شراء</v>
      </c>
      <c r="C27" t="str">
        <f>IF(الإدخالات!C27="","",IF(الإدخالات!E27="","-",الإدخالات!E27))</f>
        <v>امين</v>
      </c>
      <c r="D27" t="str">
        <f>IF(الإدخالات!C27="","",الإدخالات!C27)</f>
        <v>عطر-برنس</v>
      </c>
      <c r="E27" s="24">
        <f>IF(الإدخالات!C27="","",الإدخالات!D27)</f>
        <v>0</v>
      </c>
      <c r="F27" t="str">
        <f>IF(الإدخالات!C27="","",IF(الإدخالات!G27="","",الإدخالات!G27))</f>
        <v>تنزيل البيانات لأول مرة</v>
      </c>
      <c r="G27">
        <f>IF($B27&lt;&gt;"",SUMPRODUCT(($B$2:$B27&lt;&gt;"")*1),"")</f>
        <v>26</v>
      </c>
    </row>
    <row r="28" spans="1:7">
      <c r="A28" s="23">
        <f>IF(الإدخالات!C28="","",الإدخالات!B28)</f>
        <v>46218</v>
      </c>
      <c r="B28" t="str">
        <f>IF(الإدخالات!C28="","","شراء")</f>
        <v>شراء</v>
      </c>
      <c r="C28" t="str">
        <f>IF(الإدخالات!C28="","",IF(الإدخالات!E28="","-",الإدخالات!E28))</f>
        <v>امين</v>
      </c>
      <c r="D28" t="str">
        <f>IF(الإدخالات!C28="","",الإدخالات!C28)</f>
        <v>عطر-ببوري ultimate-mixture - 485797</v>
      </c>
      <c r="E28" s="24">
        <f>IF(الإدخالات!C28="","",الإدخالات!D28)</f>
        <v>20</v>
      </c>
      <c r="F28" t="str">
        <f>IF(الإدخالات!C28="","",IF(الإدخالات!G28="","",الإدخالات!G28))</f>
        <v>تنزيل البيانات لأول مرة</v>
      </c>
      <c r="G28">
        <f>IF($B28&lt;&gt;"",SUMPRODUCT(($B$2:$B28&lt;&gt;"")*1),"")</f>
        <v>27</v>
      </c>
    </row>
    <row r="29" spans="1:7">
      <c r="A29" s="23">
        <f>IF(الإدخالات!C29="","",الإدخالات!B29)</f>
        <v>46218</v>
      </c>
      <c r="B29" t="str">
        <f>IF(الإدخالات!C29="","","شراء")</f>
        <v>شراء</v>
      </c>
      <c r="C29" t="str">
        <f>IF(الإدخالات!C29="","",IF(الإدخالات!E29="","-",الإدخالات!E29))</f>
        <v>امين</v>
      </c>
      <c r="D29" t="str">
        <f>IF(الإدخالات!C29="","",الإدخالات!C29)</f>
        <v>عطر-ازهار-الربيع spring - 318643</v>
      </c>
      <c r="E29" s="24">
        <f>IF(الإدخالات!C29="","",الإدخالات!D29)</f>
        <v>21.4</v>
      </c>
      <c r="F29" t="str">
        <f>IF(الإدخالات!C29="","",IF(الإدخالات!G29="","",الإدخالات!G29))</f>
        <v>تنزيل البيانات لأول مرة</v>
      </c>
      <c r="G29">
        <f>IF($B29&lt;&gt;"",SUMPRODUCT(($B$2:$B29&lt;&gt;"")*1),"")</f>
        <v>28</v>
      </c>
    </row>
    <row r="30" spans="1:7">
      <c r="A30" s="23">
        <f>IF(الإدخالات!C30="","",الإدخالات!B30)</f>
        <v>46218</v>
      </c>
      <c r="B30" t="str">
        <f>IF(الإدخالات!C30="","","شراء")</f>
        <v>شراء</v>
      </c>
      <c r="C30" t="str">
        <f>IF(الإدخالات!C30="","",IF(الإدخالات!E30="","-",الإدخالات!E30))</f>
        <v>امين</v>
      </c>
      <c r="D30" t="str">
        <f>IF(الإدخالات!C30="","",الإدخالات!C30)</f>
        <v>عطر هامول</v>
      </c>
      <c r="E30" s="24">
        <f>IF(الإدخالات!C30="","",الإدخالات!D30)</f>
        <v>0</v>
      </c>
      <c r="F30" t="str">
        <f>IF(الإدخالات!C30="","",IF(الإدخالات!G30="","",الإدخالات!G30))</f>
        <v>تنزيل البيانات لأول مرة</v>
      </c>
      <c r="G30">
        <f>IF($B30&lt;&gt;"",SUMPRODUCT(($B$2:$B30&lt;&gt;"")*1),"")</f>
        <v>29</v>
      </c>
    </row>
    <row r="31" spans="1:7">
      <c r="A31" s="23">
        <f>IF(الإدخالات!C31="","",الإدخالات!B31)</f>
        <v>46218</v>
      </c>
      <c r="B31" t="str">
        <f>IF(الإدخالات!C31="","","شراء")</f>
        <v>شراء</v>
      </c>
      <c r="C31" t="str">
        <f>IF(الإدخالات!C31="","",IF(الإدخالات!E31="","-",الإدخالات!E31))</f>
        <v>امين</v>
      </c>
      <c r="D31" t="str">
        <f>IF(الإدخالات!C31="","",الإدخالات!C31)</f>
        <v>عطر مسك احمر</v>
      </c>
      <c r="E31" s="24">
        <f>IF(الإدخالات!C31="","",الإدخالات!D31)</f>
        <v>2</v>
      </c>
      <c r="F31" t="str">
        <f>IF(الإدخالات!C31="","",IF(الإدخالات!G31="","",الإدخالات!G31))</f>
        <v>تنزيل البيانات لأول مرة</v>
      </c>
      <c r="G31">
        <f>IF($B31&lt;&gt;"",SUMPRODUCT(($B$2:$B31&lt;&gt;"")*1),"")</f>
        <v>30</v>
      </c>
    </row>
    <row r="32" spans="1:7">
      <c r="A32" s="23">
        <f>IF(الإدخالات!C32="","",الإدخالات!B32)</f>
        <v>46218</v>
      </c>
      <c r="B32" t="str">
        <f>IF(الإدخالات!C32="","","شراء")</f>
        <v>شراء</v>
      </c>
      <c r="C32" t="str">
        <f>IF(الإدخالات!C32="","",IF(الإدخالات!E32="","-",الإدخالات!E32))</f>
        <v>امين</v>
      </c>
      <c r="D32" t="str">
        <f>IF(الإدخالات!C32="","",الإدخالات!C32)</f>
        <v>عطر مسك</v>
      </c>
      <c r="E32" s="24">
        <f>IF(الإدخالات!C32="","",الإدخالات!D32)</f>
        <v>3</v>
      </c>
      <c r="F32" t="str">
        <f>IF(الإدخالات!C32="","",IF(الإدخالات!G32="","",الإدخالات!G32))</f>
        <v>تنزيل البيانات لأول مرة</v>
      </c>
      <c r="G32">
        <f>IF($B32&lt;&gt;"",SUMPRODUCT(($B$2:$B32&lt;&gt;"")*1),"")</f>
        <v>31</v>
      </c>
    </row>
    <row r="33" spans="1:7">
      <c r="A33" s="23">
        <f>IF(الإدخالات!C33="","",الإدخالات!B33)</f>
        <v>46218</v>
      </c>
      <c r="B33" t="str">
        <f>IF(الإدخالات!C33="","","شراء")</f>
        <v>شراء</v>
      </c>
      <c r="C33" t="str">
        <f>IF(الإدخالات!C33="","",IF(الإدخالات!E33="","-",الإدخالات!E33))</f>
        <v>امين</v>
      </c>
      <c r="D33" t="str">
        <f>IF(الإدخالات!C33="","",الإدخالات!C33)</f>
        <v>عطر ليمون ماكسي</v>
      </c>
      <c r="E33" s="24">
        <f>IF(الإدخالات!C33="","",الإدخالات!D33)</f>
        <v>0.42</v>
      </c>
      <c r="F33" t="str">
        <f>IF(الإدخالات!C33="","",IF(الإدخالات!G33="","",الإدخالات!G33))</f>
        <v>تنزيل البيانات لأول مرة</v>
      </c>
      <c r="G33">
        <f>IF($B33&lt;&gt;"",SUMPRODUCT(($B$2:$B33&lt;&gt;"")*1),"")</f>
        <v>32</v>
      </c>
    </row>
    <row r="34" spans="1:7">
      <c r="A34" s="23">
        <f>IF(الإدخالات!C34="","",الإدخالات!B34)</f>
        <v>46218</v>
      </c>
      <c r="B34" t="str">
        <f>IF(الإدخالات!C34="","","شراء")</f>
        <v>شراء</v>
      </c>
      <c r="C34" t="str">
        <f>IF(الإدخالات!C34="","",IF(الإدخالات!E34="","-",الإدخالات!E34))</f>
        <v>امين</v>
      </c>
      <c r="D34" t="str">
        <f>IF(الإدخالات!C34="","",الإدخالات!C34)</f>
        <v>عطر عسل</v>
      </c>
      <c r="E34" s="24">
        <f>IF(الإدخالات!C34="","",الإدخالات!D34)</f>
        <v>1</v>
      </c>
      <c r="F34" t="str">
        <f>IF(الإدخالات!C34="","",IF(الإدخالات!G34="","",الإدخالات!G34))</f>
        <v>تنزيل البيانات لأول مرة</v>
      </c>
      <c r="G34">
        <f>IF($B34&lt;&gt;"",SUMPRODUCT(($B$2:$B34&lt;&gt;"")*1),"")</f>
        <v>33</v>
      </c>
    </row>
    <row r="35" spans="1:7">
      <c r="A35" s="23">
        <f>IF(الإدخالات!C35="","",الإدخالات!B35)</f>
        <v>46218</v>
      </c>
      <c r="B35" t="str">
        <f>IF(الإدخالات!C35="","","شراء")</f>
        <v>شراء</v>
      </c>
      <c r="C35" t="str">
        <f>IF(الإدخالات!C35="","",IF(الإدخالات!E35="","-",الإدخالات!E35))</f>
        <v>امين</v>
      </c>
      <c r="D35" t="str">
        <f>IF(الإدخالات!C35="","",الإدخالات!C35)</f>
        <v>عطر جوز الهند</v>
      </c>
      <c r="E35" s="24">
        <f>IF(الإدخالات!C35="","",الإدخالات!D35)</f>
        <v>0</v>
      </c>
      <c r="F35" t="str">
        <f>IF(الإدخالات!C35="","",IF(الإدخالات!G35="","",الإدخالات!G35))</f>
        <v>تنزيل البيانات لأول مرة</v>
      </c>
      <c r="G35">
        <f>IF($B35&lt;&gt;"",SUMPRODUCT(($B$2:$B35&lt;&gt;"")*1),"")</f>
        <v>34</v>
      </c>
    </row>
    <row r="36" spans="1:7">
      <c r="A36" s="23">
        <f>IF(الإدخالات!C36="","",الإدخالات!B36)</f>
        <v>46218</v>
      </c>
      <c r="B36" t="str">
        <f>IF(الإدخالات!C36="","","شراء")</f>
        <v>شراء</v>
      </c>
      <c r="C36" t="str">
        <f>IF(الإدخالات!C36="","",IF(الإدخالات!E36="","-",الإدخالات!E36))</f>
        <v>امين</v>
      </c>
      <c r="D36" t="str">
        <f>IF(الإدخالات!C36="","",الإدخالات!C36)</f>
        <v>عطر بانتين</v>
      </c>
      <c r="E36" s="24">
        <f>IF(الإدخالات!C36="","",الإدخالات!D36)</f>
        <v>0</v>
      </c>
      <c r="F36" t="str">
        <f>IF(الإدخالات!C36="","",IF(الإدخالات!G36="","",الإدخالات!G36))</f>
        <v>تنزيل البيانات لأول مرة</v>
      </c>
      <c r="G36">
        <f>IF($B36&lt;&gt;"",SUMPRODUCT(($B$2:$B36&lt;&gt;"")*1),"")</f>
        <v>35</v>
      </c>
    </row>
    <row r="37" spans="1:7">
      <c r="A37" s="23">
        <f>IF(الإدخالات!C37="","",الإدخالات!B37)</f>
        <v>46218</v>
      </c>
      <c r="B37" t="str">
        <f>IF(الإدخالات!C37="","","شراء")</f>
        <v>شراء</v>
      </c>
      <c r="C37" t="str">
        <f>IF(الإدخالات!C37="","",IF(الإدخالات!E37="","-",الإدخالات!E37))</f>
        <v>امين</v>
      </c>
      <c r="D37" t="str">
        <f>IF(الإدخالات!C37="","",الإدخالات!C37)</f>
        <v>عطر اوليفا</v>
      </c>
      <c r="E37" s="24">
        <f>IF(الإدخالات!C37="","",الإدخالات!D37)</f>
        <v>0</v>
      </c>
      <c r="F37" t="str">
        <f>IF(الإدخالات!C37="","",IF(الإدخالات!G37="","",الإدخالات!G37))</f>
        <v>تنزيل البيانات لأول مرة</v>
      </c>
      <c r="G37">
        <f>IF($B37&lt;&gt;"",SUMPRODUCT(($B$2:$B37&lt;&gt;"")*1),"")</f>
        <v>36</v>
      </c>
    </row>
    <row r="38" spans="1:7">
      <c r="A38" s="23">
        <f>IF(الإدخالات!C38="","",الإدخالات!B38)</f>
        <v>46218</v>
      </c>
      <c r="B38" t="str">
        <f>IF(الإدخالات!C38="","","شراء")</f>
        <v>شراء</v>
      </c>
      <c r="C38" t="str">
        <f>IF(الإدخالات!C38="","",IF(الإدخالات!E38="","-",الإدخالات!E38))</f>
        <v>امين</v>
      </c>
      <c r="D38" t="str">
        <f>IF(الإدخالات!C38="","",الإدخالات!C38)</f>
        <v>عطر ramani-kodi-000110</v>
      </c>
      <c r="E38" s="24">
        <f>IF(الإدخالات!C38="","",الإدخالات!D38)</f>
        <v>2</v>
      </c>
      <c r="F38" t="str">
        <f>IF(الإدخالات!C38="","",IF(الإدخالات!G38="","",الإدخالات!G38))</f>
        <v>تنزيل البيانات لأول مرة</v>
      </c>
      <c r="G38">
        <f>IF($B38&lt;&gt;"",SUMPRODUCT(($B$2:$B38&lt;&gt;"")*1),"")</f>
        <v>37</v>
      </c>
    </row>
    <row r="39" spans="1:7">
      <c r="A39" s="23">
        <f>IF(الإدخالات!C39="","",الإدخالات!B39)</f>
        <v>46218</v>
      </c>
      <c r="B39" t="str">
        <f>IF(الإدخالات!C39="","","شراء")</f>
        <v>شراء</v>
      </c>
      <c r="C39" t="str">
        <f>IF(الإدخالات!C39="","",IF(الإدخالات!E39="","-",الإدخالات!E39))</f>
        <v>امين</v>
      </c>
      <c r="D39" t="str">
        <f>IF(الإدخالات!C39="","",الإدخالات!C39)</f>
        <v>عطر magic sprel - 6168581</v>
      </c>
      <c r="E39" s="24">
        <f>IF(الإدخالات!C39="","",الإدخالات!D39)</f>
        <v>50</v>
      </c>
      <c r="F39" t="str">
        <f>IF(الإدخالات!C39="","",IF(الإدخالات!G39="","",الإدخالات!G39))</f>
        <v>تنزيل البيانات لأول مرة</v>
      </c>
      <c r="G39">
        <f>IF($B39&lt;&gt;"",SUMPRODUCT(($B$2:$B39&lt;&gt;"")*1),"")</f>
        <v>38</v>
      </c>
    </row>
    <row r="40" spans="1:7">
      <c r="A40" s="23">
        <f>IF(الإدخالات!C40="","",الإدخالات!B40)</f>
        <v>46218</v>
      </c>
      <c r="B40" t="str">
        <f>IF(الإدخالات!C40="","","شراء")</f>
        <v>شراء</v>
      </c>
      <c r="C40" t="str">
        <f>IF(الإدخالات!C40="","",IF(الإدخالات!E40="","-",الإدخالات!E40))</f>
        <v>امين</v>
      </c>
      <c r="D40" t="str">
        <f>IF(الإدخالات!C40="","",الإدخالات!C40)</f>
        <v>عطر kavien-clein-eforia-000020</v>
      </c>
      <c r="E40" s="24">
        <f>IF(الإدخالات!C40="","",الإدخالات!D40)</f>
        <v>4</v>
      </c>
      <c r="F40" t="str">
        <f>IF(الإدخالات!C40="","",IF(الإدخالات!G40="","",الإدخالات!G40))</f>
        <v>تنزيل البيانات لأول مرة</v>
      </c>
      <c r="G40">
        <f>IF($B40&lt;&gt;"",SUMPRODUCT(($B$2:$B40&lt;&gt;"")*1),"")</f>
        <v>39</v>
      </c>
    </row>
    <row r="41" spans="1:7">
      <c r="A41" s="23">
        <f>IF(الإدخالات!C41="","",الإدخالات!B41)</f>
        <v>46218</v>
      </c>
      <c r="B41" t="str">
        <f>IF(الإدخالات!C41="","","شراء")</f>
        <v>شراء</v>
      </c>
      <c r="C41" t="str">
        <f>IF(الإدخالات!C41="","",IF(الإدخالات!E41="","-",الإدخالات!E41))</f>
        <v>امين</v>
      </c>
      <c r="D41" t="str">
        <f>IF(الإدخالات!C41="","",الإدخالات!C41)</f>
        <v>عطر energy-000400</v>
      </c>
      <c r="E41" s="24">
        <f>IF(الإدخالات!C41="","",الإدخالات!D41)</f>
        <v>1.44</v>
      </c>
      <c r="F41" t="str">
        <f>IF(الإدخالات!C41="","",IF(الإدخالات!G41="","",الإدخالات!G41))</f>
        <v>تنزيل البيانات لأول مرة</v>
      </c>
      <c r="G41">
        <f>IF($B41&lt;&gt;"",SUMPRODUCT(($B$2:$B41&lt;&gt;"")*1),"")</f>
        <v>40</v>
      </c>
    </row>
    <row r="42" spans="1:7">
      <c r="A42" s="23">
        <f>IF(الإدخالات!C42="","",الإدخالات!B42)</f>
        <v>46218</v>
      </c>
      <c r="B42" t="str">
        <f>IF(الإدخالات!C42="","","شراء")</f>
        <v>شراء</v>
      </c>
      <c r="C42" t="str">
        <f>IF(الإدخالات!C42="","",IF(الإدخالات!E42="","-",الإدخالات!E42))</f>
        <v>امين</v>
      </c>
      <c r="D42" t="str">
        <f>IF(الإدخالات!C42="","",الإدخالات!C42)</f>
        <v>عطر Blue APC - 0001198620</v>
      </c>
      <c r="E42" s="24">
        <f>IF(الإدخالات!C42="","",الإدخالات!D42)</f>
        <v>105</v>
      </c>
      <c r="F42" t="str">
        <f>IF(الإدخالات!C42="","",IF(الإدخالات!G42="","",الإدخالات!G42))</f>
        <v>تنزيل البيانات لأول مرة</v>
      </c>
      <c r="G42">
        <f>IF($B42&lt;&gt;"",SUMPRODUCT(($B$2:$B42&lt;&gt;"")*1),"")</f>
        <v>41</v>
      </c>
    </row>
    <row r="43" spans="1:7">
      <c r="A43" s="23">
        <f>IF(الإدخالات!C43="","",الإدخالات!B43)</f>
        <v>46218</v>
      </c>
      <c r="B43" t="str">
        <f>IF(الإدخالات!C43="","","شراء")</f>
        <v>شراء</v>
      </c>
      <c r="C43" t="str">
        <f>IF(الإدخالات!C43="","",IF(الإدخالات!E43="","-",الإدخالات!E43))</f>
        <v>امين</v>
      </c>
      <c r="D43" t="str">
        <f>IF(الإدخالات!C43="","",الإدخالات!C43)</f>
        <v>عطر billionair-000250</v>
      </c>
      <c r="E43" s="24">
        <f>IF(الإدخالات!C43="","",الإدخالات!D43)</f>
        <v>4</v>
      </c>
      <c r="F43" t="str">
        <f>IF(الإدخالات!C43="","",IF(الإدخالات!G43="","",الإدخالات!G43))</f>
        <v>تنزيل البيانات لأول مرة</v>
      </c>
      <c r="G43">
        <f>IF($B43&lt;&gt;"",SUMPRODUCT(($B$2:$B43&lt;&gt;"")*1),"")</f>
        <v>42</v>
      </c>
    </row>
    <row r="44" spans="1:7">
      <c r="A44" s="23">
        <f>IF(الإدخالات!C44="","",الإدخالات!B44)</f>
        <v>46218</v>
      </c>
      <c r="B44" t="str">
        <f>IF(الإدخالات!C44="","","شراء")</f>
        <v>شراء</v>
      </c>
      <c r="C44" t="str">
        <f>IF(الإدخالات!C44="","",IF(الإدخالات!E44="","-",الإدخالات!E44))</f>
        <v>امين</v>
      </c>
      <c r="D44" t="str">
        <f>IF(الإدخالات!C44="","",الإدخالات!C44)</f>
        <v>عطر be-apple-000320</v>
      </c>
      <c r="E44" s="24">
        <f>IF(الإدخالات!C44="","",الإدخالات!D44)</f>
        <v>2</v>
      </c>
      <c r="F44" t="str">
        <f>IF(الإدخالات!C44="","",IF(الإدخالات!G44="","",الإدخالات!G44))</f>
        <v>تنزيل البيانات لأول مرة</v>
      </c>
      <c r="G44">
        <f>IF($B44&lt;&gt;"",SUMPRODUCT(($B$2:$B44&lt;&gt;"")*1),"")</f>
        <v>43</v>
      </c>
    </row>
    <row r="45" spans="1:7">
      <c r="A45" s="23">
        <f>IF(الإدخالات!C45="","",الإدخالات!B45)</f>
        <v>46218</v>
      </c>
      <c r="B45" t="str">
        <f>IF(الإدخالات!C45="","","شراء")</f>
        <v>شراء</v>
      </c>
      <c r="C45" t="str">
        <f>IF(الإدخالات!C45="","",IF(الإدخالات!E45="","-",الإدخالات!E45))</f>
        <v>امين</v>
      </c>
      <c r="D45" t="str">
        <f>IF(الإدخالات!C45="","",الإدخالات!C45)</f>
        <v xml:space="preserve">عبوة 1 لتر </v>
      </c>
      <c r="E45" s="24">
        <f>IF(الإدخالات!C45="","",الإدخالات!D45)</f>
        <v>0</v>
      </c>
      <c r="F45" t="str">
        <f>IF(الإدخالات!C45="","",IF(الإدخالات!G45="","",الإدخالات!G45))</f>
        <v>تنزيل البيانات لأول مرة</v>
      </c>
      <c r="G45">
        <f>IF($B45&lt;&gt;"",SUMPRODUCT(($B$2:$B45&lt;&gt;"")*1),"")</f>
        <v>44</v>
      </c>
    </row>
    <row r="46" spans="1:7">
      <c r="A46" s="23">
        <f>IF(الإدخالات!C46="","",الإدخالات!B46)</f>
        <v>46218</v>
      </c>
      <c r="B46" t="str">
        <f>IF(الإدخالات!C46="","","شراء")</f>
        <v>شراء</v>
      </c>
      <c r="C46" t="str">
        <f>IF(الإدخالات!C46="","",IF(الإدخالات!E46="","-",الإدخالات!E46))</f>
        <v>امين</v>
      </c>
      <c r="D46" t="str">
        <f>IF(الإدخالات!C46="","",الإدخالات!C46)</f>
        <v>طبالي خشب</v>
      </c>
      <c r="E46" s="24">
        <f>IF(الإدخالات!C46="","",الإدخالات!D46)</f>
        <v>17</v>
      </c>
      <c r="F46" t="str">
        <f>IF(الإدخالات!C46="","",IF(الإدخالات!G46="","",الإدخالات!G46))</f>
        <v>تنزيل البيانات لأول مرة</v>
      </c>
      <c r="G46">
        <f>IF($B46&lt;&gt;"",SUMPRODUCT(($B$2:$B46&lt;&gt;"")*1),"")</f>
        <v>45</v>
      </c>
    </row>
    <row r="47" spans="1:7">
      <c r="A47" s="23">
        <f>IF(الإدخالات!C47="","",الإدخالات!B47)</f>
        <v>46218</v>
      </c>
      <c r="B47" t="str">
        <f>IF(الإدخالات!C47="","","شراء")</f>
        <v>شراء</v>
      </c>
      <c r="C47" t="str">
        <f>IF(الإدخالات!C47="","",IF(الإدخالات!E47="","-",الإدخالات!E47))</f>
        <v>امين</v>
      </c>
      <c r="D47" t="str">
        <f>IF(الإدخالات!C47="","",الإدخالات!C47)</f>
        <v xml:space="preserve">صودا أش </v>
      </c>
      <c r="E47" s="24">
        <f>IF(الإدخالات!C47="","",الإدخالات!D47)</f>
        <v>0</v>
      </c>
      <c r="F47" t="str">
        <f>IF(الإدخالات!C47="","",IF(الإدخالات!G47="","",الإدخالات!G47))</f>
        <v>تنزيل البيانات لأول مرة</v>
      </c>
      <c r="G47">
        <f>IF($B47&lt;&gt;"",SUMPRODUCT(($B$2:$B47&lt;&gt;"")*1),"")</f>
        <v>46</v>
      </c>
    </row>
    <row r="48" spans="1:7">
      <c r="A48" s="23">
        <f>IF(الإدخالات!C48="","",الإدخالات!B48)</f>
        <v>46218</v>
      </c>
      <c r="B48" t="str">
        <f>IF(الإدخالات!C48="","","شراء")</f>
        <v>شراء</v>
      </c>
      <c r="C48" t="str">
        <f>IF(الإدخالات!C48="","",IF(الإدخالات!E48="","-",الإدخالات!E48))</f>
        <v>امين</v>
      </c>
      <c r="D48" t="str">
        <f>IF(الإدخالات!C48="","",الإدخالات!C48)</f>
        <v xml:space="preserve">صبغة </v>
      </c>
      <c r="E48" s="24">
        <f>IF(الإدخالات!C48="","",الإدخالات!D48)</f>
        <v>1.42</v>
      </c>
      <c r="F48" t="str">
        <f>IF(الإدخالات!C48="","",IF(الإدخالات!G48="","",الإدخالات!G48))</f>
        <v>تنزيل البيانات لأول مرة</v>
      </c>
      <c r="G48">
        <f>IF($B48&lt;&gt;"",SUMPRODUCT(($B$2:$B48&lt;&gt;"")*1),"")</f>
        <v>47</v>
      </c>
    </row>
    <row r="49" spans="1:7">
      <c r="A49" s="23">
        <f>IF(الإدخالات!C49="","",الإدخالات!B49)</f>
        <v>46218</v>
      </c>
      <c r="B49" t="str">
        <f>IF(الإدخالات!C49="","","شراء")</f>
        <v>شراء</v>
      </c>
      <c r="C49" t="str">
        <f>IF(الإدخالات!C49="","",IF(الإدخالات!E49="","-",الإدخالات!E49))</f>
        <v>امين</v>
      </c>
      <c r="D49" t="str">
        <f>IF(الإدخالات!C49="","",الإدخالات!C49)</f>
        <v xml:space="preserve">سيليكات سائلة </v>
      </c>
      <c r="E49" s="24">
        <f>IF(الإدخالات!C49="","",الإدخالات!D49)</f>
        <v>0</v>
      </c>
      <c r="F49" t="str">
        <f>IF(الإدخالات!C49="","",IF(الإدخالات!G49="","",الإدخالات!G49))</f>
        <v>تنزيل البيانات لأول مرة</v>
      </c>
      <c r="G49">
        <f>IF($B49&lt;&gt;"",SUMPRODUCT(($B$2:$B49&lt;&gt;"")*1),"")</f>
        <v>48</v>
      </c>
    </row>
    <row r="50" spans="1:7">
      <c r="A50" s="23">
        <f>IF(الإدخالات!C50="","",الإدخالات!B50)</f>
        <v>46218</v>
      </c>
      <c r="B50" t="str">
        <f>IF(الإدخالات!C50="","","شراء")</f>
        <v>شراء</v>
      </c>
      <c r="C50" t="str">
        <f>IF(الإدخالات!C50="","",IF(الإدخالات!E50="","-",الإدخالات!E50))</f>
        <v>امين</v>
      </c>
      <c r="D50" t="str">
        <f>IF(الإدخالات!C50="","",الإدخالات!C50)</f>
        <v>زيت الصنوبر</v>
      </c>
      <c r="E50" s="24">
        <f>IF(الإدخالات!C50="","",الإدخالات!D50)</f>
        <v>24</v>
      </c>
      <c r="F50" t="str">
        <f>IF(الإدخالات!C50="","",IF(الإدخالات!G50="","",الإدخالات!G50))</f>
        <v>تنزيل البيانات لأول مرة</v>
      </c>
      <c r="G50">
        <f>IF($B50&lt;&gt;"",SUMPRODUCT(($B$2:$B50&lt;&gt;"")*1),"")</f>
        <v>49</v>
      </c>
    </row>
    <row r="51" spans="1:7">
      <c r="A51" s="23">
        <f>IF(الإدخالات!C51="","",الإدخالات!B51)</f>
        <v>46218</v>
      </c>
      <c r="B51" t="str">
        <f>IF(الإدخالات!C51="","","شراء")</f>
        <v>شراء</v>
      </c>
      <c r="C51" t="str">
        <f>IF(الإدخالات!C51="","",IF(الإدخالات!E51="","-",الإدخالات!E51))</f>
        <v>امين</v>
      </c>
      <c r="D51" t="str">
        <f>IF(الإدخالات!C51="","",الإدخالات!C51)</f>
        <v>زفتة</v>
      </c>
      <c r="E51" s="24">
        <f>IF(الإدخالات!C51="","",الإدخالات!D51)</f>
        <v>536</v>
      </c>
      <c r="F51" t="str">
        <f>IF(الإدخالات!C51="","",IF(الإدخالات!G51="","",الإدخالات!G51))</f>
        <v>تنزيل البيانات لأول مرة</v>
      </c>
      <c r="G51">
        <f>IF($B51&lt;&gt;"",SUMPRODUCT(($B$2:$B51&lt;&gt;"")*1),"")</f>
        <v>50</v>
      </c>
    </row>
    <row r="52" spans="1:7">
      <c r="A52" s="23">
        <f>IF(الإدخالات!C52="","",الإدخالات!B52)</f>
        <v>46218</v>
      </c>
      <c r="B52" t="str">
        <f>IF(الإدخالات!C52="","","شراء")</f>
        <v>شراء</v>
      </c>
      <c r="C52" t="str">
        <f>IF(الإدخالات!C52="","",IF(الإدخالات!E52="","-",الإدخالات!E52))</f>
        <v>امين</v>
      </c>
      <c r="D52" t="str">
        <f>IF(الإدخالات!C52="","",الإدخالات!C52)</f>
        <v>ديباتيول فينب</v>
      </c>
      <c r="E52" s="24">
        <f>IF(الإدخالات!C52="","",الإدخالات!D52)</f>
        <v>0</v>
      </c>
      <c r="F52" t="str">
        <f>IF(الإدخالات!C52="","",IF(الإدخالات!G52="","",الإدخالات!G52))</f>
        <v>تنزيل البيانات لأول مرة</v>
      </c>
      <c r="G52">
        <f>IF($B52&lt;&gt;"",SUMPRODUCT(($B$2:$B52&lt;&gt;"")*1),"")</f>
        <v>51</v>
      </c>
    </row>
    <row r="53" spans="1:7">
      <c r="A53" s="23">
        <f>IF(الإدخالات!C53="","",الإدخالات!B53)</f>
        <v>46218</v>
      </c>
      <c r="B53" t="str">
        <f>IF(الإدخالات!C53="","","شراء")</f>
        <v>شراء</v>
      </c>
      <c r="C53" t="str">
        <f>IF(الإدخالات!C53="","",IF(الإدخالات!E53="","-",الإدخالات!E53))</f>
        <v>امين</v>
      </c>
      <c r="D53" t="str">
        <f>IF(الإدخالات!C53="","",الإدخالات!C53)</f>
        <v>دواء غسيل نصف مصنع</v>
      </c>
      <c r="E53" s="24">
        <f>IF(الإدخالات!C53="","",الإدخالات!D53)</f>
        <v>34</v>
      </c>
      <c r="F53" t="str">
        <f>IF(الإدخالات!C53="","",IF(الإدخالات!G53="","",الإدخالات!G53))</f>
        <v>تنزيل البيانات لأول مرة</v>
      </c>
      <c r="G53">
        <f>IF($B53&lt;&gt;"",SUMPRODUCT(($B$2:$B53&lt;&gt;"")*1),"")</f>
        <v>52</v>
      </c>
    </row>
    <row r="54" spans="1:7">
      <c r="A54" s="23">
        <f>IF(الإدخالات!C54="","",الإدخالات!B54)</f>
        <v>46218</v>
      </c>
      <c r="B54" t="str">
        <f>IF(الإدخالات!C54="","","شراء")</f>
        <v>شراء</v>
      </c>
      <c r="C54" t="str">
        <f>IF(الإدخالات!C54="","",IF(الإدخالات!E54="","-",الإدخالات!E54))</f>
        <v>امين</v>
      </c>
      <c r="D54" t="str">
        <f>IF(الإدخالات!C54="","",الإدخالات!C54)</f>
        <v>حمض الليمون</v>
      </c>
      <c r="E54" s="24">
        <f>IF(الإدخالات!C54="","",الإدخالات!D54)</f>
        <v>1</v>
      </c>
      <c r="F54" t="str">
        <f>IF(الإدخالات!C54="","",IF(الإدخالات!G54="","",الإدخالات!G54))</f>
        <v>تنزيل البيانات لأول مرة</v>
      </c>
      <c r="G54">
        <f>IF($B54&lt;&gt;"",SUMPRODUCT(($B$2:$B54&lt;&gt;"")*1),"")</f>
        <v>53</v>
      </c>
    </row>
    <row r="55" spans="1:7">
      <c r="A55" s="23">
        <f>IF(الإدخالات!C55="","",الإدخالات!B55)</f>
        <v>46218</v>
      </c>
      <c r="B55" t="str">
        <f>IF(الإدخالات!C55="","","شراء")</f>
        <v>شراء</v>
      </c>
      <c r="C55" t="str">
        <f>IF(الإدخالات!C55="","",IF(الإدخالات!E55="","-",الإدخالات!E55))</f>
        <v>امين</v>
      </c>
      <c r="D55" t="str">
        <f>IF(الإدخالات!C55="","",الإدخالات!C55)</f>
        <v>حمض الكبريت</v>
      </c>
      <c r="E55" s="24">
        <f>IF(الإدخالات!C55="","",الإدخالات!D55)</f>
        <v>0</v>
      </c>
      <c r="F55" t="str">
        <f>IF(الإدخالات!C55="","",IF(الإدخالات!G55="","",الإدخالات!G55))</f>
        <v>تنزيل البيانات لأول مرة</v>
      </c>
      <c r="G55">
        <f>IF($B55&lt;&gt;"",SUMPRODUCT(($B$2:$B55&lt;&gt;"")*1),"")</f>
        <v>54</v>
      </c>
    </row>
    <row r="56" spans="1:7">
      <c r="A56" s="23">
        <f>IF(الإدخالات!C56="","",الإدخالات!B56)</f>
        <v>46218</v>
      </c>
      <c r="B56" t="str">
        <f>IF(الإدخالات!C56="","","شراء")</f>
        <v>شراء</v>
      </c>
      <c r="C56" t="str">
        <f>IF(الإدخالات!C56="","",IF(الإدخالات!E56="","-",الإدخالات!E56))</f>
        <v>امين</v>
      </c>
      <c r="D56" t="str">
        <f>IF(الإدخالات!C56="","",الإدخالات!C56)</f>
        <v>حمض الخل</v>
      </c>
      <c r="E56" s="24">
        <f>IF(الإدخالات!C56="","",الإدخالات!D56)</f>
        <v>1</v>
      </c>
      <c r="F56" t="str">
        <f>IF(الإدخالات!C56="","",IF(الإدخالات!G56="","",الإدخالات!G56))</f>
        <v>تنزيل البيانات لأول مرة</v>
      </c>
      <c r="G56">
        <f>IF($B56&lt;&gt;"",SUMPRODUCT(($B$2:$B56&lt;&gt;"")*1),"")</f>
        <v>55</v>
      </c>
    </row>
    <row r="57" spans="1:7">
      <c r="A57" s="23">
        <f>IF(الإدخالات!C57="","",الإدخالات!B57)</f>
        <v>46218</v>
      </c>
      <c r="B57" t="str">
        <f>IF(الإدخالات!C57="","","شراء")</f>
        <v>شراء</v>
      </c>
      <c r="C57" t="str">
        <f>IF(الإدخالات!C57="","",IF(الإدخالات!E57="","-",الإدخالات!E57))</f>
        <v>امين</v>
      </c>
      <c r="D57" t="str">
        <f>IF(الإدخالات!C57="","",الإدخالات!C57)</f>
        <v>حليب التين</v>
      </c>
      <c r="E57" s="24">
        <f>IF(الإدخالات!C57="","",الإدخالات!D57)</f>
        <v>0.83</v>
      </c>
      <c r="F57" t="str">
        <f>IF(الإدخالات!C57="","",IF(الإدخالات!G57="","",الإدخالات!G57))</f>
        <v>تنزيل البيانات لأول مرة</v>
      </c>
      <c r="G57">
        <f>IF($B57&lt;&gt;"",SUMPRODUCT(($B$2:$B57&lt;&gt;"")*1),"")</f>
        <v>56</v>
      </c>
    </row>
    <row r="58" spans="1:7">
      <c r="A58" s="23">
        <f>IF(الإدخالات!C58="","",الإدخالات!B58)</f>
        <v>46218</v>
      </c>
      <c r="B58" t="str">
        <f>IF(الإدخالات!C58="","","شراء")</f>
        <v>شراء</v>
      </c>
      <c r="C58" t="str">
        <f>IF(الإدخالات!C58="","",IF(الإدخالات!E58="","-",الإدخالات!E58))</f>
        <v>امين</v>
      </c>
      <c r="D58" t="str">
        <f>IF(الإدخالات!C58="","",الإدخالات!C58)</f>
        <v xml:space="preserve">حبيبات ملونة </v>
      </c>
      <c r="E58" s="24">
        <f>IF(الإدخالات!C58="","",الإدخالات!D58)</f>
        <v>0</v>
      </c>
      <c r="F58" t="str">
        <f>IF(الإدخالات!C58="","",IF(الإدخالات!G58="","",الإدخالات!G58))</f>
        <v>تنزيل البيانات لأول مرة</v>
      </c>
      <c r="G58">
        <f>IF($B58&lt;&gt;"",SUMPRODUCT(($B$2:$B58&lt;&gt;"")*1),"")</f>
        <v>57</v>
      </c>
    </row>
    <row r="59" spans="1:7">
      <c r="A59" s="23">
        <f>IF(الإدخالات!C59="","",الإدخالات!B59)</f>
        <v>46218</v>
      </c>
      <c r="B59" t="str">
        <f>IF(الإدخالات!C59="","","شراء")</f>
        <v>شراء</v>
      </c>
      <c r="C59" t="str">
        <f>IF(الإدخالات!C59="","",IF(الإدخالات!E59="","-",الإدخالات!E59))</f>
        <v>امين</v>
      </c>
      <c r="D59" t="str">
        <f>IF(الإدخالات!C59="","",الإدخالات!C59)</f>
        <v>تكسبون</v>
      </c>
      <c r="E59" s="24">
        <f>IF(الإدخالات!C59="","",الإدخالات!D59)</f>
        <v>468</v>
      </c>
      <c r="F59" t="str">
        <f>IF(الإدخالات!C59="","",IF(الإدخالات!G59="","",الإدخالات!G59))</f>
        <v>تنزيل البيانات لأول مرة</v>
      </c>
      <c r="G59">
        <f>IF($B59&lt;&gt;"",SUMPRODUCT(($B$2:$B59&lt;&gt;"")*1),"")</f>
        <v>58</v>
      </c>
    </row>
    <row r="60" spans="1:7">
      <c r="A60" s="23">
        <f>IF(الإدخالات!C60="","",الإدخالات!B60)</f>
        <v>46218</v>
      </c>
      <c r="B60" t="str">
        <f>IF(الإدخالات!C60="","","شراء")</f>
        <v>شراء</v>
      </c>
      <c r="C60" t="str">
        <f>IF(الإدخالات!C60="","",IF(الإدخالات!E60="","-",الإدخالات!E60))</f>
        <v>امين</v>
      </c>
      <c r="D60" t="str">
        <f>IF(الإدخالات!C60="","",الإدخالات!C60)</f>
        <v xml:space="preserve">بيدون 4 لتر </v>
      </c>
      <c r="E60" s="24">
        <f>IF(الإدخالات!C60="","",الإدخالات!D60)</f>
        <v>12</v>
      </c>
      <c r="F60" t="str">
        <f>IF(الإدخالات!C60="","",IF(الإدخالات!G60="","",الإدخالات!G60))</f>
        <v>تنزيل البيانات لأول مرة</v>
      </c>
      <c r="G60">
        <f>IF($B60&lt;&gt;"",SUMPRODUCT(($B$2:$B60&lt;&gt;"")*1),"")</f>
        <v>59</v>
      </c>
    </row>
    <row r="61" spans="1:7">
      <c r="A61" s="23">
        <f>IF(الإدخالات!C61="","",الإدخالات!B61)</f>
        <v>46218</v>
      </c>
      <c r="B61" t="str">
        <f>IF(الإدخالات!C61="","","شراء")</f>
        <v>شراء</v>
      </c>
      <c r="C61" t="str">
        <f>IF(الإدخالات!C61="","",IF(الإدخالات!E61="","-",الإدخالات!E61))</f>
        <v>امين</v>
      </c>
      <c r="D61" t="str">
        <f>IF(الإدخالات!C61="","",الإدخالات!C61)</f>
        <v>بيتائين</v>
      </c>
      <c r="E61" s="24">
        <f>IF(الإدخالات!C61="","",الإدخالات!D61)</f>
        <v>307.5</v>
      </c>
      <c r="F61" t="str">
        <f>IF(الإدخالات!C61="","",IF(الإدخالات!G61="","",الإدخالات!G61))</f>
        <v>تنزيل البيانات لأول مرة</v>
      </c>
      <c r="G61">
        <f>IF($B61&lt;&gt;"",SUMPRODUCT(($B$2:$B61&lt;&gt;"")*1),"")</f>
        <v>60</v>
      </c>
    </row>
    <row r="62" spans="1:7">
      <c r="A62" s="23">
        <f>IF(الإدخالات!C62="","",الإدخالات!B62)</f>
        <v>46218</v>
      </c>
      <c r="B62" t="str">
        <f>IF(الإدخالات!C62="","","شراء")</f>
        <v>شراء</v>
      </c>
      <c r="C62" t="str">
        <f>IF(الإدخالات!C62="","",IF(الإدخالات!E62="","-",الإدخالات!E62))</f>
        <v>امين</v>
      </c>
      <c r="D62" t="str">
        <f>IF(الإدخالات!C62="","",الإدخالات!C62)</f>
        <v>بوتيل غليكول</v>
      </c>
      <c r="E62" s="24">
        <f>IF(الإدخالات!C62="","",الإدخالات!D62)</f>
        <v>0</v>
      </c>
      <c r="F62" t="str">
        <f>IF(الإدخالات!C62="","",IF(الإدخالات!G62="","",الإدخالات!G62))</f>
        <v>تنزيل البيانات لأول مرة</v>
      </c>
      <c r="G62">
        <f>IF($B62&lt;&gt;"",SUMPRODUCT(($B$2:$B62&lt;&gt;"")*1),"")</f>
        <v>61</v>
      </c>
    </row>
    <row r="63" spans="1:7">
      <c r="A63" s="23">
        <f>IF(الإدخالات!C63="","",الإدخالات!B63)</f>
        <v>46218</v>
      </c>
      <c r="B63" t="str">
        <f>IF(الإدخالات!C63="","","شراء")</f>
        <v>شراء</v>
      </c>
      <c r="C63" t="str">
        <f>IF(الإدخالات!C63="","",IF(الإدخالات!E63="","-",الإدخالات!E63))</f>
        <v>امين</v>
      </c>
      <c r="D63" t="str">
        <f>IF(الإدخالات!C63="","",الإدخالات!C63)</f>
        <v>بلسم جامد</v>
      </c>
      <c r="E63" s="24">
        <f>IF(الإدخالات!C63="","",الإدخالات!D63)</f>
        <v>3</v>
      </c>
      <c r="F63" t="str">
        <f>IF(الإدخالات!C63="","",IF(الإدخالات!G63="","",الإدخالات!G63))</f>
        <v>تنزيل البيانات لأول مرة</v>
      </c>
      <c r="G63">
        <f>IF($B63&lt;&gt;"",SUMPRODUCT(($B$2:$B63&lt;&gt;"")*1),"")</f>
        <v>62</v>
      </c>
    </row>
    <row r="64" spans="1:7">
      <c r="A64" s="23">
        <f>IF(الإدخالات!C64="","",الإدخالات!B64)</f>
        <v>46218</v>
      </c>
      <c r="B64" t="str">
        <f>IF(الإدخالات!C64="","","شراء")</f>
        <v>شراء</v>
      </c>
      <c r="C64" t="str">
        <f>IF(الإدخالات!C64="","",IF(الإدخالات!E64="","-",الإدخالات!E64))</f>
        <v>امين</v>
      </c>
      <c r="D64" t="str">
        <f>IF(الإدخالات!C64="","",الإدخالات!C64)</f>
        <v>بروبلين - فينب</v>
      </c>
      <c r="E64" s="24">
        <f>IF(الإدخالات!C64="","",الإدخالات!D64)</f>
        <v>0</v>
      </c>
      <c r="F64" t="str">
        <f>IF(الإدخالات!C64="","",IF(الإدخالات!G64="","",الإدخالات!G64))</f>
        <v>تنزيل البيانات لأول مرة</v>
      </c>
      <c r="G64">
        <f>IF($B64&lt;&gt;"",SUMPRODUCT(($B$2:$B64&lt;&gt;"")*1),"")</f>
        <v>63</v>
      </c>
    </row>
    <row r="65" spans="1:7">
      <c r="A65" s="23">
        <f>IF(الإدخالات!C65="","",الإدخالات!B65)</f>
        <v>46218</v>
      </c>
      <c r="B65" t="str">
        <f>IF(الإدخالات!C65="","","شراء")</f>
        <v>شراء</v>
      </c>
      <c r="C65" t="str">
        <f>IF(الإدخالات!C65="","",IF(الإدخالات!E65="","-",الإدخالات!E65))</f>
        <v>امين</v>
      </c>
      <c r="D65" t="str">
        <f>IF(الإدخالات!C65="","",الإدخالات!C65)</f>
        <v>ايمولجين</v>
      </c>
      <c r="E65" s="24">
        <f>IF(الإدخالات!C65="","",الإدخالات!D65)</f>
        <v>6</v>
      </c>
      <c r="F65" t="str">
        <f>IF(الإدخالات!C65="","",IF(الإدخالات!G65="","",الإدخالات!G65))</f>
        <v>تنزيل البيانات لأول مرة</v>
      </c>
      <c r="G65">
        <f>IF($B65&lt;&gt;"",SUMPRODUCT(($B$2:$B65&lt;&gt;"")*1),"")</f>
        <v>64</v>
      </c>
    </row>
    <row r="66" spans="1:7">
      <c r="A66" s="23">
        <f>IF(الإدخالات!C66="","",الإدخالات!B66)</f>
        <v>46218</v>
      </c>
      <c r="B66" t="str">
        <f>IF(الإدخالات!C66="","","شراء")</f>
        <v>شراء</v>
      </c>
      <c r="C66" t="str">
        <f>IF(الإدخالات!C66="","",IF(الإدخالات!E66="","-",الإدخالات!E66))</f>
        <v>امين</v>
      </c>
      <c r="D66" t="str">
        <f>IF(الإدخالات!C66="","",الإدخالات!C66)</f>
        <v>ايديتا</v>
      </c>
      <c r="E66" s="24">
        <f>IF(الإدخالات!C66="","",الإدخالات!D66)</f>
        <v>16.5</v>
      </c>
      <c r="F66" t="str">
        <f>IF(الإدخالات!C66="","",IF(الإدخالات!G66="","",الإدخالات!G66))</f>
        <v>تنزيل البيانات لأول مرة</v>
      </c>
      <c r="G66">
        <f>IF($B66&lt;&gt;"",SUMPRODUCT(($B$2:$B66&lt;&gt;"")*1),"")</f>
        <v>65</v>
      </c>
    </row>
    <row r="67" spans="1:7">
      <c r="A67" s="23">
        <f>IF(الإدخالات!C67="","",الإدخالات!B67)</f>
        <v>46218</v>
      </c>
      <c r="B67" t="str">
        <f>IF(الإدخالات!C67="","","شراء")</f>
        <v>شراء</v>
      </c>
      <c r="C67" t="str">
        <f>IF(الإدخالات!C67="","",IF(الإدخالات!E67="","-",الإدخالات!E67))</f>
        <v>امين</v>
      </c>
      <c r="D67" t="str">
        <f>IF(الإدخالات!C67="","",الإدخالات!C67)</f>
        <v>اسيد - روح الملح - حمض كلور الماء</v>
      </c>
      <c r="E67" s="24">
        <f>IF(الإدخالات!C67="","",الإدخالات!D67)</f>
        <v>57</v>
      </c>
      <c r="F67" t="str">
        <f>IF(الإدخالات!C67="","",IF(الإدخالات!G67="","",الإدخالات!G67))</f>
        <v>تنزيل البيانات لأول مرة</v>
      </c>
      <c r="G67">
        <f>IF($B67&lt;&gt;"",SUMPRODUCT(($B$2:$B67&lt;&gt;"")*1),"")</f>
        <v>66</v>
      </c>
    </row>
    <row r="68" spans="1:7">
      <c r="A68" s="23">
        <f>IF(الإدخالات!C68="","",الإدخالات!B68)</f>
        <v>46218</v>
      </c>
      <c r="B68" t="str">
        <f>IF(الإدخالات!C68="","","شراء")</f>
        <v>شراء</v>
      </c>
      <c r="C68" t="str">
        <f>IF(الإدخالات!C68="","",IF(الإدخالات!E68="","-",الإدخالات!E68))</f>
        <v>امين</v>
      </c>
      <c r="D68" t="str">
        <f>IF(الإدخالات!C68="","",الإدخالات!C68)</f>
        <v>اسيتون</v>
      </c>
      <c r="E68" s="24">
        <f>IF(الإدخالات!C68="","",الإدخالات!D68)</f>
        <v>207.5</v>
      </c>
      <c r="F68" t="str">
        <f>IF(الإدخالات!C68="","",IF(الإدخالات!G68="","",الإدخالات!G68))</f>
        <v>تنزيل البيانات لأول مرة</v>
      </c>
      <c r="G68">
        <f>IF($B68&lt;&gt;"",SUMPRODUCT(($B$2:$B68&lt;&gt;"")*1),"")</f>
        <v>67</v>
      </c>
    </row>
    <row r="69" spans="1:7">
      <c r="A69" s="23">
        <f>IF(الإدخالات!C69="","",الإدخالات!B69)</f>
        <v>46218</v>
      </c>
      <c r="B69" t="str">
        <f>IF(الإدخالات!C69="","","شراء")</f>
        <v>شراء</v>
      </c>
      <c r="C69" t="str">
        <f>IF(الإدخالات!C69="","",IF(الإدخالات!E69="","-",الإدخالات!E69))</f>
        <v>امين</v>
      </c>
      <c r="D69" t="str">
        <f>IF(الإدخالات!C69="","",الإدخالات!C69)</f>
        <v>لصاقة طابعة</v>
      </c>
      <c r="E69" s="24">
        <f>IF(الإدخالات!C69="","",الإدخالات!D69)</f>
        <v>0</v>
      </c>
      <c r="F69" t="str">
        <f>IF(الإدخالات!C69="","",IF(الإدخالات!G69="","",الإدخالات!G69))</f>
        <v>تنزيل البيانات لأول مرة</v>
      </c>
      <c r="G69">
        <f>IF($B69&lt;&gt;"",SUMPRODUCT(($B$2:$B69&lt;&gt;"")*1),"")</f>
        <v>68</v>
      </c>
    </row>
    <row r="70" spans="1:7">
      <c r="A70" s="23">
        <f>IF(الإدخالات!C70="","",الإدخالات!B70)</f>
        <v>46218</v>
      </c>
      <c r="B70" t="str">
        <f>IF(الإدخالات!C70="","","شراء")</f>
        <v>شراء</v>
      </c>
      <c r="C70" t="str">
        <f>IF(الإدخالات!C70="","",IF(الإدخالات!E70="","-",الإدخالات!E70))</f>
        <v>امين</v>
      </c>
      <c r="D70" t="str">
        <f>IF(الإدخالات!C70="","",الإدخالات!C70)</f>
        <v>كريك بلاستيك</v>
      </c>
      <c r="E70" s="24">
        <f>IF(الإدخالات!C70="","",الإدخالات!D70)</f>
        <v>1</v>
      </c>
      <c r="F70" t="str">
        <f>IF(الإدخالات!C70="","",IF(الإدخالات!G70="","",الإدخالات!G70))</f>
        <v>تنزيل البيانات لأول مرة</v>
      </c>
      <c r="G70">
        <f>IF($B70&lt;&gt;"",SUMPRODUCT(($B$2:$B70&lt;&gt;"")*1),"")</f>
        <v>69</v>
      </c>
    </row>
    <row r="71" spans="1:7">
      <c r="A71" s="23">
        <f>IF(الإدخالات!C71="","",الإدخالات!B71)</f>
        <v>46218</v>
      </c>
      <c r="B71" t="str">
        <f>IF(الإدخالات!C71="","","شراء")</f>
        <v>شراء</v>
      </c>
      <c r="C71" t="str">
        <f>IF(الإدخالات!C71="","",IF(الإدخالات!E71="","-",الإدخالات!E71))</f>
        <v>امين</v>
      </c>
      <c r="D71" t="str">
        <f>IF(الإدخالات!C71="","",الإدخالات!C71)</f>
        <v>فازلين</v>
      </c>
      <c r="E71" s="24">
        <f>IF(الإدخالات!C71="","",الإدخالات!D71)</f>
        <v>0</v>
      </c>
      <c r="F71" t="str">
        <f>IF(الإدخالات!C71="","",IF(الإدخالات!G71="","",الإدخالات!G71))</f>
        <v>تنزيل البيانات لأول مرة</v>
      </c>
      <c r="G71">
        <f>IF($B71&lt;&gt;"",SUMPRODUCT(($B$2:$B71&lt;&gt;"")*1),"")</f>
        <v>70</v>
      </c>
    </row>
    <row r="72" spans="1:7">
      <c r="A72" s="23">
        <f>IF(الإدخالات!C72="","",الإدخالات!B72)</f>
        <v>46218</v>
      </c>
      <c r="B72" t="str">
        <f>IF(الإدخالات!C72="","","شراء")</f>
        <v>شراء</v>
      </c>
      <c r="C72" t="str">
        <f>IF(الإدخالات!C72="","",IF(الإدخالات!E72="","-",الإدخالات!E72))</f>
        <v>امين</v>
      </c>
      <c r="D72" t="str">
        <f>IF(الإدخالات!C72="","",الإدخالات!C72)</f>
        <v xml:space="preserve">عبوات كلور + فلاش فارغة </v>
      </c>
      <c r="E72" s="24">
        <f>IF(الإدخالات!C72="","",الإدخالات!D72)</f>
        <v>19.829999999999998</v>
      </c>
      <c r="F72" t="str">
        <f>IF(الإدخالات!C72="","",IF(الإدخالات!G72="","",الإدخالات!G72))</f>
        <v>تنزيل البيانات لأول مرة</v>
      </c>
      <c r="G72">
        <f>IF($B72&lt;&gt;"",SUMPRODUCT(($B$2:$B72&lt;&gt;"")*1),"")</f>
        <v>71</v>
      </c>
    </row>
    <row r="73" spans="1:7">
      <c r="A73" s="23">
        <f>IF(الإدخالات!C73="","",الإدخالات!B73)</f>
        <v>46218</v>
      </c>
      <c r="B73" t="str">
        <f>IF(الإدخالات!C73="","","شراء")</f>
        <v>شراء</v>
      </c>
      <c r="C73" t="str">
        <f>IF(الإدخالات!C73="","",IF(الإدخالات!E73="","-",الإدخالات!E73))</f>
        <v>امين</v>
      </c>
      <c r="D73" t="str">
        <f>IF(الإدخالات!C73="","",الإدخالات!C73)</f>
        <v>عبوات شفافة 3 لتر</v>
      </c>
      <c r="E73" s="24">
        <f>IF(الإدخالات!C73="","",الإدخالات!D73)</f>
        <v>11.16</v>
      </c>
      <c r="F73" t="str">
        <f>IF(الإدخالات!C73="","",IF(الإدخالات!G73="","",الإدخالات!G73))</f>
        <v>تنزيل البيانات لأول مرة</v>
      </c>
      <c r="G73">
        <f>IF($B73&lt;&gt;"",SUMPRODUCT(($B$2:$B73&lt;&gt;"")*1),"")</f>
        <v>72</v>
      </c>
    </row>
    <row r="74" spans="1:7">
      <c r="A74" s="23">
        <f>IF(الإدخالات!C74="","",الإدخالات!B74)</f>
        <v>46218</v>
      </c>
      <c r="B74" t="str">
        <f>IF(الإدخالات!C74="","","شراء")</f>
        <v>شراء</v>
      </c>
      <c r="C74" t="str">
        <f>IF(الإدخالات!C74="","",IF(الإدخالات!E74="","-",الإدخالات!E74))</f>
        <v>امين</v>
      </c>
      <c r="D74" t="str">
        <f>IF(الإدخالات!C74="","",الإدخالات!C74)</f>
        <v>عبوات حليبي</v>
      </c>
      <c r="E74" s="24">
        <f>IF(الإدخالات!C74="","",الإدخالات!D74)</f>
        <v>93.75</v>
      </c>
      <c r="F74" t="str">
        <f>IF(الإدخالات!C74="","",IF(الإدخالات!G74="","",الإدخالات!G74))</f>
        <v>تنزيل البيانات لأول مرة</v>
      </c>
      <c r="G74">
        <f>IF($B74&lt;&gt;"",SUMPRODUCT(($B$2:$B74&lt;&gt;"")*1),"")</f>
        <v>73</v>
      </c>
    </row>
    <row r="75" spans="1:7">
      <c r="A75" s="23">
        <f>IF(الإدخالات!C75="","",الإدخالات!B75)</f>
        <v>46218</v>
      </c>
      <c r="B75" t="str">
        <f>IF(الإدخالات!C75="","","شراء")</f>
        <v>شراء</v>
      </c>
      <c r="C75" t="str">
        <f>IF(الإدخالات!C75="","",IF(الإدخالات!E75="","-",الإدخالات!E75))</f>
        <v>امين</v>
      </c>
      <c r="D75" t="str">
        <f>IF(الإدخالات!C75="","",الإدخالات!C75)</f>
        <v>ديتول خام</v>
      </c>
      <c r="E75" s="24">
        <f>IF(الإدخالات!C75="","",الإدخالات!D75)</f>
        <v>0</v>
      </c>
      <c r="F75" t="str">
        <f>IF(الإدخالات!C75="","",IF(الإدخالات!G75="","",الإدخالات!G75))</f>
        <v>تنزيل البيانات لأول مرة</v>
      </c>
      <c r="G75">
        <f>IF($B75&lt;&gt;"",SUMPRODUCT(($B$2:$B75&lt;&gt;"")*1),"")</f>
        <v>74</v>
      </c>
    </row>
    <row r="76" spans="1:7">
      <c r="A76" s="23" t="str">
        <f>IF(الإدخالات!C76="","",الإدخالات!B76)</f>
        <v/>
      </c>
      <c r="B76" t="str">
        <f>IF(الإدخالات!C76="","","شراء")</f>
        <v/>
      </c>
      <c r="C76" t="str">
        <f>IF(الإدخالات!C76="","",IF(الإدخالات!E76="","-",الإدخالات!E76))</f>
        <v/>
      </c>
      <c r="D76" t="str">
        <f>IF(الإدخالات!C76="","",الإدخالات!C76)</f>
        <v/>
      </c>
      <c r="E76" s="24" t="str">
        <f>IF(الإدخالات!C76="","",الإدخالات!D76)</f>
        <v/>
      </c>
      <c r="F76" t="str">
        <f>IF(الإدخالات!C76="","",IF(الإدخالات!G76="","",الإدخالات!G76))</f>
        <v/>
      </c>
      <c r="G76" t="str">
        <f>IF($B76&lt;&gt;"",SUMPRODUCT(($B$2:$B76&lt;&gt;"")*1),"")</f>
        <v/>
      </c>
    </row>
    <row r="77" spans="1:7">
      <c r="A77" s="23" t="str">
        <f>IF(الإدخالات!C77="","",الإدخالات!B77)</f>
        <v/>
      </c>
      <c r="B77" t="str">
        <f>IF(الإدخالات!C77="","","شراء")</f>
        <v/>
      </c>
      <c r="C77" t="str">
        <f>IF(الإدخالات!C77="","",IF(الإدخالات!E77="","-",الإدخالات!E77))</f>
        <v/>
      </c>
      <c r="D77" t="str">
        <f>IF(الإدخالات!C77="","",الإدخالات!C77)</f>
        <v/>
      </c>
      <c r="E77" s="24" t="str">
        <f>IF(الإدخالات!C77="","",الإدخالات!D77)</f>
        <v/>
      </c>
      <c r="F77" t="str">
        <f>IF(الإدخالات!C77="","",IF(الإدخالات!G77="","",الإدخالات!G77))</f>
        <v/>
      </c>
      <c r="G77" t="str">
        <f>IF($B77&lt;&gt;"",SUMPRODUCT(($B$2:$B77&lt;&gt;"")*1),"")</f>
        <v/>
      </c>
    </row>
    <row r="78" spans="1:7">
      <c r="A78" s="23" t="str">
        <f>IF(الإدخالات!C78="","",الإدخالات!B78)</f>
        <v/>
      </c>
      <c r="B78" t="str">
        <f>IF(الإدخالات!C78="","","شراء")</f>
        <v/>
      </c>
      <c r="C78" t="str">
        <f>IF(الإدخالات!C78="","",IF(الإدخالات!E78="","-",الإدخالات!E78))</f>
        <v/>
      </c>
      <c r="D78" t="str">
        <f>IF(الإدخالات!C78="","",الإدخالات!C78)</f>
        <v/>
      </c>
      <c r="E78" s="24" t="str">
        <f>IF(الإدخالات!C78="","",الإدخالات!D78)</f>
        <v/>
      </c>
      <c r="F78" t="str">
        <f>IF(الإدخالات!C78="","",IF(الإدخالات!G78="","",الإدخالات!G78))</f>
        <v/>
      </c>
      <c r="G78" t="str">
        <f>IF($B78&lt;&gt;"",SUMPRODUCT(($B$2:$B78&lt;&gt;"")*1),"")</f>
        <v/>
      </c>
    </row>
    <row r="79" spans="1:7">
      <c r="A79" s="23" t="str">
        <f>IF(الإدخالات!C79="","",الإدخالات!B79)</f>
        <v/>
      </c>
      <c r="B79" t="str">
        <f>IF(الإدخالات!C79="","","شراء")</f>
        <v/>
      </c>
      <c r="C79" t="str">
        <f>IF(الإدخالات!C79="","",IF(الإدخالات!E79="","-",الإدخالات!E79))</f>
        <v/>
      </c>
      <c r="D79" t="str">
        <f>IF(الإدخالات!C79="","",الإدخالات!C79)</f>
        <v/>
      </c>
      <c r="E79" s="24" t="str">
        <f>IF(الإدخالات!C79="","",الإدخالات!D79)</f>
        <v/>
      </c>
      <c r="F79" t="str">
        <f>IF(الإدخالات!C79="","",IF(الإدخالات!G79="","",الإدخالات!G79))</f>
        <v/>
      </c>
      <c r="G79" t="str">
        <f>IF($B79&lt;&gt;"",SUMPRODUCT(($B$2:$B79&lt;&gt;"")*1),"")</f>
        <v/>
      </c>
    </row>
    <row r="80" spans="1:7">
      <c r="A80" s="23" t="str">
        <f>IF(الإدخالات!C80="","",الإدخالات!B80)</f>
        <v/>
      </c>
      <c r="B80" t="str">
        <f>IF(الإدخالات!C80="","","شراء")</f>
        <v/>
      </c>
      <c r="C80" t="str">
        <f>IF(الإدخالات!C80="","",IF(الإدخالات!E80="","-",الإدخالات!E80))</f>
        <v/>
      </c>
      <c r="D80" t="str">
        <f>IF(الإدخالات!C80="","",الإدخالات!C80)</f>
        <v/>
      </c>
      <c r="E80" s="24" t="str">
        <f>IF(الإدخالات!C80="","",الإدخالات!D80)</f>
        <v/>
      </c>
      <c r="F80" t="str">
        <f>IF(الإدخالات!C80="","",IF(الإدخالات!G80="","",الإدخالات!G80))</f>
        <v/>
      </c>
      <c r="G80" t="str">
        <f>IF($B80&lt;&gt;"",SUMPRODUCT(($B$2:$B80&lt;&gt;"")*1),"")</f>
        <v/>
      </c>
    </row>
    <row r="81" spans="1:7">
      <c r="A81" s="23" t="str">
        <f>IF(الإدخالات!C81="","",الإدخالات!B81)</f>
        <v/>
      </c>
      <c r="B81" t="str">
        <f>IF(الإدخالات!C81="","","شراء")</f>
        <v/>
      </c>
      <c r="C81" t="str">
        <f>IF(الإدخالات!C81="","",IF(الإدخالات!E81="","-",الإدخالات!E81))</f>
        <v/>
      </c>
      <c r="D81" t="str">
        <f>IF(الإدخالات!C81="","",الإدخالات!C81)</f>
        <v/>
      </c>
      <c r="E81" s="24" t="str">
        <f>IF(الإدخالات!C81="","",الإدخالات!D81)</f>
        <v/>
      </c>
      <c r="F81" t="str">
        <f>IF(الإدخالات!C81="","",IF(الإدخالات!G81="","",الإدخالات!G81))</f>
        <v/>
      </c>
      <c r="G81" t="str">
        <f>IF($B81&lt;&gt;"",SUMPRODUCT(($B$2:$B81&lt;&gt;"")*1),"")</f>
        <v/>
      </c>
    </row>
    <row r="82" spans="1:7">
      <c r="A82" s="23" t="str">
        <f>IF(الإدخالات!C82="","",الإدخالات!B82)</f>
        <v/>
      </c>
      <c r="B82" t="str">
        <f>IF(الإدخالات!C82="","","شراء")</f>
        <v/>
      </c>
      <c r="C82" t="str">
        <f>IF(الإدخالات!C82="","",IF(الإدخالات!E82="","-",الإدخالات!E82))</f>
        <v/>
      </c>
      <c r="D82" t="str">
        <f>IF(الإدخالات!C82="","",الإدخالات!C82)</f>
        <v/>
      </c>
      <c r="E82" s="24" t="str">
        <f>IF(الإدخالات!C82="","",الإدخالات!D82)</f>
        <v/>
      </c>
      <c r="F82" t="str">
        <f>IF(الإدخالات!C82="","",IF(الإدخالات!G82="","",الإدخالات!G82))</f>
        <v/>
      </c>
      <c r="G82" t="str">
        <f>IF($B82&lt;&gt;"",SUMPRODUCT(($B$2:$B82&lt;&gt;"")*1),"")</f>
        <v/>
      </c>
    </row>
    <row r="83" spans="1:7">
      <c r="A83" s="23" t="str">
        <f>IF(الإدخالات!C83="","",الإدخالات!B83)</f>
        <v/>
      </c>
      <c r="B83" t="str">
        <f>IF(الإدخالات!C83="","","شراء")</f>
        <v/>
      </c>
      <c r="C83" t="str">
        <f>IF(الإدخالات!C83="","",IF(الإدخالات!E83="","-",الإدخالات!E83))</f>
        <v/>
      </c>
      <c r="D83" t="str">
        <f>IF(الإدخالات!C83="","",الإدخالات!C83)</f>
        <v/>
      </c>
      <c r="E83" s="24" t="str">
        <f>IF(الإدخالات!C83="","",الإدخالات!D83)</f>
        <v/>
      </c>
      <c r="F83" t="str">
        <f>IF(الإدخالات!C83="","",IF(الإدخالات!G83="","",الإدخالات!G83))</f>
        <v/>
      </c>
      <c r="G83" t="str">
        <f>IF($B83&lt;&gt;"",SUMPRODUCT(($B$2:$B83&lt;&gt;"")*1),"")</f>
        <v/>
      </c>
    </row>
    <row r="84" spans="1:7">
      <c r="A84" s="23" t="str">
        <f>IF(الإدخالات!C84="","",الإدخالات!B84)</f>
        <v/>
      </c>
      <c r="B84" t="str">
        <f>IF(الإدخالات!C84="","","شراء")</f>
        <v/>
      </c>
      <c r="C84" t="str">
        <f>IF(الإدخالات!C84="","",IF(الإدخالات!E84="","-",الإدخالات!E84))</f>
        <v/>
      </c>
      <c r="D84" t="str">
        <f>IF(الإدخالات!C84="","",الإدخالات!C84)</f>
        <v/>
      </c>
      <c r="E84" s="24" t="str">
        <f>IF(الإدخالات!C84="","",الإدخالات!D84)</f>
        <v/>
      </c>
      <c r="F84" t="str">
        <f>IF(الإدخالات!C84="","",IF(الإدخالات!G84="","",الإدخالات!G84))</f>
        <v/>
      </c>
      <c r="G84" t="str">
        <f>IF($B84&lt;&gt;"",SUMPRODUCT(($B$2:$B84&lt;&gt;"")*1),"")</f>
        <v/>
      </c>
    </row>
    <row r="85" spans="1:7">
      <c r="A85" s="23" t="str">
        <f>IF(الإدخالات!C85="","",الإدخالات!B85)</f>
        <v/>
      </c>
      <c r="B85" t="str">
        <f>IF(الإدخالات!C85="","","شراء")</f>
        <v/>
      </c>
      <c r="C85" t="str">
        <f>IF(الإدخالات!C85="","",IF(الإدخالات!E85="","-",الإدخالات!E85))</f>
        <v/>
      </c>
      <c r="D85" t="str">
        <f>IF(الإدخالات!C85="","",الإدخالات!C85)</f>
        <v/>
      </c>
      <c r="E85" s="24" t="str">
        <f>IF(الإدخالات!C85="","",الإدخالات!D85)</f>
        <v/>
      </c>
      <c r="F85" t="str">
        <f>IF(الإدخالات!C85="","",IF(الإدخالات!G85="","",الإدخالات!G85))</f>
        <v/>
      </c>
      <c r="G85" t="str">
        <f>IF($B85&lt;&gt;"",SUMPRODUCT(($B$2:$B85&lt;&gt;"")*1),"")</f>
        <v/>
      </c>
    </row>
    <row r="86" spans="1:7">
      <c r="A86" s="23" t="str">
        <f>IF(الإدخالات!C86="","",الإدخالات!B86)</f>
        <v/>
      </c>
      <c r="B86" t="str">
        <f>IF(الإدخالات!C86="","","شراء")</f>
        <v/>
      </c>
      <c r="C86" t="str">
        <f>IF(الإدخالات!C86="","",IF(الإدخالات!E86="","-",الإدخالات!E86))</f>
        <v/>
      </c>
      <c r="D86" t="str">
        <f>IF(الإدخالات!C86="","",الإدخالات!C86)</f>
        <v/>
      </c>
      <c r="E86" s="24" t="str">
        <f>IF(الإدخالات!C86="","",الإدخالات!D86)</f>
        <v/>
      </c>
      <c r="F86" t="str">
        <f>IF(الإدخالات!C86="","",IF(الإدخالات!G86="","",الإدخالات!G86))</f>
        <v/>
      </c>
      <c r="G86" t="str">
        <f>IF($B86&lt;&gt;"",SUMPRODUCT(($B$2:$B86&lt;&gt;"")*1),"")</f>
        <v/>
      </c>
    </row>
    <row r="87" spans="1:7">
      <c r="A87" s="23" t="str">
        <f>IF(الإدخالات!C87="","",الإدخالات!B87)</f>
        <v/>
      </c>
      <c r="B87" t="str">
        <f>IF(الإدخالات!C87="","","شراء")</f>
        <v/>
      </c>
      <c r="C87" t="str">
        <f>IF(الإدخالات!C87="","",IF(الإدخالات!E87="","-",الإدخالات!E87))</f>
        <v/>
      </c>
      <c r="D87" t="str">
        <f>IF(الإدخالات!C87="","",الإدخالات!C87)</f>
        <v/>
      </c>
      <c r="E87" s="24" t="str">
        <f>IF(الإدخالات!C87="","",الإدخالات!D87)</f>
        <v/>
      </c>
      <c r="F87" t="str">
        <f>IF(الإدخالات!C87="","",IF(الإدخالات!G87="","",الإدخالات!G87))</f>
        <v/>
      </c>
      <c r="G87" t="str">
        <f>IF($B87&lt;&gt;"",SUMPRODUCT(($B$2:$B87&lt;&gt;"")*1),"")</f>
        <v/>
      </c>
    </row>
    <row r="88" spans="1:7">
      <c r="A88" s="23" t="str">
        <f>IF(الإدخالات!C88="","",الإدخالات!B88)</f>
        <v/>
      </c>
      <c r="B88" t="str">
        <f>IF(الإدخالات!C88="","","شراء")</f>
        <v/>
      </c>
      <c r="C88" t="str">
        <f>IF(الإدخالات!C88="","",IF(الإدخالات!E88="","-",الإدخالات!E88))</f>
        <v/>
      </c>
      <c r="D88" t="str">
        <f>IF(الإدخالات!C88="","",الإدخالات!C88)</f>
        <v/>
      </c>
      <c r="E88" s="24" t="str">
        <f>IF(الإدخالات!C88="","",الإدخالات!D88)</f>
        <v/>
      </c>
      <c r="F88" t="str">
        <f>IF(الإدخالات!C88="","",IF(الإدخالات!G88="","",الإدخالات!G88))</f>
        <v/>
      </c>
      <c r="G88" t="str">
        <f>IF($B88&lt;&gt;"",SUMPRODUCT(($B$2:$B88&lt;&gt;"")*1),"")</f>
        <v/>
      </c>
    </row>
    <row r="89" spans="1:7">
      <c r="A89" s="23" t="str">
        <f>IF(الإدخالات!C89="","",الإدخالات!B89)</f>
        <v/>
      </c>
      <c r="B89" t="str">
        <f>IF(الإدخالات!C89="","","شراء")</f>
        <v/>
      </c>
      <c r="C89" t="str">
        <f>IF(الإدخالات!C89="","",IF(الإدخالات!E89="","-",الإدخالات!E89))</f>
        <v/>
      </c>
      <c r="D89" t="str">
        <f>IF(الإدخالات!C89="","",الإدخالات!C89)</f>
        <v/>
      </c>
      <c r="E89" s="24" t="str">
        <f>IF(الإدخالات!C89="","",الإدخالات!D89)</f>
        <v/>
      </c>
      <c r="F89" t="str">
        <f>IF(الإدخالات!C89="","",IF(الإدخالات!G89="","",الإدخالات!G89))</f>
        <v/>
      </c>
      <c r="G89" t="str">
        <f>IF($B89&lt;&gt;"",SUMPRODUCT(($B$2:$B89&lt;&gt;"")*1),"")</f>
        <v/>
      </c>
    </row>
    <row r="90" spans="1:7">
      <c r="A90" s="23" t="str">
        <f>IF(الإدخالات!C90="","",الإدخالات!B90)</f>
        <v/>
      </c>
      <c r="B90" t="str">
        <f>IF(الإدخالات!C90="","","شراء")</f>
        <v/>
      </c>
      <c r="C90" t="str">
        <f>IF(الإدخالات!C90="","",IF(الإدخالات!E90="","-",الإدخالات!E90))</f>
        <v/>
      </c>
      <c r="D90" t="str">
        <f>IF(الإدخالات!C90="","",الإدخالات!C90)</f>
        <v/>
      </c>
      <c r="E90" s="24" t="str">
        <f>IF(الإدخالات!C90="","",الإدخالات!D90)</f>
        <v/>
      </c>
      <c r="F90" t="str">
        <f>IF(الإدخالات!C90="","",IF(الإدخالات!G90="","",الإدخالات!G90))</f>
        <v/>
      </c>
      <c r="G90" t="str">
        <f>IF($B90&lt;&gt;"",SUMPRODUCT(($B$2:$B90&lt;&gt;"")*1),"")</f>
        <v/>
      </c>
    </row>
    <row r="91" spans="1:7">
      <c r="A91" s="23" t="str">
        <f>IF(الإدخالات!C91="","",الإدخالات!B91)</f>
        <v/>
      </c>
      <c r="B91" t="str">
        <f>IF(الإدخالات!C91="","","شراء")</f>
        <v/>
      </c>
      <c r="C91" t="str">
        <f>IF(الإدخالات!C91="","",IF(الإدخالات!E91="","-",الإدخالات!E91))</f>
        <v/>
      </c>
      <c r="D91" t="str">
        <f>IF(الإدخالات!C91="","",الإدخالات!C91)</f>
        <v/>
      </c>
      <c r="E91" s="24" t="str">
        <f>IF(الإدخالات!C91="","",الإدخالات!D91)</f>
        <v/>
      </c>
      <c r="F91" t="str">
        <f>IF(الإدخالات!C91="","",IF(الإدخالات!G91="","",الإدخالات!G91))</f>
        <v/>
      </c>
      <c r="G91" t="str">
        <f>IF($B91&lt;&gt;"",SUMPRODUCT(($B$2:$B91&lt;&gt;"")*1),"")</f>
        <v/>
      </c>
    </row>
    <row r="92" spans="1:7">
      <c r="A92" s="23" t="str">
        <f>IF(الإدخالات!C92="","",الإدخالات!B92)</f>
        <v/>
      </c>
      <c r="B92" t="str">
        <f>IF(الإدخالات!C92="","","شراء")</f>
        <v/>
      </c>
      <c r="C92" t="str">
        <f>IF(الإدخالات!C92="","",IF(الإدخالات!E92="","-",الإدخالات!E92))</f>
        <v/>
      </c>
      <c r="D92" t="str">
        <f>IF(الإدخالات!C92="","",الإدخالات!C92)</f>
        <v/>
      </c>
      <c r="E92" s="24" t="str">
        <f>IF(الإدخالات!C92="","",الإدخالات!D92)</f>
        <v/>
      </c>
      <c r="F92" t="str">
        <f>IF(الإدخالات!C92="","",IF(الإدخالات!G92="","",الإدخالات!G92))</f>
        <v/>
      </c>
      <c r="G92" t="str">
        <f>IF($B92&lt;&gt;"",SUMPRODUCT(($B$2:$B92&lt;&gt;"")*1),"")</f>
        <v/>
      </c>
    </row>
    <row r="93" spans="1:7">
      <c r="A93" s="23" t="str">
        <f>IF(الإدخالات!C93="","",الإدخالات!B93)</f>
        <v/>
      </c>
      <c r="B93" t="str">
        <f>IF(الإدخالات!C93="","","شراء")</f>
        <v/>
      </c>
      <c r="C93" t="str">
        <f>IF(الإدخالات!C93="","",IF(الإدخالات!E93="","-",الإدخالات!E93))</f>
        <v/>
      </c>
      <c r="D93" t="str">
        <f>IF(الإدخالات!C93="","",الإدخالات!C93)</f>
        <v/>
      </c>
      <c r="E93" s="24" t="str">
        <f>IF(الإدخالات!C93="","",الإدخالات!D93)</f>
        <v/>
      </c>
      <c r="F93" t="str">
        <f>IF(الإدخالات!C93="","",IF(الإدخالات!G93="","",الإدخالات!G93))</f>
        <v/>
      </c>
      <c r="G93" t="str">
        <f>IF($B93&lt;&gt;"",SUMPRODUCT(($B$2:$B93&lt;&gt;"")*1),"")</f>
        <v/>
      </c>
    </row>
    <row r="94" spans="1:7">
      <c r="A94" s="23" t="str">
        <f>IF(الإدخالات!C94="","",الإدخالات!B94)</f>
        <v/>
      </c>
      <c r="B94" t="str">
        <f>IF(الإدخالات!C94="","","شراء")</f>
        <v/>
      </c>
      <c r="C94" t="str">
        <f>IF(الإدخالات!C94="","",IF(الإدخالات!E94="","-",الإدخالات!E94))</f>
        <v/>
      </c>
      <c r="D94" t="str">
        <f>IF(الإدخالات!C94="","",الإدخالات!C94)</f>
        <v/>
      </c>
      <c r="E94" s="24" t="str">
        <f>IF(الإدخالات!C94="","",الإدخالات!D94)</f>
        <v/>
      </c>
      <c r="F94" t="str">
        <f>IF(الإدخالات!C94="","",IF(الإدخالات!G94="","",الإدخالات!G94))</f>
        <v/>
      </c>
      <c r="G94" t="str">
        <f>IF($B94&lt;&gt;"",SUMPRODUCT(($B$2:$B94&lt;&gt;"")*1),"")</f>
        <v/>
      </c>
    </row>
    <row r="95" spans="1:7">
      <c r="A95" s="23" t="str">
        <f>IF(الإدخالات!C95="","",الإدخالات!B95)</f>
        <v/>
      </c>
      <c r="B95" t="str">
        <f>IF(الإدخالات!C95="","","شراء")</f>
        <v/>
      </c>
      <c r="C95" t="str">
        <f>IF(الإدخالات!C95="","",IF(الإدخالات!E95="","-",الإدخالات!E95))</f>
        <v/>
      </c>
      <c r="D95" t="str">
        <f>IF(الإدخالات!C95="","",الإدخالات!C95)</f>
        <v/>
      </c>
      <c r="E95" s="24" t="str">
        <f>IF(الإدخالات!C95="","",الإدخالات!D95)</f>
        <v/>
      </c>
      <c r="F95" t="str">
        <f>IF(الإدخالات!C95="","",IF(الإدخالات!G95="","",الإدخالات!G95))</f>
        <v/>
      </c>
      <c r="G95" t="str">
        <f>IF($B95&lt;&gt;"",SUMPRODUCT(($B$2:$B95&lt;&gt;"")*1),"")</f>
        <v/>
      </c>
    </row>
    <row r="96" spans="1:7">
      <c r="A96" s="23" t="str">
        <f>IF(الإدخالات!C96="","",الإدخالات!B96)</f>
        <v/>
      </c>
      <c r="B96" t="str">
        <f>IF(الإدخالات!C96="","","شراء")</f>
        <v/>
      </c>
      <c r="C96" t="str">
        <f>IF(الإدخالات!C96="","",IF(الإدخالات!E96="","-",الإدخالات!E96))</f>
        <v/>
      </c>
      <c r="D96" t="str">
        <f>IF(الإدخالات!C96="","",الإدخالات!C96)</f>
        <v/>
      </c>
      <c r="E96" s="24" t="str">
        <f>IF(الإدخالات!C96="","",الإدخالات!D96)</f>
        <v/>
      </c>
      <c r="F96" t="str">
        <f>IF(الإدخالات!C96="","",IF(الإدخالات!G96="","",الإدخالات!G96))</f>
        <v/>
      </c>
      <c r="G96" t="str">
        <f>IF($B96&lt;&gt;"",SUMPRODUCT(($B$2:$B96&lt;&gt;"")*1),"")</f>
        <v/>
      </c>
    </row>
    <row r="97" spans="1:7">
      <c r="A97" s="23" t="str">
        <f>IF(الإدخالات!C97="","",الإدخالات!B97)</f>
        <v/>
      </c>
      <c r="B97" t="str">
        <f>IF(الإدخالات!C97="","","شراء")</f>
        <v/>
      </c>
      <c r="C97" t="str">
        <f>IF(الإدخالات!C97="","",IF(الإدخالات!E97="","-",الإدخالات!E97))</f>
        <v/>
      </c>
      <c r="D97" t="str">
        <f>IF(الإدخالات!C97="","",الإدخالات!C97)</f>
        <v/>
      </c>
      <c r="E97" s="24" t="str">
        <f>IF(الإدخالات!C97="","",الإدخالات!D97)</f>
        <v/>
      </c>
      <c r="F97" t="str">
        <f>IF(الإدخالات!C97="","",IF(الإدخالات!G97="","",الإدخالات!G97))</f>
        <v/>
      </c>
      <c r="G97" t="str">
        <f>IF($B97&lt;&gt;"",SUMPRODUCT(($B$2:$B97&lt;&gt;"")*1),"")</f>
        <v/>
      </c>
    </row>
    <row r="98" spans="1:7">
      <c r="A98" s="23" t="str">
        <f>IF(الإدخالات!C98="","",الإدخالات!B98)</f>
        <v/>
      </c>
      <c r="B98" t="str">
        <f>IF(الإدخالات!C98="","","شراء")</f>
        <v/>
      </c>
      <c r="C98" t="str">
        <f>IF(الإدخالات!C98="","",IF(الإدخالات!E98="","-",الإدخالات!E98))</f>
        <v/>
      </c>
      <c r="D98" t="str">
        <f>IF(الإدخالات!C98="","",الإدخالات!C98)</f>
        <v/>
      </c>
      <c r="E98" s="24" t="str">
        <f>IF(الإدخالات!C98="","",الإدخالات!D98)</f>
        <v/>
      </c>
      <c r="F98" t="str">
        <f>IF(الإدخالات!C98="","",IF(الإدخالات!G98="","",الإدخالات!G98))</f>
        <v/>
      </c>
      <c r="G98" t="str">
        <f>IF($B98&lt;&gt;"",SUMPRODUCT(($B$2:$B98&lt;&gt;"")*1),"")</f>
        <v/>
      </c>
    </row>
    <row r="99" spans="1:7">
      <c r="A99" s="23" t="str">
        <f>IF(الإدخالات!C99="","",الإدخالات!B99)</f>
        <v/>
      </c>
      <c r="B99" t="str">
        <f>IF(الإدخالات!C99="","","شراء")</f>
        <v/>
      </c>
      <c r="C99" t="str">
        <f>IF(الإدخالات!C99="","",IF(الإدخالات!E99="","-",الإدخالات!E99))</f>
        <v/>
      </c>
      <c r="D99" t="str">
        <f>IF(الإدخالات!C99="","",الإدخالات!C99)</f>
        <v/>
      </c>
      <c r="E99" s="24" t="str">
        <f>IF(الإدخالات!C99="","",الإدخالات!D99)</f>
        <v/>
      </c>
      <c r="F99" t="str">
        <f>IF(الإدخالات!C99="","",IF(الإدخالات!G99="","",الإدخالات!G99))</f>
        <v/>
      </c>
      <c r="G99" t="str">
        <f>IF($B99&lt;&gt;"",SUMPRODUCT(($B$2:$B99&lt;&gt;"")*1),"")</f>
        <v/>
      </c>
    </row>
    <row r="100" spans="1:7">
      <c r="A100" s="23" t="str">
        <f>IF(الإدخالات!C100="","",الإدخالات!B100)</f>
        <v/>
      </c>
      <c r="B100" t="str">
        <f>IF(الإدخالات!C100="","","شراء")</f>
        <v/>
      </c>
      <c r="C100" t="str">
        <f>IF(الإدخالات!C100="","",IF(الإدخالات!E100="","-",الإدخالات!E100))</f>
        <v/>
      </c>
      <c r="D100" t="str">
        <f>IF(الإدخالات!C100="","",الإدخالات!C100)</f>
        <v/>
      </c>
      <c r="E100" s="24" t="str">
        <f>IF(الإدخالات!C100="","",الإدخالات!D100)</f>
        <v/>
      </c>
      <c r="F100" t="str">
        <f>IF(الإدخالات!C100="","",IF(الإدخالات!G100="","",الإدخالات!G100))</f>
        <v/>
      </c>
      <c r="G100" t="str">
        <f>IF($B100&lt;&gt;"",SUMPRODUCT(($B$2:$B100&lt;&gt;"")*1),"")</f>
        <v/>
      </c>
    </row>
    <row r="101" spans="1:7">
      <c r="A101" s="23" t="str">
        <f>IF(الإدخالات!C101="","",الإدخالات!B101)</f>
        <v/>
      </c>
      <c r="B101" t="str">
        <f>IF(الإدخالات!C101="","","شراء")</f>
        <v/>
      </c>
      <c r="C101" t="str">
        <f>IF(الإدخالات!C101="","",IF(الإدخالات!E101="","-",الإدخالات!E101))</f>
        <v/>
      </c>
      <c r="D101" t="str">
        <f>IF(الإدخالات!C101="","",الإدخالات!C101)</f>
        <v/>
      </c>
      <c r="E101" s="24" t="str">
        <f>IF(الإدخالات!C101="","",الإدخالات!D101)</f>
        <v/>
      </c>
      <c r="F101" t="str">
        <f>IF(الإدخالات!C101="","",IF(الإدخالات!G101="","",الإدخالات!G101))</f>
        <v/>
      </c>
      <c r="G101" t="str">
        <f>IF($B101&lt;&gt;"",SUMPRODUCT(($B$2:$B101&lt;&gt;"")*1),"")</f>
        <v/>
      </c>
    </row>
    <row r="102" spans="1:7">
      <c r="A102" s="23" t="str">
        <f>IF(الإدخالات!C102="","",الإدخالات!B102)</f>
        <v/>
      </c>
      <c r="B102" t="str">
        <f>IF(الإدخالات!C102="","","شراء")</f>
        <v/>
      </c>
      <c r="C102" t="str">
        <f>IF(الإدخالات!C102="","",IF(الإدخالات!E102="","-",الإدخالات!E102))</f>
        <v/>
      </c>
      <c r="D102" t="str">
        <f>IF(الإدخالات!C102="","",الإدخالات!C102)</f>
        <v/>
      </c>
      <c r="E102" s="24" t="str">
        <f>IF(الإدخالات!C102="","",الإدخالات!D102)</f>
        <v/>
      </c>
      <c r="F102" t="str">
        <f>IF(الإدخالات!C102="","",IF(الإدخالات!G102="","",الإدخالات!G102))</f>
        <v/>
      </c>
      <c r="G102" t="str">
        <f>IF($B102&lt;&gt;"",SUMPRODUCT(($B$2:$B102&lt;&gt;"")*1),"")</f>
        <v/>
      </c>
    </row>
    <row r="103" spans="1:7">
      <c r="A103" s="23" t="str">
        <f>IF(الإدخالات!C103="","",الإدخالات!B103)</f>
        <v/>
      </c>
      <c r="B103" t="str">
        <f>IF(الإدخالات!C103="","","شراء")</f>
        <v/>
      </c>
      <c r="C103" t="str">
        <f>IF(الإدخالات!C103="","",IF(الإدخالات!E103="","-",الإدخالات!E103))</f>
        <v/>
      </c>
      <c r="D103" t="str">
        <f>IF(الإدخالات!C103="","",الإدخالات!C103)</f>
        <v/>
      </c>
      <c r="E103" s="24" t="str">
        <f>IF(الإدخالات!C103="","",الإدخالات!D103)</f>
        <v/>
      </c>
      <c r="F103" t="str">
        <f>IF(الإدخالات!C103="","",IF(الإدخالات!G103="","",الإدخالات!G103))</f>
        <v/>
      </c>
      <c r="G103" t="str">
        <f>IF($B103&lt;&gt;"",SUMPRODUCT(($B$2:$B103&lt;&gt;"")*1),"")</f>
        <v/>
      </c>
    </row>
    <row r="104" spans="1:7">
      <c r="A104" s="23" t="str">
        <f>IF(الإدخالات!C104="","",الإدخالات!B104)</f>
        <v/>
      </c>
      <c r="B104" t="str">
        <f>IF(الإدخالات!C104="","","شراء")</f>
        <v/>
      </c>
      <c r="C104" t="str">
        <f>IF(الإدخالات!C104="","",IF(الإدخالات!E104="","-",الإدخالات!E104))</f>
        <v/>
      </c>
      <c r="D104" t="str">
        <f>IF(الإدخالات!C104="","",الإدخالات!C104)</f>
        <v/>
      </c>
      <c r="E104" s="24" t="str">
        <f>IF(الإدخالات!C104="","",الإدخالات!D104)</f>
        <v/>
      </c>
      <c r="F104" t="str">
        <f>IF(الإدخالات!C104="","",IF(الإدخالات!G104="","",الإدخالات!G104))</f>
        <v/>
      </c>
      <c r="G104" t="str">
        <f>IF($B104&lt;&gt;"",SUMPRODUCT(($B$2:$B104&lt;&gt;"")*1),"")</f>
        <v/>
      </c>
    </row>
    <row r="105" spans="1:7">
      <c r="A105" s="23" t="str">
        <f>IF(الإدخالات!C105="","",الإدخالات!B105)</f>
        <v/>
      </c>
      <c r="B105" t="str">
        <f>IF(الإدخالات!C105="","","شراء")</f>
        <v/>
      </c>
      <c r="C105" t="str">
        <f>IF(الإدخالات!C105="","",IF(الإدخالات!E105="","-",الإدخالات!E105))</f>
        <v/>
      </c>
      <c r="D105" t="str">
        <f>IF(الإدخالات!C105="","",الإدخالات!C105)</f>
        <v/>
      </c>
      <c r="E105" s="24" t="str">
        <f>IF(الإدخالات!C105="","",الإدخالات!D105)</f>
        <v/>
      </c>
      <c r="F105" t="str">
        <f>IF(الإدخالات!C105="","",IF(الإدخالات!G105="","",الإدخالات!G105))</f>
        <v/>
      </c>
      <c r="G105" t="str">
        <f>IF($B105&lt;&gt;"",SUMPRODUCT(($B$2:$B105&lt;&gt;"")*1),"")</f>
        <v/>
      </c>
    </row>
    <row r="106" spans="1:7">
      <c r="A106" s="23" t="str">
        <f>IF(الإدخالات!C106="","",الإدخالات!B106)</f>
        <v/>
      </c>
      <c r="B106" t="str">
        <f>IF(الإدخالات!C106="","","شراء")</f>
        <v/>
      </c>
      <c r="C106" t="str">
        <f>IF(الإدخالات!C106="","",IF(الإدخالات!E106="","-",الإدخالات!E106))</f>
        <v/>
      </c>
      <c r="D106" t="str">
        <f>IF(الإدخالات!C106="","",الإدخالات!C106)</f>
        <v/>
      </c>
      <c r="E106" s="24" t="str">
        <f>IF(الإدخالات!C106="","",الإدخالات!D106)</f>
        <v/>
      </c>
      <c r="F106" t="str">
        <f>IF(الإدخالات!C106="","",IF(الإدخالات!G106="","",الإدخالات!G106))</f>
        <v/>
      </c>
      <c r="G106" t="str">
        <f>IF($B106&lt;&gt;"",SUMPRODUCT(($B$2:$B106&lt;&gt;"")*1),"")</f>
        <v/>
      </c>
    </row>
    <row r="107" spans="1:7">
      <c r="A107" s="23" t="str">
        <f>IF(الإدخالات!C107="","",الإدخالات!B107)</f>
        <v/>
      </c>
      <c r="B107" t="str">
        <f>IF(الإدخالات!C107="","","شراء")</f>
        <v/>
      </c>
      <c r="C107" t="str">
        <f>IF(الإدخالات!C107="","",IF(الإدخالات!E107="","-",الإدخالات!E107))</f>
        <v/>
      </c>
      <c r="D107" t="str">
        <f>IF(الإدخالات!C107="","",الإدخالات!C107)</f>
        <v/>
      </c>
      <c r="E107" s="24" t="str">
        <f>IF(الإدخالات!C107="","",الإدخالات!D107)</f>
        <v/>
      </c>
      <c r="F107" t="str">
        <f>IF(الإدخالات!C107="","",IF(الإدخالات!G107="","",الإدخالات!G107))</f>
        <v/>
      </c>
      <c r="G107" t="str">
        <f>IF($B107&lt;&gt;"",SUMPRODUCT(($B$2:$B107&lt;&gt;"")*1),"")</f>
        <v/>
      </c>
    </row>
    <row r="108" spans="1:7">
      <c r="A108" s="23" t="str">
        <f>IF(الإدخالات!C108="","",الإدخالات!B108)</f>
        <v/>
      </c>
      <c r="B108" t="str">
        <f>IF(الإدخالات!C108="","","شراء")</f>
        <v/>
      </c>
      <c r="C108" t="str">
        <f>IF(الإدخالات!C108="","",IF(الإدخالات!E108="","-",الإدخالات!E108))</f>
        <v/>
      </c>
      <c r="D108" t="str">
        <f>IF(الإدخالات!C108="","",الإدخالات!C108)</f>
        <v/>
      </c>
      <c r="E108" s="24" t="str">
        <f>IF(الإدخالات!C108="","",الإدخالات!D108)</f>
        <v/>
      </c>
      <c r="F108" t="str">
        <f>IF(الإدخالات!C108="","",IF(الإدخالات!G108="","",الإدخالات!G108))</f>
        <v/>
      </c>
      <c r="G108" t="str">
        <f>IF($B108&lt;&gt;"",SUMPRODUCT(($B$2:$B108&lt;&gt;"")*1),"")</f>
        <v/>
      </c>
    </row>
    <row r="109" spans="1:7">
      <c r="A109" s="23" t="str">
        <f>IF(الإدخالات!C109="","",الإدخالات!B109)</f>
        <v/>
      </c>
      <c r="B109" t="str">
        <f>IF(الإدخالات!C109="","","شراء")</f>
        <v/>
      </c>
      <c r="C109" t="str">
        <f>IF(الإدخالات!C109="","",IF(الإدخالات!E109="","-",الإدخالات!E109))</f>
        <v/>
      </c>
      <c r="D109" t="str">
        <f>IF(الإدخالات!C109="","",الإدخالات!C109)</f>
        <v/>
      </c>
      <c r="E109" s="24" t="str">
        <f>IF(الإدخالات!C109="","",الإدخالات!D109)</f>
        <v/>
      </c>
      <c r="F109" t="str">
        <f>IF(الإدخالات!C109="","",IF(الإدخالات!G109="","",الإدخالات!G109))</f>
        <v/>
      </c>
      <c r="G109" t="str">
        <f>IF($B109&lt;&gt;"",SUMPRODUCT(($B$2:$B109&lt;&gt;"")*1),"")</f>
        <v/>
      </c>
    </row>
    <row r="110" spans="1:7">
      <c r="A110" s="23" t="str">
        <f>IF(الإدخالات!C110="","",الإدخالات!B110)</f>
        <v/>
      </c>
      <c r="B110" t="str">
        <f>IF(الإدخالات!C110="","","شراء")</f>
        <v/>
      </c>
      <c r="C110" t="str">
        <f>IF(الإدخالات!C110="","",IF(الإدخالات!E110="","-",الإدخالات!E110))</f>
        <v/>
      </c>
      <c r="D110" t="str">
        <f>IF(الإدخالات!C110="","",الإدخالات!C110)</f>
        <v/>
      </c>
      <c r="E110" s="24" t="str">
        <f>IF(الإدخالات!C110="","",الإدخالات!D110)</f>
        <v/>
      </c>
      <c r="F110" t="str">
        <f>IF(الإدخالات!C110="","",IF(الإدخالات!G110="","",الإدخالات!G110))</f>
        <v/>
      </c>
      <c r="G110" t="str">
        <f>IF($B110&lt;&gt;"",SUMPRODUCT(($B$2:$B110&lt;&gt;"")*1),"")</f>
        <v/>
      </c>
    </row>
    <row r="111" spans="1:7">
      <c r="A111" s="23" t="str">
        <f>IF(الإدخالات!C111="","",الإدخالات!B111)</f>
        <v/>
      </c>
      <c r="B111" t="str">
        <f>IF(الإدخالات!C111="","","شراء")</f>
        <v/>
      </c>
      <c r="C111" t="str">
        <f>IF(الإدخالات!C111="","",IF(الإدخالات!E111="","-",الإدخالات!E111))</f>
        <v/>
      </c>
      <c r="D111" t="str">
        <f>IF(الإدخالات!C111="","",الإدخالات!C111)</f>
        <v/>
      </c>
      <c r="E111" s="24" t="str">
        <f>IF(الإدخالات!C111="","",الإدخالات!D111)</f>
        <v/>
      </c>
      <c r="F111" t="str">
        <f>IF(الإدخالات!C111="","",IF(الإدخالات!G111="","",الإدخالات!G111))</f>
        <v/>
      </c>
      <c r="G111" t="str">
        <f>IF($B111&lt;&gt;"",SUMPRODUCT(($B$2:$B111&lt;&gt;"")*1),"")</f>
        <v/>
      </c>
    </row>
    <row r="112" spans="1:7">
      <c r="A112" s="23" t="str">
        <f>IF(الإدخالات!C112="","",الإدخالات!B112)</f>
        <v/>
      </c>
      <c r="B112" t="str">
        <f>IF(الإدخالات!C112="","","شراء")</f>
        <v/>
      </c>
      <c r="C112" t="str">
        <f>IF(الإدخالات!C112="","",IF(الإدخالات!E112="","-",الإدخالات!E112))</f>
        <v/>
      </c>
      <c r="D112" t="str">
        <f>IF(الإدخالات!C112="","",الإدخالات!C112)</f>
        <v/>
      </c>
      <c r="E112" s="24" t="str">
        <f>IF(الإدخالات!C112="","",الإدخالات!D112)</f>
        <v/>
      </c>
      <c r="F112" t="str">
        <f>IF(الإدخالات!C112="","",IF(الإدخالات!G112="","",الإدخالات!G112))</f>
        <v/>
      </c>
      <c r="G112" t="str">
        <f>IF($B112&lt;&gt;"",SUMPRODUCT(($B$2:$B112&lt;&gt;"")*1),"")</f>
        <v/>
      </c>
    </row>
    <row r="113" spans="1:7">
      <c r="A113" s="23" t="str">
        <f>IF(الإدخالات!C113="","",الإدخالات!B113)</f>
        <v/>
      </c>
      <c r="B113" t="str">
        <f>IF(الإدخالات!C113="","","شراء")</f>
        <v/>
      </c>
      <c r="C113" t="str">
        <f>IF(الإدخالات!C113="","",IF(الإدخالات!E113="","-",الإدخالات!E113))</f>
        <v/>
      </c>
      <c r="D113" t="str">
        <f>IF(الإدخالات!C113="","",الإدخالات!C113)</f>
        <v/>
      </c>
      <c r="E113" s="24" t="str">
        <f>IF(الإدخالات!C113="","",الإدخالات!D113)</f>
        <v/>
      </c>
      <c r="F113" t="str">
        <f>IF(الإدخالات!C113="","",IF(الإدخالات!G113="","",الإدخالات!G113))</f>
        <v/>
      </c>
      <c r="G113" t="str">
        <f>IF($B113&lt;&gt;"",SUMPRODUCT(($B$2:$B113&lt;&gt;"")*1),"")</f>
        <v/>
      </c>
    </row>
    <row r="114" spans="1:7">
      <c r="A114" s="23" t="str">
        <f>IF(الإدخالات!C114="","",الإدخالات!B114)</f>
        <v/>
      </c>
      <c r="B114" t="str">
        <f>IF(الإدخالات!C114="","","شراء")</f>
        <v/>
      </c>
      <c r="C114" t="str">
        <f>IF(الإدخالات!C114="","",IF(الإدخالات!E114="","-",الإدخالات!E114))</f>
        <v/>
      </c>
      <c r="D114" t="str">
        <f>IF(الإدخالات!C114="","",الإدخالات!C114)</f>
        <v/>
      </c>
      <c r="E114" s="24" t="str">
        <f>IF(الإدخالات!C114="","",الإدخالات!D114)</f>
        <v/>
      </c>
      <c r="F114" t="str">
        <f>IF(الإدخالات!C114="","",IF(الإدخالات!G114="","",الإدخالات!G114))</f>
        <v/>
      </c>
      <c r="G114" t="str">
        <f>IF($B114&lt;&gt;"",SUMPRODUCT(($B$2:$B114&lt;&gt;"")*1),"")</f>
        <v/>
      </c>
    </row>
    <row r="115" spans="1:7">
      <c r="A115" s="23" t="str">
        <f>IF(الإدخالات!C115="","",الإدخالات!B115)</f>
        <v/>
      </c>
      <c r="B115" t="str">
        <f>IF(الإدخالات!C115="","","شراء")</f>
        <v/>
      </c>
      <c r="C115" t="str">
        <f>IF(الإدخالات!C115="","",IF(الإدخالات!E115="","-",الإدخالات!E115))</f>
        <v/>
      </c>
      <c r="D115" t="str">
        <f>IF(الإدخالات!C115="","",الإدخالات!C115)</f>
        <v/>
      </c>
      <c r="E115" s="24" t="str">
        <f>IF(الإدخالات!C115="","",الإدخالات!D115)</f>
        <v/>
      </c>
      <c r="F115" t="str">
        <f>IF(الإدخالات!C115="","",IF(الإدخالات!G115="","",الإدخالات!G115))</f>
        <v/>
      </c>
      <c r="G115" t="str">
        <f>IF($B115&lt;&gt;"",SUMPRODUCT(($B$2:$B115&lt;&gt;"")*1),"")</f>
        <v/>
      </c>
    </row>
    <row r="116" spans="1:7">
      <c r="A116" s="23" t="str">
        <f>IF(الإدخالات!C116="","",الإدخالات!B116)</f>
        <v/>
      </c>
      <c r="B116" t="str">
        <f>IF(الإدخالات!C116="","","شراء")</f>
        <v/>
      </c>
      <c r="C116" t="str">
        <f>IF(الإدخالات!C116="","",IF(الإدخالات!E116="","-",الإدخالات!E116))</f>
        <v/>
      </c>
      <c r="D116" t="str">
        <f>IF(الإدخالات!C116="","",الإدخالات!C116)</f>
        <v/>
      </c>
      <c r="E116" s="24" t="str">
        <f>IF(الإدخالات!C116="","",الإدخالات!D116)</f>
        <v/>
      </c>
      <c r="F116" t="str">
        <f>IF(الإدخالات!C116="","",IF(الإدخالات!G116="","",الإدخالات!G116))</f>
        <v/>
      </c>
      <c r="G116" t="str">
        <f>IF($B116&lt;&gt;"",SUMPRODUCT(($B$2:$B116&lt;&gt;"")*1),"")</f>
        <v/>
      </c>
    </row>
    <row r="117" spans="1:7">
      <c r="A117" s="23" t="str">
        <f>IF(الإدخالات!C117="","",الإدخالات!B117)</f>
        <v/>
      </c>
      <c r="B117" t="str">
        <f>IF(الإدخالات!C117="","","شراء")</f>
        <v/>
      </c>
      <c r="C117" t="str">
        <f>IF(الإدخالات!C117="","",IF(الإدخالات!E117="","-",الإدخالات!E117))</f>
        <v/>
      </c>
      <c r="D117" t="str">
        <f>IF(الإدخالات!C117="","",الإدخالات!C117)</f>
        <v/>
      </c>
      <c r="E117" s="24" t="str">
        <f>IF(الإدخالات!C117="","",الإدخالات!D117)</f>
        <v/>
      </c>
      <c r="F117" t="str">
        <f>IF(الإدخالات!C117="","",IF(الإدخالات!G117="","",الإدخالات!G117))</f>
        <v/>
      </c>
      <c r="G117" t="str">
        <f>IF($B117&lt;&gt;"",SUMPRODUCT(($B$2:$B117&lt;&gt;"")*1),"")</f>
        <v/>
      </c>
    </row>
    <row r="118" spans="1:7">
      <c r="A118" s="23" t="str">
        <f>IF(الإدخالات!C118="","",الإدخالات!B118)</f>
        <v/>
      </c>
      <c r="B118" t="str">
        <f>IF(الإدخالات!C118="","","شراء")</f>
        <v/>
      </c>
      <c r="C118" t="str">
        <f>IF(الإدخالات!C118="","",IF(الإدخالات!E118="","-",الإدخالات!E118))</f>
        <v/>
      </c>
      <c r="D118" t="str">
        <f>IF(الإدخالات!C118="","",الإدخالات!C118)</f>
        <v/>
      </c>
      <c r="E118" s="24" t="str">
        <f>IF(الإدخالات!C118="","",الإدخالات!D118)</f>
        <v/>
      </c>
      <c r="F118" t="str">
        <f>IF(الإدخالات!C118="","",IF(الإدخالات!G118="","",الإدخالات!G118))</f>
        <v/>
      </c>
      <c r="G118" t="str">
        <f>IF($B118&lt;&gt;"",SUMPRODUCT(($B$2:$B118&lt;&gt;"")*1),"")</f>
        <v/>
      </c>
    </row>
    <row r="119" spans="1:7">
      <c r="A119" s="23" t="str">
        <f>IF(الإدخالات!C119="","",الإدخالات!B119)</f>
        <v/>
      </c>
      <c r="B119" t="str">
        <f>IF(الإدخالات!C119="","","شراء")</f>
        <v/>
      </c>
      <c r="C119" t="str">
        <f>IF(الإدخالات!C119="","",IF(الإدخالات!E119="","-",الإدخالات!E119))</f>
        <v/>
      </c>
      <c r="D119" t="str">
        <f>IF(الإدخالات!C119="","",الإدخالات!C119)</f>
        <v/>
      </c>
      <c r="E119" s="24" t="str">
        <f>IF(الإدخالات!C119="","",الإدخالات!D119)</f>
        <v/>
      </c>
      <c r="F119" t="str">
        <f>IF(الإدخالات!C119="","",IF(الإدخالات!G119="","",الإدخالات!G119))</f>
        <v/>
      </c>
      <c r="G119" t="str">
        <f>IF($B119&lt;&gt;"",SUMPRODUCT(($B$2:$B119&lt;&gt;"")*1),"")</f>
        <v/>
      </c>
    </row>
    <row r="120" spans="1:7">
      <c r="A120" s="23" t="str">
        <f>IF(الإدخالات!C120="","",الإدخالات!B120)</f>
        <v/>
      </c>
      <c r="B120" t="str">
        <f>IF(الإدخالات!C120="","","شراء")</f>
        <v/>
      </c>
      <c r="C120" t="str">
        <f>IF(الإدخالات!C120="","",IF(الإدخالات!E120="","-",الإدخالات!E120))</f>
        <v/>
      </c>
      <c r="D120" t="str">
        <f>IF(الإدخالات!C120="","",الإدخالات!C120)</f>
        <v/>
      </c>
      <c r="E120" s="24" t="str">
        <f>IF(الإدخالات!C120="","",الإدخالات!D120)</f>
        <v/>
      </c>
      <c r="F120" t="str">
        <f>IF(الإدخالات!C120="","",IF(الإدخالات!G120="","",الإدخالات!G120))</f>
        <v/>
      </c>
      <c r="G120" t="str">
        <f>IF($B120&lt;&gt;"",SUMPRODUCT(($B$2:$B120&lt;&gt;"")*1),"")</f>
        <v/>
      </c>
    </row>
    <row r="121" spans="1:7">
      <c r="A121" s="23" t="str">
        <f>IF(الإدخالات!C121="","",الإدخالات!B121)</f>
        <v/>
      </c>
      <c r="B121" t="str">
        <f>IF(الإدخالات!C121="","","شراء")</f>
        <v/>
      </c>
      <c r="C121" t="str">
        <f>IF(الإدخالات!C121="","",IF(الإدخالات!E121="","-",الإدخالات!E121))</f>
        <v/>
      </c>
      <c r="D121" t="str">
        <f>IF(الإدخالات!C121="","",الإدخالات!C121)</f>
        <v/>
      </c>
      <c r="E121" s="24" t="str">
        <f>IF(الإدخالات!C121="","",الإدخالات!D121)</f>
        <v/>
      </c>
      <c r="F121" t="str">
        <f>IF(الإدخالات!C121="","",IF(الإدخالات!G121="","",الإدخالات!G121))</f>
        <v/>
      </c>
      <c r="G121" t="str">
        <f>IF($B121&lt;&gt;"",SUMPRODUCT(($B$2:$B121&lt;&gt;"")*1),"")</f>
        <v/>
      </c>
    </row>
    <row r="122" spans="1:7">
      <c r="A122" s="23" t="str">
        <f>IF(الإدخالات!C122="","",الإدخالات!B122)</f>
        <v/>
      </c>
      <c r="B122" t="str">
        <f>IF(الإدخالات!C122="","","شراء")</f>
        <v/>
      </c>
      <c r="C122" t="str">
        <f>IF(الإدخالات!C122="","",IF(الإدخالات!E122="","-",الإدخالات!E122))</f>
        <v/>
      </c>
      <c r="D122" t="str">
        <f>IF(الإدخالات!C122="","",الإدخالات!C122)</f>
        <v/>
      </c>
      <c r="E122" s="24" t="str">
        <f>IF(الإدخالات!C122="","",الإدخالات!D122)</f>
        <v/>
      </c>
      <c r="F122" t="str">
        <f>IF(الإدخالات!C122="","",IF(الإدخالات!G122="","",الإدخالات!G122))</f>
        <v/>
      </c>
      <c r="G122" t="str">
        <f>IF($B122&lt;&gt;"",SUMPRODUCT(($B$2:$B122&lt;&gt;"")*1),"")</f>
        <v/>
      </c>
    </row>
    <row r="123" spans="1:7">
      <c r="A123" s="23" t="str">
        <f>IF(الإدخالات!C123="","",الإدخالات!B123)</f>
        <v/>
      </c>
      <c r="B123" t="str">
        <f>IF(الإدخالات!C123="","","شراء")</f>
        <v/>
      </c>
      <c r="C123" t="str">
        <f>IF(الإدخالات!C123="","",IF(الإدخالات!E123="","-",الإدخالات!E123))</f>
        <v/>
      </c>
      <c r="D123" t="str">
        <f>IF(الإدخالات!C123="","",الإدخالات!C123)</f>
        <v/>
      </c>
      <c r="E123" s="24" t="str">
        <f>IF(الإدخالات!C123="","",الإدخالات!D123)</f>
        <v/>
      </c>
      <c r="F123" t="str">
        <f>IF(الإدخالات!C123="","",IF(الإدخالات!G123="","",الإدخالات!G123))</f>
        <v/>
      </c>
      <c r="G123" t="str">
        <f>IF($B123&lt;&gt;"",SUMPRODUCT(($B$2:$B123&lt;&gt;"")*1),"")</f>
        <v/>
      </c>
    </row>
    <row r="124" spans="1:7">
      <c r="A124" s="23" t="str">
        <f>IF(الإدخالات!C124="","",الإدخالات!B124)</f>
        <v/>
      </c>
      <c r="B124" t="str">
        <f>IF(الإدخالات!C124="","","شراء")</f>
        <v/>
      </c>
      <c r="C124" t="str">
        <f>IF(الإدخالات!C124="","",IF(الإدخالات!E124="","-",الإدخالات!E124))</f>
        <v/>
      </c>
      <c r="D124" t="str">
        <f>IF(الإدخالات!C124="","",الإدخالات!C124)</f>
        <v/>
      </c>
      <c r="E124" s="24" t="str">
        <f>IF(الإدخالات!C124="","",الإدخالات!D124)</f>
        <v/>
      </c>
      <c r="F124" t="str">
        <f>IF(الإدخالات!C124="","",IF(الإدخالات!G124="","",الإدخالات!G124))</f>
        <v/>
      </c>
      <c r="G124" t="str">
        <f>IF($B124&lt;&gt;"",SUMPRODUCT(($B$2:$B124&lt;&gt;"")*1),"")</f>
        <v/>
      </c>
    </row>
    <row r="125" spans="1:7">
      <c r="A125" s="23" t="str">
        <f>IF(الإدخالات!C125="","",الإدخالات!B125)</f>
        <v/>
      </c>
      <c r="B125" t="str">
        <f>IF(الإدخالات!C125="","","شراء")</f>
        <v/>
      </c>
      <c r="C125" t="str">
        <f>IF(الإدخالات!C125="","",IF(الإدخالات!E125="","-",الإدخالات!E125))</f>
        <v/>
      </c>
      <c r="D125" t="str">
        <f>IF(الإدخالات!C125="","",الإدخالات!C125)</f>
        <v/>
      </c>
      <c r="E125" s="24" t="str">
        <f>IF(الإدخالات!C125="","",الإدخالات!D125)</f>
        <v/>
      </c>
      <c r="F125" t="str">
        <f>IF(الإدخالات!C125="","",IF(الإدخالات!G125="","",الإدخالات!G125))</f>
        <v/>
      </c>
      <c r="G125" t="str">
        <f>IF($B125&lt;&gt;"",SUMPRODUCT(($B$2:$B125&lt;&gt;"")*1),"")</f>
        <v/>
      </c>
    </row>
    <row r="126" spans="1:7">
      <c r="A126" s="23" t="str">
        <f>IF(الإدخالات!C126="","",الإدخالات!B126)</f>
        <v/>
      </c>
      <c r="B126" t="str">
        <f>IF(الإدخالات!C126="","","شراء")</f>
        <v/>
      </c>
      <c r="C126" t="str">
        <f>IF(الإدخالات!C126="","",IF(الإدخالات!E126="","-",الإدخالات!E126))</f>
        <v/>
      </c>
      <c r="D126" t="str">
        <f>IF(الإدخالات!C126="","",الإدخالات!C126)</f>
        <v/>
      </c>
      <c r="E126" s="24" t="str">
        <f>IF(الإدخالات!C126="","",الإدخالات!D126)</f>
        <v/>
      </c>
      <c r="F126" t="str">
        <f>IF(الإدخالات!C126="","",IF(الإدخالات!G126="","",الإدخالات!G126))</f>
        <v/>
      </c>
      <c r="G126" t="str">
        <f>IF($B126&lt;&gt;"",SUMPRODUCT(($B$2:$B126&lt;&gt;"")*1),"")</f>
        <v/>
      </c>
    </row>
    <row r="127" spans="1:7">
      <c r="A127" s="23" t="str">
        <f>IF(الإدخالات!C127="","",الإدخالات!B127)</f>
        <v/>
      </c>
      <c r="B127" t="str">
        <f>IF(الإدخالات!C127="","","شراء")</f>
        <v/>
      </c>
      <c r="C127" t="str">
        <f>IF(الإدخالات!C127="","",IF(الإدخالات!E127="","-",الإدخالات!E127))</f>
        <v/>
      </c>
      <c r="D127" t="str">
        <f>IF(الإدخالات!C127="","",الإدخالات!C127)</f>
        <v/>
      </c>
      <c r="E127" s="24" t="str">
        <f>IF(الإدخالات!C127="","",الإدخالات!D127)</f>
        <v/>
      </c>
      <c r="F127" t="str">
        <f>IF(الإدخالات!C127="","",IF(الإدخالات!G127="","",الإدخالات!G127))</f>
        <v/>
      </c>
      <c r="G127" t="str">
        <f>IF($B127&lt;&gt;"",SUMPRODUCT(($B$2:$B127&lt;&gt;"")*1),"")</f>
        <v/>
      </c>
    </row>
    <row r="128" spans="1:7">
      <c r="A128" s="23" t="str">
        <f>IF(الإدخالات!C128="","",الإدخالات!B128)</f>
        <v/>
      </c>
      <c r="B128" t="str">
        <f>IF(الإدخالات!C128="","","شراء")</f>
        <v/>
      </c>
      <c r="C128" t="str">
        <f>IF(الإدخالات!C128="","",IF(الإدخالات!E128="","-",الإدخالات!E128))</f>
        <v/>
      </c>
      <c r="D128" t="str">
        <f>IF(الإدخالات!C128="","",الإدخالات!C128)</f>
        <v/>
      </c>
      <c r="E128" s="24" t="str">
        <f>IF(الإدخالات!C128="","",الإدخالات!D128)</f>
        <v/>
      </c>
      <c r="F128" t="str">
        <f>IF(الإدخالات!C128="","",IF(الإدخالات!G128="","",الإدخالات!G128))</f>
        <v/>
      </c>
      <c r="G128" t="str">
        <f>IF($B128&lt;&gt;"",SUMPRODUCT(($B$2:$B128&lt;&gt;"")*1),"")</f>
        <v/>
      </c>
    </row>
    <row r="129" spans="1:7">
      <c r="A129" s="23" t="str">
        <f>IF(الإدخالات!C129="","",الإدخالات!B129)</f>
        <v/>
      </c>
      <c r="B129" t="str">
        <f>IF(الإدخالات!C129="","","شراء")</f>
        <v/>
      </c>
      <c r="C129" t="str">
        <f>IF(الإدخالات!C129="","",IF(الإدخالات!E129="","-",الإدخالات!E129))</f>
        <v/>
      </c>
      <c r="D129" t="str">
        <f>IF(الإدخالات!C129="","",الإدخالات!C129)</f>
        <v/>
      </c>
      <c r="E129" s="24" t="str">
        <f>IF(الإدخالات!C129="","",الإدخالات!D129)</f>
        <v/>
      </c>
      <c r="F129" t="str">
        <f>IF(الإدخالات!C129="","",IF(الإدخالات!G129="","",الإدخالات!G129))</f>
        <v/>
      </c>
      <c r="G129" t="str">
        <f>IF($B129&lt;&gt;"",SUMPRODUCT(($B$2:$B129&lt;&gt;"")*1),"")</f>
        <v/>
      </c>
    </row>
    <row r="130" spans="1:7">
      <c r="A130" s="23" t="str">
        <f>IF(الإدخالات!C130="","",الإدخالات!B130)</f>
        <v/>
      </c>
      <c r="B130" t="str">
        <f>IF(الإدخالات!C130="","","شراء")</f>
        <v/>
      </c>
      <c r="C130" t="str">
        <f>IF(الإدخالات!C130="","",IF(الإدخالات!E130="","-",الإدخالات!E130))</f>
        <v/>
      </c>
      <c r="D130" t="str">
        <f>IF(الإدخالات!C130="","",الإدخالات!C130)</f>
        <v/>
      </c>
      <c r="E130" s="24" t="str">
        <f>IF(الإدخالات!C130="","",الإدخالات!D130)</f>
        <v/>
      </c>
      <c r="F130" t="str">
        <f>IF(الإدخالات!C130="","",IF(الإدخالات!G130="","",الإدخالات!G130))</f>
        <v/>
      </c>
      <c r="G130" t="str">
        <f>IF($B130&lt;&gt;"",SUMPRODUCT(($B$2:$B130&lt;&gt;"")*1),"")</f>
        <v/>
      </c>
    </row>
    <row r="131" spans="1:7">
      <c r="A131" s="23" t="str">
        <f>IF(الإدخالات!C131="","",الإدخالات!B131)</f>
        <v/>
      </c>
      <c r="B131" t="str">
        <f>IF(الإدخالات!C131="","","شراء")</f>
        <v/>
      </c>
      <c r="C131" t="str">
        <f>IF(الإدخالات!C131="","",IF(الإدخالات!E131="","-",الإدخالات!E131))</f>
        <v/>
      </c>
      <c r="D131" t="str">
        <f>IF(الإدخالات!C131="","",الإدخالات!C131)</f>
        <v/>
      </c>
      <c r="E131" s="24" t="str">
        <f>IF(الإدخالات!C131="","",الإدخالات!D131)</f>
        <v/>
      </c>
      <c r="F131" t="str">
        <f>IF(الإدخالات!C131="","",IF(الإدخالات!G131="","",الإدخالات!G131))</f>
        <v/>
      </c>
      <c r="G131" t="str">
        <f>IF($B131&lt;&gt;"",SUMPRODUCT(($B$2:$B131&lt;&gt;"")*1),"")</f>
        <v/>
      </c>
    </row>
    <row r="132" spans="1:7">
      <c r="A132" s="23" t="str">
        <f>IF(الإدخالات!C132="","",الإدخالات!B132)</f>
        <v/>
      </c>
      <c r="B132" t="str">
        <f>IF(الإدخالات!C132="","","شراء")</f>
        <v/>
      </c>
      <c r="C132" t="str">
        <f>IF(الإدخالات!C132="","",IF(الإدخالات!E132="","-",الإدخالات!E132))</f>
        <v/>
      </c>
      <c r="D132" t="str">
        <f>IF(الإدخالات!C132="","",الإدخالات!C132)</f>
        <v/>
      </c>
      <c r="E132" s="24" t="str">
        <f>IF(الإدخالات!C132="","",الإدخالات!D132)</f>
        <v/>
      </c>
      <c r="F132" t="str">
        <f>IF(الإدخالات!C132="","",IF(الإدخالات!G132="","",الإدخالات!G132))</f>
        <v/>
      </c>
      <c r="G132" t="str">
        <f>IF($B132&lt;&gt;"",SUMPRODUCT(($B$2:$B132&lt;&gt;"")*1),"")</f>
        <v/>
      </c>
    </row>
    <row r="133" spans="1:7">
      <c r="A133" s="23" t="str">
        <f>IF(الإدخالات!C133="","",الإدخالات!B133)</f>
        <v/>
      </c>
      <c r="B133" t="str">
        <f>IF(الإدخالات!C133="","","شراء")</f>
        <v/>
      </c>
      <c r="C133" t="str">
        <f>IF(الإدخالات!C133="","",IF(الإدخالات!E133="","-",الإدخالات!E133))</f>
        <v/>
      </c>
      <c r="D133" t="str">
        <f>IF(الإدخالات!C133="","",الإدخالات!C133)</f>
        <v/>
      </c>
      <c r="E133" s="24" t="str">
        <f>IF(الإدخالات!C133="","",الإدخالات!D133)</f>
        <v/>
      </c>
      <c r="F133" t="str">
        <f>IF(الإدخالات!C133="","",IF(الإدخالات!G133="","",الإدخالات!G133))</f>
        <v/>
      </c>
      <c r="G133" t="str">
        <f>IF($B133&lt;&gt;"",SUMPRODUCT(($B$2:$B133&lt;&gt;"")*1),"")</f>
        <v/>
      </c>
    </row>
    <row r="134" spans="1:7">
      <c r="A134" s="23" t="str">
        <f>IF(الإدخالات!C134="","",الإدخالات!B134)</f>
        <v/>
      </c>
      <c r="B134" t="str">
        <f>IF(الإدخالات!C134="","","شراء")</f>
        <v/>
      </c>
      <c r="C134" t="str">
        <f>IF(الإدخالات!C134="","",IF(الإدخالات!E134="","-",الإدخالات!E134))</f>
        <v/>
      </c>
      <c r="D134" t="str">
        <f>IF(الإدخالات!C134="","",الإدخالات!C134)</f>
        <v/>
      </c>
      <c r="E134" s="24" t="str">
        <f>IF(الإدخالات!C134="","",الإدخالات!D134)</f>
        <v/>
      </c>
      <c r="F134" t="str">
        <f>IF(الإدخالات!C134="","",IF(الإدخالات!G134="","",الإدخالات!G134))</f>
        <v/>
      </c>
      <c r="G134" t="str">
        <f>IF($B134&lt;&gt;"",SUMPRODUCT(($B$2:$B134&lt;&gt;"")*1),"")</f>
        <v/>
      </c>
    </row>
    <row r="135" spans="1:7">
      <c r="A135" s="23" t="str">
        <f>IF(الإدخالات!C135="","",الإدخالات!B135)</f>
        <v/>
      </c>
      <c r="B135" t="str">
        <f>IF(الإدخالات!C135="","","شراء")</f>
        <v/>
      </c>
      <c r="C135" t="str">
        <f>IF(الإدخالات!C135="","",IF(الإدخالات!E135="","-",الإدخالات!E135))</f>
        <v/>
      </c>
      <c r="D135" t="str">
        <f>IF(الإدخالات!C135="","",الإدخالات!C135)</f>
        <v/>
      </c>
      <c r="E135" s="24" t="str">
        <f>IF(الإدخالات!C135="","",الإدخالات!D135)</f>
        <v/>
      </c>
      <c r="F135" t="str">
        <f>IF(الإدخالات!C135="","",IF(الإدخالات!G135="","",الإدخالات!G135))</f>
        <v/>
      </c>
      <c r="G135" t="str">
        <f>IF($B135&lt;&gt;"",SUMPRODUCT(($B$2:$B135&lt;&gt;"")*1),"")</f>
        <v/>
      </c>
    </row>
    <row r="136" spans="1:7">
      <c r="A136" s="23" t="str">
        <f>IF(الإدخالات!C136="","",الإدخالات!B136)</f>
        <v/>
      </c>
      <c r="B136" t="str">
        <f>IF(الإدخالات!C136="","","شراء")</f>
        <v/>
      </c>
      <c r="C136" t="str">
        <f>IF(الإدخالات!C136="","",IF(الإدخالات!E136="","-",الإدخالات!E136))</f>
        <v/>
      </c>
      <c r="D136" t="str">
        <f>IF(الإدخالات!C136="","",الإدخالات!C136)</f>
        <v/>
      </c>
      <c r="E136" s="24" t="str">
        <f>IF(الإدخالات!C136="","",الإدخالات!D136)</f>
        <v/>
      </c>
      <c r="F136" t="str">
        <f>IF(الإدخالات!C136="","",IF(الإدخالات!G136="","",الإدخالات!G136))</f>
        <v/>
      </c>
      <c r="G136" t="str">
        <f>IF($B136&lt;&gt;"",SUMPRODUCT(($B$2:$B136&lt;&gt;"")*1),"")</f>
        <v/>
      </c>
    </row>
    <row r="137" spans="1:7">
      <c r="A137" s="23" t="str">
        <f>IF(الإدخالات!C137="","",الإدخالات!B137)</f>
        <v/>
      </c>
      <c r="B137" t="str">
        <f>IF(الإدخالات!C137="","","شراء")</f>
        <v/>
      </c>
      <c r="C137" t="str">
        <f>IF(الإدخالات!C137="","",IF(الإدخالات!E137="","-",الإدخالات!E137))</f>
        <v/>
      </c>
      <c r="D137" t="str">
        <f>IF(الإدخالات!C137="","",الإدخالات!C137)</f>
        <v/>
      </c>
      <c r="E137" s="24" t="str">
        <f>IF(الإدخالات!C137="","",الإدخالات!D137)</f>
        <v/>
      </c>
      <c r="F137" t="str">
        <f>IF(الإدخالات!C137="","",IF(الإدخالات!G137="","",الإدخالات!G137))</f>
        <v/>
      </c>
      <c r="G137" t="str">
        <f>IF($B137&lt;&gt;"",SUMPRODUCT(($B$2:$B137&lt;&gt;"")*1),"")</f>
        <v/>
      </c>
    </row>
    <row r="138" spans="1:7">
      <c r="A138" s="23" t="str">
        <f>IF(الإدخالات!C138="","",الإدخالات!B138)</f>
        <v/>
      </c>
      <c r="B138" t="str">
        <f>IF(الإدخالات!C138="","","شراء")</f>
        <v/>
      </c>
      <c r="C138" t="str">
        <f>IF(الإدخالات!C138="","",IF(الإدخالات!E138="","-",الإدخالات!E138))</f>
        <v/>
      </c>
      <c r="D138" t="str">
        <f>IF(الإدخالات!C138="","",الإدخالات!C138)</f>
        <v/>
      </c>
      <c r="E138" s="24" t="str">
        <f>IF(الإدخالات!C138="","",الإدخالات!D138)</f>
        <v/>
      </c>
      <c r="F138" t="str">
        <f>IF(الإدخالات!C138="","",IF(الإدخالات!G138="","",الإدخالات!G138))</f>
        <v/>
      </c>
      <c r="G138" t="str">
        <f>IF($B138&lt;&gt;"",SUMPRODUCT(($B$2:$B138&lt;&gt;"")*1),"")</f>
        <v/>
      </c>
    </row>
    <row r="139" spans="1:7">
      <c r="A139" s="23" t="str">
        <f>IF(الإدخالات!C139="","",الإدخالات!B139)</f>
        <v/>
      </c>
      <c r="B139" t="str">
        <f>IF(الإدخالات!C139="","","شراء")</f>
        <v/>
      </c>
      <c r="C139" t="str">
        <f>IF(الإدخالات!C139="","",IF(الإدخالات!E139="","-",الإدخالات!E139))</f>
        <v/>
      </c>
      <c r="D139" t="str">
        <f>IF(الإدخالات!C139="","",الإدخالات!C139)</f>
        <v/>
      </c>
      <c r="E139" s="24" t="str">
        <f>IF(الإدخالات!C139="","",الإدخالات!D139)</f>
        <v/>
      </c>
      <c r="F139" t="str">
        <f>IF(الإدخالات!C139="","",IF(الإدخالات!G139="","",الإدخالات!G139))</f>
        <v/>
      </c>
      <c r="G139" t="str">
        <f>IF($B139&lt;&gt;"",SUMPRODUCT(($B$2:$B139&lt;&gt;"")*1),"")</f>
        <v/>
      </c>
    </row>
    <row r="140" spans="1:7">
      <c r="A140" s="23" t="str">
        <f>IF(الإدخالات!C140="","",الإدخالات!B140)</f>
        <v/>
      </c>
      <c r="B140" t="str">
        <f>IF(الإدخالات!C140="","","شراء")</f>
        <v/>
      </c>
      <c r="C140" t="str">
        <f>IF(الإدخالات!C140="","",IF(الإدخالات!E140="","-",الإدخالات!E140))</f>
        <v/>
      </c>
      <c r="D140" t="str">
        <f>IF(الإدخالات!C140="","",الإدخالات!C140)</f>
        <v/>
      </c>
      <c r="E140" s="24" t="str">
        <f>IF(الإدخالات!C140="","",الإدخالات!D140)</f>
        <v/>
      </c>
      <c r="F140" t="str">
        <f>IF(الإدخالات!C140="","",IF(الإدخالات!G140="","",الإدخالات!G140))</f>
        <v/>
      </c>
      <c r="G140" t="str">
        <f>IF($B140&lt;&gt;"",SUMPRODUCT(($B$2:$B140&lt;&gt;"")*1),"")</f>
        <v/>
      </c>
    </row>
    <row r="141" spans="1:7">
      <c r="A141" s="23" t="str">
        <f>IF(الإدخالات!C141="","",الإدخالات!B141)</f>
        <v/>
      </c>
      <c r="B141" t="str">
        <f>IF(الإدخالات!C141="","","شراء")</f>
        <v/>
      </c>
      <c r="C141" t="str">
        <f>IF(الإدخالات!C141="","",IF(الإدخالات!E141="","-",الإدخالات!E141))</f>
        <v/>
      </c>
      <c r="D141" t="str">
        <f>IF(الإدخالات!C141="","",الإدخالات!C141)</f>
        <v/>
      </c>
      <c r="E141" s="24" t="str">
        <f>IF(الإدخالات!C141="","",الإدخالات!D141)</f>
        <v/>
      </c>
      <c r="F141" t="str">
        <f>IF(الإدخالات!C141="","",IF(الإدخالات!G141="","",الإدخالات!G141))</f>
        <v/>
      </c>
      <c r="G141" t="str">
        <f>IF($B141&lt;&gt;"",SUMPRODUCT(($B$2:$B141&lt;&gt;"")*1),"")</f>
        <v/>
      </c>
    </row>
    <row r="142" spans="1:7">
      <c r="A142" s="23" t="str">
        <f>IF(الإدخالات!C142="","",الإدخالات!B142)</f>
        <v/>
      </c>
      <c r="B142" t="str">
        <f>IF(الإدخالات!C142="","","شراء")</f>
        <v/>
      </c>
      <c r="C142" t="str">
        <f>IF(الإدخالات!C142="","",IF(الإدخالات!E142="","-",الإدخالات!E142))</f>
        <v/>
      </c>
      <c r="D142" t="str">
        <f>IF(الإدخالات!C142="","",الإدخالات!C142)</f>
        <v/>
      </c>
      <c r="E142" s="24" t="str">
        <f>IF(الإدخالات!C142="","",الإدخالات!D142)</f>
        <v/>
      </c>
      <c r="F142" t="str">
        <f>IF(الإدخالات!C142="","",IF(الإدخالات!G142="","",الإدخالات!G142))</f>
        <v/>
      </c>
      <c r="G142" t="str">
        <f>IF($B142&lt;&gt;"",SUMPRODUCT(($B$2:$B142&lt;&gt;"")*1),"")</f>
        <v/>
      </c>
    </row>
    <row r="143" spans="1:7">
      <c r="A143" s="23" t="str">
        <f>IF(الإدخالات!C143="","",الإدخالات!B143)</f>
        <v/>
      </c>
      <c r="B143" t="str">
        <f>IF(الإدخالات!C143="","","شراء")</f>
        <v/>
      </c>
      <c r="C143" t="str">
        <f>IF(الإدخالات!C143="","",IF(الإدخالات!E143="","-",الإدخالات!E143))</f>
        <v/>
      </c>
      <c r="D143" t="str">
        <f>IF(الإدخالات!C143="","",الإدخالات!C143)</f>
        <v/>
      </c>
      <c r="E143" s="24" t="str">
        <f>IF(الإدخالات!C143="","",الإدخالات!D143)</f>
        <v/>
      </c>
      <c r="F143" t="str">
        <f>IF(الإدخالات!C143="","",IF(الإدخالات!G143="","",الإدخالات!G143))</f>
        <v/>
      </c>
      <c r="G143" t="str">
        <f>IF($B143&lt;&gt;"",SUMPRODUCT(($B$2:$B143&lt;&gt;"")*1),"")</f>
        <v/>
      </c>
    </row>
    <row r="144" spans="1:7">
      <c r="A144" s="23" t="str">
        <f>IF(الإدخالات!C144="","",الإدخالات!B144)</f>
        <v/>
      </c>
      <c r="B144" t="str">
        <f>IF(الإدخالات!C144="","","شراء")</f>
        <v/>
      </c>
      <c r="C144" t="str">
        <f>IF(الإدخالات!C144="","",IF(الإدخالات!E144="","-",الإدخالات!E144))</f>
        <v/>
      </c>
      <c r="D144" t="str">
        <f>IF(الإدخالات!C144="","",الإدخالات!C144)</f>
        <v/>
      </c>
      <c r="E144" s="24" t="str">
        <f>IF(الإدخالات!C144="","",الإدخالات!D144)</f>
        <v/>
      </c>
      <c r="F144" t="str">
        <f>IF(الإدخالات!C144="","",IF(الإدخالات!G144="","",الإدخالات!G144))</f>
        <v/>
      </c>
      <c r="G144" t="str">
        <f>IF($B144&lt;&gt;"",SUMPRODUCT(($B$2:$B144&lt;&gt;"")*1),"")</f>
        <v/>
      </c>
    </row>
    <row r="145" spans="1:7">
      <c r="A145" s="23" t="str">
        <f>IF(الإدخالات!C145="","",الإدخالات!B145)</f>
        <v/>
      </c>
      <c r="B145" t="str">
        <f>IF(الإدخالات!C145="","","شراء")</f>
        <v/>
      </c>
      <c r="C145" t="str">
        <f>IF(الإدخالات!C145="","",IF(الإدخالات!E145="","-",الإدخالات!E145))</f>
        <v/>
      </c>
      <c r="D145" t="str">
        <f>IF(الإدخالات!C145="","",الإدخالات!C145)</f>
        <v/>
      </c>
      <c r="E145" s="24" t="str">
        <f>IF(الإدخالات!C145="","",الإدخالات!D145)</f>
        <v/>
      </c>
      <c r="F145" t="str">
        <f>IF(الإدخالات!C145="","",IF(الإدخالات!G145="","",الإدخالات!G145))</f>
        <v/>
      </c>
      <c r="G145" t="str">
        <f>IF($B145&lt;&gt;"",SUMPRODUCT(($B$2:$B145&lt;&gt;"")*1),"")</f>
        <v/>
      </c>
    </row>
    <row r="146" spans="1:7">
      <c r="A146" s="23" t="str">
        <f>IF(الإدخالات!C146="","",الإدخالات!B146)</f>
        <v/>
      </c>
      <c r="B146" t="str">
        <f>IF(الإدخالات!C146="","","شراء")</f>
        <v/>
      </c>
      <c r="C146" t="str">
        <f>IF(الإدخالات!C146="","",IF(الإدخالات!E146="","-",الإدخالات!E146))</f>
        <v/>
      </c>
      <c r="D146" t="str">
        <f>IF(الإدخالات!C146="","",الإدخالات!C146)</f>
        <v/>
      </c>
      <c r="E146" s="24" t="str">
        <f>IF(الإدخالات!C146="","",الإدخالات!D146)</f>
        <v/>
      </c>
      <c r="F146" t="str">
        <f>IF(الإدخالات!C146="","",IF(الإدخالات!G146="","",الإدخالات!G146))</f>
        <v/>
      </c>
      <c r="G146" t="str">
        <f>IF($B146&lt;&gt;"",SUMPRODUCT(($B$2:$B146&lt;&gt;"")*1),"")</f>
        <v/>
      </c>
    </row>
    <row r="147" spans="1:7">
      <c r="A147" s="23" t="str">
        <f>IF(الإدخالات!C147="","",الإدخالات!B147)</f>
        <v/>
      </c>
      <c r="B147" t="str">
        <f>IF(الإدخالات!C147="","","شراء")</f>
        <v/>
      </c>
      <c r="C147" t="str">
        <f>IF(الإدخالات!C147="","",IF(الإدخالات!E147="","-",الإدخالات!E147))</f>
        <v/>
      </c>
      <c r="D147" t="str">
        <f>IF(الإدخالات!C147="","",الإدخالات!C147)</f>
        <v/>
      </c>
      <c r="E147" s="24" t="str">
        <f>IF(الإدخالات!C147="","",الإدخالات!D147)</f>
        <v/>
      </c>
      <c r="F147" t="str">
        <f>IF(الإدخالات!C147="","",IF(الإدخالات!G147="","",الإدخالات!G147))</f>
        <v/>
      </c>
      <c r="G147" t="str">
        <f>IF($B147&lt;&gt;"",SUMPRODUCT(($B$2:$B147&lt;&gt;"")*1),"")</f>
        <v/>
      </c>
    </row>
    <row r="148" spans="1:7">
      <c r="A148" s="23" t="str">
        <f>IF(الإدخالات!C148="","",الإدخالات!B148)</f>
        <v/>
      </c>
      <c r="B148" t="str">
        <f>IF(الإدخالات!C148="","","شراء")</f>
        <v/>
      </c>
      <c r="C148" t="str">
        <f>IF(الإدخالات!C148="","",IF(الإدخالات!E148="","-",الإدخالات!E148))</f>
        <v/>
      </c>
      <c r="D148" t="str">
        <f>IF(الإدخالات!C148="","",الإدخالات!C148)</f>
        <v/>
      </c>
      <c r="E148" s="24" t="str">
        <f>IF(الإدخالات!C148="","",الإدخالات!D148)</f>
        <v/>
      </c>
      <c r="F148" t="str">
        <f>IF(الإدخالات!C148="","",IF(الإدخالات!G148="","",الإدخالات!G148))</f>
        <v/>
      </c>
      <c r="G148" t="str">
        <f>IF($B148&lt;&gt;"",SUMPRODUCT(($B$2:$B148&lt;&gt;"")*1),"")</f>
        <v/>
      </c>
    </row>
    <row r="149" spans="1:7">
      <c r="A149" s="23" t="str">
        <f>IF(الإدخالات!C149="","",الإدخالات!B149)</f>
        <v/>
      </c>
      <c r="B149" t="str">
        <f>IF(الإدخالات!C149="","","شراء")</f>
        <v/>
      </c>
      <c r="C149" t="str">
        <f>IF(الإدخالات!C149="","",IF(الإدخالات!E149="","-",الإدخالات!E149))</f>
        <v/>
      </c>
      <c r="D149" t="str">
        <f>IF(الإدخالات!C149="","",الإدخالات!C149)</f>
        <v/>
      </c>
      <c r="E149" s="24" t="str">
        <f>IF(الإدخالات!C149="","",الإدخالات!D149)</f>
        <v/>
      </c>
      <c r="F149" t="str">
        <f>IF(الإدخالات!C149="","",IF(الإدخالات!G149="","",الإدخالات!G149))</f>
        <v/>
      </c>
      <c r="G149" t="str">
        <f>IF($B149&lt;&gt;"",SUMPRODUCT(($B$2:$B149&lt;&gt;"")*1),"")</f>
        <v/>
      </c>
    </row>
    <row r="150" spans="1:7">
      <c r="A150" s="23" t="str">
        <f>IF(الإدخالات!C150="","",الإدخالات!B150)</f>
        <v/>
      </c>
      <c r="B150" t="str">
        <f>IF(الإدخالات!C150="","","شراء")</f>
        <v/>
      </c>
      <c r="C150" t="str">
        <f>IF(الإدخالات!C150="","",IF(الإدخالات!E150="","-",الإدخالات!E150))</f>
        <v/>
      </c>
      <c r="D150" t="str">
        <f>IF(الإدخالات!C150="","",الإدخالات!C150)</f>
        <v/>
      </c>
      <c r="E150" s="24" t="str">
        <f>IF(الإدخالات!C150="","",الإدخالات!D150)</f>
        <v/>
      </c>
      <c r="F150" t="str">
        <f>IF(الإدخالات!C150="","",IF(الإدخالات!G150="","",الإدخالات!G150))</f>
        <v/>
      </c>
      <c r="G150" t="str">
        <f>IF($B150&lt;&gt;"",SUMPRODUCT(($B$2:$B150&lt;&gt;"")*1),"")</f>
        <v/>
      </c>
    </row>
    <row r="151" spans="1:7">
      <c r="A151" s="23" t="str">
        <f>IF(الإدخالات!C151="","",الإدخالات!B151)</f>
        <v/>
      </c>
      <c r="B151" t="str">
        <f>IF(الإدخالات!C151="","","شراء")</f>
        <v/>
      </c>
      <c r="C151" t="str">
        <f>IF(الإدخالات!C151="","",IF(الإدخالات!E151="","-",الإدخالات!E151))</f>
        <v/>
      </c>
      <c r="D151" t="str">
        <f>IF(الإدخالات!C151="","",الإدخالات!C151)</f>
        <v/>
      </c>
      <c r="E151" s="24" t="str">
        <f>IF(الإدخالات!C151="","",الإدخالات!D151)</f>
        <v/>
      </c>
      <c r="F151" t="str">
        <f>IF(الإدخالات!C151="","",IF(الإدخالات!G151="","",الإدخالات!G151))</f>
        <v/>
      </c>
      <c r="G151" t="str">
        <f>IF($B151&lt;&gt;"",SUMPRODUCT(($B$2:$B151&lt;&gt;"")*1),"")</f>
        <v/>
      </c>
    </row>
    <row r="152" spans="1:7">
      <c r="A152" s="23" t="str">
        <f>IF(الإدخالات!C152="","",الإدخالات!B152)</f>
        <v/>
      </c>
      <c r="B152" t="str">
        <f>IF(الإدخالات!C152="","","شراء")</f>
        <v/>
      </c>
      <c r="C152" t="str">
        <f>IF(الإدخالات!C152="","",IF(الإدخالات!E152="","-",الإدخالات!E152))</f>
        <v/>
      </c>
      <c r="D152" t="str">
        <f>IF(الإدخالات!C152="","",الإدخالات!C152)</f>
        <v/>
      </c>
      <c r="E152" s="24" t="str">
        <f>IF(الإدخالات!C152="","",الإدخالات!D152)</f>
        <v/>
      </c>
      <c r="F152" t="str">
        <f>IF(الإدخالات!C152="","",IF(الإدخالات!G152="","",الإدخالات!G152))</f>
        <v/>
      </c>
      <c r="G152" t="str">
        <f>IF($B152&lt;&gt;"",SUMPRODUCT(($B$2:$B152&lt;&gt;"")*1),"")</f>
        <v/>
      </c>
    </row>
    <row r="153" spans="1:7">
      <c r="A153" s="23" t="str">
        <f>IF(الإدخالات!C153="","",الإدخالات!B153)</f>
        <v/>
      </c>
      <c r="B153" t="str">
        <f>IF(الإدخالات!C153="","","شراء")</f>
        <v/>
      </c>
      <c r="C153" t="str">
        <f>IF(الإدخالات!C153="","",IF(الإدخالات!E153="","-",الإدخالات!E153))</f>
        <v/>
      </c>
      <c r="D153" t="str">
        <f>IF(الإدخالات!C153="","",الإدخالات!C153)</f>
        <v/>
      </c>
      <c r="E153" s="24" t="str">
        <f>IF(الإدخالات!C153="","",الإدخالات!D153)</f>
        <v/>
      </c>
      <c r="F153" t="str">
        <f>IF(الإدخالات!C153="","",IF(الإدخالات!G153="","",الإدخالات!G153))</f>
        <v/>
      </c>
      <c r="G153" t="str">
        <f>IF($B153&lt;&gt;"",SUMPRODUCT(($B$2:$B153&lt;&gt;"")*1),"")</f>
        <v/>
      </c>
    </row>
    <row r="154" spans="1:7">
      <c r="A154" s="23" t="str">
        <f>IF(الإدخالات!C154="","",الإدخالات!B154)</f>
        <v/>
      </c>
      <c r="B154" t="str">
        <f>IF(الإدخالات!C154="","","شراء")</f>
        <v/>
      </c>
      <c r="C154" t="str">
        <f>IF(الإدخالات!C154="","",IF(الإدخالات!E154="","-",الإدخالات!E154))</f>
        <v/>
      </c>
      <c r="D154" t="str">
        <f>IF(الإدخالات!C154="","",الإدخالات!C154)</f>
        <v/>
      </c>
      <c r="E154" s="24" t="str">
        <f>IF(الإدخالات!C154="","",الإدخالات!D154)</f>
        <v/>
      </c>
      <c r="F154" t="str">
        <f>IF(الإدخالات!C154="","",IF(الإدخالات!G154="","",الإدخالات!G154))</f>
        <v/>
      </c>
      <c r="G154" t="str">
        <f>IF($B154&lt;&gt;"",SUMPRODUCT(($B$2:$B154&lt;&gt;"")*1),"")</f>
        <v/>
      </c>
    </row>
    <row r="155" spans="1:7">
      <c r="A155" s="23" t="str">
        <f>IF(الإدخالات!C155="","",الإدخالات!B155)</f>
        <v/>
      </c>
      <c r="B155" t="str">
        <f>IF(الإدخالات!C155="","","شراء")</f>
        <v/>
      </c>
      <c r="C155" t="str">
        <f>IF(الإدخالات!C155="","",IF(الإدخالات!E155="","-",الإدخالات!E155))</f>
        <v/>
      </c>
      <c r="D155" t="str">
        <f>IF(الإدخالات!C155="","",الإدخالات!C155)</f>
        <v/>
      </c>
      <c r="E155" s="24" t="str">
        <f>IF(الإدخالات!C155="","",الإدخالات!D155)</f>
        <v/>
      </c>
      <c r="F155" t="str">
        <f>IF(الإدخالات!C155="","",IF(الإدخالات!G155="","",الإدخالات!G155))</f>
        <v/>
      </c>
      <c r="G155" t="str">
        <f>IF($B155&lt;&gt;"",SUMPRODUCT(($B$2:$B155&lt;&gt;"")*1),"")</f>
        <v/>
      </c>
    </row>
    <row r="156" spans="1:7">
      <c r="A156" s="23" t="str">
        <f>IF(الإدخالات!C156="","",الإدخالات!B156)</f>
        <v/>
      </c>
      <c r="B156" t="str">
        <f>IF(الإدخالات!C156="","","شراء")</f>
        <v/>
      </c>
      <c r="C156" t="str">
        <f>IF(الإدخالات!C156="","",IF(الإدخالات!E156="","-",الإدخالات!E156))</f>
        <v/>
      </c>
      <c r="D156" t="str">
        <f>IF(الإدخالات!C156="","",الإدخالات!C156)</f>
        <v/>
      </c>
      <c r="E156" s="24" t="str">
        <f>IF(الإدخالات!C156="","",الإدخالات!D156)</f>
        <v/>
      </c>
      <c r="F156" t="str">
        <f>IF(الإدخالات!C156="","",IF(الإدخالات!G156="","",الإدخالات!G156))</f>
        <v/>
      </c>
      <c r="G156" t="str">
        <f>IF($B156&lt;&gt;"",SUMPRODUCT(($B$2:$B156&lt;&gt;"")*1),"")</f>
        <v/>
      </c>
    </row>
    <row r="157" spans="1:7">
      <c r="A157" s="23" t="str">
        <f>IF(الإدخالات!C157="","",الإدخالات!B157)</f>
        <v/>
      </c>
      <c r="B157" t="str">
        <f>IF(الإدخالات!C157="","","شراء")</f>
        <v/>
      </c>
      <c r="C157" t="str">
        <f>IF(الإدخالات!C157="","",IF(الإدخالات!E157="","-",الإدخالات!E157))</f>
        <v/>
      </c>
      <c r="D157" t="str">
        <f>IF(الإدخالات!C157="","",الإدخالات!C157)</f>
        <v/>
      </c>
      <c r="E157" s="24" t="str">
        <f>IF(الإدخالات!C157="","",الإدخالات!D157)</f>
        <v/>
      </c>
      <c r="F157" t="str">
        <f>IF(الإدخالات!C157="","",IF(الإدخالات!G157="","",الإدخالات!G157))</f>
        <v/>
      </c>
      <c r="G157" t="str">
        <f>IF($B157&lt;&gt;"",SUMPRODUCT(($B$2:$B157&lt;&gt;"")*1),"")</f>
        <v/>
      </c>
    </row>
    <row r="158" spans="1:7">
      <c r="A158" s="23" t="str">
        <f>IF(الإدخالات!C158="","",الإدخالات!B158)</f>
        <v/>
      </c>
      <c r="B158" t="str">
        <f>IF(الإدخالات!C158="","","شراء")</f>
        <v/>
      </c>
      <c r="C158" t="str">
        <f>IF(الإدخالات!C158="","",IF(الإدخالات!E158="","-",الإدخالات!E158))</f>
        <v/>
      </c>
      <c r="D158" t="str">
        <f>IF(الإدخالات!C158="","",الإدخالات!C158)</f>
        <v/>
      </c>
      <c r="E158" s="24" t="str">
        <f>IF(الإدخالات!C158="","",الإدخالات!D158)</f>
        <v/>
      </c>
      <c r="F158" t="str">
        <f>IF(الإدخالات!C158="","",IF(الإدخالات!G158="","",الإدخالات!G158))</f>
        <v/>
      </c>
      <c r="G158" t="str">
        <f>IF($B158&lt;&gt;"",SUMPRODUCT(($B$2:$B158&lt;&gt;"")*1),"")</f>
        <v/>
      </c>
    </row>
    <row r="159" spans="1:7">
      <c r="A159" s="23" t="str">
        <f>IF(الإدخالات!C159="","",الإدخالات!B159)</f>
        <v/>
      </c>
      <c r="B159" t="str">
        <f>IF(الإدخالات!C159="","","شراء")</f>
        <v/>
      </c>
      <c r="C159" t="str">
        <f>IF(الإدخالات!C159="","",IF(الإدخالات!E159="","-",الإدخالات!E159))</f>
        <v/>
      </c>
      <c r="D159" t="str">
        <f>IF(الإدخالات!C159="","",الإدخالات!C159)</f>
        <v/>
      </c>
      <c r="E159" s="24" t="str">
        <f>IF(الإدخالات!C159="","",الإدخالات!D159)</f>
        <v/>
      </c>
      <c r="F159" t="str">
        <f>IF(الإدخالات!C159="","",IF(الإدخالات!G159="","",الإدخالات!G159))</f>
        <v/>
      </c>
      <c r="G159" t="str">
        <f>IF($B159&lt;&gt;"",SUMPRODUCT(($B$2:$B159&lt;&gt;"")*1),"")</f>
        <v/>
      </c>
    </row>
    <row r="160" spans="1:7">
      <c r="A160" s="23" t="str">
        <f>IF(الإدخالات!C160="","",الإدخالات!B160)</f>
        <v/>
      </c>
      <c r="B160" t="str">
        <f>IF(الإدخالات!C160="","","شراء")</f>
        <v/>
      </c>
      <c r="C160" t="str">
        <f>IF(الإدخالات!C160="","",IF(الإدخالات!E160="","-",الإدخالات!E160))</f>
        <v/>
      </c>
      <c r="D160" t="str">
        <f>IF(الإدخالات!C160="","",الإدخالات!C160)</f>
        <v/>
      </c>
      <c r="E160" s="24" t="str">
        <f>IF(الإدخالات!C160="","",الإدخالات!D160)</f>
        <v/>
      </c>
      <c r="F160" t="str">
        <f>IF(الإدخالات!C160="","",IF(الإدخالات!G160="","",الإدخالات!G160))</f>
        <v/>
      </c>
      <c r="G160" t="str">
        <f>IF($B160&lt;&gt;"",SUMPRODUCT(($B$2:$B160&lt;&gt;"")*1),"")</f>
        <v/>
      </c>
    </row>
    <row r="161" spans="1:7">
      <c r="A161" s="23" t="str">
        <f>IF(الإدخالات!C161="","",الإدخالات!B161)</f>
        <v/>
      </c>
      <c r="B161" t="str">
        <f>IF(الإدخالات!C161="","","شراء")</f>
        <v/>
      </c>
      <c r="C161" t="str">
        <f>IF(الإدخالات!C161="","",IF(الإدخالات!E161="","-",الإدخالات!E161))</f>
        <v/>
      </c>
      <c r="D161" t="str">
        <f>IF(الإدخالات!C161="","",الإدخالات!C161)</f>
        <v/>
      </c>
      <c r="E161" s="24" t="str">
        <f>IF(الإدخالات!C161="","",الإدخالات!D161)</f>
        <v/>
      </c>
      <c r="F161" t="str">
        <f>IF(الإدخالات!C161="","",IF(الإدخالات!G161="","",الإدخالات!G161))</f>
        <v/>
      </c>
      <c r="G161" t="str">
        <f>IF($B161&lt;&gt;"",SUMPRODUCT(($B$2:$B161&lt;&gt;"")*1),"")</f>
        <v/>
      </c>
    </row>
    <row r="162" spans="1:7">
      <c r="A162" s="23" t="str">
        <f>IF(الإدخالات!C162="","",الإدخالات!B162)</f>
        <v/>
      </c>
      <c r="B162" t="str">
        <f>IF(الإدخالات!C162="","","شراء")</f>
        <v/>
      </c>
      <c r="C162" t="str">
        <f>IF(الإدخالات!C162="","",IF(الإدخالات!E162="","-",الإدخالات!E162))</f>
        <v/>
      </c>
      <c r="D162" t="str">
        <f>IF(الإدخالات!C162="","",الإدخالات!C162)</f>
        <v/>
      </c>
      <c r="E162" s="24" t="str">
        <f>IF(الإدخالات!C162="","",الإدخالات!D162)</f>
        <v/>
      </c>
      <c r="F162" t="str">
        <f>IF(الإدخالات!C162="","",IF(الإدخالات!G162="","",الإدخالات!G162))</f>
        <v/>
      </c>
      <c r="G162" t="str">
        <f>IF($B162&lt;&gt;"",SUMPRODUCT(($B$2:$B162&lt;&gt;"")*1),"")</f>
        <v/>
      </c>
    </row>
    <row r="163" spans="1:7">
      <c r="A163" s="23" t="str">
        <f>IF(الإدخالات!C163="","",الإدخالات!B163)</f>
        <v/>
      </c>
      <c r="B163" t="str">
        <f>IF(الإدخالات!C163="","","شراء")</f>
        <v/>
      </c>
      <c r="C163" t="str">
        <f>IF(الإدخالات!C163="","",IF(الإدخالات!E163="","-",الإدخالات!E163))</f>
        <v/>
      </c>
      <c r="D163" t="str">
        <f>IF(الإدخالات!C163="","",الإدخالات!C163)</f>
        <v/>
      </c>
      <c r="E163" s="24" t="str">
        <f>IF(الإدخالات!C163="","",الإدخالات!D163)</f>
        <v/>
      </c>
      <c r="F163" t="str">
        <f>IF(الإدخالات!C163="","",IF(الإدخالات!G163="","",الإدخالات!G163))</f>
        <v/>
      </c>
      <c r="G163" t="str">
        <f>IF($B163&lt;&gt;"",SUMPRODUCT(($B$2:$B163&lt;&gt;"")*1),"")</f>
        <v/>
      </c>
    </row>
    <row r="164" spans="1:7">
      <c r="A164" s="23" t="str">
        <f>IF(الإدخالات!C164="","",الإدخالات!B164)</f>
        <v/>
      </c>
      <c r="B164" t="str">
        <f>IF(الإدخالات!C164="","","شراء")</f>
        <v/>
      </c>
      <c r="C164" t="str">
        <f>IF(الإدخالات!C164="","",IF(الإدخالات!E164="","-",الإدخالات!E164))</f>
        <v/>
      </c>
      <c r="D164" t="str">
        <f>IF(الإدخالات!C164="","",الإدخالات!C164)</f>
        <v/>
      </c>
      <c r="E164" s="24" t="str">
        <f>IF(الإدخالات!C164="","",الإدخالات!D164)</f>
        <v/>
      </c>
      <c r="F164" t="str">
        <f>IF(الإدخالات!C164="","",IF(الإدخالات!G164="","",الإدخالات!G164))</f>
        <v/>
      </c>
      <c r="G164" t="str">
        <f>IF($B164&lt;&gt;"",SUMPRODUCT(($B$2:$B164&lt;&gt;"")*1),"")</f>
        <v/>
      </c>
    </row>
    <row r="165" spans="1:7">
      <c r="A165" s="23" t="str">
        <f>IF(الإدخالات!C165="","",الإدخالات!B165)</f>
        <v/>
      </c>
      <c r="B165" t="str">
        <f>IF(الإدخالات!C165="","","شراء")</f>
        <v/>
      </c>
      <c r="C165" t="str">
        <f>IF(الإدخالات!C165="","",IF(الإدخالات!E165="","-",الإدخالات!E165))</f>
        <v/>
      </c>
      <c r="D165" t="str">
        <f>IF(الإدخالات!C165="","",الإدخالات!C165)</f>
        <v/>
      </c>
      <c r="E165" s="24" t="str">
        <f>IF(الإدخالات!C165="","",الإدخالات!D165)</f>
        <v/>
      </c>
      <c r="F165" t="str">
        <f>IF(الإدخالات!C165="","",IF(الإدخالات!G165="","",الإدخالات!G165))</f>
        <v/>
      </c>
      <c r="G165" t="str">
        <f>IF($B165&lt;&gt;"",SUMPRODUCT(($B$2:$B165&lt;&gt;"")*1),"")</f>
        <v/>
      </c>
    </row>
    <row r="166" spans="1:7">
      <c r="A166" s="23" t="str">
        <f>IF(الإدخالات!C166="","",الإدخالات!B166)</f>
        <v/>
      </c>
      <c r="B166" t="str">
        <f>IF(الإدخالات!C166="","","شراء")</f>
        <v/>
      </c>
      <c r="C166" t="str">
        <f>IF(الإدخالات!C166="","",IF(الإدخالات!E166="","-",الإدخالات!E166))</f>
        <v/>
      </c>
      <c r="D166" t="str">
        <f>IF(الإدخالات!C166="","",الإدخالات!C166)</f>
        <v/>
      </c>
      <c r="E166" s="24" t="str">
        <f>IF(الإدخالات!C166="","",الإدخالات!D166)</f>
        <v/>
      </c>
      <c r="F166" t="str">
        <f>IF(الإدخالات!C166="","",IF(الإدخالات!G166="","",الإدخالات!G166))</f>
        <v/>
      </c>
      <c r="G166" t="str">
        <f>IF($B166&lt;&gt;"",SUMPRODUCT(($B$2:$B166&lt;&gt;"")*1),"")</f>
        <v/>
      </c>
    </row>
    <row r="167" spans="1:7">
      <c r="A167" s="23" t="str">
        <f>IF(الإدخالات!C167="","",الإدخالات!B167)</f>
        <v/>
      </c>
      <c r="B167" t="str">
        <f>IF(الإدخالات!C167="","","شراء")</f>
        <v/>
      </c>
      <c r="C167" t="str">
        <f>IF(الإدخالات!C167="","",IF(الإدخالات!E167="","-",الإدخالات!E167))</f>
        <v/>
      </c>
      <c r="D167" t="str">
        <f>IF(الإدخالات!C167="","",الإدخالات!C167)</f>
        <v/>
      </c>
      <c r="E167" s="24" t="str">
        <f>IF(الإدخالات!C167="","",الإدخالات!D167)</f>
        <v/>
      </c>
      <c r="F167" t="str">
        <f>IF(الإدخالات!C167="","",IF(الإدخالات!G167="","",الإدخالات!G167))</f>
        <v/>
      </c>
      <c r="G167" t="str">
        <f>IF($B167&lt;&gt;"",SUMPRODUCT(($B$2:$B167&lt;&gt;"")*1),"")</f>
        <v/>
      </c>
    </row>
    <row r="168" spans="1:7">
      <c r="A168" s="23" t="str">
        <f>IF(الإدخالات!C168="","",الإدخالات!B168)</f>
        <v/>
      </c>
      <c r="B168" t="str">
        <f>IF(الإدخالات!C168="","","شراء")</f>
        <v/>
      </c>
      <c r="C168" t="str">
        <f>IF(الإدخالات!C168="","",IF(الإدخالات!E168="","-",الإدخالات!E168))</f>
        <v/>
      </c>
      <c r="D168" t="str">
        <f>IF(الإدخالات!C168="","",الإدخالات!C168)</f>
        <v/>
      </c>
      <c r="E168" s="24" t="str">
        <f>IF(الإدخالات!C168="","",الإدخالات!D168)</f>
        <v/>
      </c>
      <c r="F168" t="str">
        <f>IF(الإدخالات!C168="","",IF(الإدخالات!G168="","",الإدخالات!G168))</f>
        <v/>
      </c>
      <c r="G168" t="str">
        <f>IF($B168&lt;&gt;"",SUMPRODUCT(($B$2:$B168&lt;&gt;"")*1),"")</f>
        <v/>
      </c>
    </row>
    <row r="169" spans="1:7">
      <c r="A169" s="23" t="str">
        <f>IF(الإدخالات!C169="","",الإدخالات!B169)</f>
        <v/>
      </c>
      <c r="B169" t="str">
        <f>IF(الإدخالات!C169="","","شراء")</f>
        <v/>
      </c>
      <c r="C169" t="str">
        <f>IF(الإدخالات!C169="","",IF(الإدخالات!E169="","-",الإدخالات!E169))</f>
        <v/>
      </c>
      <c r="D169" t="str">
        <f>IF(الإدخالات!C169="","",الإدخالات!C169)</f>
        <v/>
      </c>
      <c r="E169" s="24" t="str">
        <f>IF(الإدخالات!C169="","",الإدخالات!D169)</f>
        <v/>
      </c>
      <c r="F169" t="str">
        <f>IF(الإدخالات!C169="","",IF(الإدخالات!G169="","",الإدخالات!G169))</f>
        <v/>
      </c>
      <c r="G169" t="str">
        <f>IF($B169&lt;&gt;"",SUMPRODUCT(($B$2:$B169&lt;&gt;"")*1),"")</f>
        <v/>
      </c>
    </row>
    <row r="170" spans="1:7">
      <c r="A170" s="23" t="str">
        <f>IF(الإدخالات!C170="","",الإدخالات!B170)</f>
        <v/>
      </c>
      <c r="B170" t="str">
        <f>IF(الإدخالات!C170="","","شراء")</f>
        <v/>
      </c>
      <c r="C170" t="str">
        <f>IF(الإدخالات!C170="","",IF(الإدخالات!E170="","-",الإدخالات!E170))</f>
        <v/>
      </c>
      <c r="D170" t="str">
        <f>IF(الإدخالات!C170="","",الإدخالات!C170)</f>
        <v/>
      </c>
      <c r="E170" s="24" t="str">
        <f>IF(الإدخالات!C170="","",الإدخالات!D170)</f>
        <v/>
      </c>
      <c r="F170" t="str">
        <f>IF(الإدخالات!C170="","",IF(الإدخالات!G170="","",الإدخالات!G170))</f>
        <v/>
      </c>
      <c r="G170" t="str">
        <f>IF($B170&lt;&gt;"",SUMPRODUCT(($B$2:$B170&lt;&gt;"")*1),"")</f>
        <v/>
      </c>
    </row>
    <row r="171" spans="1:7">
      <c r="A171" s="23" t="str">
        <f>IF(الإدخالات!C171="","",الإدخالات!B171)</f>
        <v/>
      </c>
      <c r="B171" t="str">
        <f>IF(الإدخالات!C171="","","شراء")</f>
        <v/>
      </c>
      <c r="C171" t="str">
        <f>IF(الإدخالات!C171="","",IF(الإدخالات!E171="","-",الإدخالات!E171))</f>
        <v/>
      </c>
      <c r="D171" t="str">
        <f>IF(الإدخالات!C171="","",الإدخالات!C171)</f>
        <v/>
      </c>
      <c r="E171" s="24" t="str">
        <f>IF(الإدخالات!C171="","",الإدخالات!D171)</f>
        <v/>
      </c>
      <c r="F171" t="str">
        <f>IF(الإدخالات!C171="","",IF(الإدخالات!G171="","",الإدخالات!G171))</f>
        <v/>
      </c>
      <c r="G171" t="str">
        <f>IF($B171&lt;&gt;"",SUMPRODUCT(($B$2:$B171&lt;&gt;"")*1),"")</f>
        <v/>
      </c>
    </row>
    <row r="172" spans="1:7">
      <c r="A172" s="23" t="str">
        <f>IF(الإدخالات!C172="","",الإدخالات!B172)</f>
        <v/>
      </c>
      <c r="B172" t="str">
        <f>IF(الإدخالات!C172="","","شراء")</f>
        <v/>
      </c>
      <c r="C172" t="str">
        <f>IF(الإدخالات!C172="","",IF(الإدخالات!E172="","-",الإدخالات!E172))</f>
        <v/>
      </c>
      <c r="D172" t="str">
        <f>IF(الإدخالات!C172="","",الإدخالات!C172)</f>
        <v/>
      </c>
      <c r="E172" s="24" t="str">
        <f>IF(الإدخالات!C172="","",الإدخالات!D172)</f>
        <v/>
      </c>
      <c r="F172" t="str">
        <f>IF(الإدخالات!C172="","",IF(الإدخالات!G172="","",الإدخالات!G172))</f>
        <v/>
      </c>
      <c r="G172" t="str">
        <f>IF($B172&lt;&gt;"",SUMPRODUCT(($B$2:$B172&lt;&gt;"")*1),"")</f>
        <v/>
      </c>
    </row>
    <row r="173" spans="1:7">
      <c r="A173" s="23" t="str">
        <f>IF(الإدخالات!C173="","",الإدخالات!B173)</f>
        <v/>
      </c>
      <c r="B173" t="str">
        <f>IF(الإدخالات!C173="","","شراء")</f>
        <v/>
      </c>
      <c r="C173" t="str">
        <f>IF(الإدخالات!C173="","",IF(الإدخالات!E173="","-",الإدخالات!E173))</f>
        <v/>
      </c>
      <c r="D173" t="str">
        <f>IF(الإدخالات!C173="","",الإدخالات!C173)</f>
        <v/>
      </c>
      <c r="E173" s="24" t="str">
        <f>IF(الإدخالات!C173="","",الإدخالات!D173)</f>
        <v/>
      </c>
      <c r="F173" t="str">
        <f>IF(الإدخالات!C173="","",IF(الإدخالات!G173="","",الإدخالات!G173))</f>
        <v/>
      </c>
      <c r="G173" t="str">
        <f>IF($B173&lt;&gt;"",SUMPRODUCT(($B$2:$B173&lt;&gt;"")*1),"")</f>
        <v/>
      </c>
    </row>
    <row r="174" spans="1:7">
      <c r="A174" s="23" t="str">
        <f>IF(الإدخالات!C174="","",الإدخالات!B174)</f>
        <v/>
      </c>
      <c r="B174" t="str">
        <f>IF(الإدخالات!C174="","","شراء")</f>
        <v/>
      </c>
      <c r="C174" t="str">
        <f>IF(الإدخالات!C174="","",IF(الإدخالات!E174="","-",الإدخالات!E174))</f>
        <v/>
      </c>
      <c r="D174" t="str">
        <f>IF(الإدخالات!C174="","",الإدخالات!C174)</f>
        <v/>
      </c>
      <c r="E174" s="24" t="str">
        <f>IF(الإدخالات!C174="","",الإدخالات!D174)</f>
        <v/>
      </c>
      <c r="F174" t="str">
        <f>IF(الإدخالات!C174="","",IF(الإدخالات!G174="","",الإدخالات!G174))</f>
        <v/>
      </c>
      <c r="G174" t="str">
        <f>IF($B174&lt;&gt;"",SUMPRODUCT(($B$2:$B174&lt;&gt;"")*1),"")</f>
        <v/>
      </c>
    </row>
    <row r="175" spans="1:7">
      <c r="A175" s="23" t="str">
        <f>IF(الإدخالات!C175="","",الإدخالات!B175)</f>
        <v/>
      </c>
      <c r="B175" t="str">
        <f>IF(الإدخالات!C175="","","شراء")</f>
        <v/>
      </c>
      <c r="C175" t="str">
        <f>IF(الإدخالات!C175="","",IF(الإدخالات!E175="","-",الإدخالات!E175))</f>
        <v/>
      </c>
      <c r="D175" t="str">
        <f>IF(الإدخالات!C175="","",الإدخالات!C175)</f>
        <v/>
      </c>
      <c r="E175" s="24" t="str">
        <f>IF(الإدخالات!C175="","",الإدخالات!D175)</f>
        <v/>
      </c>
      <c r="F175" t="str">
        <f>IF(الإدخالات!C175="","",IF(الإدخالات!G175="","",الإدخالات!G175))</f>
        <v/>
      </c>
      <c r="G175" t="str">
        <f>IF($B175&lt;&gt;"",SUMPRODUCT(($B$2:$B175&lt;&gt;"")*1),"")</f>
        <v/>
      </c>
    </row>
    <row r="176" spans="1:7">
      <c r="A176" s="23" t="str">
        <f>IF(الإدخالات!C176="","",الإدخالات!B176)</f>
        <v/>
      </c>
      <c r="B176" t="str">
        <f>IF(الإدخالات!C176="","","شراء")</f>
        <v/>
      </c>
      <c r="C176" t="str">
        <f>IF(الإدخالات!C176="","",IF(الإدخالات!E176="","-",الإدخالات!E176))</f>
        <v/>
      </c>
      <c r="D176" t="str">
        <f>IF(الإدخالات!C176="","",الإدخالات!C176)</f>
        <v/>
      </c>
      <c r="E176" s="24" t="str">
        <f>IF(الإدخالات!C176="","",الإدخالات!D176)</f>
        <v/>
      </c>
      <c r="F176" t="str">
        <f>IF(الإدخالات!C176="","",IF(الإدخالات!G176="","",الإدخالات!G176))</f>
        <v/>
      </c>
      <c r="G176" t="str">
        <f>IF($B176&lt;&gt;"",SUMPRODUCT(($B$2:$B176&lt;&gt;"")*1),"")</f>
        <v/>
      </c>
    </row>
    <row r="177" spans="1:7">
      <c r="A177" s="23" t="str">
        <f>IF(الإدخالات!C177="","",الإدخالات!B177)</f>
        <v/>
      </c>
      <c r="B177" t="str">
        <f>IF(الإدخالات!C177="","","شراء")</f>
        <v/>
      </c>
      <c r="C177" t="str">
        <f>IF(الإدخالات!C177="","",IF(الإدخالات!E177="","-",الإدخالات!E177))</f>
        <v/>
      </c>
      <c r="D177" t="str">
        <f>IF(الإدخالات!C177="","",الإدخالات!C177)</f>
        <v/>
      </c>
      <c r="E177" s="24" t="str">
        <f>IF(الإدخالات!C177="","",الإدخالات!D177)</f>
        <v/>
      </c>
      <c r="F177" t="str">
        <f>IF(الإدخالات!C177="","",IF(الإدخالات!G177="","",الإدخالات!G177))</f>
        <v/>
      </c>
      <c r="G177" t="str">
        <f>IF($B177&lt;&gt;"",SUMPRODUCT(($B$2:$B177&lt;&gt;"")*1),"")</f>
        <v/>
      </c>
    </row>
    <row r="178" spans="1:7">
      <c r="A178" s="23" t="str">
        <f>IF(الإدخالات!C178="","",الإدخالات!B178)</f>
        <v/>
      </c>
      <c r="B178" t="str">
        <f>IF(الإدخالات!C178="","","شراء")</f>
        <v/>
      </c>
      <c r="C178" t="str">
        <f>IF(الإدخالات!C178="","",IF(الإدخالات!E178="","-",الإدخالات!E178))</f>
        <v/>
      </c>
      <c r="D178" t="str">
        <f>IF(الإدخالات!C178="","",الإدخالات!C178)</f>
        <v/>
      </c>
      <c r="E178" s="24" t="str">
        <f>IF(الإدخالات!C178="","",الإدخالات!D178)</f>
        <v/>
      </c>
      <c r="F178" t="str">
        <f>IF(الإدخالات!C178="","",IF(الإدخالات!G178="","",الإدخالات!G178))</f>
        <v/>
      </c>
      <c r="G178" t="str">
        <f>IF($B178&lt;&gt;"",SUMPRODUCT(($B$2:$B178&lt;&gt;"")*1),"")</f>
        <v/>
      </c>
    </row>
    <row r="179" spans="1:7">
      <c r="A179" s="23" t="str">
        <f>IF(الإدخالات!C179="","",الإدخالات!B179)</f>
        <v/>
      </c>
      <c r="B179" t="str">
        <f>IF(الإدخالات!C179="","","شراء")</f>
        <v/>
      </c>
      <c r="C179" t="str">
        <f>IF(الإدخالات!C179="","",IF(الإدخالات!E179="","-",الإدخالات!E179))</f>
        <v/>
      </c>
      <c r="D179" t="str">
        <f>IF(الإدخالات!C179="","",الإدخالات!C179)</f>
        <v/>
      </c>
      <c r="E179" s="24" t="str">
        <f>IF(الإدخالات!C179="","",الإدخالات!D179)</f>
        <v/>
      </c>
      <c r="F179" t="str">
        <f>IF(الإدخالات!C179="","",IF(الإدخالات!G179="","",الإدخالات!G179))</f>
        <v/>
      </c>
      <c r="G179" t="str">
        <f>IF($B179&lt;&gt;"",SUMPRODUCT(($B$2:$B179&lt;&gt;"")*1),"")</f>
        <v/>
      </c>
    </row>
    <row r="180" spans="1:7">
      <c r="A180" s="23" t="str">
        <f>IF(الإدخالات!C180="","",الإدخالات!B180)</f>
        <v/>
      </c>
      <c r="B180" t="str">
        <f>IF(الإدخالات!C180="","","شراء")</f>
        <v/>
      </c>
      <c r="C180" t="str">
        <f>IF(الإدخالات!C180="","",IF(الإدخالات!E180="","-",الإدخالات!E180))</f>
        <v/>
      </c>
      <c r="D180" t="str">
        <f>IF(الإدخالات!C180="","",الإدخالات!C180)</f>
        <v/>
      </c>
      <c r="E180" s="24" t="str">
        <f>IF(الإدخالات!C180="","",الإدخالات!D180)</f>
        <v/>
      </c>
      <c r="F180" t="str">
        <f>IF(الإدخالات!C180="","",IF(الإدخالات!G180="","",الإدخالات!G180))</f>
        <v/>
      </c>
      <c r="G180" t="str">
        <f>IF($B180&lt;&gt;"",SUMPRODUCT(($B$2:$B180&lt;&gt;"")*1),"")</f>
        <v/>
      </c>
    </row>
    <row r="181" spans="1:7">
      <c r="A181" s="23" t="str">
        <f>IF(الإدخالات!C181="","",الإدخالات!B181)</f>
        <v/>
      </c>
      <c r="B181" t="str">
        <f>IF(الإدخالات!C181="","","شراء")</f>
        <v/>
      </c>
      <c r="C181" t="str">
        <f>IF(الإدخالات!C181="","",IF(الإدخالات!E181="","-",الإدخالات!E181))</f>
        <v/>
      </c>
      <c r="D181" t="str">
        <f>IF(الإدخالات!C181="","",الإدخالات!C181)</f>
        <v/>
      </c>
      <c r="E181" s="24" t="str">
        <f>IF(الإدخالات!C181="","",الإدخالات!D181)</f>
        <v/>
      </c>
      <c r="F181" t="str">
        <f>IF(الإدخالات!C181="","",IF(الإدخالات!G181="","",الإدخالات!G181))</f>
        <v/>
      </c>
      <c r="G181" t="str">
        <f>IF($B181&lt;&gt;"",SUMPRODUCT(($B$2:$B181&lt;&gt;"")*1),"")</f>
        <v/>
      </c>
    </row>
    <row r="182" spans="1:7">
      <c r="A182" s="23" t="str">
        <f>IF(الإدخالات!C182="","",الإدخالات!B182)</f>
        <v/>
      </c>
      <c r="B182" t="str">
        <f>IF(الإدخالات!C182="","","شراء")</f>
        <v/>
      </c>
      <c r="C182" t="str">
        <f>IF(الإدخالات!C182="","",IF(الإدخالات!E182="","-",الإدخالات!E182))</f>
        <v/>
      </c>
      <c r="D182" t="str">
        <f>IF(الإدخالات!C182="","",الإدخالات!C182)</f>
        <v/>
      </c>
      <c r="E182" s="24" t="str">
        <f>IF(الإدخالات!C182="","",الإدخالات!D182)</f>
        <v/>
      </c>
      <c r="F182" t="str">
        <f>IF(الإدخالات!C182="","",IF(الإدخالات!G182="","",الإدخالات!G182))</f>
        <v/>
      </c>
      <c r="G182" t="str">
        <f>IF($B182&lt;&gt;"",SUMPRODUCT(($B$2:$B182&lt;&gt;"")*1),"")</f>
        <v/>
      </c>
    </row>
    <row r="183" spans="1:7">
      <c r="A183" s="23" t="str">
        <f>IF(الإدخالات!C183="","",الإدخالات!B183)</f>
        <v/>
      </c>
      <c r="B183" t="str">
        <f>IF(الإدخالات!C183="","","شراء")</f>
        <v/>
      </c>
      <c r="C183" t="str">
        <f>IF(الإدخالات!C183="","",IF(الإدخالات!E183="","-",الإدخالات!E183))</f>
        <v/>
      </c>
      <c r="D183" t="str">
        <f>IF(الإدخالات!C183="","",الإدخالات!C183)</f>
        <v/>
      </c>
      <c r="E183" s="24" t="str">
        <f>IF(الإدخالات!C183="","",الإدخالات!D183)</f>
        <v/>
      </c>
      <c r="F183" t="str">
        <f>IF(الإدخالات!C183="","",IF(الإدخالات!G183="","",الإدخالات!G183))</f>
        <v/>
      </c>
      <c r="G183" t="str">
        <f>IF($B183&lt;&gt;"",SUMPRODUCT(($B$2:$B183&lt;&gt;"")*1),"")</f>
        <v/>
      </c>
    </row>
    <row r="184" spans="1:7">
      <c r="A184" s="23" t="str">
        <f>IF(الإدخالات!C184="","",الإدخالات!B184)</f>
        <v/>
      </c>
      <c r="B184" t="str">
        <f>IF(الإدخالات!C184="","","شراء")</f>
        <v/>
      </c>
      <c r="C184" t="str">
        <f>IF(الإدخالات!C184="","",IF(الإدخالات!E184="","-",الإدخالات!E184))</f>
        <v/>
      </c>
      <c r="D184" t="str">
        <f>IF(الإدخالات!C184="","",الإدخالات!C184)</f>
        <v/>
      </c>
      <c r="E184" s="24" t="str">
        <f>IF(الإدخالات!C184="","",الإدخالات!D184)</f>
        <v/>
      </c>
      <c r="F184" t="str">
        <f>IF(الإدخالات!C184="","",IF(الإدخالات!G184="","",الإدخالات!G184))</f>
        <v/>
      </c>
      <c r="G184" t="str">
        <f>IF($B184&lt;&gt;"",SUMPRODUCT(($B$2:$B184&lt;&gt;"")*1),"")</f>
        <v/>
      </c>
    </row>
    <row r="185" spans="1:7">
      <c r="A185" s="23" t="str">
        <f>IF(الإدخالات!C185="","",الإدخالات!B185)</f>
        <v/>
      </c>
      <c r="B185" t="str">
        <f>IF(الإدخالات!C185="","","شراء")</f>
        <v/>
      </c>
      <c r="C185" t="str">
        <f>IF(الإدخالات!C185="","",IF(الإدخالات!E185="","-",الإدخالات!E185))</f>
        <v/>
      </c>
      <c r="D185" t="str">
        <f>IF(الإدخالات!C185="","",الإدخالات!C185)</f>
        <v/>
      </c>
      <c r="E185" s="24" t="str">
        <f>IF(الإدخالات!C185="","",الإدخالات!D185)</f>
        <v/>
      </c>
      <c r="F185" t="str">
        <f>IF(الإدخالات!C185="","",IF(الإدخالات!G185="","",الإدخالات!G185))</f>
        <v/>
      </c>
      <c r="G185" t="str">
        <f>IF($B185&lt;&gt;"",SUMPRODUCT(($B$2:$B185&lt;&gt;"")*1),"")</f>
        <v/>
      </c>
    </row>
    <row r="186" spans="1:7">
      <c r="A186" s="23" t="str">
        <f>IF(الإدخالات!C186="","",الإدخالات!B186)</f>
        <v/>
      </c>
      <c r="B186" t="str">
        <f>IF(الإدخالات!C186="","","شراء")</f>
        <v/>
      </c>
      <c r="C186" t="str">
        <f>IF(الإدخالات!C186="","",IF(الإدخالات!E186="","-",الإدخالات!E186))</f>
        <v/>
      </c>
      <c r="D186" t="str">
        <f>IF(الإدخالات!C186="","",الإدخالات!C186)</f>
        <v/>
      </c>
      <c r="E186" s="24" t="str">
        <f>IF(الإدخالات!C186="","",الإدخالات!D186)</f>
        <v/>
      </c>
      <c r="F186" t="str">
        <f>IF(الإدخالات!C186="","",IF(الإدخالات!G186="","",الإدخالات!G186))</f>
        <v/>
      </c>
      <c r="G186" t="str">
        <f>IF($B186&lt;&gt;"",SUMPRODUCT(($B$2:$B186&lt;&gt;"")*1),"")</f>
        <v/>
      </c>
    </row>
    <row r="187" spans="1:7">
      <c r="A187" s="23" t="str">
        <f>IF(الإدخالات!C187="","",الإدخالات!B187)</f>
        <v/>
      </c>
      <c r="B187" t="str">
        <f>IF(الإدخالات!C187="","","شراء")</f>
        <v/>
      </c>
      <c r="C187" t="str">
        <f>IF(الإدخالات!C187="","",IF(الإدخالات!E187="","-",الإدخالات!E187))</f>
        <v/>
      </c>
      <c r="D187" t="str">
        <f>IF(الإدخالات!C187="","",الإدخالات!C187)</f>
        <v/>
      </c>
      <c r="E187" s="24" t="str">
        <f>IF(الإدخالات!C187="","",الإدخالات!D187)</f>
        <v/>
      </c>
      <c r="F187" t="str">
        <f>IF(الإدخالات!C187="","",IF(الإدخالات!G187="","",الإدخالات!G187))</f>
        <v/>
      </c>
      <c r="G187" t="str">
        <f>IF($B187&lt;&gt;"",SUMPRODUCT(($B$2:$B187&lt;&gt;"")*1),"")</f>
        <v/>
      </c>
    </row>
    <row r="188" spans="1:7">
      <c r="A188" s="23" t="str">
        <f>IF(الإدخالات!C188="","",الإدخالات!B188)</f>
        <v/>
      </c>
      <c r="B188" t="str">
        <f>IF(الإدخالات!C188="","","شراء")</f>
        <v/>
      </c>
      <c r="C188" t="str">
        <f>IF(الإدخالات!C188="","",IF(الإدخالات!E188="","-",الإدخالات!E188))</f>
        <v/>
      </c>
      <c r="D188" t="str">
        <f>IF(الإدخالات!C188="","",الإدخالات!C188)</f>
        <v/>
      </c>
      <c r="E188" s="24" t="str">
        <f>IF(الإدخالات!C188="","",الإدخالات!D188)</f>
        <v/>
      </c>
      <c r="F188" t="str">
        <f>IF(الإدخالات!C188="","",IF(الإدخالات!G188="","",الإدخالات!G188))</f>
        <v/>
      </c>
      <c r="G188" t="str">
        <f>IF($B188&lt;&gt;"",SUMPRODUCT(($B$2:$B188&lt;&gt;"")*1),"")</f>
        <v/>
      </c>
    </row>
    <row r="189" spans="1:7">
      <c r="A189" s="23" t="str">
        <f>IF(الإدخالات!C189="","",الإدخالات!B189)</f>
        <v/>
      </c>
      <c r="B189" t="str">
        <f>IF(الإدخالات!C189="","","شراء")</f>
        <v/>
      </c>
      <c r="C189" t="str">
        <f>IF(الإدخالات!C189="","",IF(الإدخالات!E189="","-",الإدخالات!E189))</f>
        <v/>
      </c>
      <c r="D189" t="str">
        <f>IF(الإدخالات!C189="","",الإدخالات!C189)</f>
        <v/>
      </c>
      <c r="E189" s="24" t="str">
        <f>IF(الإدخالات!C189="","",الإدخالات!D189)</f>
        <v/>
      </c>
      <c r="F189" t="str">
        <f>IF(الإدخالات!C189="","",IF(الإدخالات!G189="","",الإدخالات!G189))</f>
        <v/>
      </c>
      <c r="G189" t="str">
        <f>IF($B189&lt;&gt;"",SUMPRODUCT(($B$2:$B189&lt;&gt;"")*1),"")</f>
        <v/>
      </c>
    </row>
    <row r="190" spans="1:7">
      <c r="A190" s="23" t="str">
        <f>IF(الإدخالات!C190="","",الإدخالات!B190)</f>
        <v/>
      </c>
      <c r="B190" t="str">
        <f>IF(الإدخالات!C190="","","شراء")</f>
        <v/>
      </c>
      <c r="C190" t="str">
        <f>IF(الإدخالات!C190="","",IF(الإدخالات!E190="","-",الإدخالات!E190))</f>
        <v/>
      </c>
      <c r="D190" t="str">
        <f>IF(الإدخالات!C190="","",الإدخالات!C190)</f>
        <v/>
      </c>
      <c r="E190" s="24" t="str">
        <f>IF(الإدخالات!C190="","",الإدخالات!D190)</f>
        <v/>
      </c>
      <c r="F190" t="str">
        <f>IF(الإدخالات!C190="","",IF(الإدخالات!G190="","",الإدخالات!G190))</f>
        <v/>
      </c>
      <c r="G190" t="str">
        <f>IF($B190&lt;&gt;"",SUMPRODUCT(($B$2:$B190&lt;&gt;"")*1),"")</f>
        <v/>
      </c>
    </row>
    <row r="191" spans="1:7">
      <c r="A191" s="23" t="str">
        <f>IF(الإدخالات!C191="","",الإدخالات!B191)</f>
        <v/>
      </c>
      <c r="B191" t="str">
        <f>IF(الإدخالات!C191="","","شراء")</f>
        <v/>
      </c>
      <c r="C191" t="str">
        <f>IF(الإدخالات!C191="","",IF(الإدخالات!E191="","-",الإدخالات!E191))</f>
        <v/>
      </c>
      <c r="D191" t="str">
        <f>IF(الإدخالات!C191="","",الإدخالات!C191)</f>
        <v/>
      </c>
      <c r="E191" s="24" t="str">
        <f>IF(الإدخالات!C191="","",الإدخالات!D191)</f>
        <v/>
      </c>
      <c r="F191" t="str">
        <f>IF(الإدخالات!C191="","",IF(الإدخالات!G191="","",الإدخالات!G191))</f>
        <v/>
      </c>
      <c r="G191" t="str">
        <f>IF($B191&lt;&gt;"",SUMPRODUCT(($B$2:$B191&lt;&gt;"")*1),"")</f>
        <v/>
      </c>
    </row>
    <row r="192" spans="1:7">
      <c r="A192" s="23" t="str">
        <f>IF(الإدخالات!C192="","",الإدخالات!B192)</f>
        <v/>
      </c>
      <c r="B192" t="str">
        <f>IF(الإدخالات!C192="","","شراء")</f>
        <v/>
      </c>
      <c r="C192" t="str">
        <f>IF(الإدخالات!C192="","",IF(الإدخالات!E192="","-",الإدخالات!E192))</f>
        <v/>
      </c>
      <c r="D192" t="str">
        <f>IF(الإدخالات!C192="","",الإدخالات!C192)</f>
        <v/>
      </c>
      <c r="E192" s="24" t="str">
        <f>IF(الإدخالات!C192="","",الإدخالات!D192)</f>
        <v/>
      </c>
      <c r="F192" t="str">
        <f>IF(الإدخالات!C192="","",IF(الإدخالات!G192="","",الإدخالات!G192))</f>
        <v/>
      </c>
      <c r="G192" t="str">
        <f>IF($B192&lt;&gt;"",SUMPRODUCT(($B$2:$B192&lt;&gt;"")*1),"")</f>
        <v/>
      </c>
    </row>
    <row r="193" spans="1:7">
      <c r="A193" s="23" t="str">
        <f>IF(الإدخالات!C193="","",الإدخالات!B193)</f>
        <v/>
      </c>
      <c r="B193" t="str">
        <f>IF(الإدخالات!C193="","","شراء")</f>
        <v/>
      </c>
      <c r="C193" t="str">
        <f>IF(الإدخالات!C193="","",IF(الإدخالات!E193="","-",الإدخالات!E193))</f>
        <v/>
      </c>
      <c r="D193" t="str">
        <f>IF(الإدخالات!C193="","",الإدخالات!C193)</f>
        <v/>
      </c>
      <c r="E193" s="24" t="str">
        <f>IF(الإدخالات!C193="","",الإدخالات!D193)</f>
        <v/>
      </c>
      <c r="F193" t="str">
        <f>IF(الإدخالات!C193="","",IF(الإدخالات!G193="","",الإدخالات!G193))</f>
        <v/>
      </c>
      <c r="G193" t="str">
        <f>IF($B193&lt;&gt;"",SUMPRODUCT(($B$2:$B193&lt;&gt;"")*1),"")</f>
        <v/>
      </c>
    </row>
    <row r="194" spans="1:7">
      <c r="A194" s="23" t="str">
        <f>IF(الإدخالات!C194="","",الإدخالات!B194)</f>
        <v/>
      </c>
      <c r="B194" t="str">
        <f>IF(الإدخالات!C194="","","شراء")</f>
        <v/>
      </c>
      <c r="C194" t="str">
        <f>IF(الإدخالات!C194="","",IF(الإدخالات!E194="","-",الإدخالات!E194))</f>
        <v/>
      </c>
      <c r="D194" t="str">
        <f>IF(الإدخالات!C194="","",الإدخالات!C194)</f>
        <v/>
      </c>
      <c r="E194" s="24" t="str">
        <f>IF(الإدخالات!C194="","",الإدخالات!D194)</f>
        <v/>
      </c>
      <c r="F194" t="str">
        <f>IF(الإدخالات!C194="","",IF(الإدخالات!G194="","",الإدخالات!G194))</f>
        <v/>
      </c>
      <c r="G194" t="str">
        <f>IF($B194&lt;&gt;"",SUMPRODUCT(($B$2:$B194&lt;&gt;"")*1),"")</f>
        <v/>
      </c>
    </row>
    <row r="195" spans="1:7">
      <c r="A195" s="23" t="str">
        <f>IF(الإدخالات!C195="","",الإدخالات!B195)</f>
        <v/>
      </c>
      <c r="B195" t="str">
        <f>IF(الإدخالات!C195="","","شراء")</f>
        <v/>
      </c>
      <c r="C195" t="str">
        <f>IF(الإدخالات!C195="","",IF(الإدخالات!E195="","-",الإدخالات!E195))</f>
        <v/>
      </c>
      <c r="D195" t="str">
        <f>IF(الإدخالات!C195="","",الإدخالات!C195)</f>
        <v/>
      </c>
      <c r="E195" s="24" t="str">
        <f>IF(الإدخالات!C195="","",الإدخالات!D195)</f>
        <v/>
      </c>
      <c r="F195" t="str">
        <f>IF(الإدخالات!C195="","",IF(الإدخالات!G195="","",الإدخالات!G195))</f>
        <v/>
      </c>
      <c r="G195" t="str">
        <f>IF($B195&lt;&gt;"",SUMPRODUCT(($B$2:$B195&lt;&gt;"")*1),"")</f>
        <v/>
      </c>
    </row>
    <row r="196" spans="1:7">
      <c r="A196" s="23" t="str">
        <f>IF(الإدخالات!C196="","",الإدخالات!B196)</f>
        <v/>
      </c>
      <c r="B196" t="str">
        <f>IF(الإدخالات!C196="","","شراء")</f>
        <v/>
      </c>
      <c r="C196" t="str">
        <f>IF(الإدخالات!C196="","",IF(الإدخالات!E196="","-",الإدخالات!E196))</f>
        <v/>
      </c>
      <c r="D196" t="str">
        <f>IF(الإدخالات!C196="","",الإدخالات!C196)</f>
        <v/>
      </c>
      <c r="E196" s="24" t="str">
        <f>IF(الإدخالات!C196="","",الإدخالات!D196)</f>
        <v/>
      </c>
      <c r="F196" t="str">
        <f>IF(الإدخالات!C196="","",IF(الإدخالات!G196="","",الإدخالات!G196))</f>
        <v/>
      </c>
      <c r="G196" t="str">
        <f>IF($B196&lt;&gt;"",SUMPRODUCT(($B$2:$B196&lt;&gt;"")*1),"")</f>
        <v/>
      </c>
    </row>
    <row r="197" spans="1:7">
      <c r="A197" s="23" t="str">
        <f>IF(الإدخالات!C197="","",الإدخالات!B197)</f>
        <v/>
      </c>
      <c r="B197" t="str">
        <f>IF(الإدخالات!C197="","","شراء")</f>
        <v/>
      </c>
      <c r="C197" t="str">
        <f>IF(الإدخالات!C197="","",IF(الإدخالات!E197="","-",الإدخالات!E197))</f>
        <v/>
      </c>
      <c r="D197" t="str">
        <f>IF(الإدخالات!C197="","",الإدخالات!C197)</f>
        <v/>
      </c>
      <c r="E197" s="24" t="str">
        <f>IF(الإدخالات!C197="","",الإدخالات!D197)</f>
        <v/>
      </c>
      <c r="F197" t="str">
        <f>IF(الإدخالات!C197="","",IF(الإدخالات!G197="","",الإدخالات!G197))</f>
        <v/>
      </c>
      <c r="G197" t="str">
        <f>IF($B197&lt;&gt;"",SUMPRODUCT(($B$2:$B197&lt;&gt;"")*1),"")</f>
        <v/>
      </c>
    </row>
    <row r="198" spans="1:7">
      <c r="A198" s="23" t="str">
        <f>IF(الإدخالات!C198="","",الإدخالات!B198)</f>
        <v/>
      </c>
      <c r="B198" t="str">
        <f>IF(الإدخالات!C198="","","شراء")</f>
        <v/>
      </c>
      <c r="C198" t="str">
        <f>IF(الإدخالات!C198="","",IF(الإدخالات!E198="","-",الإدخالات!E198))</f>
        <v/>
      </c>
      <c r="D198" t="str">
        <f>IF(الإدخالات!C198="","",الإدخالات!C198)</f>
        <v/>
      </c>
      <c r="E198" s="24" t="str">
        <f>IF(الإدخالات!C198="","",الإدخالات!D198)</f>
        <v/>
      </c>
      <c r="F198" t="str">
        <f>IF(الإدخالات!C198="","",IF(الإدخالات!G198="","",الإدخالات!G198))</f>
        <v/>
      </c>
      <c r="G198" t="str">
        <f>IF($B198&lt;&gt;"",SUMPRODUCT(($B$2:$B198&lt;&gt;"")*1),"")</f>
        <v/>
      </c>
    </row>
    <row r="199" spans="1:7">
      <c r="A199" s="23" t="str">
        <f>IF(الإدخالات!C199="","",الإدخالات!B199)</f>
        <v/>
      </c>
      <c r="B199" t="str">
        <f>IF(الإدخالات!C199="","","شراء")</f>
        <v/>
      </c>
      <c r="C199" t="str">
        <f>IF(الإدخالات!C199="","",IF(الإدخالات!E199="","-",الإدخالات!E199))</f>
        <v/>
      </c>
      <c r="D199" t="str">
        <f>IF(الإدخالات!C199="","",الإدخالات!C199)</f>
        <v/>
      </c>
      <c r="E199" s="24" t="str">
        <f>IF(الإدخالات!C199="","",الإدخالات!D199)</f>
        <v/>
      </c>
      <c r="F199" t="str">
        <f>IF(الإدخالات!C199="","",IF(الإدخالات!G199="","",الإدخالات!G199))</f>
        <v/>
      </c>
      <c r="G199" t="str">
        <f>IF($B199&lt;&gt;"",SUMPRODUCT(($B$2:$B199&lt;&gt;"")*1),"")</f>
        <v/>
      </c>
    </row>
    <row r="200" spans="1:7">
      <c r="A200" s="23" t="str">
        <f>IF(الإدخالات!C200="","",الإدخالات!B200)</f>
        <v/>
      </c>
      <c r="B200" t="str">
        <f>IF(الإدخالات!C200="","","شراء")</f>
        <v/>
      </c>
      <c r="C200" t="str">
        <f>IF(الإدخالات!C200="","",IF(الإدخالات!E200="","-",الإدخالات!E200))</f>
        <v/>
      </c>
      <c r="D200" t="str">
        <f>IF(الإدخالات!C200="","",الإدخالات!C200)</f>
        <v/>
      </c>
      <c r="E200" s="24" t="str">
        <f>IF(الإدخالات!C200="","",الإدخالات!D200)</f>
        <v/>
      </c>
      <c r="F200" t="str">
        <f>IF(الإدخالات!C200="","",IF(الإدخالات!G200="","",الإدخالات!G200))</f>
        <v/>
      </c>
      <c r="G200" t="str">
        <f>IF($B200&lt;&gt;"",SUMPRODUCT(($B$2:$B200&lt;&gt;"")*1),"")</f>
        <v/>
      </c>
    </row>
    <row r="201" spans="1:7">
      <c r="A201" s="23" t="str">
        <f>IF(الإدخالات!C201="","",الإدخالات!B201)</f>
        <v/>
      </c>
      <c r="B201" t="str">
        <f>IF(الإدخالات!C201="","","شراء")</f>
        <v/>
      </c>
      <c r="C201" t="str">
        <f>IF(الإدخالات!C201="","",IF(الإدخالات!E201="","-",الإدخالات!E201))</f>
        <v/>
      </c>
      <c r="D201" t="str">
        <f>IF(الإدخالات!C201="","",الإدخالات!C201)</f>
        <v/>
      </c>
      <c r="E201" s="24" t="str">
        <f>IF(الإدخالات!C201="","",الإدخالات!D201)</f>
        <v/>
      </c>
      <c r="F201" t="str">
        <f>IF(الإدخالات!C201="","",IF(الإدخالات!G201="","",الإدخالات!G201))</f>
        <v/>
      </c>
      <c r="G201" t="str">
        <f>IF($B201&lt;&gt;"",SUMPRODUCT(($B$2:$B201&lt;&gt;"")*1),"")</f>
        <v/>
      </c>
    </row>
    <row r="202" spans="1:7">
      <c r="A202" s="23" t="str">
        <f>IF(الإدخالات!C202="","",الإدخالات!B202)</f>
        <v/>
      </c>
      <c r="B202" t="str">
        <f>IF(الإدخالات!C202="","","شراء")</f>
        <v/>
      </c>
      <c r="C202" t="str">
        <f>IF(الإدخالات!C202="","",IF(الإدخالات!E202="","-",الإدخالات!E202))</f>
        <v/>
      </c>
      <c r="D202" t="str">
        <f>IF(الإدخالات!C202="","",الإدخالات!C202)</f>
        <v/>
      </c>
      <c r="E202" s="24" t="str">
        <f>IF(الإدخالات!C202="","",الإدخالات!D202)</f>
        <v/>
      </c>
      <c r="F202" t="str">
        <f>IF(الإدخالات!C202="","",IF(الإدخالات!G202="","",الإدخالات!G202))</f>
        <v/>
      </c>
      <c r="G202" t="str">
        <f>IF($B202&lt;&gt;"",SUMPRODUCT(($B$2:$B202&lt;&gt;"")*1),"")</f>
        <v/>
      </c>
    </row>
    <row r="203" spans="1:7">
      <c r="A203" s="23" t="str">
        <f>IF(الإدخالات!C203="","",الإدخالات!B203)</f>
        <v/>
      </c>
      <c r="B203" t="str">
        <f>IF(الإدخالات!C203="","","شراء")</f>
        <v/>
      </c>
      <c r="C203" t="str">
        <f>IF(الإدخالات!C203="","",IF(الإدخالات!E203="","-",الإدخالات!E203))</f>
        <v/>
      </c>
      <c r="D203" t="str">
        <f>IF(الإدخالات!C203="","",الإدخالات!C203)</f>
        <v/>
      </c>
      <c r="E203" s="24" t="str">
        <f>IF(الإدخالات!C203="","",الإدخالات!D203)</f>
        <v/>
      </c>
      <c r="F203" t="str">
        <f>IF(الإدخالات!C203="","",IF(الإدخالات!G203="","",الإدخالات!G203))</f>
        <v/>
      </c>
      <c r="G203" t="str">
        <f>IF($B203&lt;&gt;"",SUMPRODUCT(($B$2:$B203&lt;&gt;"")*1),"")</f>
        <v/>
      </c>
    </row>
    <row r="204" spans="1:7">
      <c r="A204" s="23" t="str">
        <f>IF(الإدخالات!C204="","",الإدخالات!B204)</f>
        <v/>
      </c>
      <c r="B204" t="str">
        <f>IF(الإدخالات!C204="","","شراء")</f>
        <v/>
      </c>
      <c r="C204" t="str">
        <f>IF(الإدخالات!C204="","",IF(الإدخالات!E204="","-",الإدخالات!E204))</f>
        <v/>
      </c>
      <c r="D204" t="str">
        <f>IF(الإدخالات!C204="","",الإدخالات!C204)</f>
        <v/>
      </c>
      <c r="E204" s="24" t="str">
        <f>IF(الإدخالات!C204="","",الإدخالات!D204)</f>
        <v/>
      </c>
      <c r="F204" t="str">
        <f>IF(الإدخالات!C204="","",IF(الإدخالات!G204="","",الإدخالات!G204))</f>
        <v/>
      </c>
      <c r="G204" t="str">
        <f>IF($B204&lt;&gt;"",SUMPRODUCT(($B$2:$B204&lt;&gt;"")*1),"")</f>
        <v/>
      </c>
    </row>
    <row r="205" spans="1:7">
      <c r="A205" s="23" t="str">
        <f>IF(الإدخالات!C205="","",الإدخالات!B205)</f>
        <v/>
      </c>
      <c r="B205" t="str">
        <f>IF(الإدخالات!C205="","","شراء")</f>
        <v/>
      </c>
      <c r="C205" t="str">
        <f>IF(الإدخالات!C205="","",IF(الإدخالات!E205="","-",الإدخالات!E205))</f>
        <v/>
      </c>
      <c r="D205" t="str">
        <f>IF(الإدخالات!C205="","",الإدخالات!C205)</f>
        <v/>
      </c>
      <c r="E205" s="24" t="str">
        <f>IF(الإدخالات!C205="","",الإدخالات!D205)</f>
        <v/>
      </c>
      <c r="F205" t="str">
        <f>IF(الإدخالات!C205="","",IF(الإدخالات!G205="","",الإدخالات!G205))</f>
        <v/>
      </c>
      <c r="G205" t="str">
        <f>IF($B205&lt;&gt;"",SUMPRODUCT(($B$2:$B205&lt;&gt;"")*1),"")</f>
        <v/>
      </c>
    </row>
    <row r="206" spans="1:7">
      <c r="A206" s="23" t="str">
        <f>IF(الإدخالات!C206="","",الإدخالات!B206)</f>
        <v/>
      </c>
      <c r="B206" t="str">
        <f>IF(الإدخالات!C206="","","شراء")</f>
        <v/>
      </c>
      <c r="C206" t="str">
        <f>IF(الإدخالات!C206="","",IF(الإدخالات!E206="","-",الإدخالات!E206))</f>
        <v/>
      </c>
      <c r="D206" t="str">
        <f>IF(الإدخالات!C206="","",الإدخالات!C206)</f>
        <v/>
      </c>
      <c r="E206" s="24" t="str">
        <f>IF(الإدخالات!C206="","",الإدخالات!D206)</f>
        <v/>
      </c>
      <c r="F206" t="str">
        <f>IF(الإدخالات!C206="","",IF(الإدخالات!G206="","",الإدخالات!G206))</f>
        <v/>
      </c>
      <c r="G206" t="str">
        <f>IF($B206&lt;&gt;"",SUMPRODUCT(($B$2:$B206&lt;&gt;"")*1),"")</f>
        <v/>
      </c>
    </row>
    <row r="207" spans="1:7">
      <c r="A207" s="23" t="str">
        <f>IF(الإدخالات!C207="","",الإدخالات!B207)</f>
        <v/>
      </c>
      <c r="B207" t="str">
        <f>IF(الإدخالات!C207="","","شراء")</f>
        <v/>
      </c>
      <c r="C207" t="str">
        <f>IF(الإدخالات!C207="","",IF(الإدخالات!E207="","-",الإدخالات!E207))</f>
        <v/>
      </c>
      <c r="D207" t="str">
        <f>IF(الإدخالات!C207="","",الإدخالات!C207)</f>
        <v/>
      </c>
      <c r="E207" s="24" t="str">
        <f>IF(الإدخالات!C207="","",الإدخالات!D207)</f>
        <v/>
      </c>
      <c r="F207" t="str">
        <f>IF(الإدخالات!C207="","",IF(الإدخالات!G207="","",الإدخالات!G207))</f>
        <v/>
      </c>
      <c r="G207" t="str">
        <f>IF($B207&lt;&gt;"",SUMPRODUCT(($B$2:$B207&lt;&gt;"")*1),"")</f>
        <v/>
      </c>
    </row>
    <row r="208" spans="1:7">
      <c r="A208" s="23" t="str">
        <f>IF(الإدخالات!C208="","",الإدخالات!B208)</f>
        <v/>
      </c>
      <c r="B208" t="str">
        <f>IF(الإدخالات!C208="","","شراء")</f>
        <v/>
      </c>
      <c r="C208" t="str">
        <f>IF(الإدخالات!C208="","",IF(الإدخالات!E208="","-",الإدخالات!E208))</f>
        <v/>
      </c>
      <c r="D208" t="str">
        <f>IF(الإدخالات!C208="","",الإدخالات!C208)</f>
        <v/>
      </c>
      <c r="E208" s="24" t="str">
        <f>IF(الإدخالات!C208="","",الإدخالات!D208)</f>
        <v/>
      </c>
      <c r="F208" t="str">
        <f>IF(الإدخالات!C208="","",IF(الإدخالات!G208="","",الإدخالات!G208))</f>
        <v/>
      </c>
      <c r="G208" t="str">
        <f>IF($B208&lt;&gt;"",SUMPRODUCT(($B$2:$B208&lt;&gt;"")*1),"")</f>
        <v/>
      </c>
    </row>
    <row r="209" spans="1:7">
      <c r="A209" s="23" t="str">
        <f>IF(الإدخالات!C209="","",الإدخالات!B209)</f>
        <v/>
      </c>
      <c r="B209" t="str">
        <f>IF(الإدخالات!C209="","","شراء")</f>
        <v/>
      </c>
      <c r="C209" t="str">
        <f>IF(الإدخالات!C209="","",IF(الإدخالات!E209="","-",الإدخالات!E209))</f>
        <v/>
      </c>
      <c r="D209" t="str">
        <f>IF(الإدخالات!C209="","",الإدخالات!C209)</f>
        <v/>
      </c>
      <c r="E209" s="24" t="str">
        <f>IF(الإدخالات!C209="","",الإدخالات!D209)</f>
        <v/>
      </c>
      <c r="F209" t="str">
        <f>IF(الإدخالات!C209="","",IF(الإدخالات!G209="","",الإدخالات!G209))</f>
        <v/>
      </c>
      <c r="G209" t="str">
        <f>IF($B209&lt;&gt;"",SUMPRODUCT(($B$2:$B209&lt;&gt;"")*1),"")</f>
        <v/>
      </c>
    </row>
    <row r="210" spans="1:7">
      <c r="A210" s="23" t="str">
        <f>IF(الإدخالات!C210="","",الإدخالات!B210)</f>
        <v/>
      </c>
      <c r="B210" t="str">
        <f>IF(الإدخالات!C210="","","شراء")</f>
        <v/>
      </c>
      <c r="C210" t="str">
        <f>IF(الإدخالات!C210="","",IF(الإدخالات!E210="","-",الإدخالات!E210))</f>
        <v/>
      </c>
      <c r="D210" t="str">
        <f>IF(الإدخالات!C210="","",الإدخالات!C210)</f>
        <v/>
      </c>
      <c r="E210" s="24" t="str">
        <f>IF(الإدخالات!C210="","",الإدخالات!D210)</f>
        <v/>
      </c>
      <c r="F210" t="str">
        <f>IF(الإدخالات!C210="","",IF(الإدخالات!G210="","",الإدخالات!G210))</f>
        <v/>
      </c>
      <c r="G210" t="str">
        <f>IF($B210&lt;&gt;"",SUMPRODUCT(($B$2:$B210&lt;&gt;"")*1),"")</f>
        <v/>
      </c>
    </row>
    <row r="211" spans="1:7">
      <c r="A211" s="23" t="str">
        <f>IF(الإدخالات!C211="","",الإدخالات!B211)</f>
        <v/>
      </c>
      <c r="B211" t="str">
        <f>IF(الإدخالات!C211="","","شراء")</f>
        <v/>
      </c>
      <c r="C211" t="str">
        <f>IF(الإدخالات!C211="","",IF(الإدخالات!E211="","-",الإدخالات!E211))</f>
        <v/>
      </c>
      <c r="D211" t="str">
        <f>IF(الإدخالات!C211="","",الإدخالات!C211)</f>
        <v/>
      </c>
      <c r="E211" s="24" t="str">
        <f>IF(الإدخالات!C211="","",الإدخالات!D211)</f>
        <v/>
      </c>
      <c r="F211" t="str">
        <f>IF(الإدخالات!C211="","",IF(الإدخالات!G211="","",الإدخالات!G211))</f>
        <v/>
      </c>
      <c r="G211" t="str">
        <f>IF($B211&lt;&gt;"",SUMPRODUCT(($B$2:$B211&lt;&gt;"")*1),"")</f>
        <v/>
      </c>
    </row>
    <row r="212" spans="1:7">
      <c r="A212" s="23" t="str">
        <f>IF(الإدخالات!C212="","",الإدخالات!B212)</f>
        <v/>
      </c>
      <c r="B212" t="str">
        <f>IF(الإدخالات!C212="","","شراء")</f>
        <v/>
      </c>
      <c r="C212" t="str">
        <f>IF(الإدخالات!C212="","",IF(الإدخالات!E212="","-",الإدخالات!E212))</f>
        <v/>
      </c>
      <c r="D212" t="str">
        <f>IF(الإدخالات!C212="","",الإدخالات!C212)</f>
        <v/>
      </c>
      <c r="E212" s="24" t="str">
        <f>IF(الإدخالات!C212="","",الإدخالات!D212)</f>
        <v/>
      </c>
      <c r="F212" t="str">
        <f>IF(الإدخالات!C212="","",IF(الإدخالات!G212="","",الإدخالات!G212))</f>
        <v/>
      </c>
      <c r="G212" t="str">
        <f>IF($B212&lt;&gt;"",SUMPRODUCT(($B$2:$B212&lt;&gt;"")*1),"")</f>
        <v/>
      </c>
    </row>
    <row r="213" spans="1:7">
      <c r="A213" s="23" t="str">
        <f>IF(الإدخالات!C213="","",الإدخالات!B213)</f>
        <v/>
      </c>
      <c r="B213" t="str">
        <f>IF(الإدخالات!C213="","","شراء")</f>
        <v/>
      </c>
      <c r="C213" t="str">
        <f>IF(الإدخالات!C213="","",IF(الإدخالات!E213="","-",الإدخالات!E213))</f>
        <v/>
      </c>
      <c r="D213" t="str">
        <f>IF(الإدخالات!C213="","",الإدخالات!C213)</f>
        <v/>
      </c>
      <c r="E213" s="24" t="str">
        <f>IF(الإدخالات!C213="","",الإدخالات!D213)</f>
        <v/>
      </c>
      <c r="F213" t="str">
        <f>IF(الإدخالات!C213="","",IF(الإدخالات!G213="","",الإدخالات!G213))</f>
        <v/>
      </c>
      <c r="G213" t="str">
        <f>IF($B213&lt;&gt;"",SUMPRODUCT(($B$2:$B213&lt;&gt;"")*1),"")</f>
        <v/>
      </c>
    </row>
    <row r="214" spans="1:7">
      <c r="A214" s="23" t="str">
        <f>IF(الإدخالات!C214="","",الإدخالات!B214)</f>
        <v/>
      </c>
      <c r="B214" t="str">
        <f>IF(الإدخالات!C214="","","شراء")</f>
        <v/>
      </c>
      <c r="C214" t="str">
        <f>IF(الإدخالات!C214="","",IF(الإدخالات!E214="","-",الإدخالات!E214))</f>
        <v/>
      </c>
      <c r="D214" t="str">
        <f>IF(الإدخالات!C214="","",الإدخالات!C214)</f>
        <v/>
      </c>
      <c r="E214" s="24" t="str">
        <f>IF(الإدخالات!C214="","",الإدخالات!D214)</f>
        <v/>
      </c>
      <c r="F214" t="str">
        <f>IF(الإدخالات!C214="","",IF(الإدخالات!G214="","",الإدخالات!G214))</f>
        <v/>
      </c>
      <c r="G214" t="str">
        <f>IF($B214&lt;&gt;"",SUMPRODUCT(($B$2:$B214&lt;&gt;"")*1),"")</f>
        <v/>
      </c>
    </row>
    <row r="215" spans="1:7">
      <c r="A215" s="23" t="str">
        <f>IF(الإدخالات!C215="","",الإدخالات!B215)</f>
        <v/>
      </c>
      <c r="B215" t="str">
        <f>IF(الإدخالات!C215="","","شراء")</f>
        <v/>
      </c>
      <c r="C215" t="str">
        <f>IF(الإدخالات!C215="","",IF(الإدخالات!E215="","-",الإدخالات!E215))</f>
        <v/>
      </c>
      <c r="D215" t="str">
        <f>IF(الإدخالات!C215="","",الإدخالات!C215)</f>
        <v/>
      </c>
      <c r="E215" s="24" t="str">
        <f>IF(الإدخالات!C215="","",الإدخالات!D215)</f>
        <v/>
      </c>
      <c r="F215" t="str">
        <f>IF(الإدخالات!C215="","",IF(الإدخالات!G215="","",الإدخالات!G215))</f>
        <v/>
      </c>
      <c r="G215" t="str">
        <f>IF($B215&lt;&gt;"",SUMPRODUCT(($B$2:$B215&lt;&gt;"")*1),"")</f>
        <v/>
      </c>
    </row>
    <row r="216" spans="1:7">
      <c r="A216" s="23" t="str">
        <f>IF(الإدخالات!C216="","",الإدخالات!B216)</f>
        <v/>
      </c>
      <c r="B216" t="str">
        <f>IF(الإدخالات!C216="","","شراء")</f>
        <v/>
      </c>
      <c r="C216" t="str">
        <f>IF(الإدخالات!C216="","",IF(الإدخالات!E216="","-",الإدخالات!E216))</f>
        <v/>
      </c>
      <c r="D216" t="str">
        <f>IF(الإدخالات!C216="","",الإدخالات!C216)</f>
        <v/>
      </c>
      <c r="E216" s="24" t="str">
        <f>IF(الإدخالات!C216="","",الإدخالات!D216)</f>
        <v/>
      </c>
      <c r="F216" t="str">
        <f>IF(الإدخالات!C216="","",IF(الإدخالات!G216="","",الإدخالات!G216))</f>
        <v/>
      </c>
      <c r="G216" t="str">
        <f>IF($B216&lt;&gt;"",SUMPRODUCT(($B$2:$B216&lt;&gt;"")*1),"")</f>
        <v/>
      </c>
    </row>
    <row r="217" spans="1:7">
      <c r="A217" s="23" t="str">
        <f>IF(الإدخالات!C217="","",الإدخالات!B217)</f>
        <v/>
      </c>
      <c r="B217" t="str">
        <f>IF(الإدخالات!C217="","","شراء")</f>
        <v/>
      </c>
      <c r="C217" t="str">
        <f>IF(الإدخالات!C217="","",IF(الإدخالات!E217="","-",الإدخالات!E217))</f>
        <v/>
      </c>
      <c r="D217" t="str">
        <f>IF(الإدخالات!C217="","",الإدخالات!C217)</f>
        <v/>
      </c>
      <c r="E217" s="24" t="str">
        <f>IF(الإدخالات!C217="","",الإدخالات!D217)</f>
        <v/>
      </c>
      <c r="F217" t="str">
        <f>IF(الإدخالات!C217="","",IF(الإدخالات!G217="","",الإدخالات!G217))</f>
        <v/>
      </c>
      <c r="G217" t="str">
        <f>IF($B217&lt;&gt;"",SUMPRODUCT(($B$2:$B217&lt;&gt;"")*1),"")</f>
        <v/>
      </c>
    </row>
    <row r="218" spans="1:7">
      <c r="A218" s="23" t="str">
        <f>IF(الإدخالات!C218="","",الإدخالات!B218)</f>
        <v/>
      </c>
      <c r="B218" t="str">
        <f>IF(الإدخالات!C218="","","شراء")</f>
        <v/>
      </c>
      <c r="C218" t="str">
        <f>IF(الإدخالات!C218="","",IF(الإدخالات!E218="","-",الإدخالات!E218))</f>
        <v/>
      </c>
      <c r="D218" t="str">
        <f>IF(الإدخالات!C218="","",الإدخالات!C218)</f>
        <v/>
      </c>
      <c r="E218" s="24" t="str">
        <f>IF(الإدخالات!C218="","",الإدخالات!D218)</f>
        <v/>
      </c>
      <c r="F218" t="str">
        <f>IF(الإدخالات!C218="","",IF(الإدخالات!G218="","",الإدخالات!G218))</f>
        <v/>
      </c>
      <c r="G218" t="str">
        <f>IF($B218&lt;&gt;"",SUMPRODUCT(($B$2:$B218&lt;&gt;"")*1),"")</f>
        <v/>
      </c>
    </row>
    <row r="219" spans="1:7">
      <c r="A219" s="23" t="str">
        <f>IF(الإدخالات!C219="","",الإدخالات!B219)</f>
        <v/>
      </c>
      <c r="B219" t="str">
        <f>IF(الإدخالات!C219="","","شراء")</f>
        <v/>
      </c>
      <c r="C219" t="str">
        <f>IF(الإدخالات!C219="","",IF(الإدخالات!E219="","-",الإدخالات!E219))</f>
        <v/>
      </c>
      <c r="D219" t="str">
        <f>IF(الإدخالات!C219="","",الإدخالات!C219)</f>
        <v/>
      </c>
      <c r="E219" s="24" t="str">
        <f>IF(الإدخالات!C219="","",الإدخالات!D219)</f>
        <v/>
      </c>
      <c r="F219" t="str">
        <f>IF(الإدخالات!C219="","",IF(الإدخالات!G219="","",الإدخالات!G219))</f>
        <v/>
      </c>
      <c r="G219" t="str">
        <f>IF($B219&lt;&gt;"",SUMPRODUCT(($B$2:$B219&lt;&gt;"")*1),"")</f>
        <v/>
      </c>
    </row>
    <row r="220" spans="1:7">
      <c r="A220" s="23" t="str">
        <f>IF(الإدخالات!C220="","",الإدخالات!B220)</f>
        <v/>
      </c>
      <c r="B220" t="str">
        <f>IF(الإدخالات!C220="","","شراء")</f>
        <v/>
      </c>
      <c r="C220" t="str">
        <f>IF(الإدخالات!C220="","",IF(الإدخالات!E220="","-",الإدخالات!E220))</f>
        <v/>
      </c>
      <c r="D220" t="str">
        <f>IF(الإدخالات!C220="","",الإدخالات!C220)</f>
        <v/>
      </c>
      <c r="E220" s="24" t="str">
        <f>IF(الإدخالات!C220="","",الإدخالات!D220)</f>
        <v/>
      </c>
      <c r="F220" t="str">
        <f>IF(الإدخالات!C220="","",IF(الإدخالات!G220="","",الإدخالات!G220))</f>
        <v/>
      </c>
      <c r="G220" t="str">
        <f>IF($B220&lt;&gt;"",SUMPRODUCT(($B$2:$B220&lt;&gt;"")*1),"")</f>
        <v/>
      </c>
    </row>
    <row r="221" spans="1:7">
      <c r="A221" s="23" t="str">
        <f>IF(الإدخالات!C221="","",الإدخالات!B221)</f>
        <v/>
      </c>
      <c r="B221" t="str">
        <f>IF(الإدخالات!C221="","","شراء")</f>
        <v/>
      </c>
      <c r="C221" t="str">
        <f>IF(الإدخالات!C221="","",IF(الإدخالات!E221="","-",الإدخالات!E221))</f>
        <v/>
      </c>
      <c r="D221" t="str">
        <f>IF(الإدخالات!C221="","",الإدخالات!C221)</f>
        <v/>
      </c>
      <c r="E221" s="24" t="str">
        <f>IF(الإدخالات!C221="","",الإدخالات!D221)</f>
        <v/>
      </c>
      <c r="F221" t="str">
        <f>IF(الإدخالات!C221="","",IF(الإدخالات!G221="","",الإدخالات!G221))</f>
        <v/>
      </c>
      <c r="G221" t="str">
        <f>IF($B221&lt;&gt;"",SUMPRODUCT(($B$2:$B221&lt;&gt;"")*1),"")</f>
        <v/>
      </c>
    </row>
    <row r="222" spans="1:7">
      <c r="A222" s="23" t="str">
        <f>IF(الإدخالات!C222="","",الإدخالات!B222)</f>
        <v/>
      </c>
      <c r="B222" t="str">
        <f>IF(الإدخالات!C222="","","شراء")</f>
        <v/>
      </c>
      <c r="C222" t="str">
        <f>IF(الإدخالات!C222="","",IF(الإدخالات!E222="","-",الإدخالات!E222))</f>
        <v/>
      </c>
      <c r="D222" t="str">
        <f>IF(الإدخالات!C222="","",الإدخالات!C222)</f>
        <v/>
      </c>
      <c r="E222" s="24" t="str">
        <f>IF(الإدخالات!C222="","",الإدخالات!D222)</f>
        <v/>
      </c>
      <c r="F222" t="str">
        <f>IF(الإدخالات!C222="","",IF(الإدخالات!G222="","",الإدخالات!G222))</f>
        <v/>
      </c>
      <c r="G222" t="str">
        <f>IF($B222&lt;&gt;"",SUMPRODUCT(($B$2:$B222&lt;&gt;"")*1),"")</f>
        <v/>
      </c>
    </row>
    <row r="223" spans="1:7">
      <c r="A223" s="23" t="str">
        <f>IF(الإدخالات!C223="","",الإدخالات!B223)</f>
        <v/>
      </c>
      <c r="B223" t="str">
        <f>IF(الإدخالات!C223="","","شراء")</f>
        <v/>
      </c>
      <c r="C223" t="str">
        <f>IF(الإدخالات!C223="","",IF(الإدخالات!E223="","-",الإدخالات!E223))</f>
        <v/>
      </c>
      <c r="D223" t="str">
        <f>IF(الإدخالات!C223="","",الإدخالات!C223)</f>
        <v/>
      </c>
      <c r="E223" s="24" t="str">
        <f>IF(الإدخالات!C223="","",الإدخالات!D223)</f>
        <v/>
      </c>
      <c r="F223" t="str">
        <f>IF(الإدخالات!C223="","",IF(الإدخالات!G223="","",الإدخالات!G223))</f>
        <v/>
      </c>
      <c r="G223" t="str">
        <f>IF($B223&lt;&gt;"",SUMPRODUCT(($B$2:$B223&lt;&gt;"")*1),"")</f>
        <v/>
      </c>
    </row>
    <row r="224" spans="1:7">
      <c r="A224" s="23" t="str">
        <f>IF(الإدخالات!C224="","",الإدخالات!B224)</f>
        <v/>
      </c>
      <c r="B224" t="str">
        <f>IF(الإدخالات!C224="","","شراء")</f>
        <v/>
      </c>
      <c r="C224" t="str">
        <f>IF(الإدخالات!C224="","",IF(الإدخالات!E224="","-",الإدخالات!E224))</f>
        <v/>
      </c>
      <c r="D224" t="str">
        <f>IF(الإدخالات!C224="","",الإدخالات!C224)</f>
        <v/>
      </c>
      <c r="E224" s="24" t="str">
        <f>IF(الإدخالات!C224="","",الإدخالات!D224)</f>
        <v/>
      </c>
      <c r="F224" t="str">
        <f>IF(الإدخالات!C224="","",IF(الإدخالات!G224="","",الإدخالات!G224))</f>
        <v/>
      </c>
      <c r="G224" t="str">
        <f>IF($B224&lt;&gt;"",SUMPRODUCT(($B$2:$B224&lt;&gt;"")*1),"")</f>
        <v/>
      </c>
    </row>
    <row r="225" spans="1:7">
      <c r="A225" s="23" t="str">
        <f>IF(الإدخالات!C225="","",الإدخالات!B225)</f>
        <v/>
      </c>
      <c r="B225" t="str">
        <f>IF(الإدخالات!C225="","","شراء")</f>
        <v/>
      </c>
      <c r="C225" t="str">
        <f>IF(الإدخالات!C225="","",IF(الإدخالات!E225="","-",الإدخالات!E225))</f>
        <v/>
      </c>
      <c r="D225" t="str">
        <f>IF(الإدخالات!C225="","",الإدخالات!C225)</f>
        <v/>
      </c>
      <c r="E225" s="24" t="str">
        <f>IF(الإدخالات!C225="","",الإدخالات!D225)</f>
        <v/>
      </c>
      <c r="F225" t="str">
        <f>IF(الإدخالات!C225="","",IF(الإدخالات!G225="","",الإدخالات!G225))</f>
        <v/>
      </c>
      <c r="G225" t="str">
        <f>IF($B225&lt;&gt;"",SUMPRODUCT(($B$2:$B225&lt;&gt;"")*1),"")</f>
        <v/>
      </c>
    </row>
    <row r="226" spans="1:7">
      <c r="A226" s="23" t="str">
        <f>IF(الإدخالات!C226="","",الإدخالات!B226)</f>
        <v/>
      </c>
      <c r="B226" t="str">
        <f>IF(الإدخالات!C226="","","شراء")</f>
        <v/>
      </c>
      <c r="C226" t="str">
        <f>IF(الإدخالات!C226="","",IF(الإدخالات!E226="","-",الإدخالات!E226))</f>
        <v/>
      </c>
      <c r="D226" t="str">
        <f>IF(الإدخالات!C226="","",الإدخالات!C226)</f>
        <v/>
      </c>
      <c r="E226" s="24" t="str">
        <f>IF(الإدخالات!C226="","",الإدخالات!D226)</f>
        <v/>
      </c>
      <c r="F226" t="str">
        <f>IF(الإدخالات!C226="","",IF(الإدخالات!G226="","",الإدخالات!G226))</f>
        <v/>
      </c>
      <c r="G226" t="str">
        <f>IF($B226&lt;&gt;"",SUMPRODUCT(($B$2:$B226&lt;&gt;"")*1),"")</f>
        <v/>
      </c>
    </row>
    <row r="227" spans="1:7">
      <c r="A227" s="23" t="str">
        <f>IF(الإدخالات!C227="","",الإدخالات!B227)</f>
        <v/>
      </c>
      <c r="B227" t="str">
        <f>IF(الإدخالات!C227="","","شراء")</f>
        <v/>
      </c>
      <c r="C227" t="str">
        <f>IF(الإدخالات!C227="","",IF(الإدخالات!E227="","-",الإدخالات!E227))</f>
        <v/>
      </c>
      <c r="D227" t="str">
        <f>IF(الإدخالات!C227="","",الإدخالات!C227)</f>
        <v/>
      </c>
      <c r="E227" s="24" t="str">
        <f>IF(الإدخالات!C227="","",الإدخالات!D227)</f>
        <v/>
      </c>
      <c r="F227" t="str">
        <f>IF(الإدخالات!C227="","",IF(الإدخالات!G227="","",الإدخالات!G227))</f>
        <v/>
      </c>
      <c r="G227" t="str">
        <f>IF($B227&lt;&gt;"",SUMPRODUCT(($B$2:$B227&lt;&gt;"")*1),"")</f>
        <v/>
      </c>
    </row>
    <row r="228" spans="1:7">
      <c r="A228" s="23" t="str">
        <f>IF(الإدخالات!C228="","",الإدخالات!B228)</f>
        <v/>
      </c>
      <c r="B228" t="str">
        <f>IF(الإدخالات!C228="","","شراء")</f>
        <v/>
      </c>
      <c r="C228" t="str">
        <f>IF(الإدخالات!C228="","",IF(الإدخالات!E228="","-",الإدخالات!E228))</f>
        <v/>
      </c>
      <c r="D228" t="str">
        <f>IF(الإدخالات!C228="","",الإدخالات!C228)</f>
        <v/>
      </c>
      <c r="E228" s="24" t="str">
        <f>IF(الإدخالات!C228="","",الإدخالات!D228)</f>
        <v/>
      </c>
      <c r="F228" t="str">
        <f>IF(الإدخالات!C228="","",IF(الإدخالات!G228="","",الإدخالات!G228))</f>
        <v/>
      </c>
      <c r="G228" t="str">
        <f>IF($B228&lt;&gt;"",SUMPRODUCT(($B$2:$B228&lt;&gt;"")*1),"")</f>
        <v/>
      </c>
    </row>
    <row r="229" spans="1:7">
      <c r="A229" s="23" t="str">
        <f>IF(الإدخالات!C229="","",الإدخالات!B229)</f>
        <v/>
      </c>
      <c r="B229" t="str">
        <f>IF(الإدخالات!C229="","","شراء")</f>
        <v/>
      </c>
      <c r="C229" t="str">
        <f>IF(الإدخالات!C229="","",IF(الإدخالات!E229="","-",الإدخالات!E229))</f>
        <v/>
      </c>
      <c r="D229" t="str">
        <f>IF(الإدخالات!C229="","",الإدخالات!C229)</f>
        <v/>
      </c>
      <c r="E229" s="24" t="str">
        <f>IF(الإدخالات!C229="","",الإدخالات!D229)</f>
        <v/>
      </c>
      <c r="F229" t="str">
        <f>IF(الإدخالات!C229="","",IF(الإدخالات!G229="","",الإدخالات!G229))</f>
        <v/>
      </c>
      <c r="G229" t="str">
        <f>IF($B229&lt;&gt;"",SUMPRODUCT(($B$2:$B229&lt;&gt;"")*1),"")</f>
        <v/>
      </c>
    </row>
    <row r="230" spans="1:7">
      <c r="A230" s="23" t="str">
        <f>IF(الإدخالات!C230="","",الإدخالات!B230)</f>
        <v/>
      </c>
      <c r="B230" t="str">
        <f>IF(الإدخالات!C230="","","شراء")</f>
        <v/>
      </c>
      <c r="C230" t="str">
        <f>IF(الإدخالات!C230="","",IF(الإدخالات!E230="","-",الإدخالات!E230))</f>
        <v/>
      </c>
      <c r="D230" t="str">
        <f>IF(الإدخالات!C230="","",الإدخالات!C230)</f>
        <v/>
      </c>
      <c r="E230" s="24" t="str">
        <f>IF(الإدخالات!C230="","",الإدخالات!D230)</f>
        <v/>
      </c>
      <c r="F230" t="str">
        <f>IF(الإدخالات!C230="","",IF(الإدخالات!G230="","",الإدخالات!G230))</f>
        <v/>
      </c>
      <c r="G230" t="str">
        <f>IF($B230&lt;&gt;"",SUMPRODUCT(($B$2:$B230&lt;&gt;"")*1),"")</f>
        <v/>
      </c>
    </row>
    <row r="231" spans="1:7">
      <c r="A231" s="23" t="str">
        <f>IF(الإدخالات!C231="","",الإدخالات!B231)</f>
        <v/>
      </c>
      <c r="B231" t="str">
        <f>IF(الإدخالات!C231="","","شراء")</f>
        <v/>
      </c>
      <c r="C231" t="str">
        <f>IF(الإدخالات!C231="","",IF(الإدخالات!E231="","-",الإدخالات!E231))</f>
        <v/>
      </c>
      <c r="D231" t="str">
        <f>IF(الإدخالات!C231="","",الإدخالات!C231)</f>
        <v/>
      </c>
      <c r="E231" s="24" t="str">
        <f>IF(الإدخالات!C231="","",الإدخالات!D231)</f>
        <v/>
      </c>
      <c r="F231" t="str">
        <f>IF(الإدخالات!C231="","",IF(الإدخالات!G231="","",الإدخالات!G231))</f>
        <v/>
      </c>
      <c r="G231" t="str">
        <f>IF($B231&lt;&gt;"",SUMPRODUCT(($B$2:$B231&lt;&gt;"")*1),"")</f>
        <v/>
      </c>
    </row>
    <row r="232" spans="1:7">
      <c r="A232" s="23" t="str">
        <f>IF(الإدخالات!C232="","",الإدخالات!B232)</f>
        <v/>
      </c>
      <c r="B232" t="str">
        <f>IF(الإدخالات!C232="","","شراء")</f>
        <v/>
      </c>
      <c r="C232" t="str">
        <f>IF(الإدخالات!C232="","",IF(الإدخالات!E232="","-",الإدخالات!E232))</f>
        <v/>
      </c>
      <c r="D232" t="str">
        <f>IF(الإدخالات!C232="","",الإدخالات!C232)</f>
        <v/>
      </c>
      <c r="E232" s="24" t="str">
        <f>IF(الإدخالات!C232="","",الإدخالات!D232)</f>
        <v/>
      </c>
      <c r="F232" t="str">
        <f>IF(الإدخالات!C232="","",IF(الإدخالات!G232="","",الإدخالات!G232))</f>
        <v/>
      </c>
      <c r="G232" t="str">
        <f>IF($B232&lt;&gt;"",SUMPRODUCT(($B$2:$B232&lt;&gt;"")*1),"")</f>
        <v/>
      </c>
    </row>
    <row r="233" spans="1:7">
      <c r="A233" s="23" t="str">
        <f>IF(الإدخالات!C233="","",الإدخالات!B233)</f>
        <v/>
      </c>
      <c r="B233" t="str">
        <f>IF(الإدخالات!C233="","","شراء")</f>
        <v/>
      </c>
      <c r="C233" t="str">
        <f>IF(الإدخالات!C233="","",IF(الإدخالات!E233="","-",الإدخالات!E233))</f>
        <v/>
      </c>
      <c r="D233" t="str">
        <f>IF(الإدخالات!C233="","",الإدخالات!C233)</f>
        <v/>
      </c>
      <c r="E233" s="24" t="str">
        <f>IF(الإدخالات!C233="","",الإدخالات!D233)</f>
        <v/>
      </c>
      <c r="F233" t="str">
        <f>IF(الإدخالات!C233="","",IF(الإدخالات!G233="","",الإدخالات!G233))</f>
        <v/>
      </c>
      <c r="G233" t="str">
        <f>IF($B233&lt;&gt;"",SUMPRODUCT(($B$2:$B233&lt;&gt;"")*1),"")</f>
        <v/>
      </c>
    </row>
    <row r="234" spans="1:7">
      <c r="A234" s="23" t="str">
        <f>IF(الإدخالات!C234="","",الإدخالات!B234)</f>
        <v/>
      </c>
      <c r="B234" t="str">
        <f>IF(الإدخالات!C234="","","شراء")</f>
        <v/>
      </c>
      <c r="C234" t="str">
        <f>IF(الإدخالات!C234="","",IF(الإدخالات!E234="","-",الإدخالات!E234))</f>
        <v/>
      </c>
      <c r="D234" t="str">
        <f>IF(الإدخالات!C234="","",الإدخالات!C234)</f>
        <v/>
      </c>
      <c r="E234" s="24" t="str">
        <f>IF(الإدخالات!C234="","",الإدخالات!D234)</f>
        <v/>
      </c>
      <c r="F234" t="str">
        <f>IF(الإدخالات!C234="","",IF(الإدخالات!G234="","",الإدخالات!G234))</f>
        <v/>
      </c>
      <c r="G234" t="str">
        <f>IF($B234&lt;&gt;"",SUMPRODUCT(($B$2:$B234&lt;&gt;"")*1),"")</f>
        <v/>
      </c>
    </row>
    <row r="235" spans="1:7">
      <c r="A235" s="23" t="str">
        <f>IF(الإدخالات!C235="","",الإدخالات!B235)</f>
        <v/>
      </c>
      <c r="B235" t="str">
        <f>IF(الإدخالات!C235="","","شراء")</f>
        <v/>
      </c>
      <c r="C235" t="str">
        <f>IF(الإدخالات!C235="","",IF(الإدخالات!E235="","-",الإدخالات!E235))</f>
        <v/>
      </c>
      <c r="D235" t="str">
        <f>IF(الإدخالات!C235="","",الإدخالات!C235)</f>
        <v/>
      </c>
      <c r="E235" s="24" t="str">
        <f>IF(الإدخالات!C235="","",الإدخالات!D235)</f>
        <v/>
      </c>
      <c r="F235" t="str">
        <f>IF(الإدخالات!C235="","",IF(الإدخالات!G235="","",الإدخالات!G235))</f>
        <v/>
      </c>
      <c r="G235" t="str">
        <f>IF($B235&lt;&gt;"",SUMPRODUCT(($B$2:$B235&lt;&gt;"")*1),"")</f>
        <v/>
      </c>
    </row>
    <row r="236" spans="1:7">
      <c r="A236" s="23" t="str">
        <f>IF(الإدخالات!C236="","",الإدخالات!B236)</f>
        <v/>
      </c>
      <c r="B236" t="str">
        <f>IF(الإدخالات!C236="","","شراء")</f>
        <v/>
      </c>
      <c r="C236" t="str">
        <f>IF(الإدخالات!C236="","",IF(الإدخالات!E236="","-",الإدخالات!E236))</f>
        <v/>
      </c>
      <c r="D236" t="str">
        <f>IF(الإدخالات!C236="","",الإدخالات!C236)</f>
        <v/>
      </c>
      <c r="E236" s="24" t="str">
        <f>IF(الإدخالات!C236="","",الإدخالات!D236)</f>
        <v/>
      </c>
      <c r="F236" t="str">
        <f>IF(الإدخالات!C236="","",IF(الإدخالات!G236="","",الإدخالات!G236))</f>
        <v/>
      </c>
      <c r="G236" t="str">
        <f>IF($B236&lt;&gt;"",SUMPRODUCT(($B$2:$B236&lt;&gt;"")*1),"")</f>
        <v/>
      </c>
    </row>
    <row r="237" spans="1:7">
      <c r="A237" s="23" t="str">
        <f>IF(الإدخالات!C237="","",الإدخالات!B237)</f>
        <v/>
      </c>
      <c r="B237" t="str">
        <f>IF(الإدخالات!C237="","","شراء")</f>
        <v/>
      </c>
      <c r="C237" t="str">
        <f>IF(الإدخالات!C237="","",IF(الإدخالات!E237="","-",الإدخالات!E237))</f>
        <v/>
      </c>
      <c r="D237" t="str">
        <f>IF(الإدخالات!C237="","",الإدخالات!C237)</f>
        <v/>
      </c>
      <c r="E237" s="24" t="str">
        <f>IF(الإدخالات!C237="","",الإدخالات!D237)</f>
        <v/>
      </c>
      <c r="F237" t="str">
        <f>IF(الإدخالات!C237="","",IF(الإدخالات!G237="","",الإدخالات!G237))</f>
        <v/>
      </c>
      <c r="G237" t="str">
        <f>IF($B237&lt;&gt;"",SUMPRODUCT(($B$2:$B237&lt;&gt;"")*1),"")</f>
        <v/>
      </c>
    </row>
    <row r="238" spans="1:7">
      <c r="A238" s="23" t="str">
        <f>IF(الإدخالات!C238="","",الإدخالات!B238)</f>
        <v/>
      </c>
      <c r="B238" t="str">
        <f>IF(الإدخالات!C238="","","شراء")</f>
        <v/>
      </c>
      <c r="C238" t="str">
        <f>IF(الإدخالات!C238="","",IF(الإدخالات!E238="","-",الإدخالات!E238))</f>
        <v/>
      </c>
      <c r="D238" t="str">
        <f>IF(الإدخالات!C238="","",الإدخالات!C238)</f>
        <v/>
      </c>
      <c r="E238" s="24" t="str">
        <f>IF(الإدخالات!C238="","",الإدخالات!D238)</f>
        <v/>
      </c>
      <c r="F238" t="str">
        <f>IF(الإدخالات!C238="","",IF(الإدخالات!G238="","",الإدخالات!G238))</f>
        <v/>
      </c>
      <c r="G238" t="str">
        <f>IF($B238&lt;&gt;"",SUMPRODUCT(($B$2:$B238&lt;&gt;"")*1),"")</f>
        <v/>
      </c>
    </row>
    <row r="239" spans="1:7">
      <c r="A239" s="23" t="str">
        <f>IF(الإدخالات!C239="","",الإدخالات!B239)</f>
        <v/>
      </c>
      <c r="B239" t="str">
        <f>IF(الإدخالات!C239="","","شراء")</f>
        <v/>
      </c>
      <c r="C239" t="str">
        <f>IF(الإدخالات!C239="","",IF(الإدخالات!E239="","-",الإدخالات!E239))</f>
        <v/>
      </c>
      <c r="D239" t="str">
        <f>IF(الإدخالات!C239="","",الإدخالات!C239)</f>
        <v/>
      </c>
      <c r="E239" s="24" t="str">
        <f>IF(الإدخالات!C239="","",الإدخالات!D239)</f>
        <v/>
      </c>
      <c r="F239" t="str">
        <f>IF(الإدخالات!C239="","",IF(الإدخالات!G239="","",الإدخالات!G239))</f>
        <v/>
      </c>
      <c r="G239" t="str">
        <f>IF($B239&lt;&gt;"",SUMPRODUCT(($B$2:$B239&lt;&gt;"")*1),"")</f>
        <v/>
      </c>
    </row>
    <row r="240" spans="1:7">
      <c r="A240" s="23" t="str">
        <f>IF(الإدخالات!C240="","",الإدخالات!B240)</f>
        <v/>
      </c>
      <c r="B240" t="str">
        <f>IF(الإدخالات!C240="","","شراء")</f>
        <v/>
      </c>
      <c r="C240" t="str">
        <f>IF(الإدخالات!C240="","",IF(الإدخالات!E240="","-",الإدخالات!E240))</f>
        <v/>
      </c>
      <c r="D240" t="str">
        <f>IF(الإدخالات!C240="","",الإدخالات!C240)</f>
        <v/>
      </c>
      <c r="E240" s="24" t="str">
        <f>IF(الإدخالات!C240="","",الإدخالات!D240)</f>
        <v/>
      </c>
      <c r="F240" t="str">
        <f>IF(الإدخالات!C240="","",IF(الإدخالات!G240="","",الإدخالات!G240))</f>
        <v/>
      </c>
      <c r="G240" t="str">
        <f>IF($B240&lt;&gt;"",SUMPRODUCT(($B$2:$B240&lt;&gt;"")*1),"")</f>
        <v/>
      </c>
    </row>
    <row r="241" spans="1:7">
      <c r="A241" s="23" t="str">
        <f>IF(الإدخالات!C241="","",الإدخالات!B241)</f>
        <v/>
      </c>
      <c r="B241" t="str">
        <f>IF(الإدخالات!C241="","","شراء")</f>
        <v/>
      </c>
      <c r="C241" t="str">
        <f>IF(الإدخالات!C241="","",IF(الإدخالات!E241="","-",الإدخالات!E241))</f>
        <v/>
      </c>
      <c r="D241" t="str">
        <f>IF(الإدخالات!C241="","",الإدخالات!C241)</f>
        <v/>
      </c>
      <c r="E241" s="24" t="str">
        <f>IF(الإدخالات!C241="","",الإدخالات!D241)</f>
        <v/>
      </c>
      <c r="F241" t="str">
        <f>IF(الإدخالات!C241="","",IF(الإدخالات!G241="","",الإدخالات!G241))</f>
        <v/>
      </c>
      <c r="G241" t="str">
        <f>IF($B241&lt;&gt;"",SUMPRODUCT(($B$2:$B241&lt;&gt;"")*1),"")</f>
        <v/>
      </c>
    </row>
    <row r="242" spans="1:7">
      <c r="A242" s="23" t="str">
        <f>IF(الإدخالات!C242="","",الإدخالات!B242)</f>
        <v/>
      </c>
      <c r="B242" t="str">
        <f>IF(الإدخالات!C242="","","شراء")</f>
        <v/>
      </c>
      <c r="C242" t="str">
        <f>IF(الإدخالات!C242="","",IF(الإدخالات!E242="","-",الإدخالات!E242))</f>
        <v/>
      </c>
      <c r="D242" t="str">
        <f>IF(الإدخالات!C242="","",الإدخالات!C242)</f>
        <v/>
      </c>
      <c r="E242" s="24" t="str">
        <f>IF(الإدخالات!C242="","",الإدخالات!D242)</f>
        <v/>
      </c>
      <c r="F242" t="str">
        <f>IF(الإدخالات!C242="","",IF(الإدخالات!G242="","",الإدخالات!G242))</f>
        <v/>
      </c>
      <c r="G242" t="str">
        <f>IF($B242&lt;&gt;"",SUMPRODUCT(($B$2:$B242&lt;&gt;"")*1),"")</f>
        <v/>
      </c>
    </row>
    <row r="243" spans="1:7">
      <c r="A243" s="23" t="str">
        <f>IF(الإدخالات!C243="","",الإدخالات!B243)</f>
        <v/>
      </c>
      <c r="B243" t="str">
        <f>IF(الإدخالات!C243="","","شراء")</f>
        <v/>
      </c>
      <c r="C243" t="str">
        <f>IF(الإدخالات!C243="","",IF(الإدخالات!E243="","-",الإدخالات!E243))</f>
        <v/>
      </c>
      <c r="D243" t="str">
        <f>IF(الإدخالات!C243="","",الإدخالات!C243)</f>
        <v/>
      </c>
      <c r="E243" s="24" t="str">
        <f>IF(الإدخالات!C243="","",الإدخالات!D243)</f>
        <v/>
      </c>
      <c r="F243" t="str">
        <f>IF(الإدخالات!C243="","",IF(الإدخالات!G243="","",الإدخالات!G243))</f>
        <v/>
      </c>
      <c r="G243" t="str">
        <f>IF($B243&lt;&gt;"",SUMPRODUCT(($B$2:$B243&lt;&gt;"")*1),"")</f>
        <v/>
      </c>
    </row>
    <row r="244" spans="1:7">
      <c r="A244" s="23" t="str">
        <f>IF(الإدخالات!C244="","",الإدخالات!B244)</f>
        <v/>
      </c>
      <c r="B244" t="str">
        <f>IF(الإدخالات!C244="","","شراء")</f>
        <v/>
      </c>
      <c r="C244" t="str">
        <f>IF(الإدخالات!C244="","",IF(الإدخالات!E244="","-",الإدخالات!E244))</f>
        <v/>
      </c>
      <c r="D244" t="str">
        <f>IF(الإدخالات!C244="","",الإدخالات!C244)</f>
        <v/>
      </c>
      <c r="E244" s="24" t="str">
        <f>IF(الإدخالات!C244="","",الإدخالات!D244)</f>
        <v/>
      </c>
      <c r="F244" t="str">
        <f>IF(الإدخالات!C244="","",IF(الإدخالات!G244="","",الإدخالات!G244))</f>
        <v/>
      </c>
      <c r="G244" t="str">
        <f>IF($B244&lt;&gt;"",SUMPRODUCT(($B$2:$B244&lt;&gt;"")*1),"")</f>
        <v/>
      </c>
    </row>
    <row r="245" spans="1:7">
      <c r="A245" s="23" t="str">
        <f>IF(الإدخالات!C245="","",الإدخالات!B245)</f>
        <v/>
      </c>
      <c r="B245" t="str">
        <f>IF(الإدخالات!C245="","","شراء")</f>
        <v/>
      </c>
      <c r="C245" t="str">
        <f>IF(الإدخالات!C245="","",IF(الإدخالات!E245="","-",الإدخالات!E245))</f>
        <v/>
      </c>
      <c r="D245" t="str">
        <f>IF(الإدخالات!C245="","",الإدخالات!C245)</f>
        <v/>
      </c>
      <c r="E245" s="24" t="str">
        <f>IF(الإدخالات!C245="","",الإدخالات!D245)</f>
        <v/>
      </c>
      <c r="F245" t="str">
        <f>IF(الإدخالات!C245="","",IF(الإدخالات!G245="","",الإدخالات!G245))</f>
        <v/>
      </c>
      <c r="G245" t="str">
        <f>IF($B245&lt;&gt;"",SUMPRODUCT(($B$2:$B245&lt;&gt;"")*1),"")</f>
        <v/>
      </c>
    </row>
    <row r="246" spans="1:7">
      <c r="A246" s="23" t="str">
        <f>IF(الإدخالات!C246="","",الإدخالات!B246)</f>
        <v/>
      </c>
      <c r="B246" t="str">
        <f>IF(الإدخالات!C246="","","شراء")</f>
        <v/>
      </c>
      <c r="C246" t="str">
        <f>IF(الإدخالات!C246="","",IF(الإدخالات!E246="","-",الإدخالات!E246))</f>
        <v/>
      </c>
      <c r="D246" t="str">
        <f>IF(الإدخالات!C246="","",الإدخالات!C246)</f>
        <v/>
      </c>
      <c r="E246" s="24" t="str">
        <f>IF(الإدخالات!C246="","",الإدخالات!D246)</f>
        <v/>
      </c>
      <c r="F246" t="str">
        <f>IF(الإدخالات!C246="","",IF(الإدخالات!G246="","",الإدخالات!G246))</f>
        <v/>
      </c>
      <c r="G246" t="str">
        <f>IF($B246&lt;&gt;"",SUMPRODUCT(($B$2:$B246&lt;&gt;"")*1),"")</f>
        <v/>
      </c>
    </row>
    <row r="247" spans="1:7">
      <c r="A247" s="23" t="str">
        <f>IF(الإدخالات!C247="","",الإدخالات!B247)</f>
        <v/>
      </c>
      <c r="B247" t="str">
        <f>IF(الإدخالات!C247="","","شراء")</f>
        <v/>
      </c>
      <c r="C247" t="str">
        <f>IF(الإدخالات!C247="","",IF(الإدخالات!E247="","-",الإدخالات!E247))</f>
        <v/>
      </c>
      <c r="D247" t="str">
        <f>IF(الإدخالات!C247="","",الإدخالات!C247)</f>
        <v/>
      </c>
      <c r="E247" s="24" t="str">
        <f>IF(الإدخالات!C247="","",الإدخالات!D247)</f>
        <v/>
      </c>
      <c r="F247" t="str">
        <f>IF(الإدخالات!C247="","",IF(الإدخالات!G247="","",الإدخالات!G247))</f>
        <v/>
      </c>
      <c r="G247" t="str">
        <f>IF($B247&lt;&gt;"",SUMPRODUCT(($B$2:$B247&lt;&gt;"")*1),"")</f>
        <v/>
      </c>
    </row>
    <row r="248" spans="1:7">
      <c r="A248" s="23" t="str">
        <f>IF(الإدخالات!C248="","",الإدخالات!B248)</f>
        <v/>
      </c>
      <c r="B248" t="str">
        <f>IF(الإدخالات!C248="","","شراء")</f>
        <v/>
      </c>
      <c r="C248" t="str">
        <f>IF(الإدخالات!C248="","",IF(الإدخالات!E248="","-",الإدخالات!E248))</f>
        <v/>
      </c>
      <c r="D248" t="str">
        <f>IF(الإدخالات!C248="","",الإدخالات!C248)</f>
        <v/>
      </c>
      <c r="E248" s="24" t="str">
        <f>IF(الإدخالات!C248="","",الإدخالات!D248)</f>
        <v/>
      </c>
      <c r="F248" t="str">
        <f>IF(الإدخالات!C248="","",IF(الإدخالات!G248="","",الإدخالات!G248))</f>
        <v/>
      </c>
      <c r="G248" t="str">
        <f>IF($B248&lt;&gt;"",SUMPRODUCT(($B$2:$B248&lt;&gt;"")*1),"")</f>
        <v/>
      </c>
    </row>
    <row r="249" spans="1:7">
      <c r="A249" s="23" t="str">
        <f>IF(الإدخالات!C249="","",الإدخالات!B249)</f>
        <v/>
      </c>
      <c r="B249" t="str">
        <f>IF(الإدخالات!C249="","","شراء")</f>
        <v/>
      </c>
      <c r="C249" t="str">
        <f>IF(الإدخالات!C249="","",IF(الإدخالات!E249="","-",الإدخالات!E249))</f>
        <v/>
      </c>
      <c r="D249" t="str">
        <f>IF(الإدخالات!C249="","",الإدخالات!C249)</f>
        <v/>
      </c>
      <c r="E249" s="24" t="str">
        <f>IF(الإدخالات!C249="","",الإدخالات!D249)</f>
        <v/>
      </c>
      <c r="F249" t="str">
        <f>IF(الإدخالات!C249="","",IF(الإدخالات!G249="","",الإدخالات!G249))</f>
        <v/>
      </c>
      <c r="G249" t="str">
        <f>IF($B249&lt;&gt;"",SUMPRODUCT(($B$2:$B249&lt;&gt;"")*1),"")</f>
        <v/>
      </c>
    </row>
    <row r="250" spans="1:7">
      <c r="A250" s="23" t="str">
        <f>IF(الإدخالات!C250="","",الإدخالات!B250)</f>
        <v/>
      </c>
      <c r="B250" t="str">
        <f>IF(الإدخالات!C250="","","شراء")</f>
        <v/>
      </c>
      <c r="C250" t="str">
        <f>IF(الإدخالات!C250="","",IF(الإدخالات!E250="","-",الإدخالات!E250))</f>
        <v/>
      </c>
      <c r="D250" t="str">
        <f>IF(الإدخالات!C250="","",الإدخالات!C250)</f>
        <v/>
      </c>
      <c r="E250" s="24" t="str">
        <f>IF(الإدخالات!C250="","",الإدخالات!D250)</f>
        <v/>
      </c>
      <c r="F250" t="str">
        <f>IF(الإدخالات!C250="","",IF(الإدخالات!G250="","",الإدخالات!G250))</f>
        <v/>
      </c>
      <c r="G250" t="str">
        <f>IF($B250&lt;&gt;"",SUMPRODUCT(($B$2:$B250&lt;&gt;"")*1),"")</f>
        <v/>
      </c>
    </row>
    <row r="251" spans="1:7">
      <c r="A251" s="23" t="str">
        <f>IF(الإدخالات!C251="","",الإدخالات!B251)</f>
        <v/>
      </c>
      <c r="B251" t="str">
        <f>IF(الإدخالات!C251="","","شراء")</f>
        <v/>
      </c>
      <c r="C251" t="str">
        <f>IF(الإدخالات!C251="","",IF(الإدخالات!E251="","-",الإدخالات!E251))</f>
        <v/>
      </c>
      <c r="D251" t="str">
        <f>IF(الإدخالات!C251="","",الإدخالات!C251)</f>
        <v/>
      </c>
      <c r="E251" s="24" t="str">
        <f>IF(الإدخالات!C251="","",الإدخالات!D251)</f>
        <v/>
      </c>
      <c r="F251" t="str">
        <f>IF(الإدخالات!C251="","",IF(الإدخالات!G251="","",الإدخالات!G251))</f>
        <v/>
      </c>
      <c r="G251" t="str">
        <f>IF($B251&lt;&gt;"",SUMPRODUCT(($B$2:$B251&lt;&gt;"")*1),"")</f>
        <v/>
      </c>
    </row>
    <row r="252" spans="1:7">
      <c r="A252" s="23" t="str">
        <f>IF(الإدخالات!C252="","",الإدخالات!B252)</f>
        <v/>
      </c>
      <c r="B252" t="str">
        <f>IF(الإدخالات!C252="","","شراء")</f>
        <v/>
      </c>
      <c r="C252" t="str">
        <f>IF(الإدخالات!C252="","",IF(الإدخالات!E252="","-",الإدخالات!E252))</f>
        <v/>
      </c>
      <c r="D252" t="str">
        <f>IF(الإدخالات!C252="","",الإدخالات!C252)</f>
        <v/>
      </c>
      <c r="E252" s="24" t="str">
        <f>IF(الإدخالات!C252="","",الإدخالات!D252)</f>
        <v/>
      </c>
      <c r="F252" t="str">
        <f>IF(الإدخالات!C252="","",IF(الإدخالات!G252="","",الإدخالات!G252))</f>
        <v/>
      </c>
      <c r="G252" t="str">
        <f>IF($B252&lt;&gt;"",SUMPRODUCT(($B$2:$B252&lt;&gt;"")*1),"")</f>
        <v/>
      </c>
    </row>
    <row r="253" spans="1:7">
      <c r="A253" s="23" t="str">
        <f>IF(الإدخالات!C253="","",الإدخالات!B253)</f>
        <v/>
      </c>
      <c r="B253" t="str">
        <f>IF(الإدخالات!C253="","","شراء")</f>
        <v/>
      </c>
      <c r="C253" t="str">
        <f>IF(الإدخالات!C253="","",IF(الإدخالات!E253="","-",الإدخالات!E253))</f>
        <v/>
      </c>
      <c r="D253" t="str">
        <f>IF(الإدخالات!C253="","",الإدخالات!C253)</f>
        <v/>
      </c>
      <c r="E253" s="24" t="str">
        <f>IF(الإدخالات!C253="","",الإدخالات!D253)</f>
        <v/>
      </c>
      <c r="F253" t="str">
        <f>IF(الإدخالات!C253="","",IF(الإدخالات!G253="","",الإدخالات!G253))</f>
        <v/>
      </c>
      <c r="G253" t="str">
        <f>IF($B253&lt;&gt;"",SUMPRODUCT(($B$2:$B253&lt;&gt;"")*1),"")</f>
        <v/>
      </c>
    </row>
    <row r="254" spans="1:7">
      <c r="A254" s="23" t="str">
        <f>IF(الإدخالات!C254="","",الإدخالات!B254)</f>
        <v/>
      </c>
      <c r="B254" t="str">
        <f>IF(الإدخالات!C254="","","شراء")</f>
        <v/>
      </c>
      <c r="C254" t="str">
        <f>IF(الإدخالات!C254="","",IF(الإدخالات!E254="","-",الإدخالات!E254))</f>
        <v/>
      </c>
      <c r="D254" t="str">
        <f>IF(الإدخالات!C254="","",الإدخالات!C254)</f>
        <v/>
      </c>
      <c r="E254" s="24" t="str">
        <f>IF(الإدخالات!C254="","",الإدخالات!D254)</f>
        <v/>
      </c>
      <c r="F254" t="str">
        <f>IF(الإدخالات!C254="","",IF(الإدخالات!G254="","",الإدخالات!G254))</f>
        <v/>
      </c>
      <c r="G254" t="str">
        <f>IF($B254&lt;&gt;"",SUMPRODUCT(($B$2:$B254&lt;&gt;"")*1),"")</f>
        <v/>
      </c>
    </row>
    <row r="255" spans="1:7">
      <c r="A255" s="23" t="str">
        <f>IF(الإدخالات!C255="","",الإدخالات!B255)</f>
        <v/>
      </c>
      <c r="B255" t="str">
        <f>IF(الإدخالات!C255="","","شراء")</f>
        <v/>
      </c>
      <c r="C255" t="str">
        <f>IF(الإدخالات!C255="","",IF(الإدخالات!E255="","-",الإدخالات!E255))</f>
        <v/>
      </c>
      <c r="D255" t="str">
        <f>IF(الإدخالات!C255="","",الإدخالات!C255)</f>
        <v/>
      </c>
      <c r="E255" s="24" t="str">
        <f>IF(الإدخالات!C255="","",الإدخالات!D255)</f>
        <v/>
      </c>
      <c r="F255" t="str">
        <f>IF(الإدخالات!C255="","",IF(الإدخالات!G255="","",الإدخالات!G255))</f>
        <v/>
      </c>
      <c r="G255" t="str">
        <f>IF($B255&lt;&gt;"",SUMPRODUCT(($B$2:$B255&lt;&gt;"")*1),"")</f>
        <v/>
      </c>
    </row>
    <row r="256" spans="1:7">
      <c r="A256" s="23" t="str">
        <f>IF(الإدخالات!C256="","",الإدخالات!B256)</f>
        <v/>
      </c>
      <c r="B256" t="str">
        <f>IF(الإدخالات!C256="","","شراء")</f>
        <v/>
      </c>
      <c r="C256" t="str">
        <f>IF(الإدخالات!C256="","",IF(الإدخالات!E256="","-",الإدخالات!E256))</f>
        <v/>
      </c>
      <c r="D256" t="str">
        <f>IF(الإدخالات!C256="","",الإدخالات!C256)</f>
        <v/>
      </c>
      <c r="E256" s="24" t="str">
        <f>IF(الإدخالات!C256="","",الإدخالات!D256)</f>
        <v/>
      </c>
      <c r="F256" t="str">
        <f>IF(الإدخالات!C256="","",IF(الإدخالات!G256="","",الإدخالات!G256))</f>
        <v/>
      </c>
      <c r="G256" t="str">
        <f>IF($B256&lt;&gt;"",SUMPRODUCT(($B$2:$B256&lt;&gt;"")*1),"")</f>
        <v/>
      </c>
    </row>
    <row r="257" spans="1:7">
      <c r="A257" s="23" t="str">
        <f>IF(الإدخالات!C257="","",الإدخالات!B257)</f>
        <v/>
      </c>
      <c r="B257" t="str">
        <f>IF(الإدخالات!C257="","","شراء")</f>
        <v/>
      </c>
      <c r="C257" t="str">
        <f>IF(الإدخالات!C257="","",IF(الإدخالات!E257="","-",الإدخالات!E257))</f>
        <v/>
      </c>
      <c r="D257" t="str">
        <f>IF(الإدخالات!C257="","",الإدخالات!C257)</f>
        <v/>
      </c>
      <c r="E257" s="24" t="str">
        <f>IF(الإدخالات!C257="","",الإدخالات!D257)</f>
        <v/>
      </c>
      <c r="F257" t="str">
        <f>IF(الإدخالات!C257="","",IF(الإدخالات!G257="","",الإدخالات!G257))</f>
        <v/>
      </c>
      <c r="G257" t="str">
        <f>IF($B257&lt;&gt;"",SUMPRODUCT(($B$2:$B257&lt;&gt;"")*1),"")</f>
        <v/>
      </c>
    </row>
    <row r="258" spans="1:7">
      <c r="A258" s="23" t="str">
        <f>IF(الإدخالات!C258="","",الإدخالات!B258)</f>
        <v/>
      </c>
      <c r="B258" t="str">
        <f>IF(الإدخالات!C258="","","شراء")</f>
        <v/>
      </c>
      <c r="C258" t="str">
        <f>IF(الإدخالات!C258="","",IF(الإدخالات!E258="","-",الإدخالات!E258))</f>
        <v/>
      </c>
      <c r="D258" t="str">
        <f>IF(الإدخالات!C258="","",الإدخالات!C258)</f>
        <v/>
      </c>
      <c r="E258" s="24" t="str">
        <f>IF(الإدخالات!C258="","",الإدخالات!D258)</f>
        <v/>
      </c>
      <c r="F258" t="str">
        <f>IF(الإدخالات!C258="","",IF(الإدخالات!G258="","",الإدخالات!G258))</f>
        <v/>
      </c>
      <c r="G258" t="str">
        <f>IF($B258&lt;&gt;"",SUMPRODUCT(($B$2:$B258&lt;&gt;"")*1),"")</f>
        <v/>
      </c>
    </row>
    <row r="259" spans="1:7">
      <c r="A259" s="23" t="str">
        <f>IF(الإدخالات!C259="","",الإدخالات!B259)</f>
        <v/>
      </c>
      <c r="B259" t="str">
        <f>IF(الإدخالات!C259="","","شراء")</f>
        <v/>
      </c>
      <c r="C259" t="str">
        <f>IF(الإدخالات!C259="","",IF(الإدخالات!E259="","-",الإدخالات!E259))</f>
        <v/>
      </c>
      <c r="D259" t="str">
        <f>IF(الإدخالات!C259="","",الإدخالات!C259)</f>
        <v/>
      </c>
      <c r="E259" s="24" t="str">
        <f>IF(الإدخالات!C259="","",الإدخالات!D259)</f>
        <v/>
      </c>
      <c r="F259" t="str">
        <f>IF(الإدخالات!C259="","",IF(الإدخالات!G259="","",الإدخالات!G259))</f>
        <v/>
      </c>
      <c r="G259" t="str">
        <f>IF($B259&lt;&gt;"",SUMPRODUCT(($B$2:$B259&lt;&gt;"")*1),"")</f>
        <v/>
      </c>
    </row>
    <row r="260" spans="1:7">
      <c r="A260" s="23" t="str">
        <f>IF(الإدخالات!C260="","",الإدخالات!B260)</f>
        <v/>
      </c>
      <c r="B260" t="str">
        <f>IF(الإدخالات!C260="","","شراء")</f>
        <v/>
      </c>
      <c r="C260" t="str">
        <f>IF(الإدخالات!C260="","",IF(الإدخالات!E260="","-",الإدخالات!E260))</f>
        <v/>
      </c>
      <c r="D260" t="str">
        <f>IF(الإدخالات!C260="","",الإدخالات!C260)</f>
        <v/>
      </c>
      <c r="E260" s="24" t="str">
        <f>IF(الإدخالات!C260="","",الإدخالات!D260)</f>
        <v/>
      </c>
      <c r="F260" t="str">
        <f>IF(الإدخالات!C260="","",IF(الإدخالات!G260="","",الإدخالات!G260))</f>
        <v/>
      </c>
      <c r="G260" t="str">
        <f>IF($B260&lt;&gt;"",SUMPRODUCT(($B$2:$B260&lt;&gt;"")*1),"")</f>
        <v/>
      </c>
    </row>
    <row r="261" spans="1:7">
      <c r="A261" s="23" t="str">
        <f>IF(الإدخالات!C261="","",الإدخالات!B261)</f>
        <v/>
      </c>
      <c r="B261" t="str">
        <f>IF(الإدخالات!C261="","","شراء")</f>
        <v/>
      </c>
      <c r="C261" t="str">
        <f>IF(الإدخالات!C261="","",IF(الإدخالات!E261="","-",الإدخالات!E261))</f>
        <v/>
      </c>
      <c r="D261" t="str">
        <f>IF(الإدخالات!C261="","",الإدخالات!C261)</f>
        <v/>
      </c>
      <c r="E261" s="24" t="str">
        <f>IF(الإدخالات!C261="","",الإدخالات!D261)</f>
        <v/>
      </c>
      <c r="F261" t="str">
        <f>IF(الإدخالات!C261="","",IF(الإدخالات!G261="","",الإدخالات!G261))</f>
        <v/>
      </c>
      <c r="G261" t="str">
        <f>IF($B261&lt;&gt;"",SUMPRODUCT(($B$2:$B261&lt;&gt;"")*1),"")</f>
        <v/>
      </c>
    </row>
    <row r="262" spans="1:7">
      <c r="A262" s="23" t="str">
        <f>IF(الإدخالات!C262="","",الإدخالات!B262)</f>
        <v/>
      </c>
      <c r="B262" t="str">
        <f>IF(الإدخالات!C262="","","شراء")</f>
        <v/>
      </c>
      <c r="C262" t="str">
        <f>IF(الإدخالات!C262="","",IF(الإدخالات!E262="","-",الإدخالات!E262))</f>
        <v/>
      </c>
      <c r="D262" t="str">
        <f>IF(الإدخالات!C262="","",الإدخالات!C262)</f>
        <v/>
      </c>
      <c r="E262" s="24" t="str">
        <f>IF(الإدخالات!C262="","",الإدخالات!D262)</f>
        <v/>
      </c>
      <c r="F262" t="str">
        <f>IF(الإدخالات!C262="","",IF(الإدخالات!G262="","",الإدخالات!G262))</f>
        <v/>
      </c>
      <c r="G262" t="str">
        <f>IF($B262&lt;&gt;"",SUMPRODUCT(($B$2:$B262&lt;&gt;"")*1),"")</f>
        <v/>
      </c>
    </row>
    <row r="263" spans="1:7">
      <c r="A263" s="23" t="str">
        <f>IF(الإدخالات!C263="","",الإدخالات!B263)</f>
        <v/>
      </c>
      <c r="B263" t="str">
        <f>IF(الإدخالات!C263="","","شراء")</f>
        <v/>
      </c>
      <c r="C263" t="str">
        <f>IF(الإدخالات!C263="","",IF(الإدخالات!E263="","-",الإدخالات!E263))</f>
        <v/>
      </c>
      <c r="D263" t="str">
        <f>IF(الإدخالات!C263="","",الإدخالات!C263)</f>
        <v/>
      </c>
      <c r="E263" s="24" t="str">
        <f>IF(الإدخالات!C263="","",الإدخالات!D263)</f>
        <v/>
      </c>
      <c r="F263" t="str">
        <f>IF(الإدخالات!C263="","",IF(الإدخالات!G263="","",الإدخالات!G263))</f>
        <v/>
      </c>
      <c r="G263" t="str">
        <f>IF($B263&lt;&gt;"",SUMPRODUCT(($B$2:$B263&lt;&gt;"")*1),"")</f>
        <v/>
      </c>
    </row>
    <row r="264" spans="1:7">
      <c r="A264" s="23" t="str">
        <f>IF(الإدخالات!C264="","",الإدخالات!B264)</f>
        <v/>
      </c>
      <c r="B264" t="str">
        <f>IF(الإدخالات!C264="","","شراء")</f>
        <v/>
      </c>
      <c r="C264" t="str">
        <f>IF(الإدخالات!C264="","",IF(الإدخالات!E264="","-",الإدخالات!E264))</f>
        <v/>
      </c>
      <c r="D264" t="str">
        <f>IF(الإدخالات!C264="","",الإدخالات!C264)</f>
        <v/>
      </c>
      <c r="E264" s="24" t="str">
        <f>IF(الإدخالات!C264="","",الإدخالات!D264)</f>
        <v/>
      </c>
      <c r="F264" t="str">
        <f>IF(الإدخالات!C264="","",IF(الإدخالات!G264="","",الإدخالات!G264))</f>
        <v/>
      </c>
      <c r="G264" t="str">
        <f>IF($B264&lt;&gt;"",SUMPRODUCT(($B$2:$B264&lt;&gt;"")*1),"")</f>
        <v/>
      </c>
    </row>
    <row r="265" spans="1:7">
      <c r="A265" s="23" t="str">
        <f>IF(الإدخالات!C265="","",الإدخالات!B265)</f>
        <v/>
      </c>
      <c r="B265" t="str">
        <f>IF(الإدخالات!C265="","","شراء")</f>
        <v/>
      </c>
      <c r="C265" t="str">
        <f>IF(الإدخالات!C265="","",IF(الإدخالات!E265="","-",الإدخالات!E265))</f>
        <v/>
      </c>
      <c r="D265" t="str">
        <f>IF(الإدخالات!C265="","",الإدخالات!C265)</f>
        <v/>
      </c>
      <c r="E265" s="24" t="str">
        <f>IF(الإدخالات!C265="","",الإدخالات!D265)</f>
        <v/>
      </c>
      <c r="F265" t="str">
        <f>IF(الإدخالات!C265="","",IF(الإدخالات!G265="","",الإدخالات!G265))</f>
        <v/>
      </c>
      <c r="G265" t="str">
        <f>IF($B265&lt;&gt;"",SUMPRODUCT(($B$2:$B265&lt;&gt;"")*1),"")</f>
        <v/>
      </c>
    </row>
    <row r="266" spans="1:7">
      <c r="A266" s="23" t="str">
        <f>IF(الإدخالات!C266="","",الإدخالات!B266)</f>
        <v/>
      </c>
      <c r="B266" t="str">
        <f>IF(الإدخالات!C266="","","شراء")</f>
        <v/>
      </c>
      <c r="C266" t="str">
        <f>IF(الإدخالات!C266="","",IF(الإدخالات!E266="","-",الإدخالات!E266))</f>
        <v/>
      </c>
      <c r="D266" t="str">
        <f>IF(الإدخالات!C266="","",الإدخالات!C266)</f>
        <v/>
      </c>
      <c r="E266" s="24" t="str">
        <f>IF(الإدخالات!C266="","",الإدخالات!D266)</f>
        <v/>
      </c>
      <c r="F266" t="str">
        <f>IF(الإدخالات!C266="","",IF(الإدخالات!G266="","",الإدخالات!G266))</f>
        <v/>
      </c>
      <c r="G266" t="str">
        <f>IF($B266&lt;&gt;"",SUMPRODUCT(($B$2:$B266&lt;&gt;"")*1),"")</f>
        <v/>
      </c>
    </row>
    <row r="267" spans="1:7">
      <c r="A267" s="23" t="str">
        <f>IF(الإدخالات!C267="","",الإدخالات!B267)</f>
        <v/>
      </c>
      <c r="B267" t="str">
        <f>IF(الإدخالات!C267="","","شراء")</f>
        <v/>
      </c>
      <c r="C267" t="str">
        <f>IF(الإدخالات!C267="","",IF(الإدخالات!E267="","-",الإدخالات!E267))</f>
        <v/>
      </c>
      <c r="D267" t="str">
        <f>IF(الإدخالات!C267="","",الإدخالات!C267)</f>
        <v/>
      </c>
      <c r="E267" s="24" t="str">
        <f>IF(الإدخالات!C267="","",الإدخالات!D267)</f>
        <v/>
      </c>
      <c r="F267" t="str">
        <f>IF(الإدخالات!C267="","",IF(الإدخالات!G267="","",الإدخالات!G267))</f>
        <v/>
      </c>
      <c r="G267" t="str">
        <f>IF($B267&lt;&gt;"",SUMPRODUCT(($B$2:$B267&lt;&gt;"")*1),"")</f>
        <v/>
      </c>
    </row>
    <row r="268" spans="1:7">
      <c r="A268" s="23" t="str">
        <f>IF(الإدخالات!C268="","",الإدخالات!B268)</f>
        <v/>
      </c>
      <c r="B268" t="str">
        <f>IF(الإدخالات!C268="","","شراء")</f>
        <v/>
      </c>
      <c r="C268" t="str">
        <f>IF(الإدخالات!C268="","",IF(الإدخالات!E268="","-",الإدخالات!E268))</f>
        <v/>
      </c>
      <c r="D268" t="str">
        <f>IF(الإدخالات!C268="","",الإدخالات!C268)</f>
        <v/>
      </c>
      <c r="E268" s="24" t="str">
        <f>IF(الإدخالات!C268="","",الإدخالات!D268)</f>
        <v/>
      </c>
      <c r="F268" t="str">
        <f>IF(الإدخالات!C268="","",IF(الإدخالات!G268="","",الإدخالات!G268))</f>
        <v/>
      </c>
      <c r="G268" t="str">
        <f>IF($B268&lt;&gt;"",SUMPRODUCT(($B$2:$B268&lt;&gt;"")*1),"")</f>
        <v/>
      </c>
    </row>
    <row r="269" spans="1:7">
      <c r="A269" s="23" t="str">
        <f>IF(الإدخالات!C269="","",الإدخالات!B269)</f>
        <v/>
      </c>
      <c r="B269" t="str">
        <f>IF(الإدخالات!C269="","","شراء")</f>
        <v/>
      </c>
      <c r="C269" t="str">
        <f>IF(الإدخالات!C269="","",IF(الإدخالات!E269="","-",الإدخالات!E269))</f>
        <v/>
      </c>
      <c r="D269" t="str">
        <f>IF(الإدخالات!C269="","",الإدخالات!C269)</f>
        <v/>
      </c>
      <c r="E269" s="24" t="str">
        <f>IF(الإدخالات!C269="","",الإدخالات!D269)</f>
        <v/>
      </c>
      <c r="F269" t="str">
        <f>IF(الإدخالات!C269="","",IF(الإدخالات!G269="","",الإدخالات!G269))</f>
        <v/>
      </c>
      <c r="G269" t="str">
        <f>IF($B269&lt;&gt;"",SUMPRODUCT(($B$2:$B269&lt;&gt;"")*1),"")</f>
        <v/>
      </c>
    </row>
    <row r="270" spans="1:7">
      <c r="A270" s="23" t="str">
        <f>IF(الإدخالات!C270="","",الإدخالات!B270)</f>
        <v/>
      </c>
      <c r="B270" t="str">
        <f>IF(الإدخالات!C270="","","شراء")</f>
        <v/>
      </c>
      <c r="C270" t="str">
        <f>IF(الإدخالات!C270="","",IF(الإدخالات!E270="","-",الإدخالات!E270))</f>
        <v/>
      </c>
      <c r="D270" t="str">
        <f>IF(الإدخالات!C270="","",الإدخالات!C270)</f>
        <v/>
      </c>
      <c r="E270" s="24" t="str">
        <f>IF(الإدخالات!C270="","",الإدخالات!D270)</f>
        <v/>
      </c>
      <c r="F270" t="str">
        <f>IF(الإدخالات!C270="","",IF(الإدخالات!G270="","",الإدخالات!G270))</f>
        <v/>
      </c>
      <c r="G270" t="str">
        <f>IF($B270&lt;&gt;"",SUMPRODUCT(($B$2:$B270&lt;&gt;"")*1),"")</f>
        <v/>
      </c>
    </row>
    <row r="271" spans="1:7">
      <c r="A271" s="23" t="str">
        <f>IF(الإدخالات!C271="","",الإدخالات!B271)</f>
        <v/>
      </c>
      <c r="B271" t="str">
        <f>IF(الإدخالات!C271="","","شراء")</f>
        <v/>
      </c>
      <c r="C271" t="str">
        <f>IF(الإدخالات!C271="","",IF(الإدخالات!E271="","-",الإدخالات!E271))</f>
        <v/>
      </c>
      <c r="D271" t="str">
        <f>IF(الإدخالات!C271="","",الإدخالات!C271)</f>
        <v/>
      </c>
      <c r="E271" s="24" t="str">
        <f>IF(الإدخالات!C271="","",الإدخالات!D271)</f>
        <v/>
      </c>
      <c r="F271" t="str">
        <f>IF(الإدخالات!C271="","",IF(الإدخالات!G271="","",الإدخالات!G271))</f>
        <v/>
      </c>
      <c r="G271" t="str">
        <f>IF($B271&lt;&gt;"",SUMPRODUCT(($B$2:$B271&lt;&gt;"")*1),"")</f>
        <v/>
      </c>
    </row>
    <row r="272" spans="1:7">
      <c r="A272" s="23" t="str">
        <f>IF(الإدخالات!C272="","",الإدخالات!B272)</f>
        <v/>
      </c>
      <c r="B272" t="str">
        <f>IF(الإدخالات!C272="","","شراء")</f>
        <v/>
      </c>
      <c r="C272" t="str">
        <f>IF(الإدخالات!C272="","",IF(الإدخالات!E272="","-",الإدخالات!E272))</f>
        <v/>
      </c>
      <c r="D272" t="str">
        <f>IF(الإدخالات!C272="","",الإدخالات!C272)</f>
        <v/>
      </c>
      <c r="E272" s="24" t="str">
        <f>IF(الإدخالات!C272="","",الإدخالات!D272)</f>
        <v/>
      </c>
      <c r="F272" t="str">
        <f>IF(الإدخالات!C272="","",IF(الإدخالات!G272="","",الإدخالات!G272))</f>
        <v/>
      </c>
      <c r="G272" t="str">
        <f>IF($B272&lt;&gt;"",SUMPRODUCT(($B$2:$B272&lt;&gt;"")*1),"")</f>
        <v/>
      </c>
    </row>
    <row r="273" spans="1:7">
      <c r="A273" s="23" t="str">
        <f>IF(الإدخالات!C273="","",الإدخالات!B273)</f>
        <v/>
      </c>
      <c r="B273" t="str">
        <f>IF(الإدخالات!C273="","","شراء")</f>
        <v/>
      </c>
      <c r="C273" t="str">
        <f>IF(الإدخالات!C273="","",IF(الإدخالات!E273="","-",الإدخالات!E273))</f>
        <v/>
      </c>
      <c r="D273" t="str">
        <f>IF(الإدخالات!C273="","",الإدخالات!C273)</f>
        <v/>
      </c>
      <c r="E273" s="24" t="str">
        <f>IF(الإدخالات!C273="","",الإدخالات!D273)</f>
        <v/>
      </c>
      <c r="F273" t="str">
        <f>IF(الإدخالات!C273="","",IF(الإدخالات!G273="","",الإدخالات!G273))</f>
        <v/>
      </c>
      <c r="G273" t="str">
        <f>IF($B273&lt;&gt;"",SUMPRODUCT(($B$2:$B273&lt;&gt;"")*1),"")</f>
        <v/>
      </c>
    </row>
    <row r="274" spans="1:7">
      <c r="A274" s="23" t="str">
        <f>IF(الإدخالات!C274="","",الإدخالات!B274)</f>
        <v/>
      </c>
      <c r="B274" t="str">
        <f>IF(الإدخالات!C274="","","شراء")</f>
        <v/>
      </c>
      <c r="C274" t="str">
        <f>IF(الإدخالات!C274="","",IF(الإدخالات!E274="","-",الإدخالات!E274))</f>
        <v/>
      </c>
      <c r="D274" t="str">
        <f>IF(الإدخالات!C274="","",الإدخالات!C274)</f>
        <v/>
      </c>
      <c r="E274" s="24" t="str">
        <f>IF(الإدخالات!C274="","",الإدخالات!D274)</f>
        <v/>
      </c>
      <c r="F274" t="str">
        <f>IF(الإدخالات!C274="","",IF(الإدخالات!G274="","",الإدخالات!G274))</f>
        <v/>
      </c>
      <c r="G274" t="str">
        <f>IF($B274&lt;&gt;"",SUMPRODUCT(($B$2:$B274&lt;&gt;"")*1),"")</f>
        <v/>
      </c>
    </row>
    <row r="275" spans="1:7">
      <c r="A275" s="23" t="str">
        <f>IF(الإدخالات!C275="","",الإدخالات!B275)</f>
        <v/>
      </c>
      <c r="B275" t="str">
        <f>IF(الإدخالات!C275="","","شراء")</f>
        <v/>
      </c>
      <c r="C275" t="str">
        <f>IF(الإدخالات!C275="","",IF(الإدخالات!E275="","-",الإدخالات!E275))</f>
        <v/>
      </c>
      <c r="D275" t="str">
        <f>IF(الإدخالات!C275="","",الإدخالات!C275)</f>
        <v/>
      </c>
      <c r="E275" s="24" t="str">
        <f>IF(الإدخالات!C275="","",الإدخالات!D275)</f>
        <v/>
      </c>
      <c r="F275" t="str">
        <f>IF(الإدخالات!C275="","",IF(الإدخالات!G275="","",الإدخالات!G275))</f>
        <v/>
      </c>
      <c r="G275" t="str">
        <f>IF($B275&lt;&gt;"",SUMPRODUCT(($B$2:$B275&lt;&gt;"")*1),"")</f>
        <v/>
      </c>
    </row>
    <row r="276" spans="1:7">
      <c r="A276" s="23" t="str">
        <f>IF(الإدخالات!C276="","",الإدخالات!B276)</f>
        <v/>
      </c>
      <c r="B276" t="str">
        <f>IF(الإدخالات!C276="","","شراء")</f>
        <v/>
      </c>
      <c r="C276" t="str">
        <f>IF(الإدخالات!C276="","",IF(الإدخالات!E276="","-",الإدخالات!E276))</f>
        <v/>
      </c>
      <c r="D276" t="str">
        <f>IF(الإدخالات!C276="","",الإدخالات!C276)</f>
        <v/>
      </c>
      <c r="E276" s="24" t="str">
        <f>IF(الإدخالات!C276="","",الإدخالات!D276)</f>
        <v/>
      </c>
      <c r="F276" t="str">
        <f>IF(الإدخالات!C276="","",IF(الإدخالات!G276="","",الإدخالات!G276))</f>
        <v/>
      </c>
      <c r="G276" t="str">
        <f>IF($B276&lt;&gt;"",SUMPRODUCT(($B$2:$B276&lt;&gt;"")*1),"")</f>
        <v/>
      </c>
    </row>
    <row r="277" spans="1:7">
      <c r="A277" s="23" t="str">
        <f>IF(الإدخالات!C277="","",الإدخالات!B277)</f>
        <v/>
      </c>
      <c r="B277" t="str">
        <f>IF(الإدخالات!C277="","","شراء")</f>
        <v/>
      </c>
      <c r="C277" t="str">
        <f>IF(الإدخالات!C277="","",IF(الإدخالات!E277="","-",الإدخالات!E277))</f>
        <v/>
      </c>
      <c r="D277" t="str">
        <f>IF(الإدخالات!C277="","",الإدخالات!C277)</f>
        <v/>
      </c>
      <c r="E277" s="24" t="str">
        <f>IF(الإدخالات!C277="","",الإدخالات!D277)</f>
        <v/>
      </c>
      <c r="F277" t="str">
        <f>IF(الإدخالات!C277="","",IF(الإدخالات!G277="","",الإدخالات!G277))</f>
        <v/>
      </c>
      <c r="G277" t="str">
        <f>IF($B277&lt;&gt;"",SUMPRODUCT(($B$2:$B277&lt;&gt;"")*1),"")</f>
        <v/>
      </c>
    </row>
    <row r="278" spans="1:7">
      <c r="A278" s="23" t="str">
        <f>IF(الإدخالات!C278="","",الإدخالات!B278)</f>
        <v/>
      </c>
      <c r="B278" t="str">
        <f>IF(الإدخالات!C278="","","شراء")</f>
        <v/>
      </c>
      <c r="C278" t="str">
        <f>IF(الإدخالات!C278="","",IF(الإدخالات!E278="","-",الإدخالات!E278))</f>
        <v/>
      </c>
      <c r="D278" t="str">
        <f>IF(الإدخالات!C278="","",الإدخالات!C278)</f>
        <v/>
      </c>
      <c r="E278" s="24" t="str">
        <f>IF(الإدخالات!C278="","",الإدخالات!D278)</f>
        <v/>
      </c>
      <c r="F278" t="str">
        <f>IF(الإدخالات!C278="","",IF(الإدخالات!G278="","",الإدخالات!G278))</f>
        <v/>
      </c>
      <c r="G278" t="str">
        <f>IF($B278&lt;&gt;"",SUMPRODUCT(($B$2:$B278&lt;&gt;"")*1),"")</f>
        <v/>
      </c>
    </row>
    <row r="279" spans="1:7">
      <c r="A279" s="23" t="str">
        <f>IF(الإدخالات!C279="","",الإدخالات!B279)</f>
        <v/>
      </c>
      <c r="B279" t="str">
        <f>IF(الإدخالات!C279="","","شراء")</f>
        <v/>
      </c>
      <c r="C279" t="str">
        <f>IF(الإدخالات!C279="","",IF(الإدخالات!E279="","-",الإدخالات!E279))</f>
        <v/>
      </c>
      <c r="D279" t="str">
        <f>IF(الإدخالات!C279="","",الإدخالات!C279)</f>
        <v/>
      </c>
      <c r="E279" s="24" t="str">
        <f>IF(الإدخالات!C279="","",الإدخالات!D279)</f>
        <v/>
      </c>
      <c r="F279" t="str">
        <f>IF(الإدخالات!C279="","",IF(الإدخالات!G279="","",الإدخالات!G279))</f>
        <v/>
      </c>
      <c r="G279" t="str">
        <f>IF($B279&lt;&gt;"",SUMPRODUCT(($B$2:$B279&lt;&gt;"")*1),"")</f>
        <v/>
      </c>
    </row>
    <row r="280" spans="1:7">
      <c r="A280" s="23" t="str">
        <f>IF(الإدخالات!C280="","",الإدخالات!B280)</f>
        <v/>
      </c>
      <c r="B280" t="str">
        <f>IF(الإدخالات!C280="","","شراء")</f>
        <v/>
      </c>
      <c r="C280" t="str">
        <f>IF(الإدخالات!C280="","",IF(الإدخالات!E280="","-",الإدخالات!E280))</f>
        <v/>
      </c>
      <c r="D280" t="str">
        <f>IF(الإدخالات!C280="","",الإدخالات!C280)</f>
        <v/>
      </c>
      <c r="E280" s="24" t="str">
        <f>IF(الإدخالات!C280="","",الإدخالات!D280)</f>
        <v/>
      </c>
      <c r="F280" t="str">
        <f>IF(الإدخالات!C280="","",IF(الإدخالات!G280="","",الإدخالات!G280))</f>
        <v/>
      </c>
      <c r="G280" t="str">
        <f>IF($B280&lt;&gt;"",SUMPRODUCT(($B$2:$B280&lt;&gt;"")*1),"")</f>
        <v/>
      </c>
    </row>
    <row r="281" spans="1:7">
      <c r="A281" s="23" t="str">
        <f>IF(الإدخالات!C281="","",الإدخالات!B281)</f>
        <v/>
      </c>
      <c r="B281" t="str">
        <f>IF(الإدخالات!C281="","","شراء")</f>
        <v/>
      </c>
      <c r="C281" t="str">
        <f>IF(الإدخالات!C281="","",IF(الإدخالات!E281="","-",الإدخالات!E281))</f>
        <v/>
      </c>
      <c r="D281" t="str">
        <f>IF(الإدخالات!C281="","",الإدخالات!C281)</f>
        <v/>
      </c>
      <c r="E281" s="24" t="str">
        <f>IF(الإدخالات!C281="","",الإدخالات!D281)</f>
        <v/>
      </c>
      <c r="F281" t="str">
        <f>IF(الإدخالات!C281="","",IF(الإدخالات!G281="","",الإدخالات!G281))</f>
        <v/>
      </c>
      <c r="G281" t="str">
        <f>IF($B281&lt;&gt;"",SUMPRODUCT(($B$2:$B281&lt;&gt;"")*1),"")</f>
        <v/>
      </c>
    </row>
    <row r="282" spans="1:7">
      <c r="A282" s="23" t="str">
        <f>IF(الإدخالات!C282="","",الإدخالات!B282)</f>
        <v/>
      </c>
      <c r="B282" t="str">
        <f>IF(الإدخالات!C282="","","شراء")</f>
        <v/>
      </c>
      <c r="C282" t="str">
        <f>IF(الإدخالات!C282="","",IF(الإدخالات!E282="","-",الإدخالات!E282))</f>
        <v/>
      </c>
      <c r="D282" t="str">
        <f>IF(الإدخالات!C282="","",الإدخالات!C282)</f>
        <v/>
      </c>
      <c r="E282" s="24" t="str">
        <f>IF(الإدخالات!C282="","",الإدخالات!D282)</f>
        <v/>
      </c>
      <c r="F282" t="str">
        <f>IF(الإدخالات!C282="","",IF(الإدخالات!G282="","",الإدخالات!G282))</f>
        <v/>
      </c>
      <c r="G282" t="str">
        <f>IF($B282&lt;&gt;"",SUMPRODUCT(($B$2:$B282&lt;&gt;"")*1),"")</f>
        <v/>
      </c>
    </row>
    <row r="283" spans="1:7">
      <c r="A283" s="23" t="str">
        <f>IF(الإدخالات!C283="","",الإدخالات!B283)</f>
        <v/>
      </c>
      <c r="B283" t="str">
        <f>IF(الإدخالات!C283="","","شراء")</f>
        <v/>
      </c>
      <c r="C283" t="str">
        <f>IF(الإدخالات!C283="","",IF(الإدخالات!E283="","-",الإدخالات!E283))</f>
        <v/>
      </c>
      <c r="D283" t="str">
        <f>IF(الإدخالات!C283="","",الإدخالات!C283)</f>
        <v/>
      </c>
      <c r="E283" s="24" t="str">
        <f>IF(الإدخالات!C283="","",الإدخالات!D283)</f>
        <v/>
      </c>
      <c r="F283" t="str">
        <f>IF(الإدخالات!C283="","",IF(الإدخالات!G283="","",الإدخالات!G283))</f>
        <v/>
      </c>
      <c r="G283" t="str">
        <f>IF($B283&lt;&gt;"",SUMPRODUCT(($B$2:$B283&lt;&gt;"")*1),"")</f>
        <v/>
      </c>
    </row>
    <row r="284" spans="1:7">
      <c r="A284" s="23" t="str">
        <f>IF(الإدخالات!C284="","",الإدخالات!B284)</f>
        <v/>
      </c>
      <c r="B284" t="str">
        <f>IF(الإدخالات!C284="","","شراء")</f>
        <v/>
      </c>
      <c r="C284" t="str">
        <f>IF(الإدخالات!C284="","",IF(الإدخالات!E284="","-",الإدخالات!E284))</f>
        <v/>
      </c>
      <c r="D284" t="str">
        <f>IF(الإدخالات!C284="","",الإدخالات!C284)</f>
        <v/>
      </c>
      <c r="E284" s="24" t="str">
        <f>IF(الإدخالات!C284="","",الإدخالات!D284)</f>
        <v/>
      </c>
      <c r="F284" t="str">
        <f>IF(الإدخالات!C284="","",IF(الإدخالات!G284="","",الإدخالات!G284))</f>
        <v/>
      </c>
      <c r="G284" t="str">
        <f>IF($B284&lt;&gt;"",SUMPRODUCT(($B$2:$B284&lt;&gt;"")*1),"")</f>
        <v/>
      </c>
    </row>
    <row r="285" spans="1:7">
      <c r="A285" s="23" t="str">
        <f>IF(الإدخالات!C285="","",الإدخالات!B285)</f>
        <v/>
      </c>
      <c r="B285" t="str">
        <f>IF(الإدخالات!C285="","","شراء")</f>
        <v/>
      </c>
      <c r="C285" t="str">
        <f>IF(الإدخالات!C285="","",IF(الإدخالات!E285="","-",الإدخالات!E285))</f>
        <v/>
      </c>
      <c r="D285" t="str">
        <f>IF(الإدخالات!C285="","",الإدخالات!C285)</f>
        <v/>
      </c>
      <c r="E285" s="24" t="str">
        <f>IF(الإدخالات!C285="","",الإدخالات!D285)</f>
        <v/>
      </c>
      <c r="F285" t="str">
        <f>IF(الإدخالات!C285="","",IF(الإدخالات!G285="","",الإدخالات!G285))</f>
        <v/>
      </c>
      <c r="G285" t="str">
        <f>IF($B285&lt;&gt;"",SUMPRODUCT(($B$2:$B285&lt;&gt;"")*1),"")</f>
        <v/>
      </c>
    </row>
    <row r="286" spans="1:7">
      <c r="A286" s="23" t="str">
        <f>IF(الإدخالات!C286="","",الإدخالات!B286)</f>
        <v/>
      </c>
      <c r="B286" t="str">
        <f>IF(الإدخالات!C286="","","شراء")</f>
        <v/>
      </c>
      <c r="C286" t="str">
        <f>IF(الإدخالات!C286="","",IF(الإدخالات!E286="","-",الإدخالات!E286))</f>
        <v/>
      </c>
      <c r="D286" t="str">
        <f>IF(الإدخالات!C286="","",الإدخالات!C286)</f>
        <v/>
      </c>
      <c r="E286" s="24" t="str">
        <f>IF(الإدخالات!C286="","",الإدخالات!D286)</f>
        <v/>
      </c>
      <c r="F286" t="str">
        <f>IF(الإدخالات!C286="","",IF(الإدخالات!G286="","",الإدخالات!G286))</f>
        <v/>
      </c>
      <c r="G286" t="str">
        <f>IF($B286&lt;&gt;"",SUMPRODUCT(($B$2:$B286&lt;&gt;"")*1),"")</f>
        <v/>
      </c>
    </row>
    <row r="287" spans="1:7">
      <c r="A287" s="23" t="str">
        <f>IF(الإدخالات!C287="","",الإدخالات!B287)</f>
        <v/>
      </c>
      <c r="B287" t="str">
        <f>IF(الإدخالات!C287="","","شراء")</f>
        <v/>
      </c>
      <c r="C287" t="str">
        <f>IF(الإدخالات!C287="","",IF(الإدخالات!E287="","-",الإدخالات!E287))</f>
        <v/>
      </c>
      <c r="D287" t="str">
        <f>IF(الإدخالات!C287="","",الإدخالات!C287)</f>
        <v/>
      </c>
      <c r="E287" s="24" t="str">
        <f>IF(الإدخالات!C287="","",الإدخالات!D287)</f>
        <v/>
      </c>
      <c r="F287" t="str">
        <f>IF(الإدخالات!C287="","",IF(الإدخالات!G287="","",الإدخالات!G287))</f>
        <v/>
      </c>
      <c r="G287" t="str">
        <f>IF($B287&lt;&gt;"",SUMPRODUCT(($B$2:$B287&lt;&gt;"")*1),"")</f>
        <v/>
      </c>
    </row>
    <row r="288" spans="1:7">
      <c r="A288" s="23" t="str">
        <f>IF(الإدخالات!C288="","",الإدخالات!B288)</f>
        <v/>
      </c>
      <c r="B288" t="str">
        <f>IF(الإدخالات!C288="","","شراء")</f>
        <v/>
      </c>
      <c r="C288" t="str">
        <f>IF(الإدخالات!C288="","",IF(الإدخالات!E288="","-",الإدخالات!E288))</f>
        <v/>
      </c>
      <c r="D288" t="str">
        <f>IF(الإدخالات!C288="","",الإدخالات!C288)</f>
        <v/>
      </c>
      <c r="E288" s="24" t="str">
        <f>IF(الإدخالات!C288="","",الإدخالات!D288)</f>
        <v/>
      </c>
      <c r="F288" t="str">
        <f>IF(الإدخالات!C288="","",IF(الإدخالات!G288="","",الإدخالات!G288))</f>
        <v/>
      </c>
      <c r="G288" t="str">
        <f>IF($B288&lt;&gt;"",SUMPRODUCT(($B$2:$B288&lt;&gt;"")*1),"")</f>
        <v/>
      </c>
    </row>
    <row r="289" spans="1:7">
      <c r="A289" s="23" t="str">
        <f>IF(الإدخالات!C289="","",الإدخالات!B289)</f>
        <v/>
      </c>
      <c r="B289" t="str">
        <f>IF(الإدخالات!C289="","","شراء")</f>
        <v/>
      </c>
      <c r="C289" t="str">
        <f>IF(الإدخالات!C289="","",IF(الإدخالات!E289="","-",الإدخالات!E289))</f>
        <v/>
      </c>
      <c r="D289" t="str">
        <f>IF(الإدخالات!C289="","",الإدخالات!C289)</f>
        <v/>
      </c>
      <c r="E289" s="24" t="str">
        <f>IF(الإدخالات!C289="","",الإدخالات!D289)</f>
        <v/>
      </c>
      <c r="F289" t="str">
        <f>IF(الإدخالات!C289="","",IF(الإدخالات!G289="","",الإدخالات!G289))</f>
        <v/>
      </c>
      <c r="G289" t="str">
        <f>IF($B289&lt;&gt;"",SUMPRODUCT(($B$2:$B289&lt;&gt;"")*1),"")</f>
        <v/>
      </c>
    </row>
    <row r="290" spans="1:7">
      <c r="A290" s="23" t="str">
        <f>IF(الإدخالات!C290="","",الإدخالات!B290)</f>
        <v/>
      </c>
      <c r="B290" t="str">
        <f>IF(الإدخالات!C290="","","شراء")</f>
        <v/>
      </c>
      <c r="C290" t="str">
        <f>IF(الإدخالات!C290="","",IF(الإدخالات!E290="","-",الإدخالات!E290))</f>
        <v/>
      </c>
      <c r="D290" t="str">
        <f>IF(الإدخالات!C290="","",الإدخالات!C290)</f>
        <v/>
      </c>
      <c r="E290" s="24" t="str">
        <f>IF(الإدخالات!C290="","",الإدخالات!D290)</f>
        <v/>
      </c>
      <c r="F290" t="str">
        <f>IF(الإدخالات!C290="","",IF(الإدخالات!G290="","",الإدخالات!G290))</f>
        <v/>
      </c>
      <c r="G290" t="str">
        <f>IF($B290&lt;&gt;"",SUMPRODUCT(($B$2:$B290&lt;&gt;"")*1),"")</f>
        <v/>
      </c>
    </row>
    <row r="291" spans="1:7">
      <c r="A291" s="23" t="str">
        <f>IF(الإدخالات!C291="","",الإدخالات!B291)</f>
        <v/>
      </c>
      <c r="B291" t="str">
        <f>IF(الإدخالات!C291="","","شراء")</f>
        <v/>
      </c>
      <c r="C291" t="str">
        <f>IF(الإدخالات!C291="","",IF(الإدخالات!E291="","-",الإدخالات!E291))</f>
        <v/>
      </c>
      <c r="D291" t="str">
        <f>IF(الإدخالات!C291="","",الإدخالات!C291)</f>
        <v/>
      </c>
      <c r="E291" s="24" t="str">
        <f>IF(الإدخالات!C291="","",الإدخالات!D291)</f>
        <v/>
      </c>
      <c r="F291" t="str">
        <f>IF(الإدخالات!C291="","",IF(الإدخالات!G291="","",الإدخالات!G291))</f>
        <v/>
      </c>
      <c r="G291" t="str">
        <f>IF($B291&lt;&gt;"",SUMPRODUCT(($B$2:$B291&lt;&gt;"")*1),"")</f>
        <v/>
      </c>
    </row>
    <row r="292" spans="1:7">
      <c r="A292" s="23" t="str">
        <f>IF(الإدخالات!C292="","",الإدخالات!B292)</f>
        <v/>
      </c>
      <c r="B292" t="str">
        <f>IF(الإدخالات!C292="","","شراء")</f>
        <v/>
      </c>
      <c r="C292" t="str">
        <f>IF(الإدخالات!C292="","",IF(الإدخالات!E292="","-",الإدخالات!E292))</f>
        <v/>
      </c>
      <c r="D292" t="str">
        <f>IF(الإدخالات!C292="","",الإدخالات!C292)</f>
        <v/>
      </c>
      <c r="E292" s="24" t="str">
        <f>IF(الإدخالات!C292="","",الإدخالات!D292)</f>
        <v/>
      </c>
      <c r="F292" t="str">
        <f>IF(الإدخالات!C292="","",IF(الإدخالات!G292="","",الإدخالات!G292))</f>
        <v/>
      </c>
      <c r="G292" t="str">
        <f>IF($B292&lt;&gt;"",SUMPRODUCT(($B$2:$B292&lt;&gt;"")*1),"")</f>
        <v/>
      </c>
    </row>
    <row r="293" spans="1:7">
      <c r="A293" s="23" t="str">
        <f>IF(الإدخالات!C293="","",الإدخالات!B293)</f>
        <v/>
      </c>
      <c r="B293" t="str">
        <f>IF(الإدخالات!C293="","","شراء")</f>
        <v/>
      </c>
      <c r="C293" t="str">
        <f>IF(الإدخالات!C293="","",IF(الإدخالات!E293="","-",الإدخالات!E293))</f>
        <v/>
      </c>
      <c r="D293" t="str">
        <f>IF(الإدخالات!C293="","",الإدخالات!C293)</f>
        <v/>
      </c>
      <c r="E293" s="24" t="str">
        <f>IF(الإدخالات!C293="","",الإدخالات!D293)</f>
        <v/>
      </c>
      <c r="F293" t="str">
        <f>IF(الإدخالات!C293="","",IF(الإدخالات!G293="","",الإدخالات!G293))</f>
        <v/>
      </c>
      <c r="G293" t="str">
        <f>IF($B293&lt;&gt;"",SUMPRODUCT(($B$2:$B293&lt;&gt;"")*1),"")</f>
        <v/>
      </c>
    </row>
    <row r="294" spans="1:7">
      <c r="A294" s="23" t="str">
        <f>IF(الإدخالات!C294="","",الإدخالات!B294)</f>
        <v/>
      </c>
      <c r="B294" t="str">
        <f>IF(الإدخالات!C294="","","شراء")</f>
        <v/>
      </c>
      <c r="C294" t="str">
        <f>IF(الإدخالات!C294="","",IF(الإدخالات!E294="","-",الإدخالات!E294))</f>
        <v/>
      </c>
      <c r="D294" t="str">
        <f>IF(الإدخالات!C294="","",الإدخالات!C294)</f>
        <v/>
      </c>
      <c r="E294" s="24" t="str">
        <f>IF(الإدخالات!C294="","",الإدخالات!D294)</f>
        <v/>
      </c>
      <c r="F294" t="str">
        <f>IF(الإدخالات!C294="","",IF(الإدخالات!G294="","",الإدخالات!G294))</f>
        <v/>
      </c>
      <c r="G294" t="str">
        <f>IF($B294&lt;&gt;"",SUMPRODUCT(($B$2:$B294&lt;&gt;"")*1),"")</f>
        <v/>
      </c>
    </row>
    <row r="295" spans="1:7">
      <c r="A295" s="23" t="str">
        <f>IF(الإدخالات!C295="","",الإدخالات!B295)</f>
        <v/>
      </c>
      <c r="B295" t="str">
        <f>IF(الإدخالات!C295="","","شراء")</f>
        <v/>
      </c>
      <c r="C295" t="str">
        <f>IF(الإدخالات!C295="","",IF(الإدخالات!E295="","-",الإدخالات!E295))</f>
        <v/>
      </c>
      <c r="D295" t="str">
        <f>IF(الإدخالات!C295="","",الإدخالات!C295)</f>
        <v/>
      </c>
      <c r="E295" s="24" t="str">
        <f>IF(الإدخالات!C295="","",الإدخالات!D295)</f>
        <v/>
      </c>
      <c r="F295" t="str">
        <f>IF(الإدخالات!C295="","",IF(الإدخالات!G295="","",الإدخالات!G295))</f>
        <v/>
      </c>
      <c r="G295" t="str">
        <f>IF($B295&lt;&gt;"",SUMPRODUCT(($B$2:$B295&lt;&gt;"")*1),"")</f>
        <v/>
      </c>
    </row>
    <row r="296" spans="1:7">
      <c r="A296" s="23" t="str">
        <f>IF(الإدخالات!C296="","",الإدخالات!B296)</f>
        <v/>
      </c>
      <c r="B296" t="str">
        <f>IF(الإدخالات!C296="","","شراء")</f>
        <v/>
      </c>
      <c r="C296" t="str">
        <f>IF(الإدخالات!C296="","",IF(الإدخالات!E296="","-",الإدخالات!E296))</f>
        <v/>
      </c>
      <c r="D296" t="str">
        <f>IF(الإدخالات!C296="","",الإدخالات!C296)</f>
        <v/>
      </c>
      <c r="E296" s="24" t="str">
        <f>IF(الإدخالات!C296="","",الإدخالات!D296)</f>
        <v/>
      </c>
      <c r="F296" t="str">
        <f>IF(الإدخالات!C296="","",IF(الإدخالات!G296="","",الإدخالات!G296))</f>
        <v/>
      </c>
      <c r="G296" t="str">
        <f>IF($B296&lt;&gt;"",SUMPRODUCT(($B$2:$B296&lt;&gt;"")*1),"")</f>
        <v/>
      </c>
    </row>
    <row r="297" spans="1:7">
      <c r="A297" s="23" t="str">
        <f>IF(الإدخالات!C297="","",الإدخالات!B297)</f>
        <v/>
      </c>
      <c r="B297" t="str">
        <f>IF(الإدخالات!C297="","","شراء")</f>
        <v/>
      </c>
      <c r="C297" t="str">
        <f>IF(الإدخالات!C297="","",IF(الإدخالات!E297="","-",الإدخالات!E297))</f>
        <v/>
      </c>
      <c r="D297" t="str">
        <f>IF(الإدخالات!C297="","",الإدخالات!C297)</f>
        <v/>
      </c>
      <c r="E297" s="24" t="str">
        <f>IF(الإدخالات!C297="","",الإدخالات!D297)</f>
        <v/>
      </c>
      <c r="F297" t="str">
        <f>IF(الإدخالات!C297="","",IF(الإدخالات!G297="","",الإدخالات!G297))</f>
        <v/>
      </c>
      <c r="G297" t="str">
        <f>IF($B297&lt;&gt;"",SUMPRODUCT(($B$2:$B297&lt;&gt;"")*1),"")</f>
        <v/>
      </c>
    </row>
    <row r="298" spans="1:7">
      <c r="A298" s="23" t="str">
        <f>IF(الإدخالات!C298="","",الإدخالات!B298)</f>
        <v/>
      </c>
      <c r="B298" t="str">
        <f>IF(الإدخالات!C298="","","شراء")</f>
        <v/>
      </c>
      <c r="C298" t="str">
        <f>IF(الإدخالات!C298="","",IF(الإدخالات!E298="","-",الإدخالات!E298))</f>
        <v/>
      </c>
      <c r="D298" t="str">
        <f>IF(الإدخالات!C298="","",الإدخالات!C298)</f>
        <v/>
      </c>
      <c r="E298" s="24" t="str">
        <f>IF(الإدخالات!C298="","",الإدخالات!D298)</f>
        <v/>
      </c>
      <c r="F298" t="str">
        <f>IF(الإدخالات!C298="","",IF(الإدخالات!G298="","",الإدخالات!G298))</f>
        <v/>
      </c>
      <c r="G298" t="str">
        <f>IF($B298&lt;&gt;"",SUMPRODUCT(($B$2:$B298&lt;&gt;"")*1),"")</f>
        <v/>
      </c>
    </row>
    <row r="299" spans="1:7">
      <c r="A299" s="23" t="str">
        <f>IF(الإدخالات!C299="","",الإدخالات!B299)</f>
        <v/>
      </c>
      <c r="B299" t="str">
        <f>IF(الإدخالات!C299="","","شراء")</f>
        <v/>
      </c>
      <c r="C299" t="str">
        <f>IF(الإدخالات!C299="","",IF(الإدخالات!E299="","-",الإدخالات!E299))</f>
        <v/>
      </c>
      <c r="D299" t="str">
        <f>IF(الإدخالات!C299="","",الإدخالات!C299)</f>
        <v/>
      </c>
      <c r="E299" s="24" t="str">
        <f>IF(الإدخالات!C299="","",الإدخالات!D299)</f>
        <v/>
      </c>
      <c r="F299" t="str">
        <f>IF(الإدخالات!C299="","",IF(الإدخالات!G299="","",الإدخالات!G299))</f>
        <v/>
      </c>
      <c r="G299" t="str">
        <f>IF($B299&lt;&gt;"",SUMPRODUCT(($B$2:$B299&lt;&gt;"")*1),"")</f>
        <v/>
      </c>
    </row>
    <row r="300" spans="1:7">
      <c r="A300" s="23" t="str">
        <f>IF(الإدخالات!C300="","",الإدخالات!B300)</f>
        <v/>
      </c>
      <c r="B300" t="str">
        <f>IF(الإدخالات!C300="","","شراء")</f>
        <v/>
      </c>
      <c r="C300" t="str">
        <f>IF(الإدخالات!C300="","",IF(الإدخالات!E300="","-",الإدخالات!E300))</f>
        <v/>
      </c>
      <c r="D300" t="str">
        <f>IF(الإدخالات!C300="","",الإدخالات!C300)</f>
        <v/>
      </c>
      <c r="E300" s="24" t="str">
        <f>IF(الإدخالات!C300="","",الإدخالات!D300)</f>
        <v/>
      </c>
      <c r="F300" t="str">
        <f>IF(الإدخالات!C300="","",IF(الإدخالات!G300="","",الإدخالات!G300))</f>
        <v/>
      </c>
      <c r="G300" t="str">
        <f>IF($B300&lt;&gt;"",SUMPRODUCT(($B$2:$B300&lt;&gt;"")*1),"")</f>
        <v/>
      </c>
    </row>
    <row r="301" spans="1:7">
      <c r="A301" s="23" t="str">
        <f>IF(الإدخالات!C301="","",الإدخالات!B301)</f>
        <v/>
      </c>
      <c r="B301" t="str">
        <f>IF(الإدخالات!C301="","","شراء")</f>
        <v/>
      </c>
      <c r="C301" t="str">
        <f>IF(الإدخالات!C301="","",IF(الإدخالات!E301="","-",الإدخالات!E301))</f>
        <v/>
      </c>
      <c r="D301" t="str">
        <f>IF(الإدخالات!C301="","",الإدخالات!C301)</f>
        <v/>
      </c>
      <c r="E301" s="24" t="str">
        <f>IF(الإدخالات!C301="","",الإدخالات!D301)</f>
        <v/>
      </c>
      <c r="F301" t="str">
        <f>IF(الإدخالات!C301="","",IF(الإدخالات!G301="","",الإدخالات!G301))</f>
        <v/>
      </c>
      <c r="G301" t="str">
        <f>IF($B301&lt;&gt;"",SUMPRODUCT(($B$2:$B301&lt;&gt;"")*1),"")</f>
        <v/>
      </c>
    </row>
    <row r="302" spans="1:7">
      <c r="A302" s="23" t="str">
        <f>IF(الإدخالات!C302="","",الإدخالات!B302)</f>
        <v/>
      </c>
      <c r="B302" t="str">
        <f>IF(الإدخالات!C302="","","شراء")</f>
        <v/>
      </c>
      <c r="C302" t="str">
        <f>IF(الإدخالات!C302="","",IF(الإدخالات!E302="","-",الإدخالات!E302))</f>
        <v/>
      </c>
      <c r="D302" t="str">
        <f>IF(الإدخالات!C302="","",الإدخالات!C302)</f>
        <v/>
      </c>
      <c r="E302" s="24" t="str">
        <f>IF(الإدخالات!C302="","",الإدخالات!D302)</f>
        <v/>
      </c>
      <c r="F302" t="str">
        <f>IF(الإدخالات!C302="","",IF(الإدخالات!G302="","",الإدخالات!G302))</f>
        <v/>
      </c>
      <c r="G302" t="str">
        <f>IF($B302&lt;&gt;"",SUMPRODUCT(($B$2:$B302&lt;&gt;"")*1),"")</f>
        <v/>
      </c>
    </row>
    <row r="303" spans="1:7">
      <c r="A303" s="23" t="str">
        <f>IF(الإدخالات!C303="","",الإدخالات!B303)</f>
        <v/>
      </c>
      <c r="B303" t="str">
        <f>IF(الإدخالات!C303="","","شراء")</f>
        <v/>
      </c>
      <c r="C303" t="str">
        <f>IF(الإدخالات!C303="","",IF(الإدخالات!E303="","-",الإدخالات!E303))</f>
        <v/>
      </c>
      <c r="D303" t="str">
        <f>IF(الإدخالات!C303="","",الإدخالات!C303)</f>
        <v/>
      </c>
      <c r="E303" s="24" t="str">
        <f>IF(الإدخالات!C303="","",الإدخالات!D303)</f>
        <v/>
      </c>
      <c r="F303" t="str">
        <f>IF(الإدخالات!C303="","",IF(الإدخالات!G303="","",الإدخالات!G303))</f>
        <v/>
      </c>
      <c r="G303" t="str">
        <f>IF($B303&lt;&gt;"",SUMPRODUCT(($B$2:$B303&lt;&gt;"")*1),"")</f>
        <v/>
      </c>
    </row>
    <row r="304" spans="1:7">
      <c r="A304" s="23" t="str">
        <f>IF(الإدخالات!C304="","",الإدخالات!B304)</f>
        <v/>
      </c>
      <c r="B304" t="str">
        <f>IF(الإدخالات!C304="","","شراء")</f>
        <v/>
      </c>
      <c r="C304" t="str">
        <f>IF(الإدخالات!C304="","",IF(الإدخالات!E304="","-",الإدخالات!E304))</f>
        <v/>
      </c>
      <c r="D304" t="str">
        <f>IF(الإدخالات!C304="","",الإدخالات!C304)</f>
        <v/>
      </c>
      <c r="E304" s="24" t="str">
        <f>IF(الإدخالات!C304="","",الإدخالات!D304)</f>
        <v/>
      </c>
      <c r="F304" t="str">
        <f>IF(الإدخالات!C304="","",IF(الإدخالات!G304="","",الإدخالات!G304))</f>
        <v/>
      </c>
      <c r="G304" t="str">
        <f>IF($B304&lt;&gt;"",SUMPRODUCT(($B$2:$B304&lt;&gt;"")*1),"")</f>
        <v/>
      </c>
    </row>
    <row r="305" spans="1:7">
      <c r="A305" s="23" t="str">
        <f>IF(الإدخالات!C305="","",الإدخالات!B305)</f>
        <v/>
      </c>
      <c r="B305" t="str">
        <f>IF(الإدخالات!C305="","","شراء")</f>
        <v/>
      </c>
      <c r="C305" t="str">
        <f>IF(الإدخالات!C305="","",IF(الإدخالات!E305="","-",الإدخالات!E305))</f>
        <v/>
      </c>
      <c r="D305" t="str">
        <f>IF(الإدخالات!C305="","",الإدخالات!C305)</f>
        <v/>
      </c>
      <c r="E305" s="24" t="str">
        <f>IF(الإدخالات!C305="","",الإدخالات!D305)</f>
        <v/>
      </c>
      <c r="F305" t="str">
        <f>IF(الإدخالات!C305="","",IF(الإدخالات!G305="","",الإدخالات!G305))</f>
        <v/>
      </c>
      <c r="G305" t="str">
        <f>IF($B305&lt;&gt;"",SUMPRODUCT(($B$2:$B305&lt;&gt;"")*1),"")</f>
        <v/>
      </c>
    </row>
    <row r="306" spans="1:7">
      <c r="A306" s="23" t="str">
        <f>IF(الإدخالات!C306="","",الإدخالات!B306)</f>
        <v/>
      </c>
      <c r="B306" t="str">
        <f>IF(الإدخالات!C306="","","شراء")</f>
        <v/>
      </c>
      <c r="C306" t="str">
        <f>IF(الإدخالات!C306="","",IF(الإدخالات!E306="","-",الإدخالات!E306))</f>
        <v/>
      </c>
      <c r="D306" t="str">
        <f>IF(الإدخالات!C306="","",الإدخالات!C306)</f>
        <v/>
      </c>
      <c r="E306" s="24" t="str">
        <f>IF(الإدخالات!C306="","",الإدخالات!D306)</f>
        <v/>
      </c>
      <c r="F306" t="str">
        <f>IF(الإدخالات!C306="","",IF(الإدخالات!G306="","",الإدخالات!G306))</f>
        <v/>
      </c>
      <c r="G306" t="str">
        <f>IF($B306&lt;&gt;"",SUMPRODUCT(($B$2:$B306&lt;&gt;"")*1),"")</f>
        <v/>
      </c>
    </row>
    <row r="307" spans="1:7">
      <c r="A307" s="23" t="str">
        <f>IF(الإدخالات!C307="","",الإدخالات!B307)</f>
        <v/>
      </c>
      <c r="B307" t="str">
        <f>IF(الإدخالات!C307="","","شراء")</f>
        <v/>
      </c>
      <c r="C307" t="str">
        <f>IF(الإدخالات!C307="","",IF(الإدخالات!E307="","-",الإدخالات!E307))</f>
        <v/>
      </c>
      <c r="D307" t="str">
        <f>IF(الإدخالات!C307="","",الإدخالات!C307)</f>
        <v/>
      </c>
      <c r="E307" s="24" t="str">
        <f>IF(الإدخالات!C307="","",الإدخالات!D307)</f>
        <v/>
      </c>
      <c r="F307" t="str">
        <f>IF(الإدخالات!C307="","",IF(الإدخالات!G307="","",الإدخالات!G307))</f>
        <v/>
      </c>
      <c r="G307" t="str">
        <f>IF($B307&lt;&gt;"",SUMPRODUCT(($B$2:$B307&lt;&gt;"")*1),"")</f>
        <v/>
      </c>
    </row>
    <row r="308" spans="1:7">
      <c r="A308" s="23" t="str">
        <f>IF(الإدخالات!C308="","",الإدخالات!B308)</f>
        <v/>
      </c>
      <c r="B308" t="str">
        <f>IF(الإدخالات!C308="","","شراء")</f>
        <v/>
      </c>
      <c r="C308" t="str">
        <f>IF(الإدخالات!C308="","",IF(الإدخالات!E308="","-",الإدخالات!E308))</f>
        <v/>
      </c>
      <c r="D308" t="str">
        <f>IF(الإدخالات!C308="","",الإدخالات!C308)</f>
        <v/>
      </c>
      <c r="E308" s="24" t="str">
        <f>IF(الإدخالات!C308="","",الإدخالات!D308)</f>
        <v/>
      </c>
      <c r="F308" t="str">
        <f>IF(الإدخالات!C308="","",IF(الإدخالات!G308="","",الإدخالات!G308))</f>
        <v/>
      </c>
      <c r="G308" t="str">
        <f>IF($B308&lt;&gt;"",SUMPRODUCT(($B$2:$B308&lt;&gt;"")*1),"")</f>
        <v/>
      </c>
    </row>
    <row r="309" spans="1:7">
      <c r="A309" s="23" t="str">
        <f>IF(الإدخالات!C309="","",الإدخالات!B309)</f>
        <v/>
      </c>
      <c r="B309" t="str">
        <f>IF(الإدخالات!C309="","","شراء")</f>
        <v/>
      </c>
      <c r="C309" t="str">
        <f>IF(الإدخالات!C309="","",IF(الإدخالات!E309="","-",الإدخالات!E309))</f>
        <v/>
      </c>
      <c r="D309" t="str">
        <f>IF(الإدخالات!C309="","",الإدخالات!C309)</f>
        <v/>
      </c>
      <c r="E309" s="24" t="str">
        <f>IF(الإدخالات!C309="","",الإدخالات!D309)</f>
        <v/>
      </c>
      <c r="F309" t="str">
        <f>IF(الإدخالات!C309="","",IF(الإدخالات!G309="","",الإدخالات!G309))</f>
        <v/>
      </c>
      <c r="G309" t="str">
        <f>IF($B309&lt;&gt;"",SUMPRODUCT(($B$2:$B309&lt;&gt;"")*1),"")</f>
        <v/>
      </c>
    </row>
    <row r="310" spans="1:7">
      <c r="A310" s="23" t="str">
        <f>IF(الإدخالات!C310="","",الإدخالات!B310)</f>
        <v/>
      </c>
      <c r="B310" t="str">
        <f>IF(الإدخالات!C310="","","شراء")</f>
        <v/>
      </c>
      <c r="C310" t="str">
        <f>IF(الإدخالات!C310="","",IF(الإدخالات!E310="","-",الإدخالات!E310))</f>
        <v/>
      </c>
      <c r="D310" t="str">
        <f>IF(الإدخالات!C310="","",الإدخالات!C310)</f>
        <v/>
      </c>
      <c r="E310" s="24" t="str">
        <f>IF(الإدخالات!C310="","",الإدخالات!D310)</f>
        <v/>
      </c>
      <c r="F310" t="str">
        <f>IF(الإدخالات!C310="","",IF(الإدخالات!G310="","",الإدخالات!G310))</f>
        <v/>
      </c>
      <c r="G310" t="str">
        <f>IF($B310&lt;&gt;"",SUMPRODUCT(($B$2:$B310&lt;&gt;"")*1),"")</f>
        <v/>
      </c>
    </row>
    <row r="311" spans="1:7">
      <c r="A311" s="23" t="str">
        <f>IF(الإدخالات!C311="","",الإدخالات!B311)</f>
        <v/>
      </c>
      <c r="B311" t="str">
        <f>IF(الإدخالات!C311="","","شراء")</f>
        <v/>
      </c>
      <c r="C311" t="str">
        <f>IF(الإدخالات!C311="","",IF(الإدخالات!E311="","-",الإدخالات!E311))</f>
        <v/>
      </c>
      <c r="D311" t="str">
        <f>IF(الإدخالات!C311="","",الإدخالات!C311)</f>
        <v/>
      </c>
      <c r="E311" s="24" t="str">
        <f>IF(الإدخالات!C311="","",الإدخالات!D311)</f>
        <v/>
      </c>
      <c r="F311" t="str">
        <f>IF(الإدخالات!C311="","",IF(الإدخالات!G311="","",الإدخالات!G311))</f>
        <v/>
      </c>
      <c r="G311" t="str">
        <f>IF($B311&lt;&gt;"",SUMPRODUCT(($B$2:$B311&lt;&gt;"")*1),"")</f>
        <v/>
      </c>
    </row>
    <row r="312" spans="1:7">
      <c r="A312" s="23" t="str">
        <f>IF(الإدخالات!C312="","",الإدخالات!B312)</f>
        <v/>
      </c>
      <c r="B312" t="str">
        <f>IF(الإدخالات!C312="","","شراء")</f>
        <v/>
      </c>
      <c r="C312" t="str">
        <f>IF(الإدخالات!C312="","",IF(الإدخالات!E312="","-",الإدخالات!E312))</f>
        <v/>
      </c>
      <c r="D312" t="str">
        <f>IF(الإدخالات!C312="","",الإدخالات!C312)</f>
        <v/>
      </c>
      <c r="E312" s="24" t="str">
        <f>IF(الإدخالات!C312="","",الإدخالات!D312)</f>
        <v/>
      </c>
      <c r="F312" t="str">
        <f>IF(الإدخالات!C312="","",IF(الإدخالات!G312="","",الإدخالات!G312))</f>
        <v/>
      </c>
      <c r="G312" t="str">
        <f>IF($B312&lt;&gt;"",SUMPRODUCT(($B$2:$B312&lt;&gt;"")*1),"")</f>
        <v/>
      </c>
    </row>
    <row r="313" spans="1:7">
      <c r="A313" s="23" t="str">
        <f>IF(الإدخالات!C313="","",الإدخالات!B313)</f>
        <v/>
      </c>
      <c r="B313" t="str">
        <f>IF(الإدخالات!C313="","","شراء")</f>
        <v/>
      </c>
      <c r="C313" t="str">
        <f>IF(الإدخالات!C313="","",IF(الإدخالات!E313="","-",الإدخالات!E313))</f>
        <v/>
      </c>
      <c r="D313" t="str">
        <f>IF(الإدخالات!C313="","",الإدخالات!C313)</f>
        <v/>
      </c>
      <c r="E313" s="24" t="str">
        <f>IF(الإدخالات!C313="","",الإدخالات!D313)</f>
        <v/>
      </c>
      <c r="F313" t="str">
        <f>IF(الإدخالات!C313="","",IF(الإدخالات!G313="","",الإدخالات!G313))</f>
        <v/>
      </c>
      <c r="G313" t="str">
        <f>IF($B313&lt;&gt;"",SUMPRODUCT(($B$2:$B313&lt;&gt;"")*1),"")</f>
        <v/>
      </c>
    </row>
    <row r="314" spans="1:7">
      <c r="A314" s="23" t="str">
        <f>IF(الإدخالات!C314="","",الإدخالات!B314)</f>
        <v/>
      </c>
      <c r="B314" t="str">
        <f>IF(الإدخالات!C314="","","شراء")</f>
        <v/>
      </c>
      <c r="C314" t="str">
        <f>IF(الإدخالات!C314="","",IF(الإدخالات!E314="","-",الإدخالات!E314))</f>
        <v/>
      </c>
      <c r="D314" t="str">
        <f>IF(الإدخالات!C314="","",الإدخالات!C314)</f>
        <v/>
      </c>
      <c r="E314" s="24" t="str">
        <f>IF(الإدخالات!C314="","",الإدخالات!D314)</f>
        <v/>
      </c>
      <c r="F314" t="str">
        <f>IF(الإدخالات!C314="","",IF(الإدخالات!G314="","",الإدخالات!G314))</f>
        <v/>
      </c>
      <c r="G314" t="str">
        <f>IF($B314&lt;&gt;"",SUMPRODUCT(($B$2:$B314&lt;&gt;"")*1),"")</f>
        <v/>
      </c>
    </row>
    <row r="315" spans="1:7">
      <c r="A315" s="23" t="str">
        <f>IF(الإدخالات!C315="","",الإدخالات!B315)</f>
        <v/>
      </c>
      <c r="B315" t="str">
        <f>IF(الإدخالات!C315="","","شراء")</f>
        <v/>
      </c>
      <c r="C315" t="str">
        <f>IF(الإدخالات!C315="","",IF(الإدخالات!E315="","-",الإدخالات!E315))</f>
        <v/>
      </c>
      <c r="D315" t="str">
        <f>IF(الإدخالات!C315="","",الإدخالات!C315)</f>
        <v/>
      </c>
      <c r="E315" s="24" t="str">
        <f>IF(الإدخالات!C315="","",الإدخالات!D315)</f>
        <v/>
      </c>
      <c r="F315" t="str">
        <f>IF(الإدخالات!C315="","",IF(الإدخالات!G315="","",الإدخالات!G315))</f>
        <v/>
      </c>
      <c r="G315" t="str">
        <f>IF($B315&lt;&gt;"",SUMPRODUCT(($B$2:$B315&lt;&gt;"")*1),"")</f>
        <v/>
      </c>
    </row>
    <row r="316" spans="1:7">
      <c r="A316" s="23" t="str">
        <f>IF(الإدخالات!C316="","",الإدخالات!B316)</f>
        <v/>
      </c>
      <c r="B316" t="str">
        <f>IF(الإدخالات!C316="","","شراء")</f>
        <v/>
      </c>
      <c r="C316" t="str">
        <f>IF(الإدخالات!C316="","",IF(الإدخالات!E316="","-",الإدخالات!E316))</f>
        <v/>
      </c>
      <c r="D316" t="str">
        <f>IF(الإدخالات!C316="","",الإدخالات!C316)</f>
        <v/>
      </c>
      <c r="E316" s="24" t="str">
        <f>IF(الإدخالات!C316="","",الإدخالات!D316)</f>
        <v/>
      </c>
      <c r="F316" t="str">
        <f>IF(الإدخالات!C316="","",IF(الإدخالات!G316="","",الإدخالات!G316))</f>
        <v/>
      </c>
      <c r="G316" t="str">
        <f>IF($B316&lt;&gt;"",SUMPRODUCT(($B$2:$B316&lt;&gt;"")*1),"")</f>
        <v/>
      </c>
    </row>
    <row r="317" spans="1:7">
      <c r="A317" s="23" t="str">
        <f>IF(الإدخالات!C317="","",الإدخالات!B317)</f>
        <v/>
      </c>
      <c r="B317" t="str">
        <f>IF(الإدخالات!C317="","","شراء")</f>
        <v/>
      </c>
      <c r="C317" t="str">
        <f>IF(الإدخالات!C317="","",IF(الإدخالات!E317="","-",الإدخالات!E317))</f>
        <v/>
      </c>
      <c r="D317" t="str">
        <f>IF(الإدخالات!C317="","",الإدخالات!C317)</f>
        <v/>
      </c>
      <c r="E317" s="24" t="str">
        <f>IF(الإدخالات!C317="","",الإدخالات!D317)</f>
        <v/>
      </c>
      <c r="F317" t="str">
        <f>IF(الإدخالات!C317="","",IF(الإدخالات!G317="","",الإدخالات!G317))</f>
        <v/>
      </c>
      <c r="G317" t="str">
        <f>IF($B317&lt;&gt;"",SUMPRODUCT(($B$2:$B317&lt;&gt;"")*1),"")</f>
        <v/>
      </c>
    </row>
    <row r="318" spans="1:7">
      <c r="A318" s="23" t="str">
        <f>IF(الإدخالات!C318="","",الإدخالات!B318)</f>
        <v/>
      </c>
      <c r="B318" t="str">
        <f>IF(الإدخالات!C318="","","شراء")</f>
        <v/>
      </c>
      <c r="C318" t="str">
        <f>IF(الإدخالات!C318="","",IF(الإدخالات!E318="","-",الإدخالات!E318))</f>
        <v/>
      </c>
      <c r="D318" t="str">
        <f>IF(الإدخالات!C318="","",الإدخالات!C318)</f>
        <v/>
      </c>
      <c r="E318" s="24" t="str">
        <f>IF(الإدخالات!C318="","",الإدخالات!D318)</f>
        <v/>
      </c>
      <c r="F318" t="str">
        <f>IF(الإدخالات!C318="","",IF(الإدخالات!G318="","",الإدخالات!G318))</f>
        <v/>
      </c>
      <c r="G318" t="str">
        <f>IF($B318&lt;&gt;"",SUMPRODUCT(($B$2:$B318&lt;&gt;"")*1),"")</f>
        <v/>
      </c>
    </row>
    <row r="319" spans="1:7">
      <c r="A319" s="23" t="str">
        <f>IF(الإدخالات!C319="","",الإدخالات!B319)</f>
        <v/>
      </c>
      <c r="B319" t="str">
        <f>IF(الإدخالات!C319="","","شراء")</f>
        <v/>
      </c>
      <c r="C319" t="str">
        <f>IF(الإدخالات!C319="","",IF(الإدخالات!E319="","-",الإدخالات!E319))</f>
        <v/>
      </c>
      <c r="D319" t="str">
        <f>IF(الإدخالات!C319="","",الإدخالات!C319)</f>
        <v/>
      </c>
      <c r="E319" s="24" t="str">
        <f>IF(الإدخالات!C319="","",الإدخالات!D319)</f>
        <v/>
      </c>
      <c r="F319" t="str">
        <f>IF(الإدخالات!C319="","",IF(الإدخالات!G319="","",الإدخالات!G319))</f>
        <v/>
      </c>
      <c r="G319" t="str">
        <f>IF($B319&lt;&gt;"",SUMPRODUCT(($B$2:$B319&lt;&gt;"")*1),"")</f>
        <v/>
      </c>
    </row>
    <row r="320" spans="1:7">
      <c r="A320" s="23" t="str">
        <f>IF(الإدخالات!C320="","",الإدخالات!B320)</f>
        <v/>
      </c>
      <c r="B320" t="str">
        <f>IF(الإدخالات!C320="","","شراء")</f>
        <v/>
      </c>
      <c r="C320" t="str">
        <f>IF(الإدخالات!C320="","",IF(الإدخالات!E320="","-",الإدخالات!E320))</f>
        <v/>
      </c>
      <c r="D320" t="str">
        <f>IF(الإدخالات!C320="","",الإدخالات!C320)</f>
        <v/>
      </c>
      <c r="E320" s="24" t="str">
        <f>IF(الإدخالات!C320="","",الإدخالات!D320)</f>
        <v/>
      </c>
      <c r="F320" t="str">
        <f>IF(الإدخالات!C320="","",IF(الإدخالات!G320="","",الإدخالات!G320))</f>
        <v/>
      </c>
      <c r="G320" t="str">
        <f>IF($B320&lt;&gt;"",SUMPRODUCT(($B$2:$B320&lt;&gt;"")*1),"")</f>
        <v/>
      </c>
    </row>
    <row r="321" spans="1:7">
      <c r="A321" s="23" t="str">
        <f>IF(الإدخالات!C321="","",الإدخالات!B321)</f>
        <v/>
      </c>
      <c r="B321" t="str">
        <f>IF(الإدخالات!C321="","","شراء")</f>
        <v/>
      </c>
      <c r="C321" t="str">
        <f>IF(الإدخالات!C321="","",IF(الإدخالات!E321="","-",الإدخالات!E321))</f>
        <v/>
      </c>
      <c r="D321" t="str">
        <f>IF(الإدخالات!C321="","",الإدخالات!C321)</f>
        <v/>
      </c>
      <c r="E321" s="24" t="str">
        <f>IF(الإدخالات!C321="","",الإدخالات!D321)</f>
        <v/>
      </c>
      <c r="F321" t="str">
        <f>IF(الإدخالات!C321="","",IF(الإدخالات!G321="","",الإدخالات!G321))</f>
        <v/>
      </c>
      <c r="G321" t="str">
        <f>IF($B321&lt;&gt;"",SUMPRODUCT(($B$2:$B321&lt;&gt;"")*1),"")</f>
        <v/>
      </c>
    </row>
    <row r="322" spans="1:7">
      <c r="A322" s="23" t="str">
        <f>IF(الإدخالات!C322="","",الإدخالات!B322)</f>
        <v/>
      </c>
      <c r="B322" t="str">
        <f>IF(الإدخالات!C322="","","شراء")</f>
        <v/>
      </c>
      <c r="C322" t="str">
        <f>IF(الإدخالات!C322="","",IF(الإدخالات!E322="","-",الإدخالات!E322))</f>
        <v/>
      </c>
      <c r="D322" t="str">
        <f>IF(الإدخالات!C322="","",الإدخالات!C322)</f>
        <v/>
      </c>
      <c r="E322" s="24" t="str">
        <f>IF(الإدخالات!C322="","",الإدخالات!D322)</f>
        <v/>
      </c>
      <c r="F322" t="str">
        <f>IF(الإدخالات!C322="","",IF(الإدخالات!G322="","",الإدخالات!G322))</f>
        <v/>
      </c>
      <c r="G322" t="str">
        <f>IF($B322&lt;&gt;"",SUMPRODUCT(($B$2:$B322&lt;&gt;"")*1),"")</f>
        <v/>
      </c>
    </row>
    <row r="323" spans="1:7">
      <c r="A323" s="23" t="str">
        <f>IF(الإدخالات!C323="","",الإدخالات!B323)</f>
        <v/>
      </c>
      <c r="B323" t="str">
        <f>IF(الإدخالات!C323="","","شراء")</f>
        <v/>
      </c>
      <c r="C323" t="str">
        <f>IF(الإدخالات!C323="","",IF(الإدخالات!E323="","-",الإدخالات!E323))</f>
        <v/>
      </c>
      <c r="D323" t="str">
        <f>IF(الإدخالات!C323="","",الإدخالات!C323)</f>
        <v/>
      </c>
      <c r="E323" s="24" t="str">
        <f>IF(الإدخالات!C323="","",الإدخالات!D323)</f>
        <v/>
      </c>
      <c r="F323" t="str">
        <f>IF(الإدخالات!C323="","",IF(الإدخالات!G323="","",الإدخالات!G323))</f>
        <v/>
      </c>
      <c r="G323" t="str">
        <f>IF($B323&lt;&gt;"",SUMPRODUCT(($B$2:$B323&lt;&gt;"")*1),"")</f>
        <v/>
      </c>
    </row>
    <row r="324" spans="1:7">
      <c r="A324" s="23" t="str">
        <f>IF(الإدخالات!C324="","",الإدخالات!B324)</f>
        <v/>
      </c>
      <c r="B324" t="str">
        <f>IF(الإدخالات!C324="","","شراء")</f>
        <v/>
      </c>
      <c r="C324" t="str">
        <f>IF(الإدخالات!C324="","",IF(الإدخالات!E324="","-",الإدخالات!E324))</f>
        <v/>
      </c>
      <c r="D324" t="str">
        <f>IF(الإدخالات!C324="","",الإدخالات!C324)</f>
        <v/>
      </c>
      <c r="E324" s="24" t="str">
        <f>IF(الإدخالات!C324="","",الإدخالات!D324)</f>
        <v/>
      </c>
      <c r="F324" t="str">
        <f>IF(الإدخالات!C324="","",IF(الإدخالات!G324="","",الإدخالات!G324))</f>
        <v/>
      </c>
      <c r="G324" t="str">
        <f>IF($B324&lt;&gt;"",SUMPRODUCT(($B$2:$B324&lt;&gt;"")*1),"")</f>
        <v/>
      </c>
    </row>
    <row r="325" spans="1:7">
      <c r="A325" s="23" t="str">
        <f>IF(الإدخالات!C325="","",الإدخالات!B325)</f>
        <v/>
      </c>
      <c r="B325" t="str">
        <f>IF(الإدخالات!C325="","","شراء")</f>
        <v/>
      </c>
      <c r="C325" t="str">
        <f>IF(الإدخالات!C325="","",IF(الإدخالات!E325="","-",الإدخالات!E325))</f>
        <v/>
      </c>
      <c r="D325" t="str">
        <f>IF(الإدخالات!C325="","",الإدخالات!C325)</f>
        <v/>
      </c>
      <c r="E325" s="24" t="str">
        <f>IF(الإدخالات!C325="","",الإدخالات!D325)</f>
        <v/>
      </c>
      <c r="F325" t="str">
        <f>IF(الإدخالات!C325="","",IF(الإدخالات!G325="","",الإدخالات!G325))</f>
        <v/>
      </c>
      <c r="G325" t="str">
        <f>IF($B325&lt;&gt;"",SUMPRODUCT(($B$2:$B325&lt;&gt;"")*1),"")</f>
        <v/>
      </c>
    </row>
    <row r="326" spans="1:7">
      <c r="A326" s="23" t="str">
        <f>IF(الإدخالات!C326="","",الإدخالات!B326)</f>
        <v/>
      </c>
      <c r="B326" t="str">
        <f>IF(الإدخالات!C326="","","شراء")</f>
        <v/>
      </c>
      <c r="C326" t="str">
        <f>IF(الإدخالات!C326="","",IF(الإدخالات!E326="","-",الإدخالات!E326))</f>
        <v/>
      </c>
      <c r="D326" t="str">
        <f>IF(الإدخالات!C326="","",الإدخالات!C326)</f>
        <v/>
      </c>
      <c r="E326" s="24" t="str">
        <f>IF(الإدخالات!C326="","",الإدخالات!D326)</f>
        <v/>
      </c>
      <c r="F326" t="str">
        <f>IF(الإدخالات!C326="","",IF(الإدخالات!G326="","",الإدخالات!G326))</f>
        <v/>
      </c>
      <c r="G326" t="str">
        <f>IF($B326&lt;&gt;"",SUMPRODUCT(($B$2:$B326&lt;&gt;"")*1),"")</f>
        <v/>
      </c>
    </row>
    <row r="327" spans="1:7">
      <c r="A327" s="23" t="str">
        <f>IF(الإدخالات!C327="","",الإدخالات!B327)</f>
        <v/>
      </c>
      <c r="B327" t="str">
        <f>IF(الإدخالات!C327="","","شراء")</f>
        <v/>
      </c>
      <c r="C327" t="str">
        <f>IF(الإدخالات!C327="","",IF(الإدخالات!E327="","-",الإدخالات!E327))</f>
        <v/>
      </c>
      <c r="D327" t="str">
        <f>IF(الإدخالات!C327="","",الإدخالات!C327)</f>
        <v/>
      </c>
      <c r="E327" s="24" t="str">
        <f>IF(الإدخالات!C327="","",الإدخالات!D327)</f>
        <v/>
      </c>
      <c r="F327" t="str">
        <f>IF(الإدخالات!C327="","",IF(الإدخالات!G327="","",الإدخالات!G327))</f>
        <v/>
      </c>
      <c r="G327" t="str">
        <f>IF($B327&lt;&gt;"",SUMPRODUCT(($B$2:$B327&lt;&gt;"")*1),"")</f>
        <v/>
      </c>
    </row>
    <row r="328" spans="1:7">
      <c r="A328" s="23" t="str">
        <f>IF(الإدخالات!C328="","",الإدخالات!B328)</f>
        <v/>
      </c>
      <c r="B328" t="str">
        <f>IF(الإدخالات!C328="","","شراء")</f>
        <v/>
      </c>
      <c r="C328" t="str">
        <f>IF(الإدخالات!C328="","",IF(الإدخالات!E328="","-",الإدخالات!E328))</f>
        <v/>
      </c>
      <c r="D328" t="str">
        <f>IF(الإدخالات!C328="","",الإدخالات!C328)</f>
        <v/>
      </c>
      <c r="E328" s="24" t="str">
        <f>IF(الإدخالات!C328="","",الإدخالات!D328)</f>
        <v/>
      </c>
      <c r="F328" t="str">
        <f>IF(الإدخالات!C328="","",IF(الإدخالات!G328="","",الإدخالات!G328))</f>
        <v/>
      </c>
      <c r="G328" t="str">
        <f>IF($B328&lt;&gt;"",SUMPRODUCT(($B$2:$B328&lt;&gt;"")*1),"")</f>
        <v/>
      </c>
    </row>
    <row r="329" spans="1:7">
      <c r="A329" s="23" t="str">
        <f>IF(الإدخالات!C329="","",الإدخالات!B329)</f>
        <v/>
      </c>
      <c r="B329" t="str">
        <f>IF(الإدخالات!C329="","","شراء")</f>
        <v/>
      </c>
      <c r="C329" t="str">
        <f>IF(الإدخالات!C329="","",IF(الإدخالات!E329="","-",الإدخالات!E329))</f>
        <v/>
      </c>
      <c r="D329" t="str">
        <f>IF(الإدخالات!C329="","",الإدخالات!C329)</f>
        <v/>
      </c>
      <c r="E329" s="24" t="str">
        <f>IF(الإدخالات!C329="","",الإدخالات!D329)</f>
        <v/>
      </c>
      <c r="F329" t="str">
        <f>IF(الإدخالات!C329="","",IF(الإدخالات!G329="","",الإدخالات!G329))</f>
        <v/>
      </c>
      <c r="G329" t="str">
        <f>IF($B329&lt;&gt;"",SUMPRODUCT(($B$2:$B329&lt;&gt;"")*1),"")</f>
        <v/>
      </c>
    </row>
    <row r="330" spans="1:7">
      <c r="A330" s="23" t="str">
        <f>IF(الإدخالات!C330="","",الإدخالات!B330)</f>
        <v/>
      </c>
      <c r="B330" t="str">
        <f>IF(الإدخالات!C330="","","شراء")</f>
        <v/>
      </c>
      <c r="C330" t="str">
        <f>IF(الإدخالات!C330="","",IF(الإدخالات!E330="","-",الإدخالات!E330))</f>
        <v/>
      </c>
      <c r="D330" t="str">
        <f>IF(الإدخالات!C330="","",الإدخالات!C330)</f>
        <v/>
      </c>
      <c r="E330" s="24" t="str">
        <f>IF(الإدخالات!C330="","",الإدخالات!D330)</f>
        <v/>
      </c>
      <c r="F330" t="str">
        <f>IF(الإدخالات!C330="","",IF(الإدخالات!G330="","",الإدخالات!G330))</f>
        <v/>
      </c>
      <c r="G330" t="str">
        <f>IF($B330&lt;&gt;"",SUMPRODUCT(($B$2:$B330&lt;&gt;"")*1),"")</f>
        <v/>
      </c>
    </row>
    <row r="331" spans="1:7">
      <c r="A331" s="23" t="str">
        <f>IF(الإدخالات!C331="","",الإدخالات!B331)</f>
        <v/>
      </c>
      <c r="B331" t="str">
        <f>IF(الإدخالات!C331="","","شراء")</f>
        <v/>
      </c>
      <c r="C331" t="str">
        <f>IF(الإدخالات!C331="","",IF(الإدخالات!E331="","-",الإدخالات!E331))</f>
        <v/>
      </c>
      <c r="D331" t="str">
        <f>IF(الإدخالات!C331="","",الإدخالات!C331)</f>
        <v/>
      </c>
      <c r="E331" s="24" t="str">
        <f>IF(الإدخالات!C331="","",الإدخالات!D331)</f>
        <v/>
      </c>
      <c r="F331" t="str">
        <f>IF(الإدخالات!C331="","",IF(الإدخالات!G331="","",الإدخالات!G331))</f>
        <v/>
      </c>
      <c r="G331" t="str">
        <f>IF($B331&lt;&gt;"",SUMPRODUCT(($B$2:$B331&lt;&gt;"")*1),"")</f>
        <v/>
      </c>
    </row>
    <row r="332" spans="1:7">
      <c r="A332" s="23" t="str">
        <f>IF(الإدخالات!C332="","",الإدخالات!B332)</f>
        <v/>
      </c>
      <c r="B332" t="str">
        <f>IF(الإدخالات!C332="","","شراء")</f>
        <v/>
      </c>
      <c r="C332" t="str">
        <f>IF(الإدخالات!C332="","",IF(الإدخالات!E332="","-",الإدخالات!E332))</f>
        <v/>
      </c>
      <c r="D332" t="str">
        <f>IF(الإدخالات!C332="","",الإدخالات!C332)</f>
        <v/>
      </c>
      <c r="E332" s="24" t="str">
        <f>IF(الإدخالات!C332="","",الإدخالات!D332)</f>
        <v/>
      </c>
      <c r="F332" t="str">
        <f>IF(الإدخالات!C332="","",IF(الإدخالات!G332="","",الإدخالات!G332))</f>
        <v/>
      </c>
      <c r="G332" t="str">
        <f>IF($B332&lt;&gt;"",SUMPRODUCT(($B$2:$B332&lt;&gt;"")*1),"")</f>
        <v/>
      </c>
    </row>
    <row r="333" spans="1:7">
      <c r="A333" s="23" t="str">
        <f>IF(الإدخالات!C333="","",الإدخالات!B333)</f>
        <v/>
      </c>
      <c r="B333" t="str">
        <f>IF(الإدخالات!C333="","","شراء")</f>
        <v/>
      </c>
      <c r="C333" t="str">
        <f>IF(الإدخالات!C333="","",IF(الإدخالات!E333="","-",الإدخالات!E333))</f>
        <v/>
      </c>
      <c r="D333" t="str">
        <f>IF(الإدخالات!C333="","",الإدخالات!C333)</f>
        <v/>
      </c>
      <c r="E333" s="24" t="str">
        <f>IF(الإدخالات!C333="","",الإدخالات!D333)</f>
        <v/>
      </c>
      <c r="F333" t="str">
        <f>IF(الإدخالات!C333="","",IF(الإدخالات!G333="","",الإدخالات!G333))</f>
        <v/>
      </c>
      <c r="G333" t="str">
        <f>IF($B333&lt;&gt;"",SUMPRODUCT(($B$2:$B333&lt;&gt;"")*1),"")</f>
        <v/>
      </c>
    </row>
    <row r="334" spans="1:7">
      <c r="A334" s="23" t="str">
        <f>IF(الإدخالات!C334="","",الإدخالات!B334)</f>
        <v/>
      </c>
      <c r="B334" t="str">
        <f>IF(الإدخالات!C334="","","شراء")</f>
        <v/>
      </c>
      <c r="C334" t="str">
        <f>IF(الإدخالات!C334="","",IF(الإدخالات!E334="","-",الإدخالات!E334))</f>
        <v/>
      </c>
      <c r="D334" t="str">
        <f>IF(الإدخالات!C334="","",الإدخالات!C334)</f>
        <v/>
      </c>
      <c r="E334" s="24" t="str">
        <f>IF(الإدخالات!C334="","",الإدخالات!D334)</f>
        <v/>
      </c>
      <c r="F334" t="str">
        <f>IF(الإدخالات!C334="","",IF(الإدخالات!G334="","",الإدخالات!G334))</f>
        <v/>
      </c>
      <c r="G334" t="str">
        <f>IF($B334&lt;&gt;"",SUMPRODUCT(($B$2:$B334&lt;&gt;"")*1),"")</f>
        <v/>
      </c>
    </row>
    <row r="335" spans="1:7">
      <c r="A335" s="23" t="str">
        <f>IF(الإدخالات!C335="","",الإدخالات!B335)</f>
        <v/>
      </c>
      <c r="B335" t="str">
        <f>IF(الإدخالات!C335="","","شراء")</f>
        <v/>
      </c>
      <c r="C335" t="str">
        <f>IF(الإدخالات!C335="","",IF(الإدخالات!E335="","-",الإدخالات!E335))</f>
        <v/>
      </c>
      <c r="D335" t="str">
        <f>IF(الإدخالات!C335="","",الإدخالات!C335)</f>
        <v/>
      </c>
      <c r="E335" s="24" t="str">
        <f>IF(الإدخالات!C335="","",الإدخالات!D335)</f>
        <v/>
      </c>
      <c r="F335" t="str">
        <f>IF(الإدخالات!C335="","",IF(الإدخالات!G335="","",الإدخالات!G335))</f>
        <v/>
      </c>
      <c r="G335" t="str">
        <f>IF($B335&lt;&gt;"",SUMPRODUCT(($B$2:$B335&lt;&gt;"")*1),"")</f>
        <v/>
      </c>
    </row>
    <row r="336" spans="1:7">
      <c r="A336" s="23" t="str">
        <f>IF(الإدخالات!C336="","",الإدخالات!B336)</f>
        <v/>
      </c>
      <c r="B336" t="str">
        <f>IF(الإدخالات!C336="","","شراء")</f>
        <v/>
      </c>
      <c r="C336" t="str">
        <f>IF(الإدخالات!C336="","",IF(الإدخالات!E336="","-",الإدخالات!E336))</f>
        <v/>
      </c>
      <c r="D336" t="str">
        <f>IF(الإدخالات!C336="","",الإدخالات!C336)</f>
        <v/>
      </c>
      <c r="E336" s="24" t="str">
        <f>IF(الإدخالات!C336="","",الإدخالات!D336)</f>
        <v/>
      </c>
      <c r="F336" t="str">
        <f>IF(الإدخالات!C336="","",IF(الإدخالات!G336="","",الإدخالات!G336))</f>
        <v/>
      </c>
      <c r="G336" t="str">
        <f>IF($B336&lt;&gt;"",SUMPRODUCT(($B$2:$B336&lt;&gt;"")*1),"")</f>
        <v/>
      </c>
    </row>
    <row r="337" spans="1:7">
      <c r="A337" s="23" t="str">
        <f>IF(الإدخالات!C337="","",الإدخالات!B337)</f>
        <v/>
      </c>
      <c r="B337" t="str">
        <f>IF(الإدخالات!C337="","","شراء")</f>
        <v/>
      </c>
      <c r="C337" t="str">
        <f>IF(الإدخالات!C337="","",IF(الإدخالات!E337="","-",الإدخالات!E337))</f>
        <v/>
      </c>
      <c r="D337" t="str">
        <f>IF(الإدخالات!C337="","",الإدخالات!C337)</f>
        <v/>
      </c>
      <c r="E337" s="24" t="str">
        <f>IF(الإدخالات!C337="","",الإدخالات!D337)</f>
        <v/>
      </c>
      <c r="F337" t="str">
        <f>IF(الإدخالات!C337="","",IF(الإدخالات!G337="","",الإدخالات!G337))</f>
        <v/>
      </c>
      <c r="G337" t="str">
        <f>IF($B337&lt;&gt;"",SUMPRODUCT(($B$2:$B337&lt;&gt;"")*1),"")</f>
        <v/>
      </c>
    </row>
    <row r="338" spans="1:7">
      <c r="A338" s="23" t="str">
        <f>IF(الإدخالات!C338="","",الإدخالات!B338)</f>
        <v/>
      </c>
      <c r="B338" t="str">
        <f>IF(الإدخالات!C338="","","شراء")</f>
        <v/>
      </c>
      <c r="C338" t="str">
        <f>IF(الإدخالات!C338="","",IF(الإدخالات!E338="","-",الإدخالات!E338))</f>
        <v/>
      </c>
      <c r="D338" t="str">
        <f>IF(الإدخالات!C338="","",الإدخالات!C338)</f>
        <v/>
      </c>
      <c r="E338" s="24" t="str">
        <f>IF(الإدخالات!C338="","",الإدخالات!D338)</f>
        <v/>
      </c>
      <c r="F338" t="str">
        <f>IF(الإدخالات!C338="","",IF(الإدخالات!G338="","",الإدخالات!G338))</f>
        <v/>
      </c>
      <c r="G338" t="str">
        <f>IF($B338&lt;&gt;"",SUMPRODUCT(($B$2:$B338&lt;&gt;"")*1),"")</f>
        <v/>
      </c>
    </row>
    <row r="339" spans="1:7">
      <c r="A339" s="23" t="str">
        <f>IF(الإدخالات!C339="","",الإدخالات!B339)</f>
        <v/>
      </c>
      <c r="B339" t="str">
        <f>IF(الإدخالات!C339="","","شراء")</f>
        <v/>
      </c>
      <c r="C339" t="str">
        <f>IF(الإدخالات!C339="","",IF(الإدخالات!E339="","-",الإدخالات!E339))</f>
        <v/>
      </c>
      <c r="D339" t="str">
        <f>IF(الإدخالات!C339="","",الإدخالات!C339)</f>
        <v/>
      </c>
      <c r="E339" s="24" t="str">
        <f>IF(الإدخالات!C339="","",الإدخالات!D339)</f>
        <v/>
      </c>
      <c r="F339" t="str">
        <f>IF(الإدخالات!C339="","",IF(الإدخالات!G339="","",الإدخالات!G339))</f>
        <v/>
      </c>
      <c r="G339" t="str">
        <f>IF($B339&lt;&gt;"",SUMPRODUCT(($B$2:$B339&lt;&gt;"")*1),"")</f>
        <v/>
      </c>
    </row>
    <row r="340" spans="1:7">
      <c r="A340" s="23" t="str">
        <f>IF(الإدخالات!C340="","",الإدخالات!B340)</f>
        <v/>
      </c>
      <c r="B340" t="str">
        <f>IF(الإدخالات!C340="","","شراء")</f>
        <v/>
      </c>
      <c r="C340" t="str">
        <f>IF(الإدخالات!C340="","",IF(الإدخالات!E340="","-",الإدخالات!E340))</f>
        <v/>
      </c>
      <c r="D340" t="str">
        <f>IF(الإدخالات!C340="","",الإدخالات!C340)</f>
        <v/>
      </c>
      <c r="E340" s="24" t="str">
        <f>IF(الإدخالات!C340="","",الإدخالات!D340)</f>
        <v/>
      </c>
      <c r="F340" t="str">
        <f>IF(الإدخالات!C340="","",IF(الإدخالات!G340="","",الإدخالات!G340))</f>
        <v/>
      </c>
      <c r="G340" t="str">
        <f>IF($B340&lt;&gt;"",SUMPRODUCT(($B$2:$B340&lt;&gt;"")*1),"")</f>
        <v/>
      </c>
    </row>
    <row r="341" spans="1:7">
      <c r="A341" s="23" t="str">
        <f>IF(الإدخالات!C341="","",الإدخالات!B341)</f>
        <v/>
      </c>
      <c r="B341" t="str">
        <f>IF(الإدخالات!C341="","","شراء")</f>
        <v/>
      </c>
      <c r="C341" t="str">
        <f>IF(الإدخالات!C341="","",IF(الإدخالات!E341="","-",الإدخالات!E341))</f>
        <v/>
      </c>
      <c r="D341" t="str">
        <f>IF(الإدخالات!C341="","",الإدخالات!C341)</f>
        <v/>
      </c>
      <c r="E341" s="24" t="str">
        <f>IF(الإدخالات!C341="","",الإدخالات!D341)</f>
        <v/>
      </c>
      <c r="F341" t="str">
        <f>IF(الإدخالات!C341="","",IF(الإدخالات!G341="","",الإدخالات!G341))</f>
        <v/>
      </c>
      <c r="G341" t="str">
        <f>IF($B341&lt;&gt;"",SUMPRODUCT(($B$2:$B341&lt;&gt;"")*1),"")</f>
        <v/>
      </c>
    </row>
    <row r="342" spans="1:7">
      <c r="A342" s="23" t="str">
        <f>IF(الإدخالات!C342="","",الإدخالات!B342)</f>
        <v/>
      </c>
      <c r="B342" t="str">
        <f>IF(الإدخالات!C342="","","شراء")</f>
        <v/>
      </c>
      <c r="C342" t="str">
        <f>IF(الإدخالات!C342="","",IF(الإدخالات!E342="","-",الإدخالات!E342))</f>
        <v/>
      </c>
      <c r="D342" t="str">
        <f>IF(الإدخالات!C342="","",الإدخالات!C342)</f>
        <v/>
      </c>
      <c r="E342" s="24" t="str">
        <f>IF(الإدخالات!C342="","",الإدخالات!D342)</f>
        <v/>
      </c>
      <c r="F342" t="str">
        <f>IF(الإدخالات!C342="","",IF(الإدخالات!G342="","",الإدخالات!G342))</f>
        <v/>
      </c>
      <c r="G342" t="str">
        <f>IF($B342&lt;&gt;"",SUMPRODUCT(($B$2:$B342&lt;&gt;"")*1),"")</f>
        <v/>
      </c>
    </row>
    <row r="343" spans="1:7">
      <c r="A343" s="23" t="str">
        <f>IF(الإدخالات!C343="","",الإدخالات!B343)</f>
        <v/>
      </c>
      <c r="B343" t="str">
        <f>IF(الإدخالات!C343="","","شراء")</f>
        <v/>
      </c>
      <c r="C343" t="str">
        <f>IF(الإدخالات!C343="","",IF(الإدخالات!E343="","-",الإدخالات!E343))</f>
        <v/>
      </c>
      <c r="D343" t="str">
        <f>IF(الإدخالات!C343="","",الإدخالات!C343)</f>
        <v/>
      </c>
      <c r="E343" s="24" t="str">
        <f>IF(الإدخالات!C343="","",الإدخالات!D343)</f>
        <v/>
      </c>
      <c r="F343" t="str">
        <f>IF(الإدخالات!C343="","",IF(الإدخالات!G343="","",الإدخالات!G343))</f>
        <v/>
      </c>
      <c r="G343" t="str">
        <f>IF($B343&lt;&gt;"",SUMPRODUCT(($B$2:$B343&lt;&gt;"")*1),"")</f>
        <v/>
      </c>
    </row>
    <row r="344" spans="1:7">
      <c r="A344" s="23" t="str">
        <f>IF(الإدخالات!C344="","",الإدخالات!B344)</f>
        <v/>
      </c>
      <c r="B344" t="str">
        <f>IF(الإدخالات!C344="","","شراء")</f>
        <v/>
      </c>
      <c r="C344" t="str">
        <f>IF(الإدخالات!C344="","",IF(الإدخالات!E344="","-",الإدخالات!E344))</f>
        <v/>
      </c>
      <c r="D344" t="str">
        <f>IF(الإدخالات!C344="","",الإدخالات!C344)</f>
        <v/>
      </c>
      <c r="E344" s="24" t="str">
        <f>IF(الإدخالات!C344="","",الإدخالات!D344)</f>
        <v/>
      </c>
      <c r="F344" t="str">
        <f>IF(الإدخالات!C344="","",IF(الإدخالات!G344="","",الإدخالات!G344))</f>
        <v/>
      </c>
      <c r="G344" t="str">
        <f>IF($B344&lt;&gt;"",SUMPRODUCT(($B$2:$B344&lt;&gt;"")*1),"")</f>
        <v/>
      </c>
    </row>
    <row r="345" spans="1:7">
      <c r="A345" s="23" t="str">
        <f>IF(الإدخالات!C345="","",الإدخالات!B345)</f>
        <v/>
      </c>
      <c r="B345" t="str">
        <f>IF(الإدخالات!C345="","","شراء")</f>
        <v/>
      </c>
      <c r="C345" t="str">
        <f>IF(الإدخالات!C345="","",IF(الإدخالات!E345="","-",الإدخالات!E345))</f>
        <v/>
      </c>
      <c r="D345" t="str">
        <f>IF(الإدخالات!C345="","",الإدخالات!C345)</f>
        <v/>
      </c>
      <c r="E345" s="24" t="str">
        <f>IF(الإدخالات!C345="","",الإدخالات!D345)</f>
        <v/>
      </c>
      <c r="F345" t="str">
        <f>IF(الإدخالات!C345="","",IF(الإدخالات!G345="","",الإدخالات!G345))</f>
        <v/>
      </c>
      <c r="G345" t="str">
        <f>IF($B345&lt;&gt;"",SUMPRODUCT(($B$2:$B345&lt;&gt;"")*1),"")</f>
        <v/>
      </c>
    </row>
    <row r="346" spans="1:7">
      <c r="A346" s="23" t="str">
        <f>IF(الإدخالات!C346="","",الإدخالات!B346)</f>
        <v/>
      </c>
      <c r="B346" t="str">
        <f>IF(الإدخالات!C346="","","شراء")</f>
        <v/>
      </c>
      <c r="C346" t="str">
        <f>IF(الإدخالات!C346="","",IF(الإدخالات!E346="","-",الإدخالات!E346))</f>
        <v/>
      </c>
      <c r="D346" t="str">
        <f>IF(الإدخالات!C346="","",الإدخالات!C346)</f>
        <v/>
      </c>
      <c r="E346" s="24" t="str">
        <f>IF(الإدخالات!C346="","",الإدخالات!D346)</f>
        <v/>
      </c>
      <c r="F346" t="str">
        <f>IF(الإدخالات!C346="","",IF(الإدخالات!G346="","",الإدخالات!G346))</f>
        <v/>
      </c>
      <c r="G346" t="str">
        <f>IF($B346&lt;&gt;"",SUMPRODUCT(($B$2:$B346&lt;&gt;"")*1),"")</f>
        <v/>
      </c>
    </row>
    <row r="347" spans="1:7">
      <c r="A347" s="23" t="str">
        <f>IF(الإدخالات!C347="","",الإدخالات!B347)</f>
        <v/>
      </c>
      <c r="B347" t="str">
        <f>IF(الإدخالات!C347="","","شراء")</f>
        <v/>
      </c>
      <c r="C347" t="str">
        <f>IF(الإدخالات!C347="","",IF(الإدخالات!E347="","-",الإدخالات!E347))</f>
        <v/>
      </c>
      <c r="D347" t="str">
        <f>IF(الإدخالات!C347="","",الإدخالات!C347)</f>
        <v/>
      </c>
      <c r="E347" s="24" t="str">
        <f>IF(الإدخالات!C347="","",الإدخالات!D347)</f>
        <v/>
      </c>
      <c r="F347" t="str">
        <f>IF(الإدخالات!C347="","",IF(الإدخالات!G347="","",الإدخالات!G347))</f>
        <v/>
      </c>
      <c r="G347" t="str">
        <f>IF($B347&lt;&gt;"",SUMPRODUCT(($B$2:$B347&lt;&gt;"")*1),"")</f>
        <v/>
      </c>
    </row>
    <row r="348" spans="1:7">
      <c r="A348" s="23" t="str">
        <f>IF(الإدخالات!C348="","",الإدخالات!B348)</f>
        <v/>
      </c>
      <c r="B348" t="str">
        <f>IF(الإدخالات!C348="","","شراء")</f>
        <v/>
      </c>
      <c r="C348" t="str">
        <f>IF(الإدخالات!C348="","",IF(الإدخالات!E348="","-",الإدخالات!E348))</f>
        <v/>
      </c>
      <c r="D348" t="str">
        <f>IF(الإدخالات!C348="","",الإدخالات!C348)</f>
        <v/>
      </c>
      <c r="E348" s="24" t="str">
        <f>IF(الإدخالات!C348="","",الإدخالات!D348)</f>
        <v/>
      </c>
      <c r="F348" t="str">
        <f>IF(الإدخالات!C348="","",IF(الإدخالات!G348="","",الإدخالات!G348))</f>
        <v/>
      </c>
      <c r="G348" t="str">
        <f>IF($B348&lt;&gt;"",SUMPRODUCT(($B$2:$B348&lt;&gt;"")*1),"")</f>
        <v/>
      </c>
    </row>
    <row r="349" spans="1:7">
      <c r="A349" s="23" t="str">
        <f>IF(الإدخالات!C349="","",الإدخالات!B349)</f>
        <v/>
      </c>
      <c r="B349" t="str">
        <f>IF(الإدخالات!C349="","","شراء")</f>
        <v/>
      </c>
      <c r="C349" t="str">
        <f>IF(الإدخالات!C349="","",IF(الإدخالات!E349="","-",الإدخالات!E349))</f>
        <v/>
      </c>
      <c r="D349" t="str">
        <f>IF(الإدخالات!C349="","",الإدخالات!C349)</f>
        <v/>
      </c>
      <c r="E349" s="24" t="str">
        <f>IF(الإدخالات!C349="","",الإدخالات!D349)</f>
        <v/>
      </c>
      <c r="F349" t="str">
        <f>IF(الإدخالات!C349="","",IF(الإدخالات!G349="","",الإدخالات!G349))</f>
        <v/>
      </c>
      <c r="G349" t="str">
        <f>IF($B349&lt;&gt;"",SUMPRODUCT(($B$2:$B349&lt;&gt;"")*1),"")</f>
        <v/>
      </c>
    </row>
    <row r="350" spans="1:7">
      <c r="A350" s="23" t="str">
        <f>IF(الإدخالات!C350="","",الإدخالات!B350)</f>
        <v/>
      </c>
      <c r="B350" t="str">
        <f>IF(الإدخالات!C350="","","شراء")</f>
        <v/>
      </c>
      <c r="C350" t="str">
        <f>IF(الإدخالات!C350="","",IF(الإدخالات!E350="","-",الإدخالات!E350))</f>
        <v/>
      </c>
      <c r="D350" t="str">
        <f>IF(الإدخالات!C350="","",الإدخالات!C350)</f>
        <v/>
      </c>
      <c r="E350" s="24" t="str">
        <f>IF(الإدخالات!C350="","",الإدخالات!D350)</f>
        <v/>
      </c>
      <c r="F350" t="str">
        <f>IF(الإدخالات!C350="","",IF(الإدخالات!G350="","",الإدخالات!G350))</f>
        <v/>
      </c>
      <c r="G350" t="str">
        <f>IF($B350&lt;&gt;"",SUMPRODUCT(($B$2:$B350&lt;&gt;"")*1),"")</f>
        <v/>
      </c>
    </row>
    <row r="351" spans="1:7">
      <c r="A351" s="23" t="str">
        <f>IF(الإدخالات!C351="","",الإدخالات!B351)</f>
        <v/>
      </c>
      <c r="B351" t="str">
        <f>IF(الإدخالات!C351="","","شراء")</f>
        <v/>
      </c>
      <c r="C351" t="str">
        <f>IF(الإدخالات!C351="","",IF(الإدخالات!E351="","-",الإدخالات!E351))</f>
        <v/>
      </c>
      <c r="D351" t="str">
        <f>IF(الإدخالات!C351="","",الإدخالات!C351)</f>
        <v/>
      </c>
      <c r="E351" s="24" t="str">
        <f>IF(الإدخالات!C351="","",الإدخالات!D351)</f>
        <v/>
      </c>
      <c r="F351" t="str">
        <f>IF(الإدخالات!C351="","",IF(الإدخالات!G351="","",الإدخالات!G351))</f>
        <v/>
      </c>
      <c r="G351" t="str">
        <f>IF($B351&lt;&gt;"",SUMPRODUCT(($B$2:$B351&lt;&gt;"")*1),"")</f>
        <v/>
      </c>
    </row>
    <row r="352" spans="1:7">
      <c r="A352" s="23" t="str">
        <f>IF(الإدخالات!C352="","",الإدخالات!B352)</f>
        <v/>
      </c>
      <c r="B352" t="str">
        <f>IF(الإدخالات!C352="","","شراء")</f>
        <v/>
      </c>
      <c r="C352" t="str">
        <f>IF(الإدخالات!C352="","",IF(الإدخالات!E352="","-",الإدخالات!E352))</f>
        <v/>
      </c>
      <c r="D352" t="str">
        <f>IF(الإدخالات!C352="","",الإدخالات!C352)</f>
        <v/>
      </c>
      <c r="E352" s="24" t="str">
        <f>IF(الإدخالات!C352="","",الإدخالات!D352)</f>
        <v/>
      </c>
      <c r="F352" t="str">
        <f>IF(الإدخالات!C352="","",IF(الإدخالات!G352="","",الإدخالات!G352))</f>
        <v/>
      </c>
      <c r="G352" t="str">
        <f>IF($B352&lt;&gt;"",SUMPRODUCT(($B$2:$B352&lt;&gt;"")*1),"")</f>
        <v/>
      </c>
    </row>
    <row r="353" spans="1:7">
      <c r="A353" s="23" t="str">
        <f>IF(الإدخالات!C353="","",الإدخالات!B353)</f>
        <v/>
      </c>
      <c r="B353" t="str">
        <f>IF(الإدخالات!C353="","","شراء")</f>
        <v/>
      </c>
      <c r="C353" t="str">
        <f>IF(الإدخالات!C353="","",IF(الإدخالات!E353="","-",الإدخالات!E353))</f>
        <v/>
      </c>
      <c r="D353" t="str">
        <f>IF(الإدخالات!C353="","",الإدخالات!C353)</f>
        <v/>
      </c>
      <c r="E353" s="24" t="str">
        <f>IF(الإدخالات!C353="","",الإدخالات!D353)</f>
        <v/>
      </c>
      <c r="F353" t="str">
        <f>IF(الإدخالات!C353="","",IF(الإدخالات!G353="","",الإدخالات!G353))</f>
        <v/>
      </c>
      <c r="G353" t="str">
        <f>IF($B353&lt;&gt;"",SUMPRODUCT(($B$2:$B353&lt;&gt;"")*1),"")</f>
        <v/>
      </c>
    </row>
    <row r="354" spans="1:7">
      <c r="A354" s="23" t="str">
        <f>IF(الإدخالات!C354="","",الإدخالات!B354)</f>
        <v/>
      </c>
      <c r="B354" t="str">
        <f>IF(الإدخالات!C354="","","شراء")</f>
        <v/>
      </c>
      <c r="C354" t="str">
        <f>IF(الإدخالات!C354="","",IF(الإدخالات!E354="","-",الإدخالات!E354))</f>
        <v/>
      </c>
      <c r="D354" t="str">
        <f>IF(الإدخالات!C354="","",الإدخالات!C354)</f>
        <v/>
      </c>
      <c r="E354" s="24" t="str">
        <f>IF(الإدخالات!C354="","",الإدخالات!D354)</f>
        <v/>
      </c>
      <c r="F354" t="str">
        <f>IF(الإدخالات!C354="","",IF(الإدخالات!G354="","",الإدخالات!G354))</f>
        <v/>
      </c>
      <c r="G354" t="str">
        <f>IF($B354&lt;&gt;"",SUMPRODUCT(($B$2:$B354&lt;&gt;"")*1),"")</f>
        <v/>
      </c>
    </row>
    <row r="355" spans="1:7">
      <c r="A355" s="23" t="str">
        <f>IF(الإدخالات!C355="","",الإدخالات!B355)</f>
        <v/>
      </c>
      <c r="B355" t="str">
        <f>IF(الإدخالات!C355="","","شراء")</f>
        <v/>
      </c>
      <c r="C355" t="str">
        <f>IF(الإدخالات!C355="","",IF(الإدخالات!E355="","-",الإدخالات!E355))</f>
        <v/>
      </c>
      <c r="D355" t="str">
        <f>IF(الإدخالات!C355="","",الإدخالات!C355)</f>
        <v/>
      </c>
      <c r="E355" s="24" t="str">
        <f>IF(الإدخالات!C355="","",الإدخالات!D355)</f>
        <v/>
      </c>
      <c r="F355" t="str">
        <f>IF(الإدخالات!C355="","",IF(الإدخالات!G355="","",الإدخالات!G355))</f>
        <v/>
      </c>
      <c r="G355" t="str">
        <f>IF($B355&lt;&gt;"",SUMPRODUCT(($B$2:$B355&lt;&gt;"")*1),"")</f>
        <v/>
      </c>
    </row>
    <row r="356" spans="1:7">
      <c r="A356" s="23" t="str">
        <f>IF(الإدخالات!C356="","",الإدخالات!B356)</f>
        <v/>
      </c>
      <c r="B356" t="str">
        <f>IF(الإدخالات!C356="","","شراء")</f>
        <v/>
      </c>
      <c r="C356" t="str">
        <f>IF(الإدخالات!C356="","",IF(الإدخالات!E356="","-",الإدخالات!E356))</f>
        <v/>
      </c>
      <c r="D356" t="str">
        <f>IF(الإدخالات!C356="","",الإدخالات!C356)</f>
        <v/>
      </c>
      <c r="E356" s="24" t="str">
        <f>IF(الإدخالات!C356="","",الإدخالات!D356)</f>
        <v/>
      </c>
      <c r="F356" t="str">
        <f>IF(الإدخالات!C356="","",IF(الإدخالات!G356="","",الإدخالات!G356))</f>
        <v/>
      </c>
      <c r="G356" t="str">
        <f>IF($B356&lt;&gt;"",SUMPRODUCT(($B$2:$B356&lt;&gt;"")*1),"")</f>
        <v/>
      </c>
    </row>
    <row r="357" spans="1:7">
      <c r="A357" s="23" t="str">
        <f>IF(الإدخالات!C357="","",الإدخالات!B357)</f>
        <v/>
      </c>
      <c r="B357" t="str">
        <f>IF(الإدخالات!C357="","","شراء")</f>
        <v/>
      </c>
      <c r="C357" t="str">
        <f>IF(الإدخالات!C357="","",IF(الإدخالات!E357="","-",الإدخالات!E357))</f>
        <v/>
      </c>
      <c r="D357" t="str">
        <f>IF(الإدخالات!C357="","",الإدخالات!C357)</f>
        <v/>
      </c>
      <c r="E357" s="24" t="str">
        <f>IF(الإدخالات!C357="","",الإدخالات!D357)</f>
        <v/>
      </c>
      <c r="F357" t="str">
        <f>IF(الإدخالات!C357="","",IF(الإدخالات!G357="","",الإدخالات!G357))</f>
        <v/>
      </c>
      <c r="G357" t="str">
        <f>IF($B357&lt;&gt;"",SUMPRODUCT(($B$2:$B357&lt;&gt;"")*1),"")</f>
        <v/>
      </c>
    </row>
    <row r="358" spans="1:7">
      <c r="A358" s="23" t="str">
        <f>IF(الإدخالات!C358="","",الإدخالات!B358)</f>
        <v/>
      </c>
      <c r="B358" t="str">
        <f>IF(الإدخالات!C358="","","شراء")</f>
        <v/>
      </c>
      <c r="C358" t="str">
        <f>IF(الإدخالات!C358="","",IF(الإدخالات!E358="","-",الإدخالات!E358))</f>
        <v/>
      </c>
      <c r="D358" t="str">
        <f>IF(الإدخالات!C358="","",الإدخالات!C358)</f>
        <v/>
      </c>
      <c r="E358" s="24" t="str">
        <f>IF(الإدخالات!C358="","",الإدخالات!D358)</f>
        <v/>
      </c>
      <c r="F358" t="str">
        <f>IF(الإدخالات!C358="","",IF(الإدخالات!G358="","",الإدخالات!G358))</f>
        <v/>
      </c>
      <c r="G358" t="str">
        <f>IF($B358&lt;&gt;"",SUMPRODUCT(($B$2:$B358&lt;&gt;"")*1),"")</f>
        <v/>
      </c>
    </row>
    <row r="359" spans="1:7">
      <c r="A359" s="23" t="str">
        <f>IF(الإدخالات!C359="","",الإدخالات!B359)</f>
        <v/>
      </c>
      <c r="B359" t="str">
        <f>IF(الإدخالات!C359="","","شراء")</f>
        <v/>
      </c>
      <c r="C359" t="str">
        <f>IF(الإدخالات!C359="","",IF(الإدخالات!E359="","-",الإدخالات!E359))</f>
        <v/>
      </c>
      <c r="D359" t="str">
        <f>IF(الإدخالات!C359="","",الإدخالات!C359)</f>
        <v/>
      </c>
      <c r="E359" s="24" t="str">
        <f>IF(الإدخالات!C359="","",الإدخالات!D359)</f>
        <v/>
      </c>
      <c r="F359" t="str">
        <f>IF(الإدخالات!C359="","",IF(الإدخالات!G359="","",الإدخالات!G359))</f>
        <v/>
      </c>
      <c r="G359" t="str">
        <f>IF($B359&lt;&gt;"",SUMPRODUCT(($B$2:$B359&lt;&gt;"")*1),"")</f>
        <v/>
      </c>
    </row>
    <row r="360" spans="1:7">
      <c r="A360" s="23" t="str">
        <f>IF(الإدخالات!C360="","",الإدخالات!B360)</f>
        <v/>
      </c>
      <c r="B360" t="str">
        <f>IF(الإدخالات!C360="","","شراء")</f>
        <v/>
      </c>
      <c r="C360" t="str">
        <f>IF(الإدخالات!C360="","",IF(الإدخالات!E360="","-",الإدخالات!E360))</f>
        <v/>
      </c>
      <c r="D360" t="str">
        <f>IF(الإدخالات!C360="","",الإدخالات!C360)</f>
        <v/>
      </c>
      <c r="E360" s="24" t="str">
        <f>IF(الإدخالات!C360="","",الإدخالات!D360)</f>
        <v/>
      </c>
      <c r="F360" t="str">
        <f>IF(الإدخالات!C360="","",IF(الإدخالات!G360="","",الإدخالات!G360))</f>
        <v/>
      </c>
      <c r="G360" t="str">
        <f>IF($B360&lt;&gt;"",SUMPRODUCT(($B$2:$B360&lt;&gt;"")*1),"")</f>
        <v/>
      </c>
    </row>
    <row r="361" spans="1:7">
      <c r="A361" s="23" t="str">
        <f>IF(الإدخالات!C361="","",الإدخالات!B361)</f>
        <v/>
      </c>
      <c r="B361" t="str">
        <f>IF(الإدخالات!C361="","","شراء")</f>
        <v/>
      </c>
      <c r="C361" t="str">
        <f>IF(الإدخالات!C361="","",IF(الإدخالات!E361="","-",الإدخالات!E361))</f>
        <v/>
      </c>
      <c r="D361" t="str">
        <f>IF(الإدخالات!C361="","",الإدخالات!C361)</f>
        <v/>
      </c>
      <c r="E361" s="24" t="str">
        <f>IF(الإدخالات!C361="","",الإدخالات!D361)</f>
        <v/>
      </c>
      <c r="F361" t="str">
        <f>IF(الإدخالات!C361="","",IF(الإدخالات!G361="","",الإدخالات!G361))</f>
        <v/>
      </c>
      <c r="G361" t="str">
        <f>IF($B361&lt;&gt;"",SUMPRODUCT(($B$2:$B361&lt;&gt;"")*1),"")</f>
        <v/>
      </c>
    </row>
    <row r="362" spans="1:7">
      <c r="A362" s="23" t="str">
        <f>IF(الإدخالات!C362="","",الإدخالات!B362)</f>
        <v/>
      </c>
      <c r="B362" t="str">
        <f>IF(الإدخالات!C362="","","شراء")</f>
        <v/>
      </c>
      <c r="C362" t="str">
        <f>IF(الإدخالات!C362="","",IF(الإدخالات!E362="","-",الإدخالات!E362))</f>
        <v/>
      </c>
      <c r="D362" t="str">
        <f>IF(الإدخالات!C362="","",الإدخالات!C362)</f>
        <v/>
      </c>
      <c r="E362" s="24" t="str">
        <f>IF(الإدخالات!C362="","",الإدخالات!D362)</f>
        <v/>
      </c>
      <c r="F362" t="str">
        <f>IF(الإدخالات!C362="","",IF(الإدخالات!G362="","",الإدخالات!G362))</f>
        <v/>
      </c>
      <c r="G362" t="str">
        <f>IF($B362&lt;&gt;"",SUMPRODUCT(($B$2:$B362&lt;&gt;"")*1),"")</f>
        <v/>
      </c>
    </row>
    <row r="363" spans="1:7">
      <c r="A363" s="23" t="str">
        <f>IF(الإدخالات!C363="","",الإدخالات!B363)</f>
        <v/>
      </c>
      <c r="B363" t="str">
        <f>IF(الإدخالات!C363="","","شراء")</f>
        <v/>
      </c>
      <c r="C363" t="str">
        <f>IF(الإدخالات!C363="","",IF(الإدخالات!E363="","-",الإدخالات!E363))</f>
        <v/>
      </c>
      <c r="D363" t="str">
        <f>IF(الإدخالات!C363="","",الإدخالات!C363)</f>
        <v/>
      </c>
      <c r="E363" s="24" t="str">
        <f>IF(الإدخالات!C363="","",الإدخالات!D363)</f>
        <v/>
      </c>
      <c r="F363" t="str">
        <f>IF(الإدخالات!C363="","",IF(الإدخالات!G363="","",الإدخالات!G363))</f>
        <v/>
      </c>
      <c r="G363" t="str">
        <f>IF($B363&lt;&gt;"",SUMPRODUCT(($B$2:$B363&lt;&gt;"")*1),"")</f>
        <v/>
      </c>
    </row>
    <row r="364" spans="1:7">
      <c r="A364" s="23" t="str">
        <f>IF(الإدخالات!C364="","",الإدخالات!B364)</f>
        <v/>
      </c>
      <c r="B364" t="str">
        <f>IF(الإدخالات!C364="","","شراء")</f>
        <v/>
      </c>
      <c r="C364" t="str">
        <f>IF(الإدخالات!C364="","",IF(الإدخالات!E364="","-",الإدخالات!E364))</f>
        <v/>
      </c>
      <c r="D364" t="str">
        <f>IF(الإدخالات!C364="","",الإدخالات!C364)</f>
        <v/>
      </c>
      <c r="E364" s="24" t="str">
        <f>IF(الإدخالات!C364="","",الإدخالات!D364)</f>
        <v/>
      </c>
      <c r="F364" t="str">
        <f>IF(الإدخالات!C364="","",IF(الإدخالات!G364="","",الإدخالات!G364))</f>
        <v/>
      </c>
      <c r="G364" t="str">
        <f>IF($B364&lt;&gt;"",SUMPRODUCT(($B$2:$B364&lt;&gt;"")*1),"")</f>
        <v/>
      </c>
    </row>
    <row r="365" spans="1:7">
      <c r="A365" s="23" t="str">
        <f>IF(الإدخالات!C365="","",الإدخالات!B365)</f>
        <v/>
      </c>
      <c r="B365" t="str">
        <f>IF(الإدخالات!C365="","","شراء")</f>
        <v/>
      </c>
      <c r="C365" t="str">
        <f>IF(الإدخالات!C365="","",IF(الإدخالات!E365="","-",الإدخالات!E365))</f>
        <v/>
      </c>
      <c r="D365" t="str">
        <f>IF(الإدخالات!C365="","",الإدخالات!C365)</f>
        <v/>
      </c>
      <c r="E365" s="24" t="str">
        <f>IF(الإدخالات!C365="","",الإدخالات!D365)</f>
        <v/>
      </c>
      <c r="F365" t="str">
        <f>IF(الإدخالات!C365="","",IF(الإدخالات!G365="","",الإدخالات!G365))</f>
        <v/>
      </c>
      <c r="G365" t="str">
        <f>IF($B365&lt;&gt;"",SUMPRODUCT(($B$2:$B365&lt;&gt;"")*1),"")</f>
        <v/>
      </c>
    </row>
    <row r="366" spans="1:7">
      <c r="A366" s="23" t="str">
        <f>IF(الإدخالات!C366="","",الإدخالات!B366)</f>
        <v/>
      </c>
      <c r="B366" t="str">
        <f>IF(الإدخالات!C366="","","شراء")</f>
        <v/>
      </c>
      <c r="C366" t="str">
        <f>IF(الإدخالات!C366="","",IF(الإدخالات!E366="","-",الإدخالات!E366))</f>
        <v/>
      </c>
      <c r="D366" t="str">
        <f>IF(الإدخالات!C366="","",الإدخالات!C366)</f>
        <v/>
      </c>
      <c r="E366" s="24" t="str">
        <f>IF(الإدخالات!C366="","",الإدخالات!D366)</f>
        <v/>
      </c>
      <c r="F366" t="str">
        <f>IF(الإدخالات!C366="","",IF(الإدخالات!G366="","",الإدخالات!G366))</f>
        <v/>
      </c>
      <c r="G366" t="str">
        <f>IF($B366&lt;&gt;"",SUMPRODUCT(($B$2:$B366&lt;&gt;"")*1),"")</f>
        <v/>
      </c>
    </row>
    <row r="367" spans="1:7">
      <c r="A367" s="23" t="str">
        <f>IF(الإدخالات!C367="","",الإدخالات!B367)</f>
        <v/>
      </c>
      <c r="B367" t="str">
        <f>IF(الإدخالات!C367="","","شراء")</f>
        <v/>
      </c>
      <c r="C367" t="str">
        <f>IF(الإدخالات!C367="","",IF(الإدخالات!E367="","-",الإدخالات!E367))</f>
        <v/>
      </c>
      <c r="D367" t="str">
        <f>IF(الإدخالات!C367="","",الإدخالات!C367)</f>
        <v/>
      </c>
      <c r="E367" s="24" t="str">
        <f>IF(الإدخالات!C367="","",الإدخالات!D367)</f>
        <v/>
      </c>
      <c r="F367" t="str">
        <f>IF(الإدخالات!C367="","",IF(الإدخالات!G367="","",الإدخالات!G367))</f>
        <v/>
      </c>
      <c r="G367" t="str">
        <f>IF($B367&lt;&gt;"",SUMPRODUCT(($B$2:$B367&lt;&gt;"")*1),"")</f>
        <v/>
      </c>
    </row>
    <row r="368" spans="1:7">
      <c r="A368" s="23" t="str">
        <f>IF(الإدخالات!C368="","",الإدخالات!B368)</f>
        <v/>
      </c>
      <c r="B368" t="str">
        <f>IF(الإدخالات!C368="","","شراء")</f>
        <v/>
      </c>
      <c r="C368" t="str">
        <f>IF(الإدخالات!C368="","",IF(الإدخالات!E368="","-",الإدخالات!E368))</f>
        <v/>
      </c>
      <c r="D368" t="str">
        <f>IF(الإدخالات!C368="","",الإدخالات!C368)</f>
        <v/>
      </c>
      <c r="E368" s="24" t="str">
        <f>IF(الإدخالات!C368="","",الإدخالات!D368)</f>
        <v/>
      </c>
      <c r="F368" t="str">
        <f>IF(الإدخالات!C368="","",IF(الإدخالات!G368="","",الإدخالات!G368))</f>
        <v/>
      </c>
      <c r="G368" t="str">
        <f>IF($B368&lt;&gt;"",SUMPRODUCT(($B$2:$B368&lt;&gt;"")*1),"")</f>
        <v/>
      </c>
    </row>
    <row r="369" spans="1:7">
      <c r="A369" s="23" t="str">
        <f>IF(الإدخالات!C369="","",الإدخالات!B369)</f>
        <v/>
      </c>
      <c r="B369" t="str">
        <f>IF(الإدخالات!C369="","","شراء")</f>
        <v/>
      </c>
      <c r="C369" t="str">
        <f>IF(الإدخالات!C369="","",IF(الإدخالات!E369="","-",الإدخالات!E369))</f>
        <v/>
      </c>
      <c r="D369" t="str">
        <f>IF(الإدخالات!C369="","",الإدخالات!C369)</f>
        <v/>
      </c>
      <c r="E369" s="24" t="str">
        <f>IF(الإدخالات!C369="","",الإدخالات!D369)</f>
        <v/>
      </c>
      <c r="F369" t="str">
        <f>IF(الإدخالات!C369="","",IF(الإدخالات!G369="","",الإدخالات!G369))</f>
        <v/>
      </c>
      <c r="G369" t="str">
        <f>IF($B369&lt;&gt;"",SUMPRODUCT(($B$2:$B369&lt;&gt;"")*1),"")</f>
        <v/>
      </c>
    </row>
    <row r="370" spans="1:7">
      <c r="A370" s="23" t="str">
        <f>IF(الإدخالات!C370="","",الإدخالات!B370)</f>
        <v/>
      </c>
      <c r="B370" t="str">
        <f>IF(الإدخالات!C370="","","شراء")</f>
        <v/>
      </c>
      <c r="C370" t="str">
        <f>IF(الإدخالات!C370="","",IF(الإدخالات!E370="","-",الإدخالات!E370))</f>
        <v/>
      </c>
      <c r="D370" t="str">
        <f>IF(الإدخالات!C370="","",الإدخالات!C370)</f>
        <v/>
      </c>
      <c r="E370" s="24" t="str">
        <f>IF(الإدخالات!C370="","",الإدخالات!D370)</f>
        <v/>
      </c>
      <c r="F370" t="str">
        <f>IF(الإدخالات!C370="","",IF(الإدخالات!G370="","",الإدخالات!G370))</f>
        <v/>
      </c>
      <c r="G370" t="str">
        <f>IF($B370&lt;&gt;"",SUMPRODUCT(($B$2:$B370&lt;&gt;"")*1),"")</f>
        <v/>
      </c>
    </row>
    <row r="371" spans="1:7">
      <c r="A371" s="23" t="str">
        <f>IF(الإدخالات!C371="","",الإدخالات!B371)</f>
        <v/>
      </c>
      <c r="B371" t="str">
        <f>IF(الإدخالات!C371="","","شراء")</f>
        <v/>
      </c>
      <c r="C371" t="str">
        <f>IF(الإدخالات!C371="","",IF(الإدخالات!E371="","-",الإدخالات!E371))</f>
        <v/>
      </c>
      <c r="D371" t="str">
        <f>IF(الإدخالات!C371="","",الإدخالات!C371)</f>
        <v/>
      </c>
      <c r="E371" s="24" t="str">
        <f>IF(الإدخالات!C371="","",الإدخالات!D371)</f>
        <v/>
      </c>
      <c r="F371" t="str">
        <f>IF(الإدخالات!C371="","",IF(الإدخالات!G371="","",الإدخالات!G371))</f>
        <v/>
      </c>
      <c r="G371" t="str">
        <f>IF($B371&lt;&gt;"",SUMPRODUCT(($B$2:$B371&lt;&gt;"")*1),"")</f>
        <v/>
      </c>
    </row>
    <row r="372" spans="1:7">
      <c r="A372" s="23" t="str">
        <f>IF(الإدخالات!C372="","",الإدخالات!B372)</f>
        <v/>
      </c>
      <c r="B372" t="str">
        <f>IF(الإدخالات!C372="","","شراء")</f>
        <v/>
      </c>
      <c r="C372" t="str">
        <f>IF(الإدخالات!C372="","",IF(الإدخالات!E372="","-",الإدخالات!E372))</f>
        <v/>
      </c>
      <c r="D372" t="str">
        <f>IF(الإدخالات!C372="","",الإدخالات!C372)</f>
        <v/>
      </c>
      <c r="E372" s="24" t="str">
        <f>IF(الإدخالات!C372="","",الإدخالات!D372)</f>
        <v/>
      </c>
      <c r="F372" t="str">
        <f>IF(الإدخالات!C372="","",IF(الإدخالات!G372="","",الإدخالات!G372))</f>
        <v/>
      </c>
      <c r="G372" t="str">
        <f>IF($B372&lt;&gt;"",SUMPRODUCT(($B$2:$B372&lt;&gt;"")*1),"")</f>
        <v/>
      </c>
    </row>
    <row r="373" spans="1:7">
      <c r="A373" s="23" t="str">
        <f>IF(الإدخالات!C373="","",الإدخالات!B373)</f>
        <v/>
      </c>
      <c r="B373" t="str">
        <f>IF(الإدخالات!C373="","","شراء")</f>
        <v/>
      </c>
      <c r="C373" t="str">
        <f>IF(الإدخالات!C373="","",IF(الإدخالات!E373="","-",الإدخالات!E373))</f>
        <v/>
      </c>
      <c r="D373" t="str">
        <f>IF(الإدخالات!C373="","",الإدخالات!C373)</f>
        <v/>
      </c>
      <c r="E373" s="24" t="str">
        <f>IF(الإدخالات!C373="","",الإدخالات!D373)</f>
        <v/>
      </c>
      <c r="F373" t="str">
        <f>IF(الإدخالات!C373="","",IF(الإدخالات!G373="","",الإدخالات!G373))</f>
        <v/>
      </c>
      <c r="G373" t="str">
        <f>IF($B373&lt;&gt;"",SUMPRODUCT(($B$2:$B373&lt;&gt;"")*1),"")</f>
        <v/>
      </c>
    </row>
    <row r="374" spans="1:7">
      <c r="A374" s="23" t="str">
        <f>IF(الإدخالات!C374="","",الإدخالات!B374)</f>
        <v/>
      </c>
      <c r="B374" t="str">
        <f>IF(الإدخالات!C374="","","شراء")</f>
        <v/>
      </c>
      <c r="C374" t="str">
        <f>IF(الإدخالات!C374="","",IF(الإدخالات!E374="","-",الإدخالات!E374))</f>
        <v/>
      </c>
      <c r="D374" t="str">
        <f>IF(الإدخالات!C374="","",الإدخالات!C374)</f>
        <v/>
      </c>
      <c r="E374" s="24" t="str">
        <f>IF(الإدخالات!C374="","",الإدخالات!D374)</f>
        <v/>
      </c>
      <c r="F374" t="str">
        <f>IF(الإدخالات!C374="","",IF(الإدخالات!G374="","",الإدخالات!G374))</f>
        <v/>
      </c>
      <c r="G374" t="str">
        <f>IF($B374&lt;&gt;"",SUMPRODUCT(($B$2:$B374&lt;&gt;"")*1),"")</f>
        <v/>
      </c>
    </row>
    <row r="375" spans="1:7">
      <c r="A375" s="23" t="str">
        <f>IF(الإدخالات!C375="","",الإدخالات!B375)</f>
        <v/>
      </c>
      <c r="B375" t="str">
        <f>IF(الإدخالات!C375="","","شراء")</f>
        <v/>
      </c>
      <c r="C375" t="str">
        <f>IF(الإدخالات!C375="","",IF(الإدخالات!E375="","-",الإدخالات!E375))</f>
        <v/>
      </c>
      <c r="D375" t="str">
        <f>IF(الإدخالات!C375="","",الإدخالات!C375)</f>
        <v/>
      </c>
      <c r="E375" s="24" t="str">
        <f>IF(الإدخالات!C375="","",الإدخالات!D375)</f>
        <v/>
      </c>
      <c r="F375" t="str">
        <f>IF(الإدخالات!C375="","",IF(الإدخالات!G375="","",الإدخالات!G375))</f>
        <v/>
      </c>
      <c r="G375" t="str">
        <f>IF($B375&lt;&gt;"",SUMPRODUCT(($B$2:$B375&lt;&gt;"")*1),"")</f>
        <v/>
      </c>
    </row>
    <row r="376" spans="1:7">
      <c r="A376" s="23" t="str">
        <f>IF(الإدخالات!C376="","",الإدخالات!B376)</f>
        <v/>
      </c>
      <c r="B376" t="str">
        <f>IF(الإدخالات!C376="","","شراء")</f>
        <v/>
      </c>
      <c r="C376" t="str">
        <f>IF(الإدخالات!C376="","",IF(الإدخالات!E376="","-",الإدخالات!E376))</f>
        <v/>
      </c>
      <c r="D376" t="str">
        <f>IF(الإدخالات!C376="","",الإدخالات!C376)</f>
        <v/>
      </c>
      <c r="E376" s="24" t="str">
        <f>IF(الإدخالات!C376="","",الإدخالات!D376)</f>
        <v/>
      </c>
      <c r="F376" t="str">
        <f>IF(الإدخالات!C376="","",IF(الإدخالات!G376="","",الإدخالات!G376))</f>
        <v/>
      </c>
      <c r="G376" t="str">
        <f>IF($B376&lt;&gt;"",SUMPRODUCT(($B$2:$B376&lt;&gt;"")*1),"")</f>
        <v/>
      </c>
    </row>
    <row r="377" spans="1:7">
      <c r="A377" s="23" t="str">
        <f>IF(الإدخالات!C377="","",الإدخالات!B377)</f>
        <v/>
      </c>
      <c r="B377" t="str">
        <f>IF(الإدخالات!C377="","","شراء")</f>
        <v/>
      </c>
      <c r="C377" t="str">
        <f>IF(الإدخالات!C377="","",IF(الإدخالات!E377="","-",الإدخالات!E377))</f>
        <v/>
      </c>
      <c r="D377" t="str">
        <f>IF(الإدخالات!C377="","",الإدخالات!C377)</f>
        <v/>
      </c>
      <c r="E377" s="24" t="str">
        <f>IF(الإدخالات!C377="","",الإدخالات!D377)</f>
        <v/>
      </c>
      <c r="F377" t="str">
        <f>IF(الإدخالات!C377="","",IF(الإدخالات!G377="","",الإدخالات!G377))</f>
        <v/>
      </c>
      <c r="G377" t="str">
        <f>IF($B377&lt;&gt;"",SUMPRODUCT(($B$2:$B377&lt;&gt;"")*1),"")</f>
        <v/>
      </c>
    </row>
    <row r="378" spans="1:7">
      <c r="A378" s="23" t="str">
        <f>IF(الإدخالات!C378="","",الإدخالات!B378)</f>
        <v/>
      </c>
      <c r="B378" t="str">
        <f>IF(الإدخالات!C378="","","شراء")</f>
        <v/>
      </c>
      <c r="C378" t="str">
        <f>IF(الإدخالات!C378="","",IF(الإدخالات!E378="","-",الإدخالات!E378))</f>
        <v/>
      </c>
      <c r="D378" t="str">
        <f>IF(الإدخالات!C378="","",الإدخالات!C378)</f>
        <v/>
      </c>
      <c r="E378" s="24" t="str">
        <f>IF(الإدخالات!C378="","",الإدخالات!D378)</f>
        <v/>
      </c>
      <c r="F378" t="str">
        <f>IF(الإدخالات!C378="","",IF(الإدخالات!G378="","",الإدخالات!G378))</f>
        <v/>
      </c>
      <c r="G378" t="str">
        <f>IF($B378&lt;&gt;"",SUMPRODUCT(($B$2:$B378&lt;&gt;"")*1),"")</f>
        <v/>
      </c>
    </row>
    <row r="379" spans="1:7">
      <c r="A379" s="23" t="str">
        <f>IF(الإدخالات!C379="","",الإدخالات!B379)</f>
        <v/>
      </c>
      <c r="B379" t="str">
        <f>IF(الإدخالات!C379="","","شراء")</f>
        <v/>
      </c>
      <c r="C379" t="str">
        <f>IF(الإدخالات!C379="","",IF(الإدخالات!E379="","-",الإدخالات!E379))</f>
        <v/>
      </c>
      <c r="D379" t="str">
        <f>IF(الإدخالات!C379="","",الإدخالات!C379)</f>
        <v/>
      </c>
      <c r="E379" s="24" t="str">
        <f>IF(الإدخالات!C379="","",الإدخالات!D379)</f>
        <v/>
      </c>
      <c r="F379" t="str">
        <f>IF(الإدخالات!C379="","",IF(الإدخالات!G379="","",الإدخالات!G379))</f>
        <v/>
      </c>
      <c r="G379" t="str">
        <f>IF($B379&lt;&gt;"",SUMPRODUCT(($B$2:$B379&lt;&gt;"")*1),"")</f>
        <v/>
      </c>
    </row>
    <row r="380" spans="1:7">
      <c r="A380" s="23" t="str">
        <f>IF(الإدخالات!C380="","",الإدخالات!B380)</f>
        <v/>
      </c>
      <c r="B380" t="str">
        <f>IF(الإدخالات!C380="","","شراء")</f>
        <v/>
      </c>
      <c r="C380" t="str">
        <f>IF(الإدخالات!C380="","",IF(الإدخالات!E380="","-",الإدخالات!E380))</f>
        <v/>
      </c>
      <c r="D380" t="str">
        <f>IF(الإدخالات!C380="","",الإدخالات!C380)</f>
        <v/>
      </c>
      <c r="E380" s="24" t="str">
        <f>IF(الإدخالات!C380="","",الإدخالات!D380)</f>
        <v/>
      </c>
      <c r="F380" t="str">
        <f>IF(الإدخالات!C380="","",IF(الإدخالات!G380="","",الإدخالات!G380))</f>
        <v/>
      </c>
      <c r="G380" t="str">
        <f>IF($B380&lt;&gt;"",SUMPRODUCT(($B$2:$B380&lt;&gt;"")*1),"")</f>
        <v/>
      </c>
    </row>
    <row r="381" spans="1:7">
      <c r="A381" s="23" t="str">
        <f>IF(الإدخالات!C381="","",الإدخالات!B381)</f>
        <v/>
      </c>
      <c r="B381" t="str">
        <f>IF(الإدخالات!C381="","","شراء")</f>
        <v/>
      </c>
      <c r="C381" t="str">
        <f>IF(الإدخالات!C381="","",IF(الإدخالات!E381="","-",الإدخالات!E381))</f>
        <v/>
      </c>
      <c r="D381" t="str">
        <f>IF(الإدخالات!C381="","",الإدخالات!C381)</f>
        <v/>
      </c>
      <c r="E381" s="24" t="str">
        <f>IF(الإدخالات!C381="","",الإدخالات!D381)</f>
        <v/>
      </c>
      <c r="F381" t="str">
        <f>IF(الإدخالات!C381="","",IF(الإدخالات!G381="","",الإدخالات!G381))</f>
        <v/>
      </c>
      <c r="G381" t="str">
        <f>IF($B381&lt;&gt;"",SUMPRODUCT(($B$2:$B381&lt;&gt;"")*1),"")</f>
        <v/>
      </c>
    </row>
    <row r="382" spans="1:7">
      <c r="A382" s="23" t="str">
        <f>IF(الإدخالات!C382="","",الإدخالات!B382)</f>
        <v/>
      </c>
      <c r="B382" t="str">
        <f>IF(الإدخالات!C382="","","شراء")</f>
        <v/>
      </c>
      <c r="C382" t="str">
        <f>IF(الإدخالات!C382="","",IF(الإدخالات!E382="","-",الإدخالات!E382))</f>
        <v/>
      </c>
      <c r="D382" t="str">
        <f>IF(الإدخالات!C382="","",الإدخالات!C382)</f>
        <v/>
      </c>
      <c r="E382" s="24" t="str">
        <f>IF(الإدخالات!C382="","",الإدخالات!D382)</f>
        <v/>
      </c>
      <c r="F382" t="str">
        <f>IF(الإدخالات!C382="","",IF(الإدخالات!G382="","",الإدخالات!G382))</f>
        <v/>
      </c>
      <c r="G382" t="str">
        <f>IF($B382&lt;&gt;"",SUMPRODUCT(($B$2:$B382&lt;&gt;"")*1),"")</f>
        <v/>
      </c>
    </row>
    <row r="383" spans="1:7">
      <c r="A383" s="23" t="str">
        <f>IF(الإدخالات!C383="","",الإدخالات!B383)</f>
        <v/>
      </c>
      <c r="B383" t="str">
        <f>IF(الإدخالات!C383="","","شراء")</f>
        <v/>
      </c>
      <c r="C383" t="str">
        <f>IF(الإدخالات!C383="","",IF(الإدخالات!E383="","-",الإدخالات!E383))</f>
        <v/>
      </c>
      <c r="D383" t="str">
        <f>IF(الإدخالات!C383="","",الإدخالات!C383)</f>
        <v/>
      </c>
      <c r="E383" s="24" t="str">
        <f>IF(الإدخالات!C383="","",الإدخالات!D383)</f>
        <v/>
      </c>
      <c r="F383" t="str">
        <f>IF(الإدخالات!C383="","",IF(الإدخالات!G383="","",الإدخالات!G383))</f>
        <v/>
      </c>
      <c r="G383" t="str">
        <f>IF($B383&lt;&gt;"",SUMPRODUCT(($B$2:$B383&lt;&gt;"")*1),"")</f>
        <v/>
      </c>
    </row>
    <row r="384" spans="1:7">
      <c r="A384" s="23" t="str">
        <f>IF(الإدخالات!C384="","",الإدخالات!B384)</f>
        <v/>
      </c>
      <c r="B384" t="str">
        <f>IF(الإدخالات!C384="","","شراء")</f>
        <v/>
      </c>
      <c r="C384" t="str">
        <f>IF(الإدخالات!C384="","",IF(الإدخالات!E384="","-",الإدخالات!E384))</f>
        <v/>
      </c>
      <c r="D384" t="str">
        <f>IF(الإدخالات!C384="","",الإدخالات!C384)</f>
        <v/>
      </c>
      <c r="E384" s="24" t="str">
        <f>IF(الإدخالات!C384="","",الإدخالات!D384)</f>
        <v/>
      </c>
      <c r="F384" t="str">
        <f>IF(الإدخالات!C384="","",IF(الإدخالات!G384="","",الإدخالات!G384))</f>
        <v/>
      </c>
      <c r="G384" t="str">
        <f>IF($B384&lt;&gt;"",SUMPRODUCT(($B$2:$B384&lt;&gt;"")*1),"")</f>
        <v/>
      </c>
    </row>
    <row r="385" spans="1:7">
      <c r="A385" s="23" t="str">
        <f>IF(الإدخالات!C385="","",الإدخالات!B385)</f>
        <v/>
      </c>
      <c r="B385" t="str">
        <f>IF(الإدخالات!C385="","","شراء")</f>
        <v/>
      </c>
      <c r="C385" t="str">
        <f>IF(الإدخالات!C385="","",IF(الإدخالات!E385="","-",الإدخالات!E385))</f>
        <v/>
      </c>
      <c r="D385" t="str">
        <f>IF(الإدخالات!C385="","",الإدخالات!C385)</f>
        <v/>
      </c>
      <c r="E385" s="24" t="str">
        <f>IF(الإدخالات!C385="","",الإدخالات!D385)</f>
        <v/>
      </c>
      <c r="F385" t="str">
        <f>IF(الإدخالات!C385="","",IF(الإدخالات!G385="","",الإدخالات!G385))</f>
        <v/>
      </c>
      <c r="G385" t="str">
        <f>IF($B385&lt;&gt;"",SUMPRODUCT(($B$2:$B385&lt;&gt;"")*1),"")</f>
        <v/>
      </c>
    </row>
    <row r="386" spans="1:7">
      <c r="A386" s="23" t="str">
        <f>IF(الإدخالات!C386="","",الإدخالات!B386)</f>
        <v/>
      </c>
      <c r="B386" t="str">
        <f>IF(الإدخالات!C386="","","شراء")</f>
        <v/>
      </c>
      <c r="C386" t="str">
        <f>IF(الإدخالات!C386="","",IF(الإدخالات!E386="","-",الإدخالات!E386))</f>
        <v/>
      </c>
      <c r="D386" t="str">
        <f>IF(الإدخالات!C386="","",الإدخالات!C386)</f>
        <v/>
      </c>
      <c r="E386" s="24" t="str">
        <f>IF(الإدخالات!C386="","",الإدخالات!D386)</f>
        <v/>
      </c>
      <c r="F386" t="str">
        <f>IF(الإدخالات!C386="","",IF(الإدخالات!G386="","",الإدخالات!G386))</f>
        <v/>
      </c>
      <c r="G386" t="str">
        <f>IF($B386&lt;&gt;"",SUMPRODUCT(($B$2:$B386&lt;&gt;"")*1),"")</f>
        <v/>
      </c>
    </row>
    <row r="387" spans="1:7">
      <c r="A387" s="23" t="str">
        <f>IF(الإدخالات!C387="","",الإدخالات!B387)</f>
        <v/>
      </c>
      <c r="B387" t="str">
        <f>IF(الإدخالات!C387="","","شراء")</f>
        <v/>
      </c>
      <c r="C387" t="str">
        <f>IF(الإدخالات!C387="","",IF(الإدخالات!E387="","-",الإدخالات!E387))</f>
        <v/>
      </c>
      <c r="D387" t="str">
        <f>IF(الإدخالات!C387="","",الإدخالات!C387)</f>
        <v/>
      </c>
      <c r="E387" s="24" t="str">
        <f>IF(الإدخالات!C387="","",الإدخالات!D387)</f>
        <v/>
      </c>
      <c r="F387" t="str">
        <f>IF(الإدخالات!C387="","",IF(الإدخالات!G387="","",الإدخالات!G387))</f>
        <v/>
      </c>
      <c r="G387" t="str">
        <f>IF($B387&lt;&gt;"",SUMPRODUCT(($B$2:$B387&lt;&gt;"")*1),"")</f>
        <v/>
      </c>
    </row>
    <row r="388" spans="1:7">
      <c r="A388" s="23" t="str">
        <f>IF(الإدخالات!C388="","",الإدخالات!B388)</f>
        <v/>
      </c>
      <c r="B388" t="str">
        <f>IF(الإدخالات!C388="","","شراء")</f>
        <v/>
      </c>
      <c r="C388" t="str">
        <f>IF(الإدخالات!C388="","",IF(الإدخالات!E388="","-",الإدخالات!E388))</f>
        <v/>
      </c>
      <c r="D388" t="str">
        <f>IF(الإدخالات!C388="","",الإدخالات!C388)</f>
        <v/>
      </c>
      <c r="E388" s="24" t="str">
        <f>IF(الإدخالات!C388="","",الإدخالات!D388)</f>
        <v/>
      </c>
      <c r="F388" t="str">
        <f>IF(الإدخالات!C388="","",IF(الإدخالات!G388="","",الإدخالات!G388))</f>
        <v/>
      </c>
      <c r="G388" t="str">
        <f>IF($B388&lt;&gt;"",SUMPRODUCT(($B$2:$B388&lt;&gt;"")*1),"")</f>
        <v/>
      </c>
    </row>
    <row r="389" spans="1:7">
      <c r="A389" s="23" t="str">
        <f>IF(الإدخالات!C389="","",الإدخالات!B389)</f>
        <v/>
      </c>
      <c r="B389" t="str">
        <f>IF(الإدخالات!C389="","","شراء")</f>
        <v/>
      </c>
      <c r="C389" t="str">
        <f>IF(الإدخالات!C389="","",IF(الإدخالات!E389="","-",الإدخالات!E389))</f>
        <v/>
      </c>
      <c r="D389" t="str">
        <f>IF(الإدخالات!C389="","",الإدخالات!C389)</f>
        <v/>
      </c>
      <c r="E389" s="24" t="str">
        <f>IF(الإدخالات!C389="","",الإدخالات!D389)</f>
        <v/>
      </c>
      <c r="F389" t="str">
        <f>IF(الإدخالات!C389="","",IF(الإدخالات!G389="","",الإدخالات!G389))</f>
        <v/>
      </c>
      <c r="G389" t="str">
        <f>IF($B389&lt;&gt;"",SUMPRODUCT(($B$2:$B389&lt;&gt;"")*1),"")</f>
        <v/>
      </c>
    </row>
    <row r="390" spans="1:7">
      <c r="A390" s="23" t="str">
        <f>IF(الإدخالات!C390="","",الإدخالات!B390)</f>
        <v/>
      </c>
      <c r="B390" t="str">
        <f>IF(الإدخالات!C390="","","شراء")</f>
        <v/>
      </c>
      <c r="C390" t="str">
        <f>IF(الإدخالات!C390="","",IF(الإدخالات!E390="","-",الإدخالات!E390))</f>
        <v/>
      </c>
      <c r="D390" t="str">
        <f>IF(الإدخالات!C390="","",الإدخالات!C390)</f>
        <v/>
      </c>
      <c r="E390" s="24" t="str">
        <f>IF(الإدخالات!C390="","",الإدخالات!D390)</f>
        <v/>
      </c>
      <c r="F390" t="str">
        <f>IF(الإدخالات!C390="","",IF(الإدخالات!G390="","",الإدخالات!G390))</f>
        <v/>
      </c>
      <c r="G390" t="str">
        <f>IF($B390&lt;&gt;"",SUMPRODUCT(($B$2:$B390&lt;&gt;"")*1),"")</f>
        <v/>
      </c>
    </row>
    <row r="391" spans="1:7">
      <c r="A391" s="23" t="str">
        <f>IF(الإدخالات!C391="","",الإدخالات!B391)</f>
        <v/>
      </c>
      <c r="B391" t="str">
        <f>IF(الإدخالات!C391="","","شراء")</f>
        <v/>
      </c>
      <c r="C391" t="str">
        <f>IF(الإدخالات!C391="","",IF(الإدخالات!E391="","-",الإدخالات!E391))</f>
        <v/>
      </c>
      <c r="D391" t="str">
        <f>IF(الإدخالات!C391="","",الإدخالات!C391)</f>
        <v/>
      </c>
      <c r="E391" s="24" t="str">
        <f>IF(الإدخالات!C391="","",الإدخالات!D391)</f>
        <v/>
      </c>
      <c r="F391" t="str">
        <f>IF(الإدخالات!C391="","",IF(الإدخالات!G391="","",الإدخالات!G391))</f>
        <v/>
      </c>
      <c r="G391" t="str">
        <f>IF($B391&lt;&gt;"",SUMPRODUCT(($B$2:$B391&lt;&gt;"")*1),"")</f>
        <v/>
      </c>
    </row>
    <row r="392" spans="1:7">
      <c r="A392" s="23" t="str">
        <f>IF(الإدخالات!C392="","",الإدخالات!B392)</f>
        <v/>
      </c>
      <c r="B392" t="str">
        <f>IF(الإدخالات!C392="","","شراء")</f>
        <v/>
      </c>
      <c r="C392" t="str">
        <f>IF(الإدخالات!C392="","",IF(الإدخالات!E392="","-",الإدخالات!E392))</f>
        <v/>
      </c>
      <c r="D392" t="str">
        <f>IF(الإدخالات!C392="","",الإدخالات!C392)</f>
        <v/>
      </c>
      <c r="E392" s="24" t="str">
        <f>IF(الإدخالات!C392="","",الإدخالات!D392)</f>
        <v/>
      </c>
      <c r="F392" t="str">
        <f>IF(الإدخالات!C392="","",IF(الإدخالات!G392="","",الإدخالات!G392))</f>
        <v/>
      </c>
      <c r="G392" t="str">
        <f>IF($B392&lt;&gt;"",SUMPRODUCT(($B$2:$B392&lt;&gt;"")*1),"")</f>
        <v/>
      </c>
    </row>
    <row r="393" spans="1:7">
      <c r="A393" s="23" t="str">
        <f>IF(الإدخالات!C393="","",الإدخالات!B393)</f>
        <v/>
      </c>
      <c r="B393" t="str">
        <f>IF(الإدخالات!C393="","","شراء")</f>
        <v/>
      </c>
      <c r="C393" t="str">
        <f>IF(الإدخالات!C393="","",IF(الإدخالات!E393="","-",الإدخالات!E393))</f>
        <v/>
      </c>
      <c r="D393" t="str">
        <f>IF(الإدخالات!C393="","",الإدخالات!C393)</f>
        <v/>
      </c>
      <c r="E393" s="24" t="str">
        <f>IF(الإدخالات!C393="","",الإدخالات!D393)</f>
        <v/>
      </c>
      <c r="F393" t="str">
        <f>IF(الإدخالات!C393="","",IF(الإدخالات!G393="","",الإدخالات!G393))</f>
        <v/>
      </c>
      <c r="G393" t="str">
        <f>IF($B393&lt;&gt;"",SUMPRODUCT(($B$2:$B393&lt;&gt;"")*1),"")</f>
        <v/>
      </c>
    </row>
    <row r="394" spans="1:7">
      <c r="A394" s="23" t="str">
        <f>IF(الإدخالات!C394="","",الإدخالات!B394)</f>
        <v/>
      </c>
      <c r="B394" t="str">
        <f>IF(الإدخالات!C394="","","شراء")</f>
        <v/>
      </c>
      <c r="C394" t="str">
        <f>IF(الإدخالات!C394="","",IF(الإدخالات!E394="","-",الإدخالات!E394))</f>
        <v/>
      </c>
      <c r="D394" t="str">
        <f>IF(الإدخالات!C394="","",الإدخالات!C394)</f>
        <v/>
      </c>
      <c r="E394" s="24" t="str">
        <f>IF(الإدخالات!C394="","",الإدخالات!D394)</f>
        <v/>
      </c>
      <c r="F394" t="str">
        <f>IF(الإدخالات!C394="","",IF(الإدخالات!G394="","",الإدخالات!G394))</f>
        <v/>
      </c>
      <c r="G394" t="str">
        <f>IF($B394&lt;&gt;"",SUMPRODUCT(($B$2:$B394&lt;&gt;"")*1),"")</f>
        <v/>
      </c>
    </row>
    <row r="395" spans="1:7">
      <c r="A395" s="23" t="str">
        <f>IF(الإدخالات!C395="","",الإدخالات!B395)</f>
        <v/>
      </c>
      <c r="B395" t="str">
        <f>IF(الإدخالات!C395="","","شراء")</f>
        <v/>
      </c>
      <c r="C395" t="str">
        <f>IF(الإدخالات!C395="","",IF(الإدخالات!E395="","-",الإدخالات!E395))</f>
        <v/>
      </c>
      <c r="D395" t="str">
        <f>IF(الإدخالات!C395="","",الإدخالات!C395)</f>
        <v/>
      </c>
      <c r="E395" s="24" t="str">
        <f>IF(الإدخالات!C395="","",الإدخالات!D395)</f>
        <v/>
      </c>
      <c r="F395" t="str">
        <f>IF(الإدخالات!C395="","",IF(الإدخالات!G395="","",الإدخالات!G395))</f>
        <v/>
      </c>
      <c r="G395" t="str">
        <f>IF($B395&lt;&gt;"",SUMPRODUCT(($B$2:$B395&lt;&gt;"")*1),"")</f>
        <v/>
      </c>
    </row>
    <row r="396" spans="1:7">
      <c r="A396" s="23" t="str">
        <f>IF(الإدخالات!C396="","",الإدخالات!B396)</f>
        <v/>
      </c>
      <c r="B396" t="str">
        <f>IF(الإدخالات!C396="","","شراء")</f>
        <v/>
      </c>
      <c r="C396" t="str">
        <f>IF(الإدخالات!C396="","",IF(الإدخالات!E396="","-",الإدخالات!E396))</f>
        <v/>
      </c>
      <c r="D396" t="str">
        <f>IF(الإدخالات!C396="","",الإدخالات!C396)</f>
        <v/>
      </c>
      <c r="E396" s="24" t="str">
        <f>IF(الإدخالات!C396="","",الإدخالات!D396)</f>
        <v/>
      </c>
      <c r="F396" t="str">
        <f>IF(الإدخالات!C396="","",IF(الإدخالات!G396="","",الإدخالات!G396))</f>
        <v/>
      </c>
      <c r="G396" t="str">
        <f>IF($B396&lt;&gt;"",SUMPRODUCT(($B$2:$B396&lt;&gt;"")*1),"")</f>
        <v/>
      </c>
    </row>
    <row r="397" spans="1:7">
      <c r="A397" s="23" t="str">
        <f>IF(الإدخالات!C397="","",الإدخالات!B397)</f>
        <v/>
      </c>
      <c r="B397" t="str">
        <f>IF(الإدخالات!C397="","","شراء")</f>
        <v/>
      </c>
      <c r="C397" t="str">
        <f>IF(الإدخالات!C397="","",IF(الإدخالات!E397="","-",الإدخالات!E397))</f>
        <v/>
      </c>
      <c r="D397" t="str">
        <f>IF(الإدخالات!C397="","",الإدخالات!C397)</f>
        <v/>
      </c>
      <c r="E397" s="24" t="str">
        <f>IF(الإدخالات!C397="","",الإدخالات!D397)</f>
        <v/>
      </c>
      <c r="F397" t="str">
        <f>IF(الإدخالات!C397="","",IF(الإدخالات!G397="","",الإدخالات!G397))</f>
        <v/>
      </c>
      <c r="G397" t="str">
        <f>IF($B397&lt;&gt;"",SUMPRODUCT(($B$2:$B397&lt;&gt;"")*1),"")</f>
        <v/>
      </c>
    </row>
    <row r="398" spans="1:7">
      <c r="A398" s="23" t="str">
        <f>IF(الإدخالات!C398="","",الإدخالات!B398)</f>
        <v/>
      </c>
      <c r="B398" t="str">
        <f>IF(الإدخالات!C398="","","شراء")</f>
        <v/>
      </c>
      <c r="C398" t="str">
        <f>IF(الإدخالات!C398="","",IF(الإدخالات!E398="","-",الإدخالات!E398))</f>
        <v/>
      </c>
      <c r="D398" t="str">
        <f>IF(الإدخالات!C398="","",الإدخالات!C398)</f>
        <v/>
      </c>
      <c r="E398" s="24" t="str">
        <f>IF(الإدخالات!C398="","",الإدخالات!D398)</f>
        <v/>
      </c>
      <c r="F398" t="str">
        <f>IF(الإدخالات!C398="","",IF(الإدخالات!G398="","",الإدخالات!G398))</f>
        <v/>
      </c>
      <c r="G398" t="str">
        <f>IF($B398&lt;&gt;"",SUMPRODUCT(($B$2:$B398&lt;&gt;"")*1),"")</f>
        <v/>
      </c>
    </row>
    <row r="399" spans="1:7">
      <c r="A399" s="23" t="str">
        <f>IF(الإدخالات!C399="","",الإدخالات!B399)</f>
        <v/>
      </c>
      <c r="B399" t="str">
        <f>IF(الإدخالات!C399="","","شراء")</f>
        <v/>
      </c>
      <c r="C399" t="str">
        <f>IF(الإدخالات!C399="","",IF(الإدخالات!E399="","-",الإدخالات!E399))</f>
        <v/>
      </c>
      <c r="D399" t="str">
        <f>IF(الإدخالات!C399="","",الإدخالات!C399)</f>
        <v/>
      </c>
      <c r="E399" s="24" t="str">
        <f>IF(الإدخالات!C399="","",الإدخالات!D399)</f>
        <v/>
      </c>
      <c r="F399" t="str">
        <f>IF(الإدخالات!C399="","",IF(الإدخالات!G399="","",الإدخالات!G399))</f>
        <v/>
      </c>
      <c r="G399" t="str">
        <f>IF($B399&lt;&gt;"",SUMPRODUCT(($B$2:$B399&lt;&gt;"")*1),"")</f>
        <v/>
      </c>
    </row>
    <row r="400" spans="1:7">
      <c r="A400" s="23" t="str">
        <f>IF(الإدخالات!C400="","",الإدخالات!B400)</f>
        <v/>
      </c>
      <c r="B400" t="str">
        <f>IF(الإدخالات!C400="","","شراء")</f>
        <v/>
      </c>
      <c r="C400" t="str">
        <f>IF(الإدخالات!C400="","",IF(الإدخالات!E400="","-",الإدخالات!E400))</f>
        <v/>
      </c>
      <c r="D400" t="str">
        <f>IF(الإدخالات!C400="","",الإدخالات!C400)</f>
        <v/>
      </c>
      <c r="E400" s="24" t="str">
        <f>IF(الإدخالات!C400="","",الإدخالات!D400)</f>
        <v/>
      </c>
      <c r="F400" t="str">
        <f>IF(الإدخالات!C400="","",IF(الإدخالات!G400="","",الإدخالات!G400))</f>
        <v/>
      </c>
      <c r="G400" t="str">
        <f>IF($B400&lt;&gt;"",SUMPRODUCT(($B$2:$B400&lt;&gt;"")*1),"")</f>
        <v/>
      </c>
    </row>
    <row r="401" spans="1:7">
      <c r="A401" s="23" t="str">
        <f>IF(الإدخالات!C401="","",الإدخالات!B401)</f>
        <v/>
      </c>
      <c r="B401" t="str">
        <f>IF(الإدخالات!C401="","","شراء")</f>
        <v/>
      </c>
      <c r="C401" t="str">
        <f>IF(الإدخالات!C401="","",IF(الإدخالات!E401="","-",الإدخالات!E401))</f>
        <v/>
      </c>
      <c r="D401" t="str">
        <f>IF(الإدخالات!C401="","",الإدخالات!C401)</f>
        <v/>
      </c>
      <c r="E401" s="24" t="str">
        <f>IF(الإدخالات!C401="","",الإدخالات!D401)</f>
        <v/>
      </c>
      <c r="F401" t="str">
        <f>IF(الإدخالات!C401="","",IF(الإدخالات!G401="","",الإدخالات!G401))</f>
        <v/>
      </c>
      <c r="G401" t="str">
        <f>IF($B401&lt;&gt;"",SUMPRODUCT(($B$2:$B401&lt;&gt;"")*1),"")</f>
        <v/>
      </c>
    </row>
    <row r="402" spans="1:7">
      <c r="A402" s="23" t="str">
        <f>IF(الإدخالات!C402="","",الإدخالات!B402)</f>
        <v/>
      </c>
      <c r="B402" t="str">
        <f>IF(الإدخالات!C402="","","شراء")</f>
        <v/>
      </c>
      <c r="C402" t="str">
        <f>IF(الإدخالات!C402="","",IF(الإدخالات!E402="","-",الإدخالات!E402))</f>
        <v/>
      </c>
      <c r="D402" t="str">
        <f>IF(الإدخالات!C402="","",الإدخالات!C402)</f>
        <v/>
      </c>
      <c r="E402" s="24" t="str">
        <f>IF(الإدخالات!C402="","",الإدخالات!D402)</f>
        <v/>
      </c>
      <c r="F402" t="str">
        <f>IF(الإدخالات!C402="","",IF(الإدخالات!G402="","",الإدخالات!G402))</f>
        <v/>
      </c>
      <c r="G402" t="str">
        <f>IF($B402&lt;&gt;"",SUMPRODUCT(($B$2:$B402&lt;&gt;"")*1),"")</f>
        <v/>
      </c>
    </row>
    <row r="403" spans="1:7">
      <c r="A403" s="23" t="str">
        <f>IF(الإدخالات!C403="","",الإدخالات!B403)</f>
        <v/>
      </c>
      <c r="B403" t="str">
        <f>IF(الإدخالات!C403="","","شراء")</f>
        <v/>
      </c>
      <c r="C403" t="str">
        <f>IF(الإدخالات!C403="","",IF(الإدخالات!E403="","-",الإدخالات!E403))</f>
        <v/>
      </c>
      <c r="D403" t="str">
        <f>IF(الإدخالات!C403="","",الإدخالات!C403)</f>
        <v/>
      </c>
      <c r="E403" s="24" t="str">
        <f>IF(الإدخالات!C403="","",الإدخالات!D403)</f>
        <v/>
      </c>
      <c r="F403" t="str">
        <f>IF(الإدخالات!C403="","",IF(الإدخالات!G403="","",الإدخالات!G403))</f>
        <v/>
      </c>
      <c r="G403" t="str">
        <f>IF($B403&lt;&gt;"",SUMPRODUCT(($B$2:$B403&lt;&gt;"")*1),"")</f>
        <v/>
      </c>
    </row>
    <row r="404" spans="1:7">
      <c r="A404" s="23" t="str">
        <f>IF(الإدخالات!C404="","",الإدخالات!B404)</f>
        <v/>
      </c>
      <c r="B404" t="str">
        <f>IF(الإدخالات!C404="","","شراء")</f>
        <v/>
      </c>
      <c r="C404" t="str">
        <f>IF(الإدخالات!C404="","",IF(الإدخالات!E404="","-",الإدخالات!E404))</f>
        <v/>
      </c>
      <c r="D404" t="str">
        <f>IF(الإدخالات!C404="","",الإدخالات!C404)</f>
        <v/>
      </c>
      <c r="E404" s="24" t="str">
        <f>IF(الإدخالات!C404="","",الإدخالات!D404)</f>
        <v/>
      </c>
      <c r="F404" t="str">
        <f>IF(الإدخالات!C404="","",IF(الإدخالات!G404="","",الإدخالات!G404))</f>
        <v/>
      </c>
      <c r="G404" t="str">
        <f>IF($B404&lt;&gt;"",SUMPRODUCT(($B$2:$B404&lt;&gt;"")*1),"")</f>
        <v/>
      </c>
    </row>
    <row r="405" spans="1:7">
      <c r="A405" s="23" t="str">
        <f>IF(الإدخالات!C405="","",الإدخالات!B405)</f>
        <v/>
      </c>
      <c r="B405" t="str">
        <f>IF(الإدخالات!C405="","","شراء")</f>
        <v/>
      </c>
      <c r="C405" t="str">
        <f>IF(الإدخالات!C405="","",IF(الإدخالات!E405="","-",الإدخالات!E405))</f>
        <v/>
      </c>
      <c r="D405" t="str">
        <f>IF(الإدخالات!C405="","",الإدخالات!C405)</f>
        <v/>
      </c>
      <c r="E405" s="24" t="str">
        <f>IF(الإدخالات!C405="","",الإدخالات!D405)</f>
        <v/>
      </c>
      <c r="F405" t="str">
        <f>IF(الإدخالات!C405="","",IF(الإدخالات!G405="","",الإدخالات!G405))</f>
        <v/>
      </c>
      <c r="G405" t="str">
        <f>IF($B405&lt;&gt;"",SUMPRODUCT(($B$2:$B405&lt;&gt;"")*1),"")</f>
        <v/>
      </c>
    </row>
    <row r="406" spans="1:7">
      <c r="A406" s="23" t="str">
        <f>IF(الإدخالات!C406="","",الإدخالات!B406)</f>
        <v/>
      </c>
      <c r="B406" t="str">
        <f>IF(الإدخالات!C406="","","شراء")</f>
        <v/>
      </c>
      <c r="C406" t="str">
        <f>IF(الإدخالات!C406="","",IF(الإدخالات!E406="","-",الإدخالات!E406))</f>
        <v/>
      </c>
      <c r="D406" t="str">
        <f>IF(الإدخالات!C406="","",الإدخالات!C406)</f>
        <v/>
      </c>
      <c r="E406" s="24" t="str">
        <f>IF(الإدخالات!C406="","",الإدخالات!D406)</f>
        <v/>
      </c>
      <c r="F406" t="str">
        <f>IF(الإدخالات!C406="","",IF(الإدخالات!G406="","",الإدخالات!G406))</f>
        <v/>
      </c>
      <c r="G406" t="str">
        <f>IF($B406&lt;&gt;"",SUMPRODUCT(($B$2:$B406&lt;&gt;"")*1),"")</f>
        <v/>
      </c>
    </row>
    <row r="407" spans="1:7">
      <c r="A407" s="23" t="str">
        <f>IF(الإدخالات!C407="","",الإدخالات!B407)</f>
        <v/>
      </c>
      <c r="B407" t="str">
        <f>IF(الإدخالات!C407="","","شراء")</f>
        <v/>
      </c>
      <c r="C407" t="str">
        <f>IF(الإدخالات!C407="","",IF(الإدخالات!E407="","-",الإدخالات!E407))</f>
        <v/>
      </c>
      <c r="D407" t="str">
        <f>IF(الإدخالات!C407="","",الإدخالات!C407)</f>
        <v/>
      </c>
      <c r="E407" s="24" t="str">
        <f>IF(الإدخالات!C407="","",الإدخالات!D407)</f>
        <v/>
      </c>
      <c r="F407" t="str">
        <f>IF(الإدخالات!C407="","",IF(الإدخالات!G407="","",الإدخالات!G407))</f>
        <v/>
      </c>
      <c r="G407" t="str">
        <f>IF($B407&lt;&gt;"",SUMPRODUCT(($B$2:$B407&lt;&gt;"")*1),"")</f>
        <v/>
      </c>
    </row>
    <row r="408" spans="1:7">
      <c r="A408" s="23" t="str">
        <f>IF(الإدخالات!C408="","",الإدخالات!B408)</f>
        <v/>
      </c>
      <c r="B408" t="str">
        <f>IF(الإدخالات!C408="","","شراء")</f>
        <v/>
      </c>
      <c r="C408" t="str">
        <f>IF(الإدخالات!C408="","",IF(الإدخالات!E408="","-",الإدخالات!E408))</f>
        <v/>
      </c>
      <c r="D408" t="str">
        <f>IF(الإدخالات!C408="","",الإدخالات!C408)</f>
        <v/>
      </c>
      <c r="E408" s="24" t="str">
        <f>IF(الإدخالات!C408="","",الإدخالات!D408)</f>
        <v/>
      </c>
      <c r="F408" t="str">
        <f>IF(الإدخالات!C408="","",IF(الإدخالات!G408="","",الإدخالات!G408))</f>
        <v/>
      </c>
      <c r="G408" t="str">
        <f>IF($B408&lt;&gt;"",SUMPRODUCT(($B$2:$B408&lt;&gt;"")*1),"")</f>
        <v/>
      </c>
    </row>
    <row r="409" spans="1:7">
      <c r="A409" s="23" t="str">
        <f>IF(الإدخالات!C409="","",الإدخالات!B409)</f>
        <v/>
      </c>
      <c r="B409" t="str">
        <f>IF(الإدخالات!C409="","","شراء")</f>
        <v/>
      </c>
      <c r="C409" t="str">
        <f>IF(الإدخالات!C409="","",IF(الإدخالات!E409="","-",الإدخالات!E409))</f>
        <v/>
      </c>
      <c r="D409" t="str">
        <f>IF(الإدخالات!C409="","",الإدخالات!C409)</f>
        <v/>
      </c>
      <c r="E409" s="24" t="str">
        <f>IF(الإدخالات!C409="","",الإدخالات!D409)</f>
        <v/>
      </c>
      <c r="F409" t="str">
        <f>IF(الإدخالات!C409="","",IF(الإدخالات!G409="","",الإدخالات!G409))</f>
        <v/>
      </c>
      <c r="G409" t="str">
        <f>IF($B409&lt;&gt;"",SUMPRODUCT(($B$2:$B409&lt;&gt;"")*1),"")</f>
        <v/>
      </c>
    </row>
    <row r="410" spans="1:7">
      <c r="A410" s="23" t="str">
        <f>IF(الإدخالات!C410="","",الإدخالات!B410)</f>
        <v/>
      </c>
      <c r="B410" t="str">
        <f>IF(الإدخالات!C410="","","شراء")</f>
        <v/>
      </c>
      <c r="C410" t="str">
        <f>IF(الإدخالات!C410="","",IF(الإدخالات!E410="","-",الإدخالات!E410))</f>
        <v/>
      </c>
      <c r="D410" t="str">
        <f>IF(الإدخالات!C410="","",الإدخالات!C410)</f>
        <v/>
      </c>
      <c r="E410" s="24" t="str">
        <f>IF(الإدخالات!C410="","",الإدخالات!D410)</f>
        <v/>
      </c>
      <c r="F410" t="str">
        <f>IF(الإدخالات!C410="","",IF(الإدخالات!G410="","",الإدخالات!G410))</f>
        <v/>
      </c>
      <c r="G410" t="str">
        <f>IF($B410&lt;&gt;"",SUMPRODUCT(($B$2:$B410&lt;&gt;"")*1),"")</f>
        <v/>
      </c>
    </row>
    <row r="411" spans="1:7">
      <c r="A411" s="23" t="str">
        <f>IF(الإدخالات!C411="","",الإدخالات!B411)</f>
        <v/>
      </c>
      <c r="B411" t="str">
        <f>IF(الإدخالات!C411="","","شراء")</f>
        <v/>
      </c>
      <c r="C411" t="str">
        <f>IF(الإدخالات!C411="","",IF(الإدخالات!E411="","-",الإدخالات!E411))</f>
        <v/>
      </c>
      <c r="D411" t="str">
        <f>IF(الإدخالات!C411="","",الإدخالات!C411)</f>
        <v/>
      </c>
      <c r="E411" s="24" t="str">
        <f>IF(الإدخالات!C411="","",الإدخالات!D411)</f>
        <v/>
      </c>
      <c r="F411" t="str">
        <f>IF(الإدخالات!C411="","",IF(الإدخالات!G411="","",الإدخالات!G411))</f>
        <v/>
      </c>
      <c r="G411" t="str">
        <f>IF($B411&lt;&gt;"",SUMPRODUCT(($B$2:$B411&lt;&gt;"")*1),"")</f>
        <v/>
      </c>
    </row>
    <row r="412" spans="1:7">
      <c r="A412" s="23" t="str">
        <f>IF(الإدخالات!C412="","",الإدخالات!B412)</f>
        <v/>
      </c>
      <c r="B412" t="str">
        <f>IF(الإدخالات!C412="","","شراء")</f>
        <v/>
      </c>
      <c r="C412" t="str">
        <f>IF(الإدخالات!C412="","",IF(الإدخالات!E412="","-",الإدخالات!E412))</f>
        <v/>
      </c>
      <c r="D412" t="str">
        <f>IF(الإدخالات!C412="","",الإدخالات!C412)</f>
        <v/>
      </c>
      <c r="E412" s="24" t="str">
        <f>IF(الإدخالات!C412="","",الإدخالات!D412)</f>
        <v/>
      </c>
      <c r="F412" t="str">
        <f>IF(الإدخالات!C412="","",IF(الإدخالات!G412="","",الإدخالات!G412))</f>
        <v/>
      </c>
      <c r="G412" t="str">
        <f>IF($B412&lt;&gt;"",SUMPRODUCT(($B$2:$B412&lt;&gt;"")*1),"")</f>
        <v/>
      </c>
    </row>
    <row r="413" spans="1:7">
      <c r="A413" s="23" t="str">
        <f>IF(الإدخالات!C413="","",الإدخالات!B413)</f>
        <v/>
      </c>
      <c r="B413" t="str">
        <f>IF(الإدخالات!C413="","","شراء")</f>
        <v/>
      </c>
      <c r="C413" t="str">
        <f>IF(الإدخالات!C413="","",IF(الإدخالات!E413="","-",الإدخالات!E413))</f>
        <v/>
      </c>
      <c r="D413" t="str">
        <f>IF(الإدخالات!C413="","",الإدخالات!C413)</f>
        <v/>
      </c>
      <c r="E413" s="24" t="str">
        <f>IF(الإدخالات!C413="","",الإدخالات!D413)</f>
        <v/>
      </c>
      <c r="F413" t="str">
        <f>IF(الإدخالات!C413="","",IF(الإدخالات!G413="","",الإدخالات!G413))</f>
        <v/>
      </c>
      <c r="G413" t="str">
        <f>IF($B413&lt;&gt;"",SUMPRODUCT(($B$2:$B413&lt;&gt;"")*1),"")</f>
        <v/>
      </c>
    </row>
    <row r="414" spans="1:7">
      <c r="A414" s="23" t="str">
        <f>IF(الإدخالات!C414="","",الإدخالات!B414)</f>
        <v/>
      </c>
      <c r="B414" t="str">
        <f>IF(الإدخالات!C414="","","شراء")</f>
        <v/>
      </c>
      <c r="C414" t="str">
        <f>IF(الإدخالات!C414="","",IF(الإدخالات!E414="","-",الإدخالات!E414))</f>
        <v/>
      </c>
      <c r="D414" t="str">
        <f>IF(الإدخالات!C414="","",الإدخالات!C414)</f>
        <v/>
      </c>
      <c r="E414" s="24" t="str">
        <f>IF(الإدخالات!C414="","",الإدخالات!D414)</f>
        <v/>
      </c>
      <c r="F414" t="str">
        <f>IF(الإدخالات!C414="","",IF(الإدخالات!G414="","",الإدخالات!G414))</f>
        <v/>
      </c>
      <c r="G414" t="str">
        <f>IF($B414&lt;&gt;"",SUMPRODUCT(($B$2:$B414&lt;&gt;"")*1),"")</f>
        <v/>
      </c>
    </row>
    <row r="415" spans="1:7">
      <c r="A415" s="23" t="str">
        <f>IF(الإدخالات!C415="","",الإدخالات!B415)</f>
        <v/>
      </c>
      <c r="B415" t="str">
        <f>IF(الإدخالات!C415="","","شراء")</f>
        <v/>
      </c>
      <c r="C415" t="str">
        <f>IF(الإدخالات!C415="","",IF(الإدخالات!E415="","-",الإدخالات!E415))</f>
        <v/>
      </c>
      <c r="D415" t="str">
        <f>IF(الإدخالات!C415="","",الإدخالات!C415)</f>
        <v/>
      </c>
      <c r="E415" s="24" t="str">
        <f>IF(الإدخالات!C415="","",الإدخالات!D415)</f>
        <v/>
      </c>
      <c r="F415" t="str">
        <f>IF(الإدخالات!C415="","",IF(الإدخالات!G415="","",الإدخالات!G415))</f>
        <v/>
      </c>
      <c r="G415" t="str">
        <f>IF($B415&lt;&gt;"",SUMPRODUCT(($B$2:$B415&lt;&gt;"")*1),"")</f>
        <v/>
      </c>
    </row>
    <row r="416" spans="1:7">
      <c r="A416" s="23" t="str">
        <f>IF(الإدخالات!C416="","",الإدخالات!B416)</f>
        <v/>
      </c>
      <c r="B416" t="str">
        <f>IF(الإدخالات!C416="","","شراء")</f>
        <v/>
      </c>
      <c r="C416" t="str">
        <f>IF(الإدخالات!C416="","",IF(الإدخالات!E416="","-",الإدخالات!E416))</f>
        <v/>
      </c>
      <c r="D416" t="str">
        <f>IF(الإدخالات!C416="","",الإدخالات!C416)</f>
        <v/>
      </c>
      <c r="E416" s="24" t="str">
        <f>IF(الإدخالات!C416="","",الإدخالات!D416)</f>
        <v/>
      </c>
      <c r="F416" t="str">
        <f>IF(الإدخالات!C416="","",IF(الإدخالات!G416="","",الإدخالات!G416))</f>
        <v/>
      </c>
      <c r="G416" t="str">
        <f>IF($B416&lt;&gt;"",SUMPRODUCT(($B$2:$B416&lt;&gt;"")*1),"")</f>
        <v/>
      </c>
    </row>
    <row r="417" spans="1:7">
      <c r="A417" s="23" t="str">
        <f>IF(الإدخالات!C417="","",الإدخالات!B417)</f>
        <v/>
      </c>
      <c r="B417" t="str">
        <f>IF(الإدخالات!C417="","","شراء")</f>
        <v/>
      </c>
      <c r="C417" t="str">
        <f>IF(الإدخالات!C417="","",IF(الإدخالات!E417="","-",الإدخالات!E417))</f>
        <v/>
      </c>
      <c r="D417" t="str">
        <f>IF(الإدخالات!C417="","",الإدخالات!C417)</f>
        <v/>
      </c>
      <c r="E417" s="24" t="str">
        <f>IF(الإدخالات!C417="","",الإدخالات!D417)</f>
        <v/>
      </c>
      <c r="F417" t="str">
        <f>IF(الإدخالات!C417="","",IF(الإدخالات!G417="","",الإدخالات!G417))</f>
        <v/>
      </c>
      <c r="G417" t="str">
        <f>IF($B417&lt;&gt;"",SUMPRODUCT(($B$2:$B417&lt;&gt;"")*1),"")</f>
        <v/>
      </c>
    </row>
    <row r="418" spans="1:7">
      <c r="A418" s="23" t="str">
        <f>IF(الإدخالات!C418="","",الإدخالات!B418)</f>
        <v/>
      </c>
      <c r="B418" t="str">
        <f>IF(الإدخالات!C418="","","شراء")</f>
        <v/>
      </c>
      <c r="C418" t="str">
        <f>IF(الإدخالات!C418="","",IF(الإدخالات!E418="","-",الإدخالات!E418))</f>
        <v/>
      </c>
      <c r="D418" t="str">
        <f>IF(الإدخالات!C418="","",الإدخالات!C418)</f>
        <v/>
      </c>
      <c r="E418" s="24" t="str">
        <f>IF(الإدخالات!C418="","",الإدخالات!D418)</f>
        <v/>
      </c>
      <c r="F418" t="str">
        <f>IF(الإدخالات!C418="","",IF(الإدخالات!G418="","",الإدخالات!G418))</f>
        <v/>
      </c>
      <c r="G418" t="str">
        <f>IF($B418&lt;&gt;"",SUMPRODUCT(($B$2:$B418&lt;&gt;"")*1),"")</f>
        <v/>
      </c>
    </row>
    <row r="419" spans="1:7">
      <c r="A419" s="23" t="str">
        <f>IF(الإدخالات!C419="","",الإدخالات!B419)</f>
        <v/>
      </c>
      <c r="B419" t="str">
        <f>IF(الإدخالات!C419="","","شراء")</f>
        <v/>
      </c>
      <c r="C419" t="str">
        <f>IF(الإدخالات!C419="","",IF(الإدخالات!E419="","-",الإدخالات!E419))</f>
        <v/>
      </c>
      <c r="D419" t="str">
        <f>IF(الإدخالات!C419="","",الإدخالات!C419)</f>
        <v/>
      </c>
      <c r="E419" s="24" t="str">
        <f>IF(الإدخالات!C419="","",الإدخالات!D419)</f>
        <v/>
      </c>
      <c r="F419" t="str">
        <f>IF(الإدخالات!C419="","",IF(الإدخالات!G419="","",الإدخالات!G419))</f>
        <v/>
      </c>
      <c r="G419" t="str">
        <f>IF($B419&lt;&gt;"",SUMPRODUCT(($B$2:$B419&lt;&gt;"")*1),"")</f>
        <v/>
      </c>
    </row>
    <row r="420" spans="1:7">
      <c r="A420" s="23" t="str">
        <f>IF(الإدخالات!C420="","",الإدخالات!B420)</f>
        <v/>
      </c>
      <c r="B420" t="str">
        <f>IF(الإدخالات!C420="","","شراء")</f>
        <v/>
      </c>
      <c r="C420" t="str">
        <f>IF(الإدخالات!C420="","",IF(الإدخالات!E420="","-",الإدخالات!E420))</f>
        <v/>
      </c>
      <c r="D420" t="str">
        <f>IF(الإدخالات!C420="","",الإدخالات!C420)</f>
        <v/>
      </c>
      <c r="E420" s="24" t="str">
        <f>IF(الإدخالات!C420="","",الإدخالات!D420)</f>
        <v/>
      </c>
      <c r="F420" t="str">
        <f>IF(الإدخالات!C420="","",IF(الإدخالات!G420="","",الإدخالات!G420))</f>
        <v/>
      </c>
      <c r="G420" t="str">
        <f>IF($B420&lt;&gt;"",SUMPRODUCT(($B$2:$B420&lt;&gt;"")*1),"")</f>
        <v/>
      </c>
    </row>
    <row r="421" spans="1:7">
      <c r="A421" s="23" t="str">
        <f>IF(الإدخالات!C421="","",الإدخالات!B421)</f>
        <v/>
      </c>
      <c r="B421" t="str">
        <f>IF(الإدخالات!C421="","","شراء")</f>
        <v/>
      </c>
      <c r="C421" t="str">
        <f>IF(الإدخالات!C421="","",IF(الإدخالات!E421="","-",الإدخالات!E421))</f>
        <v/>
      </c>
      <c r="D421" t="str">
        <f>IF(الإدخالات!C421="","",الإدخالات!C421)</f>
        <v/>
      </c>
      <c r="E421" s="24" t="str">
        <f>IF(الإدخالات!C421="","",الإدخالات!D421)</f>
        <v/>
      </c>
      <c r="F421" t="str">
        <f>IF(الإدخالات!C421="","",IF(الإدخالات!G421="","",الإدخالات!G421))</f>
        <v/>
      </c>
      <c r="G421" t="str">
        <f>IF($B421&lt;&gt;"",SUMPRODUCT(($B$2:$B421&lt;&gt;"")*1),"")</f>
        <v/>
      </c>
    </row>
    <row r="422" spans="1:7">
      <c r="A422" s="23" t="str">
        <f>IF(الإدخالات!C422="","",الإدخالات!B422)</f>
        <v/>
      </c>
      <c r="B422" t="str">
        <f>IF(الإدخالات!C422="","","شراء")</f>
        <v/>
      </c>
      <c r="C422" t="str">
        <f>IF(الإدخالات!C422="","",IF(الإدخالات!E422="","-",الإدخالات!E422))</f>
        <v/>
      </c>
      <c r="D422" t="str">
        <f>IF(الإدخالات!C422="","",الإدخالات!C422)</f>
        <v/>
      </c>
      <c r="E422" s="24" t="str">
        <f>IF(الإدخالات!C422="","",الإدخالات!D422)</f>
        <v/>
      </c>
      <c r="F422" t="str">
        <f>IF(الإدخالات!C422="","",IF(الإدخالات!G422="","",الإدخالات!G422))</f>
        <v/>
      </c>
      <c r="G422" t="str">
        <f>IF($B422&lt;&gt;"",SUMPRODUCT(($B$2:$B422&lt;&gt;"")*1),"")</f>
        <v/>
      </c>
    </row>
    <row r="423" spans="1:7">
      <c r="A423" s="23" t="str">
        <f>IF(الإدخالات!C423="","",الإدخالات!B423)</f>
        <v/>
      </c>
      <c r="B423" t="str">
        <f>IF(الإدخالات!C423="","","شراء")</f>
        <v/>
      </c>
      <c r="C423" t="str">
        <f>IF(الإدخالات!C423="","",IF(الإدخالات!E423="","-",الإدخالات!E423))</f>
        <v/>
      </c>
      <c r="D423" t="str">
        <f>IF(الإدخالات!C423="","",الإدخالات!C423)</f>
        <v/>
      </c>
      <c r="E423" s="24" t="str">
        <f>IF(الإدخالات!C423="","",الإدخالات!D423)</f>
        <v/>
      </c>
      <c r="F423" t="str">
        <f>IF(الإدخالات!C423="","",IF(الإدخالات!G423="","",الإدخالات!G423))</f>
        <v/>
      </c>
      <c r="G423" t="str">
        <f>IF($B423&lt;&gt;"",SUMPRODUCT(($B$2:$B423&lt;&gt;"")*1),"")</f>
        <v/>
      </c>
    </row>
    <row r="424" spans="1:7">
      <c r="A424" s="23" t="str">
        <f>IF(الإدخالات!C424="","",الإدخالات!B424)</f>
        <v/>
      </c>
      <c r="B424" t="str">
        <f>IF(الإدخالات!C424="","","شراء")</f>
        <v/>
      </c>
      <c r="C424" t="str">
        <f>IF(الإدخالات!C424="","",IF(الإدخالات!E424="","-",الإدخالات!E424))</f>
        <v/>
      </c>
      <c r="D424" t="str">
        <f>IF(الإدخالات!C424="","",الإدخالات!C424)</f>
        <v/>
      </c>
      <c r="E424" s="24" t="str">
        <f>IF(الإدخالات!C424="","",الإدخالات!D424)</f>
        <v/>
      </c>
      <c r="F424" t="str">
        <f>IF(الإدخالات!C424="","",IF(الإدخالات!G424="","",الإدخالات!G424))</f>
        <v/>
      </c>
      <c r="G424" t="str">
        <f>IF($B424&lt;&gt;"",SUMPRODUCT(($B$2:$B424&lt;&gt;"")*1),"")</f>
        <v/>
      </c>
    </row>
    <row r="425" spans="1:7">
      <c r="A425" s="23" t="str">
        <f>IF(الإدخالات!C425="","",الإدخالات!B425)</f>
        <v/>
      </c>
      <c r="B425" t="str">
        <f>IF(الإدخالات!C425="","","شراء")</f>
        <v/>
      </c>
      <c r="C425" t="str">
        <f>IF(الإدخالات!C425="","",IF(الإدخالات!E425="","-",الإدخالات!E425))</f>
        <v/>
      </c>
      <c r="D425" t="str">
        <f>IF(الإدخالات!C425="","",الإدخالات!C425)</f>
        <v/>
      </c>
      <c r="E425" s="24" t="str">
        <f>IF(الإدخالات!C425="","",الإدخالات!D425)</f>
        <v/>
      </c>
      <c r="F425" t="str">
        <f>IF(الإدخالات!C425="","",IF(الإدخالات!G425="","",الإدخالات!G425))</f>
        <v/>
      </c>
      <c r="G425" t="str">
        <f>IF($B425&lt;&gt;"",SUMPRODUCT(($B$2:$B425&lt;&gt;"")*1),"")</f>
        <v/>
      </c>
    </row>
    <row r="426" spans="1:7">
      <c r="A426" s="23" t="str">
        <f>IF(الإدخالات!C426="","",الإدخالات!B426)</f>
        <v/>
      </c>
      <c r="B426" t="str">
        <f>IF(الإدخالات!C426="","","شراء")</f>
        <v/>
      </c>
      <c r="C426" t="str">
        <f>IF(الإدخالات!C426="","",IF(الإدخالات!E426="","-",الإدخالات!E426))</f>
        <v/>
      </c>
      <c r="D426" t="str">
        <f>IF(الإدخالات!C426="","",الإدخالات!C426)</f>
        <v/>
      </c>
      <c r="E426" s="24" t="str">
        <f>IF(الإدخالات!C426="","",الإدخالات!D426)</f>
        <v/>
      </c>
      <c r="F426" t="str">
        <f>IF(الإدخالات!C426="","",IF(الإدخالات!G426="","",الإدخالات!G426))</f>
        <v/>
      </c>
      <c r="G426" t="str">
        <f>IF($B426&lt;&gt;"",SUMPRODUCT(($B$2:$B426&lt;&gt;"")*1),"")</f>
        <v/>
      </c>
    </row>
    <row r="427" spans="1:7">
      <c r="A427" s="23" t="str">
        <f>IF(الإدخالات!C427="","",الإدخالات!B427)</f>
        <v/>
      </c>
      <c r="B427" t="str">
        <f>IF(الإدخالات!C427="","","شراء")</f>
        <v/>
      </c>
      <c r="C427" t="str">
        <f>IF(الإدخالات!C427="","",IF(الإدخالات!E427="","-",الإدخالات!E427))</f>
        <v/>
      </c>
      <c r="D427" t="str">
        <f>IF(الإدخالات!C427="","",الإدخالات!C427)</f>
        <v/>
      </c>
      <c r="E427" s="24" t="str">
        <f>IF(الإدخالات!C427="","",الإدخالات!D427)</f>
        <v/>
      </c>
      <c r="F427" t="str">
        <f>IF(الإدخالات!C427="","",IF(الإدخالات!G427="","",الإدخالات!G427))</f>
        <v/>
      </c>
      <c r="G427" t="str">
        <f>IF($B427&lt;&gt;"",SUMPRODUCT(($B$2:$B427&lt;&gt;"")*1),"")</f>
        <v/>
      </c>
    </row>
    <row r="428" spans="1:7">
      <c r="A428" s="23" t="str">
        <f>IF(الإدخالات!C428="","",الإدخالات!B428)</f>
        <v/>
      </c>
      <c r="B428" t="str">
        <f>IF(الإدخالات!C428="","","شراء")</f>
        <v/>
      </c>
      <c r="C428" t="str">
        <f>IF(الإدخالات!C428="","",IF(الإدخالات!E428="","-",الإدخالات!E428))</f>
        <v/>
      </c>
      <c r="D428" t="str">
        <f>IF(الإدخالات!C428="","",الإدخالات!C428)</f>
        <v/>
      </c>
      <c r="E428" s="24" t="str">
        <f>IF(الإدخالات!C428="","",الإدخالات!D428)</f>
        <v/>
      </c>
      <c r="F428" t="str">
        <f>IF(الإدخالات!C428="","",IF(الإدخالات!G428="","",الإدخالات!G428))</f>
        <v/>
      </c>
      <c r="G428" t="str">
        <f>IF($B428&lt;&gt;"",SUMPRODUCT(($B$2:$B428&lt;&gt;"")*1),"")</f>
        <v/>
      </c>
    </row>
    <row r="429" spans="1:7">
      <c r="A429" s="23" t="str">
        <f>IF(الإدخالات!C429="","",الإدخالات!B429)</f>
        <v/>
      </c>
      <c r="B429" t="str">
        <f>IF(الإدخالات!C429="","","شراء")</f>
        <v/>
      </c>
      <c r="C429" t="str">
        <f>IF(الإدخالات!C429="","",IF(الإدخالات!E429="","-",الإدخالات!E429))</f>
        <v/>
      </c>
      <c r="D429" t="str">
        <f>IF(الإدخالات!C429="","",الإدخالات!C429)</f>
        <v/>
      </c>
      <c r="E429" s="24" t="str">
        <f>IF(الإدخالات!C429="","",الإدخالات!D429)</f>
        <v/>
      </c>
      <c r="F429" t="str">
        <f>IF(الإدخالات!C429="","",IF(الإدخالات!G429="","",الإدخالات!G429))</f>
        <v/>
      </c>
      <c r="G429" t="str">
        <f>IF($B429&lt;&gt;"",SUMPRODUCT(($B$2:$B429&lt;&gt;"")*1),"")</f>
        <v/>
      </c>
    </row>
    <row r="430" spans="1:7">
      <c r="A430" s="23" t="str">
        <f>IF(الإدخالات!C430="","",الإدخالات!B430)</f>
        <v/>
      </c>
      <c r="B430" t="str">
        <f>IF(الإدخالات!C430="","","شراء")</f>
        <v/>
      </c>
      <c r="C430" t="str">
        <f>IF(الإدخالات!C430="","",IF(الإدخالات!E430="","-",الإدخالات!E430))</f>
        <v/>
      </c>
      <c r="D430" t="str">
        <f>IF(الإدخالات!C430="","",الإدخالات!C430)</f>
        <v/>
      </c>
      <c r="E430" s="24" t="str">
        <f>IF(الإدخالات!C430="","",الإدخالات!D430)</f>
        <v/>
      </c>
      <c r="F430" t="str">
        <f>IF(الإدخالات!C430="","",IF(الإدخالات!G430="","",الإدخالات!G430))</f>
        <v/>
      </c>
      <c r="G430" t="str">
        <f>IF($B430&lt;&gt;"",SUMPRODUCT(($B$2:$B430&lt;&gt;"")*1),"")</f>
        <v/>
      </c>
    </row>
    <row r="431" spans="1:7">
      <c r="A431" s="23" t="str">
        <f>IF(الإدخالات!C431="","",الإدخالات!B431)</f>
        <v/>
      </c>
      <c r="B431" t="str">
        <f>IF(الإدخالات!C431="","","شراء")</f>
        <v/>
      </c>
      <c r="C431" t="str">
        <f>IF(الإدخالات!C431="","",IF(الإدخالات!E431="","-",الإدخالات!E431))</f>
        <v/>
      </c>
      <c r="D431" t="str">
        <f>IF(الإدخالات!C431="","",الإدخالات!C431)</f>
        <v/>
      </c>
      <c r="E431" s="24" t="str">
        <f>IF(الإدخالات!C431="","",الإدخالات!D431)</f>
        <v/>
      </c>
      <c r="F431" t="str">
        <f>IF(الإدخالات!C431="","",IF(الإدخالات!G431="","",الإدخالات!G431))</f>
        <v/>
      </c>
      <c r="G431" t="str">
        <f>IF($B431&lt;&gt;"",SUMPRODUCT(($B$2:$B431&lt;&gt;"")*1),"")</f>
        <v/>
      </c>
    </row>
    <row r="432" spans="1:7">
      <c r="A432" s="23" t="str">
        <f>IF(الإدخالات!C432="","",الإدخالات!B432)</f>
        <v/>
      </c>
      <c r="B432" t="str">
        <f>IF(الإدخالات!C432="","","شراء")</f>
        <v/>
      </c>
      <c r="C432" t="str">
        <f>IF(الإدخالات!C432="","",IF(الإدخالات!E432="","-",الإدخالات!E432))</f>
        <v/>
      </c>
      <c r="D432" t="str">
        <f>IF(الإدخالات!C432="","",الإدخالات!C432)</f>
        <v/>
      </c>
      <c r="E432" s="24" t="str">
        <f>IF(الإدخالات!C432="","",الإدخالات!D432)</f>
        <v/>
      </c>
      <c r="F432" t="str">
        <f>IF(الإدخالات!C432="","",IF(الإدخالات!G432="","",الإدخالات!G432))</f>
        <v/>
      </c>
      <c r="G432" t="str">
        <f>IF($B432&lt;&gt;"",SUMPRODUCT(($B$2:$B432&lt;&gt;"")*1),"")</f>
        <v/>
      </c>
    </row>
    <row r="433" spans="1:7">
      <c r="A433" s="23" t="str">
        <f>IF(الإدخالات!C433="","",الإدخالات!B433)</f>
        <v/>
      </c>
      <c r="B433" t="str">
        <f>IF(الإدخالات!C433="","","شراء")</f>
        <v/>
      </c>
      <c r="C433" t="str">
        <f>IF(الإدخالات!C433="","",IF(الإدخالات!E433="","-",الإدخالات!E433))</f>
        <v/>
      </c>
      <c r="D433" t="str">
        <f>IF(الإدخالات!C433="","",الإدخالات!C433)</f>
        <v/>
      </c>
      <c r="E433" s="24" t="str">
        <f>IF(الإدخالات!C433="","",الإدخالات!D433)</f>
        <v/>
      </c>
      <c r="F433" t="str">
        <f>IF(الإدخالات!C433="","",IF(الإدخالات!G433="","",الإدخالات!G433))</f>
        <v/>
      </c>
      <c r="G433" t="str">
        <f>IF($B433&lt;&gt;"",SUMPRODUCT(($B$2:$B433&lt;&gt;"")*1),"")</f>
        <v/>
      </c>
    </row>
    <row r="434" spans="1:7">
      <c r="A434" s="23" t="str">
        <f>IF(الإدخالات!C434="","",الإدخالات!B434)</f>
        <v/>
      </c>
      <c r="B434" t="str">
        <f>IF(الإدخالات!C434="","","شراء")</f>
        <v/>
      </c>
      <c r="C434" t="str">
        <f>IF(الإدخالات!C434="","",IF(الإدخالات!E434="","-",الإدخالات!E434))</f>
        <v/>
      </c>
      <c r="D434" t="str">
        <f>IF(الإدخالات!C434="","",الإدخالات!C434)</f>
        <v/>
      </c>
      <c r="E434" s="24" t="str">
        <f>IF(الإدخالات!C434="","",الإدخالات!D434)</f>
        <v/>
      </c>
      <c r="F434" t="str">
        <f>IF(الإدخالات!C434="","",IF(الإدخالات!G434="","",الإدخالات!G434))</f>
        <v/>
      </c>
      <c r="G434" t="str">
        <f>IF($B434&lt;&gt;"",SUMPRODUCT(($B$2:$B434&lt;&gt;"")*1),"")</f>
        <v/>
      </c>
    </row>
    <row r="435" spans="1:7">
      <c r="A435" s="23" t="str">
        <f>IF(الإدخالات!C435="","",الإدخالات!B435)</f>
        <v/>
      </c>
      <c r="B435" t="str">
        <f>IF(الإدخالات!C435="","","شراء")</f>
        <v/>
      </c>
      <c r="C435" t="str">
        <f>IF(الإدخالات!C435="","",IF(الإدخالات!E435="","-",الإدخالات!E435))</f>
        <v/>
      </c>
      <c r="D435" t="str">
        <f>IF(الإدخالات!C435="","",الإدخالات!C435)</f>
        <v/>
      </c>
      <c r="E435" s="24" t="str">
        <f>IF(الإدخالات!C435="","",الإدخالات!D435)</f>
        <v/>
      </c>
      <c r="F435" t="str">
        <f>IF(الإدخالات!C435="","",IF(الإدخالات!G435="","",الإدخالات!G435))</f>
        <v/>
      </c>
      <c r="G435" t="str">
        <f>IF($B435&lt;&gt;"",SUMPRODUCT(($B$2:$B435&lt;&gt;"")*1),"")</f>
        <v/>
      </c>
    </row>
    <row r="436" spans="1:7">
      <c r="A436" s="23" t="str">
        <f>IF(الإدخالات!C436="","",الإدخالات!B436)</f>
        <v/>
      </c>
      <c r="B436" t="str">
        <f>IF(الإدخالات!C436="","","شراء")</f>
        <v/>
      </c>
      <c r="C436" t="str">
        <f>IF(الإدخالات!C436="","",IF(الإدخالات!E436="","-",الإدخالات!E436))</f>
        <v/>
      </c>
      <c r="D436" t="str">
        <f>IF(الإدخالات!C436="","",الإدخالات!C436)</f>
        <v/>
      </c>
      <c r="E436" s="24" t="str">
        <f>IF(الإدخالات!C436="","",الإدخالات!D436)</f>
        <v/>
      </c>
      <c r="F436" t="str">
        <f>IF(الإدخالات!C436="","",IF(الإدخالات!G436="","",الإدخالات!G436))</f>
        <v/>
      </c>
      <c r="G436" t="str">
        <f>IF($B436&lt;&gt;"",SUMPRODUCT(($B$2:$B436&lt;&gt;"")*1),"")</f>
        <v/>
      </c>
    </row>
    <row r="437" spans="1:7">
      <c r="A437" s="23" t="str">
        <f>IF(الإدخالات!C437="","",الإدخالات!B437)</f>
        <v/>
      </c>
      <c r="B437" t="str">
        <f>IF(الإدخالات!C437="","","شراء")</f>
        <v/>
      </c>
      <c r="C437" t="str">
        <f>IF(الإدخالات!C437="","",IF(الإدخالات!E437="","-",الإدخالات!E437))</f>
        <v/>
      </c>
      <c r="D437" t="str">
        <f>IF(الإدخالات!C437="","",الإدخالات!C437)</f>
        <v/>
      </c>
      <c r="E437" s="24" t="str">
        <f>IF(الإدخالات!C437="","",الإدخالات!D437)</f>
        <v/>
      </c>
      <c r="F437" t="str">
        <f>IF(الإدخالات!C437="","",IF(الإدخالات!G437="","",الإدخالات!G437))</f>
        <v/>
      </c>
      <c r="G437" t="str">
        <f>IF($B437&lt;&gt;"",SUMPRODUCT(($B$2:$B437&lt;&gt;"")*1),"")</f>
        <v/>
      </c>
    </row>
    <row r="438" spans="1:7">
      <c r="A438" s="23" t="str">
        <f>IF(الإدخالات!C438="","",الإدخالات!B438)</f>
        <v/>
      </c>
      <c r="B438" t="str">
        <f>IF(الإدخالات!C438="","","شراء")</f>
        <v/>
      </c>
      <c r="C438" t="str">
        <f>IF(الإدخالات!C438="","",IF(الإدخالات!E438="","-",الإدخالات!E438))</f>
        <v/>
      </c>
      <c r="D438" t="str">
        <f>IF(الإدخالات!C438="","",الإدخالات!C438)</f>
        <v/>
      </c>
      <c r="E438" s="24" t="str">
        <f>IF(الإدخالات!C438="","",الإدخالات!D438)</f>
        <v/>
      </c>
      <c r="F438" t="str">
        <f>IF(الإدخالات!C438="","",IF(الإدخالات!G438="","",الإدخالات!G438))</f>
        <v/>
      </c>
      <c r="G438" t="str">
        <f>IF($B438&lt;&gt;"",SUMPRODUCT(($B$2:$B438&lt;&gt;"")*1),"")</f>
        <v/>
      </c>
    </row>
    <row r="439" spans="1:7">
      <c r="A439" s="23" t="str">
        <f>IF(الإدخالات!C439="","",الإدخالات!B439)</f>
        <v/>
      </c>
      <c r="B439" t="str">
        <f>IF(الإدخالات!C439="","","شراء")</f>
        <v/>
      </c>
      <c r="C439" t="str">
        <f>IF(الإدخالات!C439="","",IF(الإدخالات!E439="","-",الإدخالات!E439))</f>
        <v/>
      </c>
      <c r="D439" t="str">
        <f>IF(الإدخالات!C439="","",الإدخالات!C439)</f>
        <v/>
      </c>
      <c r="E439" s="24" t="str">
        <f>IF(الإدخالات!C439="","",الإدخالات!D439)</f>
        <v/>
      </c>
      <c r="F439" t="str">
        <f>IF(الإدخالات!C439="","",IF(الإدخالات!G439="","",الإدخالات!G439))</f>
        <v/>
      </c>
      <c r="G439" t="str">
        <f>IF($B439&lt;&gt;"",SUMPRODUCT(($B$2:$B439&lt;&gt;"")*1),"")</f>
        <v/>
      </c>
    </row>
    <row r="440" spans="1:7">
      <c r="A440" s="23" t="str">
        <f>IF(الإدخالات!C440="","",الإدخالات!B440)</f>
        <v/>
      </c>
      <c r="B440" t="str">
        <f>IF(الإدخالات!C440="","","شراء")</f>
        <v/>
      </c>
      <c r="C440" t="str">
        <f>IF(الإدخالات!C440="","",IF(الإدخالات!E440="","-",الإدخالات!E440))</f>
        <v/>
      </c>
      <c r="D440" t="str">
        <f>IF(الإدخالات!C440="","",الإدخالات!C440)</f>
        <v/>
      </c>
      <c r="E440" s="24" t="str">
        <f>IF(الإدخالات!C440="","",الإدخالات!D440)</f>
        <v/>
      </c>
      <c r="F440" t="str">
        <f>IF(الإدخالات!C440="","",IF(الإدخالات!G440="","",الإدخالات!G440))</f>
        <v/>
      </c>
      <c r="G440" t="str">
        <f>IF($B440&lt;&gt;"",SUMPRODUCT(($B$2:$B440&lt;&gt;"")*1),"")</f>
        <v/>
      </c>
    </row>
    <row r="441" spans="1:7">
      <c r="A441" s="23" t="str">
        <f>IF(الإدخالات!C441="","",الإدخالات!B441)</f>
        <v/>
      </c>
      <c r="B441" t="str">
        <f>IF(الإدخالات!C441="","","شراء")</f>
        <v/>
      </c>
      <c r="C441" t="str">
        <f>IF(الإدخالات!C441="","",IF(الإدخالات!E441="","-",الإدخالات!E441))</f>
        <v/>
      </c>
      <c r="D441" t="str">
        <f>IF(الإدخالات!C441="","",الإدخالات!C441)</f>
        <v/>
      </c>
      <c r="E441" s="24" t="str">
        <f>IF(الإدخالات!C441="","",الإدخالات!D441)</f>
        <v/>
      </c>
      <c r="F441" t="str">
        <f>IF(الإدخالات!C441="","",IF(الإدخالات!G441="","",الإدخالات!G441))</f>
        <v/>
      </c>
      <c r="G441" t="str">
        <f>IF($B441&lt;&gt;"",SUMPRODUCT(($B$2:$B441&lt;&gt;"")*1),"")</f>
        <v/>
      </c>
    </row>
    <row r="442" spans="1:7">
      <c r="A442" s="23" t="str">
        <f>IF(الإدخالات!C442="","",الإدخالات!B442)</f>
        <v/>
      </c>
      <c r="B442" t="str">
        <f>IF(الإدخالات!C442="","","شراء")</f>
        <v/>
      </c>
      <c r="C442" t="str">
        <f>IF(الإدخالات!C442="","",IF(الإدخالات!E442="","-",الإدخالات!E442))</f>
        <v/>
      </c>
      <c r="D442" t="str">
        <f>IF(الإدخالات!C442="","",الإدخالات!C442)</f>
        <v/>
      </c>
      <c r="E442" s="24" t="str">
        <f>IF(الإدخالات!C442="","",الإدخالات!D442)</f>
        <v/>
      </c>
      <c r="F442" t="str">
        <f>IF(الإدخالات!C442="","",IF(الإدخالات!G442="","",الإدخالات!G442))</f>
        <v/>
      </c>
      <c r="G442" t="str">
        <f>IF($B442&lt;&gt;"",SUMPRODUCT(($B$2:$B442&lt;&gt;"")*1),"")</f>
        <v/>
      </c>
    </row>
    <row r="443" spans="1:7">
      <c r="A443" s="23" t="str">
        <f>IF(الإدخالات!C443="","",الإدخالات!B443)</f>
        <v/>
      </c>
      <c r="B443" t="str">
        <f>IF(الإدخالات!C443="","","شراء")</f>
        <v/>
      </c>
      <c r="C443" t="str">
        <f>IF(الإدخالات!C443="","",IF(الإدخالات!E443="","-",الإدخالات!E443))</f>
        <v/>
      </c>
      <c r="D443" t="str">
        <f>IF(الإدخالات!C443="","",الإدخالات!C443)</f>
        <v/>
      </c>
      <c r="E443" s="24" t="str">
        <f>IF(الإدخالات!C443="","",الإدخالات!D443)</f>
        <v/>
      </c>
      <c r="F443" t="str">
        <f>IF(الإدخالات!C443="","",IF(الإدخالات!G443="","",الإدخالات!G443))</f>
        <v/>
      </c>
      <c r="G443" t="str">
        <f>IF($B443&lt;&gt;"",SUMPRODUCT(($B$2:$B443&lt;&gt;"")*1),"")</f>
        <v/>
      </c>
    </row>
    <row r="444" spans="1:7">
      <c r="A444" s="23" t="str">
        <f>IF(الإدخالات!C444="","",الإدخالات!B444)</f>
        <v/>
      </c>
      <c r="B444" t="str">
        <f>IF(الإدخالات!C444="","","شراء")</f>
        <v/>
      </c>
      <c r="C444" t="str">
        <f>IF(الإدخالات!C444="","",IF(الإدخالات!E444="","-",الإدخالات!E444))</f>
        <v/>
      </c>
      <c r="D444" t="str">
        <f>IF(الإدخالات!C444="","",الإدخالات!C444)</f>
        <v/>
      </c>
      <c r="E444" s="24" t="str">
        <f>IF(الإدخالات!C444="","",الإدخالات!D444)</f>
        <v/>
      </c>
      <c r="F444" t="str">
        <f>IF(الإدخالات!C444="","",IF(الإدخالات!G444="","",الإدخالات!G444))</f>
        <v/>
      </c>
      <c r="G444" t="str">
        <f>IF($B444&lt;&gt;"",SUMPRODUCT(($B$2:$B444&lt;&gt;"")*1),"")</f>
        <v/>
      </c>
    </row>
    <row r="445" spans="1:7">
      <c r="A445" s="23" t="str">
        <f>IF(الإدخالات!C445="","",الإدخالات!B445)</f>
        <v/>
      </c>
      <c r="B445" t="str">
        <f>IF(الإدخالات!C445="","","شراء")</f>
        <v/>
      </c>
      <c r="C445" t="str">
        <f>IF(الإدخالات!C445="","",IF(الإدخالات!E445="","-",الإدخالات!E445))</f>
        <v/>
      </c>
      <c r="D445" t="str">
        <f>IF(الإدخالات!C445="","",الإدخالات!C445)</f>
        <v/>
      </c>
      <c r="E445" s="24" t="str">
        <f>IF(الإدخالات!C445="","",الإدخالات!D445)</f>
        <v/>
      </c>
      <c r="F445" t="str">
        <f>IF(الإدخالات!C445="","",IF(الإدخالات!G445="","",الإدخالات!G445))</f>
        <v/>
      </c>
      <c r="G445" t="str">
        <f>IF($B445&lt;&gt;"",SUMPRODUCT(($B$2:$B445&lt;&gt;"")*1),"")</f>
        <v/>
      </c>
    </row>
    <row r="446" spans="1:7">
      <c r="A446" s="23" t="str">
        <f>IF(الإدخالات!C446="","",الإدخالات!B446)</f>
        <v/>
      </c>
      <c r="B446" t="str">
        <f>IF(الإدخالات!C446="","","شراء")</f>
        <v/>
      </c>
      <c r="C446" t="str">
        <f>IF(الإدخالات!C446="","",IF(الإدخالات!E446="","-",الإدخالات!E446))</f>
        <v/>
      </c>
      <c r="D446" t="str">
        <f>IF(الإدخالات!C446="","",الإدخالات!C446)</f>
        <v/>
      </c>
      <c r="E446" s="24" t="str">
        <f>IF(الإدخالات!C446="","",الإدخالات!D446)</f>
        <v/>
      </c>
      <c r="F446" t="str">
        <f>IF(الإدخالات!C446="","",IF(الإدخالات!G446="","",الإدخالات!G446))</f>
        <v/>
      </c>
      <c r="G446" t="str">
        <f>IF($B446&lt;&gt;"",SUMPRODUCT(($B$2:$B446&lt;&gt;"")*1),"")</f>
        <v/>
      </c>
    </row>
    <row r="447" spans="1:7">
      <c r="A447" s="23" t="str">
        <f>IF(الإدخالات!C447="","",الإدخالات!B447)</f>
        <v/>
      </c>
      <c r="B447" t="str">
        <f>IF(الإدخالات!C447="","","شراء")</f>
        <v/>
      </c>
      <c r="C447" t="str">
        <f>IF(الإدخالات!C447="","",IF(الإدخالات!E447="","-",الإدخالات!E447))</f>
        <v/>
      </c>
      <c r="D447" t="str">
        <f>IF(الإدخالات!C447="","",الإدخالات!C447)</f>
        <v/>
      </c>
      <c r="E447" s="24" t="str">
        <f>IF(الإدخالات!C447="","",الإدخالات!D447)</f>
        <v/>
      </c>
      <c r="F447" t="str">
        <f>IF(الإدخالات!C447="","",IF(الإدخالات!G447="","",الإدخالات!G447))</f>
        <v/>
      </c>
      <c r="G447" t="str">
        <f>IF($B447&lt;&gt;"",SUMPRODUCT(($B$2:$B447&lt;&gt;"")*1),"")</f>
        <v/>
      </c>
    </row>
    <row r="448" spans="1:7">
      <c r="A448" s="23" t="str">
        <f>IF(الإدخالات!C448="","",الإدخالات!B448)</f>
        <v/>
      </c>
      <c r="B448" t="str">
        <f>IF(الإدخالات!C448="","","شراء")</f>
        <v/>
      </c>
      <c r="C448" t="str">
        <f>IF(الإدخالات!C448="","",IF(الإدخالات!E448="","-",الإدخالات!E448))</f>
        <v/>
      </c>
      <c r="D448" t="str">
        <f>IF(الإدخالات!C448="","",الإدخالات!C448)</f>
        <v/>
      </c>
      <c r="E448" s="24" t="str">
        <f>IF(الإدخالات!C448="","",الإدخالات!D448)</f>
        <v/>
      </c>
      <c r="F448" t="str">
        <f>IF(الإدخالات!C448="","",IF(الإدخالات!G448="","",الإدخالات!G448))</f>
        <v/>
      </c>
      <c r="G448" t="str">
        <f>IF($B448&lt;&gt;"",SUMPRODUCT(($B$2:$B448&lt;&gt;"")*1),"")</f>
        <v/>
      </c>
    </row>
    <row r="449" spans="1:7">
      <c r="A449" s="23" t="str">
        <f>IF(الإدخالات!C449="","",الإدخالات!B449)</f>
        <v/>
      </c>
      <c r="B449" t="str">
        <f>IF(الإدخالات!C449="","","شراء")</f>
        <v/>
      </c>
      <c r="C449" t="str">
        <f>IF(الإدخالات!C449="","",IF(الإدخالات!E449="","-",الإدخالات!E449))</f>
        <v/>
      </c>
      <c r="D449" t="str">
        <f>IF(الإدخالات!C449="","",الإدخالات!C449)</f>
        <v/>
      </c>
      <c r="E449" s="24" t="str">
        <f>IF(الإدخالات!C449="","",الإدخالات!D449)</f>
        <v/>
      </c>
      <c r="F449" t="str">
        <f>IF(الإدخالات!C449="","",IF(الإدخالات!G449="","",الإدخالات!G449))</f>
        <v/>
      </c>
      <c r="G449" t="str">
        <f>IF($B449&lt;&gt;"",SUMPRODUCT(($B$2:$B449&lt;&gt;"")*1),"")</f>
        <v/>
      </c>
    </row>
    <row r="450" spans="1:7">
      <c r="A450" s="23" t="str">
        <f>IF(الإدخالات!C450="","",الإدخالات!B450)</f>
        <v/>
      </c>
      <c r="B450" t="str">
        <f>IF(الإدخالات!C450="","","شراء")</f>
        <v/>
      </c>
      <c r="C450" t="str">
        <f>IF(الإدخالات!C450="","",IF(الإدخالات!E450="","-",الإدخالات!E450))</f>
        <v/>
      </c>
      <c r="D450" t="str">
        <f>IF(الإدخالات!C450="","",الإدخالات!C450)</f>
        <v/>
      </c>
      <c r="E450" s="24" t="str">
        <f>IF(الإدخالات!C450="","",الإدخالات!D450)</f>
        <v/>
      </c>
      <c r="F450" t="str">
        <f>IF(الإدخالات!C450="","",IF(الإدخالات!G450="","",الإدخالات!G450))</f>
        <v/>
      </c>
      <c r="G450" t="str">
        <f>IF($B450&lt;&gt;"",SUMPRODUCT(($B$2:$B450&lt;&gt;"")*1),"")</f>
        <v/>
      </c>
    </row>
    <row r="451" spans="1:7">
      <c r="A451" s="23" t="str">
        <f>IF(الإدخالات!C451="","",الإدخالات!B451)</f>
        <v/>
      </c>
      <c r="B451" t="str">
        <f>IF(الإدخالات!C451="","","شراء")</f>
        <v/>
      </c>
      <c r="C451" t="str">
        <f>IF(الإدخالات!C451="","",IF(الإدخالات!E451="","-",الإدخالات!E451))</f>
        <v/>
      </c>
      <c r="D451" t="str">
        <f>IF(الإدخالات!C451="","",الإدخالات!C451)</f>
        <v/>
      </c>
      <c r="E451" s="24" t="str">
        <f>IF(الإدخالات!C451="","",الإدخالات!D451)</f>
        <v/>
      </c>
      <c r="F451" t="str">
        <f>IF(الإدخالات!C451="","",IF(الإدخالات!G451="","",الإدخالات!G451))</f>
        <v/>
      </c>
      <c r="G451" t="str">
        <f>IF($B451&lt;&gt;"",SUMPRODUCT(($B$2:$B451&lt;&gt;"")*1),"")</f>
        <v/>
      </c>
    </row>
    <row r="452" spans="1:7">
      <c r="A452" s="23" t="str">
        <f>IF(الإدخالات!C452="","",الإدخالات!B452)</f>
        <v/>
      </c>
      <c r="B452" t="str">
        <f>IF(الإدخالات!C452="","","شراء")</f>
        <v/>
      </c>
      <c r="C452" t="str">
        <f>IF(الإدخالات!C452="","",IF(الإدخالات!E452="","-",الإدخالات!E452))</f>
        <v/>
      </c>
      <c r="D452" t="str">
        <f>IF(الإدخالات!C452="","",الإدخالات!C452)</f>
        <v/>
      </c>
      <c r="E452" s="24" t="str">
        <f>IF(الإدخالات!C452="","",الإدخالات!D452)</f>
        <v/>
      </c>
      <c r="F452" t="str">
        <f>IF(الإدخالات!C452="","",IF(الإدخالات!G452="","",الإدخالات!G452))</f>
        <v/>
      </c>
      <c r="G452" t="str">
        <f>IF($B452&lt;&gt;"",SUMPRODUCT(($B$2:$B452&lt;&gt;"")*1),"")</f>
        <v/>
      </c>
    </row>
    <row r="453" spans="1:7">
      <c r="A453" s="23" t="str">
        <f>IF(الإدخالات!C453="","",الإدخالات!B453)</f>
        <v/>
      </c>
      <c r="B453" t="str">
        <f>IF(الإدخالات!C453="","","شراء")</f>
        <v/>
      </c>
      <c r="C453" t="str">
        <f>IF(الإدخالات!C453="","",IF(الإدخالات!E453="","-",الإدخالات!E453))</f>
        <v/>
      </c>
      <c r="D453" t="str">
        <f>IF(الإدخالات!C453="","",الإدخالات!C453)</f>
        <v/>
      </c>
      <c r="E453" s="24" t="str">
        <f>IF(الإدخالات!C453="","",الإدخالات!D453)</f>
        <v/>
      </c>
      <c r="F453" t="str">
        <f>IF(الإدخالات!C453="","",IF(الإدخالات!G453="","",الإدخالات!G453))</f>
        <v/>
      </c>
      <c r="G453" t="str">
        <f>IF($B453&lt;&gt;"",SUMPRODUCT(($B$2:$B453&lt;&gt;"")*1),"")</f>
        <v/>
      </c>
    </row>
    <row r="454" spans="1:7">
      <c r="A454" s="23" t="str">
        <f>IF(الإدخالات!C454="","",الإدخالات!B454)</f>
        <v/>
      </c>
      <c r="B454" t="str">
        <f>IF(الإدخالات!C454="","","شراء")</f>
        <v/>
      </c>
      <c r="C454" t="str">
        <f>IF(الإدخالات!C454="","",IF(الإدخالات!E454="","-",الإدخالات!E454))</f>
        <v/>
      </c>
      <c r="D454" t="str">
        <f>IF(الإدخالات!C454="","",الإدخالات!C454)</f>
        <v/>
      </c>
      <c r="E454" s="24" t="str">
        <f>IF(الإدخالات!C454="","",الإدخالات!D454)</f>
        <v/>
      </c>
      <c r="F454" t="str">
        <f>IF(الإدخالات!C454="","",IF(الإدخالات!G454="","",الإدخالات!G454))</f>
        <v/>
      </c>
      <c r="G454" t="str">
        <f>IF($B454&lt;&gt;"",SUMPRODUCT(($B$2:$B454&lt;&gt;"")*1),"")</f>
        <v/>
      </c>
    </row>
    <row r="455" spans="1:7">
      <c r="A455" s="23" t="str">
        <f>IF(الإدخالات!C455="","",الإدخالات!B455)</f>
        <v/>
      </c>
      <c r="B455" t="str">
        <f>IF(الإدخالات!C455="","","شراء")</f>
        <v/>
      </c>
      <c r="C455" t="str">
        <f>IF(الإدخالات!C455="","",IF(الإدخالات!E455="","-",الإدخالات!E455))</f>
        <v/>
      </c>
      <c r="D455" t="str">
        <f>IF(الإدخالات!C455="","",الإدخالات!C455)</f>
        <v/>
      </c>
      <c r="E455" s="24" t="str">
        <f>IF(الإدخالات!C455="","",الإدخالات!D455)</f>
        <v/>
      </c>
      <c r="F455" t="str">
        <f>IF(الإدخالات!C455="","",IF(الإدخالات!G455="","",الإدخالات!G455))</f>
        <v/>
      </c>
      <c r="G455" t="str">
        <f>IF($B455&lt;&gt;"",SUMPRODUCT(($B$2:$B455&lt;&gt;"")*1),"")</f>
        <v/>
      </c>
    </row>
    <row r="456" spans="1:7">
      <c r="A456" s="23" t="str">
        <f>IF(الإدخالات!C456="","",الإدخالات!B456)</f>
        <v/>
      </c>
      <c r="B456" t="str">
        <f>IF(الإدخالات!C456="","","شراء")</f>
        <v/>
      </c>
      <c r="C456" t="str">
        <f>IF(الإدخالات!C456="","",IF(الإدخالات!E456="","-",الإدخالات!E456))</f>
        <v/>
      </c>
      <c r="D456" t="str">
        <f>IF(الإدخالات!C456="","",الإدخالات!C456)</f>
        <v/>
      </c>
      <c r="E456" s="24" t="str">
        <f>IF(الإدخالات!C456="","",الإدخالات!D456)</f>
        <v/>
      </c>
      <c r="F456" t="str">
        <f>IF(الإدخالات!C456="","",IF(الإدخالات!G456="","",الإدخالات!G456))</f>
        <v/>
      </c>
      <c r="G456" t="str">
        <f>IF($B456&lt;&gt;"",SUMPRODUCT(($B$2:$B456&lt;&gt;"")*1),"")</f>
        <v/>
      </c>
    </row>
    <row r="457" spans="1:7">
      <c r="A457" s="23" t="str">
        <f>IF(الإدخالات!C457="","",الإدخالات!B457)</f>
        <v/>
      </c>
      <c r="B457" t="str">
        <f>IF(الإدخالات!C457="","","شراء")</f>
        <v/>
      </c>
      <c r="C457" t="str">
        <f>IF(الإدخالات!C457="","",IF(الإدخالات!E457="","-",الإدخالات!E457))</f>
        <v/>
      </c>
      <c r="D457" t="str">
        <f>IF(الإدخالات!C457="","",الإدخالات!C457)</f>
        <v/>
      </c>
      <c r="E457" s="24" t="str">
        <f>IF(الإدخالات!C457="","",الإدخالات!D457)</f>
        <v/>
      </c>
      <c r="F457" t="str">
        <f>IF(الإدخالات!C457="","",IF(الإدخالات!G457="","",الإدخالات!G457))</f>
        <v/>
      </c>
      <c r="G457" t="str">
        <f>IF($B457&lt;&gt;"",SUMPRODUCT(($B$2:$B457&lt;&gt;"")*1),"")</f>
        <v/>
      </c>
    </row>
    <row r="458" spans="1:7">
      <c r="A458" s="23" t="str">
        <f>IF(الإدخالات!C458="","",الإدخالات!B458)</f>
        <v/>
      </c>
      <c r="B458" t="str">
        <f>IF(الإدخالات!C458="","","شراء")</f>
        <v/>
      </c>
      <c r="C458" t="str">
        <f>IF(الإدخالات!C458="","",IF(الإدخالات!E458="","-",الإدخالات!E458))</f>
        <v/>
      </c>
      <c r="D458" t="str">
        <f>IF(الإدخالات!C458="","",الإدخالات!C458)</f>
        <v/>
      </c>
      <c r="E458" s="24" t="str">
        <f>IF(الإدخالات!C458="","",الإدخالات!D458)</f>
        <v/>
      </c>
      <c r="F458" t="str">
        <f>IF(الإدخالات!C458="","",IF(الإدخالات!G458="","",الإدخالات!G458))</f>
        <v/>
      </c>
      <c r="G458" t="str">
        <f>IF($B458&lt;&gt;"",SUMPRODUCT(($B$2:$B458&lt;&gt;"")*1),"")</f>
        <v/>
      </c>
    </row>
    <row r="459" spans="1:7">
      <c r="A459" s="23" t="str">
        <f>IF(الإدخالات!C459="","",الإدخالات!B459)</f>
        <v/>
      </c>
      <c r="B459" t="str">
        <f>IF(الإدخالات!C459="","","شراء")</f>
        <v/>
      </c>
      <c r="C459" t="str">
        <f>IF(الإدخالات!C459="","",IF(الإدخالات!E459="","-",الإدخالات!E459))</f>
        <v/>
      </c>
      <c r="D459" t="str">
        <f>IF(الإدخالات!C459="","",الإدخالات!C459)</f>
        <v/>
      </c>
      <c r="E459" s="24" t="str">
        <f>IF(الإدخالات!C459="","",الإدخالات!D459)</f>
        <v/>
      </c>
      <c r="F459" t="str">
        <f>IF(الإدخالات!C459="","",IF(الإدخالات!G459="","",الإدخالات!G459))</f>
        <v/>
      </c>
      <c r="G459" t="str">
        <f>IF($B459&lt;&gt;"",SUMPRODUCT(($B$2:$B459&lt;&gt;"")*1),"")</f>
        <v/>
      </c>
    </row>
    <row r="460" spans="1:7">
      <c r="A460" s="23" t="str">
        <f>IF(الإدخالات!C460="","",الإدخالات!B460)</f>
        <v/>
      </c>
      <c r="B460" t="str">
        <f>IF(الإدخالات!C460="","","شراء")</f>
        <v/>
      </c>
      <c r="C460" t="str">
        <f>IF(الإدخالات!C460="","",IF(الإدخالات!E460="","-",الإدخالات!E460))</f>
        <v/>
      </c>
      <c r="D460" t="str">
        <f>IF(الإدخالات!C460="","",الإدخالات!C460)</f>
        <v/>
      </c>
      <c r="E460" s="24" t="str">
        <f>IF(الإدخالات!C460="","",الإدخالات!D460)</f>
        <v/>
      </c>
      <c r="F460" t="str">
        <f>IF(الإدخالات!C460="","",IF(الإدخالات!G460="","",الإدخالات!G460))</f>
        <v/>
      </c>
      <c r="G460" t="str">
        <f>IF($B460&lt;&gt;"",SUMPRODUCT(($B$2:$B460&lt;&gt;"")*1),"")</f>
        <v/>
      </c>
    </row>
    <row r="461" spans="1:7">
      <c r="A461" s="23" t="str">
        <f>IF(الإدخالات!C461="","",الإدخالات!B461)</f>
        <v/>
      </c>
      <c r="B461" t="str">
        <f>IF(الإدخالات!C461="","","شراء")</f>
        <v/>
      </c>
      <c r="C461" t="str">
        <f>IF(الإدخالات!C461="","",IF(الإدخالات!E461="","-",الإدخالات!E461))</f>
        <v/>
      </c>
      <c r="D461" t="str">
        <f>IF(الإدخالات!C461="","",الإدخالات!C461)</f>
        <v/>
      </c>
      <c r="E461" s="24" t="str">
        <f>IF(الإدخالات!C461="","",الإدخالات!D461)</f>
        <v/>
      </c>
      <c r="F461" t="str">
        <f>IF(الإدخالات!C461="","",IF(الإدخالات!G461="","",الإدخالات!G461))</f>
        <v/>
      </c>
      <c r="G461" t="str">
        <f>IF($B461&lt;&gt;"",SUMPRODUCT(($B$2:$B461&lt;&gt;"")*1),"")</f>
        <v/>
      </c>
    </row>
    <row r="462" spans="1:7">
      <c r="A462" s="23" t="str">
        <f>IF(الإدخالات!C462="","",الإدخالات!B462)</f>
        <v/>
      </c>
      <c r="B462" t="str">
        <f>IF(الإدخالات!C462="","","شراء")</f>
        <v/>
      </c>
      <c r="C462" t="str">
        <f>IF(الإدخالات!C462="","",IF(الإدخالات!E462="","-",الإدخالات!E462))</f>
        <v/>
      </c>
      <c r="D462" t="str">
        <f>IF(الإدخالات!C462="","",الإدخالات!C462)</f>
        <v/>
      </c>
      <c r="E462" s="24" t="str">
        <f>IF(الإدخالات!C462="","",الإدخالات!D462)</f>
        <v/>
      </c>
      <c r="F462" t="str">
        <f>IF(الإدخالات!C462="","",IF(الإدخالات!G462="","",الإدخالات!G462))</f>
        <v/>
      </c>
      <c r="G462" t="str">
        <f>IF($B462&lt;&gt;"",SUMPRODUCT(($B$2:$B462&lt;&gt;"")*1),"")</f>
        <v/>
      </c>
    </row>
    <row r="463" spans="1:7">
      <c r="A463" s="23" t="str">
        <f>IF(الإدخالات!C463="","",الإدخالات!B463)</f>
        <v/>
      </c>
      <c r="B463" t="str">
        <f>IF(الإدخالات!C463="","","شراء")</f>
        <v/>
      </c>
      <c r="C463" t="str">
        <f>IF(الإدخالات!C463="","",IF(الإدخالات!E463="","-",الإدخالات!E463))</f>
        <v/>
      </c>
      <c r="D463" t="str">
        <f>IF(الإدخالات!C463="","",الإدخالات!C463)</f>
        <v/>
      </c>
      <c r="E463" s="24" t="str">
        <f>IF(الإدخالات!C463="","",الإدخالات!D463)</f>
        <v/>
      </c>
      <c r="F463" t="str">
        <f>IF(الإدخالات!C463="","",IF(الإدخالات!G463="","",الإدخالات!G463))</f>
        <v/>
      </c>
      <c r="G463" t="str">
        <f>IF($B463&lt;&gt;"",SUMPRODUCT(($B$2:$B463&lt;&gt;"")*1),"")</f>
        <v/>
      </c>
    </row>
    <row r="464" spans="1:7">
      <c r="A464" s="23" t="str">
        <f>IF(الإدخالات!C464="","",الإدخالات!B464)</f>
        <v/>
      </c>
      <c r="B464" t="str">
        <f>IF(الإدخالات!C464="","","شراء")</f>
        <v/>
      </c>
      <c r="C464" t="str">
        <f>IF(الإدخالات!C464="","",IF(الإدخالات!E464="","-",الإدخالات!E464))</f>
        <v/>
      </c>
      <c r="D464" t="str">
        <f>IF(الإدخالات!C464="","",الإدخالات!C464)</f>
        <v/>
      </c>
      <c r="E464" s="24" t="str">
        <f>IF(الإدخالات!C464="","",الإدخالات!D464)</f>
        <v/>
      </c>
      <c r="F464" t="str">
        <f>IF(الإدخالات!C464="","",IF(الإدخالات!G464="","",الإدخالات!G464))</f>
        <v/>
      </c>
      <c r="G464" t="str">
        <f>IF($B464&lt;&gt;"",SUMPRODUCT(($B$2:$B464&lt;&gt;"")*1),"")</f>
        <v/>
      </c>
    </row>
    <row r="465" spans="1:7">
      <c r="A465" s="23" t="str">
        <f>IF(الإدخالات!C465="","",الإدخالات!B465)</f>
        <v/>
      </c>
      <c r="B465" t="str">
        <f>IF(الإدخالات!C465="","","شراء")</f>
        <v/>
      </c>
      <c r="C465" t="str">
        <f>IF(الإدخالات!C465="","",IF(الإدخالات!E465="","-",الإدخالات!E465))</f>
        <v/>
      </c>
      <c r="D465" t="str">
        <f>IF(الإدخالات!C465="","",الإدخالات!C465)</f>
        <v/>
      </c>
      <c r="E465" s="24" t="str">
        <f>IF(الإدخالات!C465="","",الإدخالات!D465)</f>
        <v/>
      </c>
      <c r="F465" t="str">
        <f>IF(الإدخالات!C465="","",IF(الإدخالات!G465="","",الإدخالات!G465))</f>
        <v/>
      </c>
      <c r="G465" t="str">
        <f>IF($B465&lt;&gt;"",SUMPRODUCT(($B$2:$B465&lt;&gt;"")*1),"")</f>
        <v/>
      </c>
    </row>
    <row r="466" spans="1:7">
      <c r="A466" s="23" t="str">
        <f>IF(الإدخالات!C466="","",الإدخالات!B466)</f>
        <v/>
      </c>
      <c r="B466" t="str">
        <f>IF(الإدخالات!C466="","","شراء")</f>
        <v/>
      </c>
      <c r="C466" t="str">
        <f>IF(الإدخالات!C466="","",IF(الإدخالات!E466="","-",الإدخالات!E466))</f>
        <v/>
      </c>
      <c r="D466" t="str">
        <f>IF(الإدخالات!C466="","",الإدخالات!C466)</f>
        <v/>
      </c>
      <c r="E466" s="24" t="str">
        <f>IF(الإدخالات!C466="","",الإدخالات!D466)</f>
        <v/>
      </c>
      <c r="F466" t="str">
        <f>IF(الإدخالات!C466="","",IF(الإدخالات!G466="","",الإدخالات!G466))</f>
        <v/>
      </c>
      <c r="G466" t="str">
        <f>IF($B466&lt;&gt;"",SUMPRODUCT(($B$2:$B466&lt;&gt;"")*1),"")</f>
        <v/>
      </c>
    </row>
    <row r="467" spans="1:7">
      <c r="A467" s="23" t="str">
        <f>IF(الإدخالات!C467="","",الإدخالات!B467)</f>
        <v/>
      </c>
      <c r="B467" t="str">
        <f>IF(الإدخالات!C467="","","شراء")</f>
        <v/>
      </c>
      <c r="C467" t="str">
        <f>IF(الإدخالات!C467="","",IF(الإدخالات!E467="","-",الإدخالات!E467))</f>
        <v/>
      </c>
      <c r="D467" t="str">
        <f>IF(الإدخالات!C467="","",الإدخالات!C467)</f>
        <v/>
      </c>
      <c r="E467" s="24" t="str">
        <f>IF(الإدخالات!C467="","",الإدخالات!D467)</f>
        <v/>
      </c>
      <c r="F467" t="str">
        <f>IF(الإدخالات!C467="","",IF(الإدخالات!G467="","",الإدخالات!G467))</f>
        <v/>
      </c>
      <c r="G467" t="str">
        <f>IF($B467&lt;&gt;"",SUMPRODUCT(($B$2:$B467&lt;&gt;"")*1),"")</f>
        <v/>
      </c>
    </row>
    <row r="468" spans="1:7">
      <c r="A468" s="23" t="str">
        <f>IF(الإدخالات!C468="","",الإدخالات!B468)</f>
        <v/>
      </c>
      <c r="B468" t="str">
        <f>IF(الإدخالات!C468="","","شراء")</f>
        <v/>
      </c>
      <c r="C468" t="str">
        <f>IF(الإدخالات!C468="","",IF(الإدخالات!E468="","-",الإدخالات!E468))</f>
        <v/>
      </c>
      <c r="D468" t="str">
        <f>IF(الإدخالات!C468="","",الإدخالات!C468)</f>
        <v/>
      </c>
      <c r="E468" s="24" t="str">
        <f>IF(الإدخالات!C468="","",الإدخالات!D468)</f>
        <v/>
      </c>
      <c r="F468" t="str">
        <f>IF(الإدخالات!C468="","",IF(الإدخالات!G468="","",الإدخالات!G468))</f>
        <v/>
      </c>
      <c r="G468" t="str">
        <f>IF($B468&lt;&gt;"",SUMPRODUCT(($B$2:$B468&lt;&gt;"")*1),"")</f>
        <v/>
      </c>
    </row>
    <row r="469" spans="1:7">
      <c r="A469" s="23" t="str">
        <f>IF(الإدخالات!C469="","",الإدخالات!B469)</f>
        <v/>
      </c>
      <c r="B469" t="str">
        <f>IF(الإدخالات!C469="","","شراء")</f>
        <v/>
      </c>
      <c r="C469" t="str">
        <f>IF(الإدخالات!C469="","",IF(الإدخالات!E469="","-",الإدخالات!E469))</f>
        <v/>
      </c>
      <c r="D469" t="str">
        <f>IF(الإدخالات!C469="","",الإدخالات!C469)</f>
        <v/>
      </c>
      <c r="E469" s="24" t="str">
        <f>IF(الإدخالات!C469="","",الإدخالات!D469)</f>
        <v/>
      </c>
      <c r="F469" t="str">
        <f>IF(الإدخالات!C469="","",IF(الإدخالات!G469="","",الإدخالات!G469))</f>
        <v/>
      </c>
      <c r="G469" t="str">
        <f>IF($B469&lt;&gt;"",SUMPRODUCT(($B$2:$B469&lt;&gt;"")*1),"")</f>
        <v/>
      </c>
    </row>
    <row r="470" spans="1:7">
      <c r="A470" s="23" t="str">
        <f>IF(الإدخالات!C470="","",الإدخالات!B470)</f>
        <v/>
      </c>
      <c r="B470" t="str">
        <f>IF(الإدخالات!C470="","","شراء")</f>
        <v/>
      </c>
      <c r="C470" t="str">
        <f>IF(الإدخالات!C470="","",IF(الإدخالات!E470="","-",الإدخالات!E470))</f>
        <v/>
      </c>
      <c r="D470" t="str">
        <f>IF(الإدخالات!C470="","",الإدخالات!C470)</f>
        <v/>
      </c>
      <c r="E470" s="24" t="str">
        <f>IF(الإدخالات!C470="","",الإدخالات!D470)</f>
        <v/>
      </c>
      <c r="F470" t="str">
        <f>IF(الإدخالات!C470="","",IF(الإدخالات!G470="","",الإدخالات!G470))</f>
        <v/>
      </c>
      <c r="G470" t="str">
        <f>IF($B470&lt;&gt;"",SUMPRODUCT(($B$2:$B470&lt;&gt;"")*1),"")</f>
        <v/>
      </c>
    </row>
    <row r="471" spans="1:7">
      <c r="A471" s="23" t="str">
        <f>IF(الإدخالات!C471="","",الإدخالات!B471)</f>
        <v/>
      </c>
      <c r="B471" t="str">
        <f>IF(الإدخالات!C471="","","شراء")</f>
        <v/>
      </c>
      <c r="C471" t="str">
        <f>IF(الإدخالات!C471="","",IF(الإدخالات!E471="","-",الإدخالات!E471))</f>
        <v/>
      </c>
      <c r="D471" t="str">
        <f>IF(الإدخالات!C471="","",الإدخالات!C471)</f>
        <v/>
      </c>
      <c r="E471" s="24" t="str">
        <f>IF(الإدخالات!C471="","",الإدخالات!D471)</f>
        <v/>
      </c>
      <c r="F471" t="str">
        <f>IF(الإدخالات!C471="","",IF(الإدخالات!G471="","",الإدخالات!G471))</f>
        <v/>
      </c>
      <c r="G471" t="str">
        <f>IF($B471&lt;&gt;"",SUMPRODUCT(($B$2:$B471&lt;&gt;"")*1),"")</f>
        <v/>
      </c>
    </row>
    <row r="472" spans="1:7">
      <c r="A472" s="23" t="str">
        <f>IF(الإدخالات!C472="","",الإدخالات!B472)</f>
        <v/>
      </c>
      <c r="B472" t="str">
        <f>IF(الإدخالات!C472="","","شراء")</f>
        <v/>
      </c>
      <c r="C472" t="str">
        <f>IF(الإدخالات!C472="","",IF(الإدخالات!E472="","-",الإدخالات!E472))</f>
        <v/>
      </c>
      <c r="D472" t="str">
        <f>IF(الإدخالات!C472="","",الإدخالات!C472)</f>
        <v/>
      </c>
      <c r="E472" s="24" t="str">
        <f>IF(الإدخالات!C472="","",الإدخالات!D472)</f>
        <v/>
      </c>
      <c r="F472" t="str">
        <f>IF(الإدخالات!C472="","",IF(الإدخالات!G472="","",الإدخالات!G472))</f>
        <v/>
      </c>
      <c r="G472" t="str">
        <f>IF($B472&lt;&gt;"",SUMPRODUCT(($B$2:$B472&lt;&gt;"")*1),"")</f>
        <v/>
      </c>
    </row>
    <row r="473" spans="1:7">
      <c r="A473" s="23" t="str">
        <f>IF(الإدخالات!C473="","",الإدخالات!B473)</f>
        <v/>
      </c>
      <c r="B473" t="str">
        <f>IF(الإدخالات!C473="","","شراء")</f>
        <v/>
      </c>
      <c r="C473" t="str">
        <f>IF(الإدخالات!C473="","",IF(الإدخالات!E473="","-",الإدخالات!E473))</f>
        <v/>
      </c>
      <c r="D473" t="str">
        <f>IF(الإدخالات!C473="","",الإدخالات!C473)</f>
        <v/>
      </c>
      <c r="E473" s="24" t="str">
        <f>IF(الإدخالات!C473="","",الإدخالات!D473)</f>
        <v/>
      </c>
      <c r="F473" t="str">
        <f>IF(الإدخالات!C473="","",IF(الإدخالات!G473="","",الإدخالات!G473))</f>
        <v/>
      </c>
      <c r="G473" t="str">
        <f>IF($B473&lt;&gt;"",SUMPRODUCT(($B$2:$B473&lt;&gt;"")*1),"")</f>
        <v/>
      </c>
    </row>
    <row r="474" spans="1:7">
      <c r="A474" s="23" t="str">
        <f>IF(الإدخالات!C474="","",الإدخالات!B474)</f>
        <v/>
      </c>
      <c r="B474" t="str">
        <f>IF(الإدخالات!C474="","","شراء")</f>
        <v/>
      </c>
      <c r="C474" t="str">
        <f>IF(الإدخالات!C474="","",IF(الإدخالات!E474="","-",الإدخالات!E474))</f>
        <v/>
      </c>
      <c r="D474" t="str">
        <f>IF(الإدخالات!C474="","",الإدخالات!C474)</f>
        <v/>
      </c>
      <c r="E474" s="24" t="str">
        <f>IF(الإدخالات!C474="","",الإدخالات!D474)</f>
        <v/>
      </c>
      <c r="F474" t="str">
        <f>IF(الإدخالات!C474="","",IF(الإدخالات!G474="","",الإدخالات!G474))</f>
        <v/>
      </c>
      <c r="G474" t="str">
        <f>IF($B474&lt;&gt;"",SUMPRODUCT(($B$2:$B474&lt;&gt;"")*1),"")</f>
        <v/>
      </c>
    </row>
    <row r="475" spans="1:7">
      <c r="A475" s="23" t="str">
        <f>IF(الإدخالات!C475="","",الإدخالات!B475)</f>
        <v/>
      </c>
      <c r="B475" t="str">
        <f>IF(الإدخالات!C475="","","شراء")</f>
        <v/>
      </c>
      <c r="C475" t="str">
        <f>IF(الإدخالات!C475="","",IF(الإدخالات!E475="","-",الإدخالات!E475))</f>
        <v/>
      </c>
      <c r="D475" t="str">
        <f>IF(الإدخالات!C475="","",الإدخالات!C475)</f>
        <v/>
      </c>
      <c r="E475" s="24" t="str">
        <f>IF(الإدخالات!C475="","",الإدخالات!D475)</f>
        <v/>
      </c>
      <c r="F475" t="str">
        <f>IF(الإدخالات!C475="","",IF(الإدخالات!G475="","",الإدخالات!G475))</f>
        <v/>
      </c>
      <c r="G475" t="str">
        <f>IF($B475&lt;&gt;"",SUMPRODUCT(($B$2:$B475&lt;&gt;"")*1),"")</f>
        <v/>
      </c>
    </row>
    <row r="476" spans="1:7">
      <c r="A476" s="23" t="str">
        <f>IF(الإدخالات!C476="","",الإدخالات!B476)</f>
        <v/>
      </c>
      <c r="B476" t="str">
        <f>IF(الإدخالات!C476="","","شراء")</f>
        <v/>
      </c>
      <c r="C476" t="str">
        <f>IF(الإدخالات!C476="","",IF(الإدخالات!E476="","-",الإدخالات!E476))</f>
        <v/>
      </c>
      <c r="D476" t="str">
        <f>IF(الإدخالات!C476="","",الإدخالات!C476)</f>
        <v/>
      </c>
      <c r="E476" s="24" t="str">
        <f>IF(الإدخالات!C476="","",الإدخالات!D476)</f>
        <v/>
      </c>
      <c r="F476" t="str">
        <f>IF(الإدخالات!C476="","",IF(الإدخالات!G476="","",الإدخالات!G476))</f>
        <v/>
      </c>
      <c r="G476" t="str">
        <f>IF($B476&lt;&gt;"",SUMPRODUCT(($B$2:$B476&lt;&gt;"")*1),"")</f>
        <v/>
      </c>
    </row>
    <row r="477" spans="1:7">
      <c r="A477" s="23" t="str">
        <f>IF(الإدخالات!C477="","",الإدخالات!B477)</f>
        <v/>
      </c>
      <c r="B477" t="str">
        <f>IF(الإدخالات!C477="","","شراء")</f>
        <v/>
      </c>
      <c r="C477" t="str">
        <f>IF(الإدخالات!C477="","",IF(الإدخالات!E477="","-",الإدخالات!E477))</f>
        <v/>
      </c>
      <c r="D477" t="str">
        <f>IF(الإدخالات!C477="","",الإدخالات!C477)</f>
        <v/>
      </c>
      <c r="E477" s="24" t="str">
        <f>IF(الإدخالات!C477="","",الإدخالات!D477)</f>
        <v/>
      </c>
      <c r="F477" t="str">
        <f>IF(الإدخالات!C477="","",IF(الإدخالات!G477="","",الإدخالات!G477))</f>
        <v/>
      </c>
      <c r="G477" t="str">
        <f>IF($B477&lt;&gt;"",SUMPRODUCT(($B$2:$B477&lt;&gt;"")*1),"")</f>
        <v/>
      </c>
    </row>
    <row r="478" spans="1:7">
      <c r="A478" s="23" t="str">
        <f>IF(الإدخالات!C478="","",الإدخالات!B478)</f>
        <v/>
      </c>
      <c r="B478" t="str">
        <f>IF(الإدخالات!C478="","","شراء")</f>
        <v/>
      </c>
      <c r="C478" t="str">
        <f>IF(الإدخالات!C478="","",IF(الإدخالات!E478="","-",الإدخالات!E478))</f>
        <v/>
      </c>
      <c r="D478" t="str">
        <f>IF(الإدخالات!C478="","",الإدخالات!C478)</f>
        <v/>
      </c>
      <c r="E478" s="24" t="str">
        <f>IF(الإدخالات!C478="","",الإدخالات!D478)</f>
        <v/>
      </c>
      <c r="F478" t="str">
        <f>IF(الإدخالات!C478="","",IF(الإدخالات!G478="","",الإدخالات!G478))</f>
        <v/>
      </c>
      <c r="G478" t="str">
        <f>IF($B478&lt;&gt;"",SUMPRODUCT(($B$2:$B478&lt;&gt;"")*1),"")</f>
        <v/>
      </c>
    </row>
    <row r="479" spans="1:7">
      <c r="A479" s="23" t="str">
        <f>IF(الإدخالات!C479="","",الإدخالات!B479)</f>
        <v/>
      </c>
      <c r="B479" t="str">
        <f>IF(الإدخالات!C479="","","شراء")</f>
        <v/>
      </c>
      <c r="C479" t="str">
        <f>IF(الإدخالات!C479="","",IF(الإدخالات!E479="","-",الإدخالات!E479))</f>
        <v/>
      </c>
      <c r="D479" t="str">
        <f>IF(الإدخالات!C479="","",الإدخالات!C479)</f>
        <v/>
      </c>
      <c r="E479" s="24" t="str">
        <f>IF(الإدخالات!C479="","",الإدخالات!D479)</f>
        <v/>
      </c>
      <c r="F479" t="str">
        <f>IF(الإدخالات!C479="","",IF(الإدخالات!G479="","",الإدخالات!G479))</f>
        <v/>
      </c>
      <c r="G479" t="str">
        <f>IF($B479&lt;&gt;"",SUMPRODUCT(($B$2:$B479&lt;&gt;"")*1),"")</f>
        <v/>
      </c>
    </row>
    <row r="480" spans="1:7">
      <c r="A480" s="23" t="str">
        <f>IF(الإدخالات!C480="","",الإدخالات!B480)</f>
        <v/>
      </c>
      <c r="B480" t="str">
        <f>IF(الإدخالات!C480="","","شراء")</f>
        <v/>
      </c>
      <c r="C480" t="str">
        <f>IF(الإدخالات!C480="","",IF(الإدخالات!E480="","-",الإدخالات!E480))</f>
        <v/>
      </c>
      <c r="D480" t="str">
        <f>IF(الإدخالات!C480="","",الإدخالات!C480)</f>
        <v/>
      </c>
      <c r="E480" s="24" t="str">
        <f>IF(الإدخالات!C480="","",الإدخالات!D480)</f>
        <v/>
      </c>
      <c r="F480" t="str">
        <f>IF(الإدخالات!C480="","",IF(الإدخالات!G480="","",الإدخالات!G480))</f>
        <v/>
      </c>
      <c r="G480" t="str">
        <f>IF($B480&lt;&gt;"",SUMPRODUCT(($B$2:$B480&lt;&gt;"")*1),"")</f>
        <v/>
      </c>
    </row>
    <row r="481" spans="1:7">
      <c r="A481" s="23" t="str">
        <f>IF(الإدخالات!C481="","",الإدخالات!B481)</f>
        <v/>
      </c>
      <c r="B481" t="str">
        <f>IF(الإدخالات!C481="","","شراء")</f>
        <v/>
      </c>
      <c r="C481" t="str">
        <f>IF(الإدخالات!C481="","",IF(الإدخالات!E481="","-",الإدخالات!E481))</f>
        <v/>
      </c>
      <c r="D481" t="str">
        <f>IF(الإدخالات!C481="","",الإدخالات!C481)</f>
        <v/>
      </c>
      <c r="E481" s="24" t="str">
        <f>IF(الإدخالات!C481="","",الإدخالات!D481)</f>
        <v/>
      </c>
      <c r="F481" t="str">
        <f>IF(الإدخالات!C481="","",IF(الإدخالات!G481="","",الإدخالات!G481))</f>
        <v/>
      </c>
      <c r="G481" t="str">
        <f>IF($B481&lt;&gt;"",SUMPRODUCT(($B$2:$B481&lt;&gt;"")*1),"")</f>
        <v/>
      </c>
    </row>
    <row r="482" spans="1:7">
      <c r="A482" s="23" t="str">
        <f>IF(الإدخالات!C482="","",الإدخالات!B482)</f>
        <v/>
      </c>
      <c r="B482" t="str">
        <f>IF(الإدخالات!C482="","","شراء")</f>
        <v/>
      </c>
      <c r="C482" t="str">
        <f>IF(الإدخالات!C482="","",IF(الإدخالات!E482="","-",الإدخالات!E482))</f>
        <v/>
      </c>
      <c r="D482" t="str">
        <f>IF(الإدخالات!C482="","",الإدخالات!C482)</f>
        <v/>
      </c>
      <c r="E482" s="24" t="str">
        <f>IF(الإدخالات!C482="","",الإدخالات!D482)</f>
        <v/>
      </c>
      <c r="F482" t="str">
        <f>IF(الإدخالات!C482="","",IF(الإدخالات!G482="","",الإدخالات!G482))</f>
        <v/>
      </c>
      <c r="G482" t="str">
        <f>IF($B482&lt;&gt;"",SUMPRODUCT(($B$2:$B482&lt;&gt;"")*1),"")</f>
        <v/>
      </c>
    </row>
    <row r="483" spans="1:7">
      <c r="A483" s="23" t="str">
        <f>IF(الإدخالات!C483="","",الإدخالات!B483)</f>
        <v/>
      </c>
      <c r="B483" t="str">
        <f>IF(الإدخالات!C483="","","شراء")</f>
        <v/>
      </c>
      <c r="C483" t="str">
        <f>IF(الإدخالات!C483="","",IF(الإدخالات!E483="","-",الإدخالات!E483))</f>
        <v/>
      </c>
      <c r="D483" t="str">
        <f>IF(الإدخالات!C483="","",الإدخالات!C483)</f>
        <v/>
      </c>
      <c r="E483" s="24" t="str">
        <f>IF(الإدخالات!C483="","",الإدخالات!D483)</f>
        <v/>
      </c>
      <c r="F483" t="str">
        <f>IF(الإدخالات!C483="","",IF(الإدخالات!G483="","",الإدخالات!G483))</f>
        <v/>
      </c>
      <c r="G483" t="str">
        <f>IF($B483&lt;&gt;"",SUMPRODUCT(($B$2:$B483&lt;&gt;"")*1),"")</f>
        <v/>
      </c>
    </row>
    <row r="484" spans="1:7">
      <c r="A484" s="23" t="str">
        <f>IF(الإدخالات!C484="","",الإدخالات!B484)</f>
        <v/>
      </c>
      <c r="B484" t="str">
        <f>IF(الإدخالات!C484="","","شراء")</f>
        <v/>
      </c>
      <c r="C484" t="str">
        <f>IF(الإدخالات!C484="","",IF(الإدخالات!E484="","-",الإدخالات!E484))</f>
        <v/>
      </c>
      <c r="D484" t="str">
        <f>IF(الإدخالات!C484="","",الإدخالات!C484)</f>
        <v/>
      </c>
      <c r="E484" s="24" t="str">
        <f>IF(الإدخالات!C484="","",الإدخالات!D484)</f>
        <v/>
      </c>
      <c r="F484" t="str">
        <f>IF(الإدخالات!C484="","",IF(الإدخالات!G484="","",الإدخالات!G484))</f>
        <v/>
      </c>
      <c r="G484" t="str">
        <f>IF($B484&lt;&gt;"",SUMPRODUCT(($B$2:$B484&lt;&gt;"")*1),"")</f>
        <v/>
      </c>
    </row>
    <row r="485" spans="1:7">
      <c r="A485" s="23" t="str">
        <f>IF(الإدخالات!C485="","",الإدخالات!B485)</f>
        <v/>
      </c>
      <c r="B485" t="str">
        <f>IF(الإدخالات!C485="","","شراء")</f>
        <v/>
      </c>
      <c r="C485" t="str">
        <f>IF(الإدخالات!C485="","",IF(الإدخالات!E485="","-",الإدخالات!E485))</f>
        <v/>
      </c>
      <c r="D485" t="str">
        <f>IF(الإدخالات!C485="","",الإدخالات!C485)</f>
        <v/>
      </c>
      <c r="E485" s="24" t="str">
        <f>IF(الإدخالات!C485="","",الإدخالات!D485)</f>
        <v/>
      </c>
      <c r="F485" t="str">
        <f>IF(الإدخالات!C485="","",IF(الإدخالات!G485="","",الإدخالات!G485))</f>
        <v/>
      </c>
      <c r="G485" t="str">
        <f>IF($B485&lt;&gt;"",SUMPRODUCT(($B$2:$B485&lt;&gt;"")*1),"")</f>
        <v/>
      </c>
    </row>
    <row r="486" spans="1:7">
      <c r="A486" s="23" t="str">
        <f>IF(الإدخالات!C486="","",الإدخالات!B486)</f>
        <v/>
      </c>
      <c r="B486" t="str">
        <f>IF(الإدخالات!C486="","","شراء")</f>
        <v/>
      </c>
      <c r="C486" t="str">
        <f>IF(الإدخالات!C486="","",IF(الإدخالات!E486="","-",الإدخالات!E486))</f>
        <v/>
      </c>
      <c r="D486" t="str">
        <f>IF(الإدخالات!C486="","",الإدخالات!C486)</f>
        <v/>
      </c>
      <c r="E486" s="24" t="str">
        <f>IF(الإدخالات!C486="","",الإدخالات!D486)</f>
        <v/>
      </c>
      <c r="F486" t="str">
        <f>IF(الإدخالات!C486="","",IF(الإدخالات!G486="","",الإدخالات!G486))</f>
        <v/>
      </c>
      <c r="G486" t="str">
        <f>IF($B486&lt;&gt;"",SUMPRODUCT(($B$2:$B486&lt;&gt;"")*1),"")</f>
        <v/>
      </c>
    </row>
    <row r="487" spans="1:7">
      <c r="A487" s="23" t="str">
        <f>IF(الإدخالات!C487="","",الإدخالات!B487)</f>
        <v/>
      </c>
      <c r="B487" t="str">
        <f>IF(الإدخالات!C487="","","شراء")</f>
        <v/>
      </c>
      <c r="C487" t="str">
        <f>IF(الإدخالات!C487="","",IF(الإدخالات!E487="","-",الإدخالات!E487))</f>
        <v/>
      </c>
      <c r="D487" t="str">
        <f>IF(الإدخالات!C487="","",الإدخالات!C487)</f>
        <v/>
      </c>
      <c r="E487" s="24" t="str">
        <f>IF(الإدخالات!C487="","",الإدخالات!D487)</f>
        <v/>
      </c>
      <c r="F487" t="str">
        <f>IF(الإدخالات!C487="","",IF(الإدخالات!G487="","",الإدخالات!G487))</f>
        <v/>
      </c>
      <c r="G487" t="str">
        <f>IF($B487&lt;&gt;"",SUMPRODUCT(($B$2:$B487&lt;&gt;"")*1),"")</f>
        <v/>
      </c>
    </row>
    <row r="488" spans="1:7">
      <c r="A488" s="23" t="str">
        <f>IF(الإدخالات!C488="","",الإدخالات!B488)</f>
        <v/>
      </c>
      <c r="B488" t="str">
        <f>IF(الإدخالات!C488="","","شراء")</f>
        <v/>
      </c>
      <c r="C488" t="str">
        <f>IF(الإدخالات!C488="","",IF(الإدخالات!E488="","-",الإدخالات!E488))</f>
        <v/>
      </c>
      <c r="D488" t="str">
        <f>IF(الإدخالات!C488="","",الإدخالات!C488)</f>
        <v/>
      </c>
      <c r="E488" s="24" t="str">
        <f>IF(الإدخالات!C488="","",الإدخالات!D488)</f>
        <v/>
      </c>
      <c r="F488" t="str">
        <f>IF(الإدخالات!C488="","",IF(الإدخالات!G488="","",الإدخالات!G488))</f>
        <v/>
      </c>
      <c r="G488" t="str">
        <f>IF($B488&lt;&gt;"",SUMPRODUCT(($B$2:$B488&lt;&gt;"")*1),"")</f>
        <v/>
      </c>
    </row>
    <row r="489" spans="1:7">
      <c r="A489" s="23" t="str">
        <f>IF(الإدخالات!C489="","",الإدخالات!B489)</f>
        <v/>
      </c>
      <c r="B489" t="str">
        <f>IF(الإدخالات!C489="","","شراء")</f>
        <v/>
      </c>
      <c r="C489" t="str">
        <f>IF(الإدخالات!C489="","",IF(الإدخالات!E489="","-",الإدخالات!E489))</f>
        <v/>
      </c>
      <c r="D489" t="str">
        <f>IF(الإدخالات!C489="","",الإدخالات!C489)</f>
        <v/>
      </c>
      <c r="E489" s="24" t="str">
        <f>IF(الإدخالات!C489="","",الإدخالات!D489)</f>
        <v/>
      </c>
      <c r="F489" t="str">
        <f>IF(الإدخالات!C489="","",IF(الإدخالات!G489="","",الإدخالات!G489))</f>
        <v/>
      </c>
      <c r="G489" t="str">
        <f>IF($B489&lt;&gt;"",SUMPRODUCT(($B$2:$B489&lt;&gt;"")*1),"")</f>
        <v/>
      </c>
    </row>
    <row r="490" spans="1:7">
      <c r="A490" s="23" t="str">
        <f>IF(الإدخالات!C490="","",الإدخالات!B490)</f>
        <v/>
      </c>
      <c r="B490" t="str">
        <f>IF(الإدخالات!C490="","","شراء")</f>
        <v/>
      </c>
      <c r="C490" t="str">
        <f>IF(الإدخالات!C490="","",IF(الإدخالات!E490="","-",الإدخالات!E490))</f>
        <v/>
      </c>
      <c r="D490" t="str">
        <f>IF(الإدخالات!C490="","",الإدخالات!C490)</f>
        <v/>
      </c>
      <c r="E490" s="24" t="str">
        <f>IF(الإدخالات!C490="","",الإدخالات!D490)</f>
        <v/>
      </c>
      <c r="F490" t="str">
        <f>IF(الإدخالات!C490="","",IF(الإدخالات!G490="","",الإدخالات!G490))</f>
        <v/>
      </c>
      <c r="G490" t="str">
        <f>IF($B490&lt;&gt;"",SUMPRODUCT(($B$2:$B490&lt;&gt;"")*1),"")</f>
        <v/>
      </c>
    </row>
    <row r="491" spans="1:7">
      <c r="A491" s="23" t="str">
        <f>IF(الإدخالات!C491="","",الإدخالات!B491)</f>
        <v/>
      </c>
      <c r="B491" t="str">
        <f>IF(الإدخالات!C491="","","شراء")</f>
        <v/>
      </c>
      <c r="C491" t="str">
        <f>IF(الإدخالات!C491="","",IF(الإدخالات!E491="","-",الإدخالات!E491))</f>
        <v/>
      </c>
      <c r="D491" t="str">
        <f>IF(الإدخالات!C491="","",الإدخالات!C491)</f>
        <v/>
      </c>
      <c r="E491" s="24" t="str">
        <f>IF(الإدخالات!C491="","",الإدخالات!D491)</f>
        <v/>
      </c>
      <c r="F491" t="str">
        <f>IF(الإدخالات!C491="","",IF(الإدخالات!G491="","",الإدخالات!G491))</f>
        <v/>
      </c>
      <c r="G491" t="str">
        <f>IF($B491&lt;&gt;"",SUMPRODUCT(($B$2:$B491&lt;&gt;"")*1),"")</f>
        <v/>
      </c>
    </row>
    <row r="492" spans="1:7">
      <c r="A492" s="23" t="str">
        <f>IF(الإدخالات!C492="","",الإدخالات!B492)</f>
        <v/>
      </c>
      <c r="B492" t="str">
        <f>IF(الإدخالات!C492="","","شراء")</f>
        <v/>
      </c>
      <c r="C492" t="str">
        <f>IF(الإدخالات!C492="","",IF(الإدخالات!E492="","-",الإدخالات!E492))</f>
        <v/>
      </c>
      <c r="D492" t="str">
        <f>IF(الإدخالات!C492="","",الإدخالات!C492)</f>
        <v/>
      </c>
      <c r="E492" s="24" t="str">
        <f>IF(الإدخالات!C492="","",الإدخالات!D492)</f>
        <v/>
      </c>
      <c r="F492" t="str">
        <f>IF(الإدخالات!C492="","",IF(الإدخالات!G492="","",الإدخالات!G492))</f>
        <v/>
      </c>
      <c r="G492" t="str">
        <f>IF($B492&lt;&gt;"",SUMPRODUCT(($B$2:$B492&lt;&gt;"")*1),"")</f>
        <v/>
      </c>
    </row>
    <row r="493" spans="1:7">
      <c r="A493" s="23" t="str">
        <f>IF(الإدخالات!C493="","",الإدخالات!B493)</f>
        <v/>
      </c>
      <c r="B493" t="str">
        <f>IF(الإدخالات!C493="","","شراء")</f>
        <v/>
      </c>
      <c r="C493" t="str">
        <f>IF(الإدخالات!C493="","",IF(الإدخالات!E493="","-",الإدخالات!E493))</f>
        <v/>
      </c>
      <c r="D493" t="str">
        <f>IF(الإدخالات!C493="","",الإدخالات!C493)</f>
        <v/>
      </c>
      <c r="E493" s="24" t="str">
        <f>IF(الإدخالات!C493="","",الإدخالات!D493)</f>
        <v/>
      </c>
      <c r="F493" t="str">
        <f>IF(الإدخالات!C493="","",IF(الإدخالات!G493="","",الإدخالات!G493))</f>
        <v/>
      </c>
      <c r="G493" t="str">
        <f>IF($B493&lt;&gt;"",SUMPRODUCT(($B$2:$B493&lt;&gt;"")*1),"")</f>
        <v/>
      </c>
    </row>
    <row r="494" spans="1:7">
      <c r="A494" s="23" t="str">
        <f>IF(الإدخالات!C494="","",الإدخالات!B494)</f>
        <v/>
      </c>
      <c r="B494" t="str">
        <f>IF(الإدخالات!C494="","","شراء")</f>
        <v/>
      </c>
      <c r="C494" t="str">
        <f>IF(الإدخالات!C494="","",IF(الإدخالات!E494="","-",الإدخالات!E494))</f>
        <v/>
      </c>
      <c r="D494" t="str">
        <f>IF(الإدخالات!C494="","",الإدخالات!C494)</f>
        <v/>
      </c>
      <c r="E494" s="24" t="str">
        <f>IF(الإدخالات!C494="","",الإدخالات!D494)</f>
        <v/>
      </c>
      <c r="F494" t="str">
        <f>IF(الإدخالات!C494="","",IF(الإدخالات!G494="","",الإدخالات!G494))</f>
        <v/>
      </c>
      <c r="G494" t="str">
        <f>IF($B494&lt;&gt;"",SUMPRODUCT(($B$2:$B494&lt;&gt;"")*1),"")</f>
        <v/>
      </c>
    </row>
    <row r="495" spans="1:7">
      <c r="A495" s="23" t="str">
        <f>IF(الإدخالات!C495="","",الإدخالات!B495)</f>
        <v/>
      </c>
      <c r="B495" t="str">
        <f>IF(الإدخالات!C495="","","شراء")</f>
        <v/>
      </c>
      <c r="C495" t="str">
        <f>IF(الإدخالات!C495="","",IF(الإدخالات!E495="","-",الإدخالات!E495))</f>
        <v/>
      </c>
      <c r="D495" t="str">
        <f>IF(الإدخالات!C495="","",الإدخالات!C495)</f>
        <v/>
      </c>
      <c r="E495" s="24" t="str">
        <f>IF(الإدخالات!C495="","",الإدخالات!D495)</f>
        <v/>
      </c>
      <c r="F495" t="str">
        <f>IF(الإدخالات!C495="","",IF(الإدخالات!G495="","",الإدخالات!G495))</f>
        <v/>
      </c>
      <c r="G495" t="str">
        <f>IF($B495&lt;&gt;"",SUMPRODUCT(($B$2:$B495&lt;&gt;"")*1),"")</f>
        <v/>
      </c>
    </row>
    <row r="496" spans="1:7">
      <c r="A496" s="23" t="str">
        <f>IF(الإدخالات!C496="","",الإدخالات!B496)</f>
        <v/>
      </c>
      <c r="B496" t="str">
        <f>IF(الإدخالات!C496="","","شراء")</f>
        <v/>
      </c>
      <c r="C496" t="str">
        <f>IF(الإدخالات!C496="","",IF(الإدخالات!E496="","-",الإدخالات!E496))</f>
        <v/>
      </c>
      <c r="D496" t="str">
        <f>IF(الإدخالات!C496="","",الإدخالات!C496)</f>
        <v/>
      </c>
      <c r="E496" s="24" t="str">
        <f>IF(الإدخالات!C496="","",الإدخالات!D496)</f>
        <v/>
      </c>
      <c r="F496" t="str">
        <f>IF(الإدخالات!C496="","",IF(الإدخالات!G496="","",الإدخالات!G496))</f>
        <v/>
      </c>
      <c r="G496" t="str">
        <f>IF($B496&lt;&gt;"",SUMPRODUCT(($B$2:$B496&lt;&gt;"")*1),"")</f>
        <v/>
      </c>
    </row>
    <row r="497" spans="1:7">
      <c r="A497" s="23" t="str">
        <f>IF(الإدخالات!C497="","",الإدخالات!B497)</f>
        <v/>
      </c>
      <c r="B497" t="str">
        <f>IF(الإدخالات!C497="","","شراء")</f>
        <v/>
      </c>
      <c r="C497" t="str">
        <f>IF(الإدخالات!C497="","",IF(الإدخالات!E497="","-",الإدخالات!E497))</f>
        <v/>
      </c>
      <c r="D497" t="str">
        <f>IF(الإدخالات!C497="","",الإدخالات!C497)</f>
        <v/>
      </c>
      <c r="E497" s="24" t="str">
        <f>IF(الإدخالات!C497="","",الإدخالات!D497)</f>
        <v/>
      </c>
      <c r="F497" t="str">
        <f>IF(الإدخالات!C497="","",IF(الإدخالات!G497="","",الإدخالات!G497))</f>
        <v/>
      </c>
      <c r="G497" t="str">
        <f>IF($B497&lt;&gt;"",SUMPRODUCT(($B$2:$B497&lt;&gt;"")*1),"")</f>
        <v/>
      </c>
    </row>
    <row r="498" spans="1:7">
      <c r="A498" s="23" t="str">
        <f>IF(الإدخالات!C498="","",الإدخالات!B498)</f>
        <v/>
      </c>
      <c r="B498" t="str">
        <f>IF(الإدخالات!C498="","","شراء")</f>
        <v/>
      </c>
      <c r="C498" t="str">
        <f>IF(الإدخالات!C498="","",IF(الإدخالات!E498="","-",الإدخالات!E498))</f>
        <v/>
      </c>
      <c r="D498" t="str">
        <f>IF(الإدخالات!C498="","",الإدخالات!C498)</f>
        <v/>
      </c>
      <c r="E498" s="24" t="str">
        <f>IF(الإدخالات!C498="","",الإدخالات!D498)</f>
        <v/>
      </c>
      <c r="F498" t="str">
        <f>IF(الإدخالات!C498="","",IF(الإدخالات!G498="","",الإدخالات!G498))</f>
        <v/>
      </c>
      <c r="G498" t="str">
        <f>IF($B498&lt;&gt;"",SUMPRODUCT(($B$2:$B498&lt;&gt;"")*1),"")</f>
        <v/>
      </c>
    </row>
    <row r="499" spans="1:7">
      <c r="A499" s="23" t="str">
        <f>IF(الإدخالات!C499="","",الإدخالات!B499)</f>
        <v/>
      </c>
      <c r="B499" t="str">
        <f>IF(الإدخالات!C499="","","شراء")</f>
        <v/>
      </c>
      <c r="C499" t="str">
        <f>IF(الإدخالات!C499="","",IF(الإدخالات!E499="","-",الإدخالات!E499))</f>
        <v/>
      </c>
      <c r="D499" t="str">
        <f>IF(الإدخالات!C499="","",الإدخالات!C499)</f>
        <v/>
      </c>
      <c r="E499" s="24" t="str">
        <f>IF(الإدخالات!C499="","",الإدخالات!D499)</f>
        <v/>
      </c>
      <c r="F499" t="str">
        <f>IF(الإدخالات!C499="","",IF(الإدخالات!G499="","",الإدخالات!G499))</f>
        <v/>
      </c>
      <c r="G499" t="str">
        <f>IF($B499&lt;&gt;"",SUMPRODUCT(($B$2:$B499&lt;&gt;"")*1),"")</f>
        <v/>
      </c>
    </row>
    <row r="500" spans="1:7">
      <c r="A500" s="23" t="str">
        <f>IF(الإدخالات!C500="","",الإدخالات!B500)</f>
        <v/>
      </c>
      <c r="B500" t="str">
        <f>IF(الإدخالات!C500="","","شراء")</f>
        <v/>
      </c>
      <c r="C500" t="str">
        <f>IF(الإدخالات!C500="","",IF(الإدخالات!E500="","-",الإدخالات!E500))</f>
        <v/>
      </c>
      <c r="D500" t="str">
        <f>IF(الإدخالات!C500="","",الإدخالات!C500)</f>
        <v/>
      </c>
      <c r="E500" s="24" t="str">
        <f>IF(الإدخالات!C500="","",الإدخالات!D500)</f>
        <v/>
      </c>
      <c r="F500" t="str">
        <f>IF(الإدخالات!C500="","",IF(الإدخالات!G500="","",الإدخالات!G500))</f>
        <v/>
      </c>
      <c r="G500" t="str">
        <f>IF($B500&lt;&gt;"",SUMPRODUCT(($B$2:$B500&lt;&gt;"")*1),"")</f>
        <v/>
      </c>
    </row>
    <row r="501" spans="1:7">
      <c r="A501" s="23" t="str">
        <f>IF(الإدخالات!C501="","",الإدخالات!B501)</f>
        <v/>
      </c>
      <c r="B501" t="str">
        <f>IF(الإدخالات!C501="","","شراء")</f>
        <v/>
      </c>
      <c r="C501" t="str">
        <f>IF(الإدخالات!C501="","",IF(الإدخالات!E501="","-",الإدخالات!E501))</f>
        <v/>
      </c>
      <c r="D501" t="str">
        <f>IF(الإدخالات!C501="","",الإدخالات!C501)</f>
        <v/>
      </c>
      <c r="E501" s="24" t="str">
        <f>IF(الإدخالات!C501="","",الإدخالات!D501)</f>
        <v/>
      </c>
      <c r="F501" t="str">
        <f>IF(الإدخالات!C501="","",IF(الإدخالات!G501="","",الإدخالات!G501))</f>
        <v/>
      </c>
      <c r="G501" t="str">
        <f>IF($B501&lt;&gt;"",SUMPRODUCT(($B$2:$B501&lt;&gt;"")*1),"")</f>
        <v/>
      </c>
    </row>
    <row r="502" spans="1:7">
      <c r="A502" s="23">
        <f>IF('الصرف المباشر'!C2="","",'الصرف المباشر'!B2)</f>
        <v>46211</v>
      </c>
      <c r="B502" t="str">
        <f>IF('الصرف المباشر'!C2="","","صرف مباشر")</f>
        <v>صرف مباشر</v>
      </c>
      <c r="C502" t="str">
        <f>IF('الصرف المباشر'!C2="","",IF('الصرف المباشر'!E2="","-",'الصرف المباشر'!E2))</f>
        <v>أبو خليل</v>
      </c>
      <c r="D502" t="str">
        <f>IF('الصرف المباشر'!C2="","",'الصرف المباشر'!C2)</f>
        <v>تكسبون</v>
      </c>
      <c r="E502" s="24">
        <f>IF('الصرف المباشر'!C2="","",-'الصرف المباشر'!D2)</f>
        <v>-3</v>
      </c>
      <c r="F502" t="str">
        <f>IF('الصرف المباشر'!C2="","",IF('الصرف المباشر'!F2="","",'الصرف المباشر'!F2))</f>
        <v>-</v>
      </c>
      <c r="G502">
        <f>IF($B502&lt;&gt;"",SUMPRODUCT(($B$2:$B502&lt;&gt;"")*1),"")</f>
        <v>75</v>
      </c>
    </row>
    <row r="503" spans="1:7">
      <c r="A503" s="23">
        <f>IF('الصرف المباشر'!C3="","",'الصرف المباشر'!B3)</f>
        <v>46219</v>
      </c>
      <c r="B503" t="str">
        <f>IF('الصرف المباشر'!C3="","","صرف مباشر")</f>
        <v>صرف مباشر</v>
      </c>
      <c r="C503" t="str">
        <f>IF('الصرف المباشر'!C3="","",IF('الصرف المباشر'!E3="","-",'الصرف المباشر'!E3))</f>
        <v>أبو خليل ميسشنتبشب شس</v>
      </c>
      <c r="D503" t="str">
        <f>IF('الصرف المباشر'!C3="","",'الصرف المباشر'!C3)</f>
        <v>زفتة</v>
      </c>
      <c r="E503" s="24">
        <f>IF('الصرف المباشر'!C3="","",-'الصرف المباشر'!D3)</f>
        <v>-20</v>
      </c>
      <c r="F503" t="str">
        <f>IF('الصرف المباشر'!C3="","",IF('الصرف المباشر'!F3="","",'الصرف المباشر'!F3))</f>
        <v>منشان نيسشتبكبي مككيللتكمشسيتب</v>
      </c>
      <c r="G503">
        <f>IF($B503&lt;&gt;"",SUMPRODUCT(($B$2:$B503&lt;&gt;"")*1),"")</f>
        <v>76</v>
      </c>
    </row>
    <row r="504" spans="1:7">
      <c r="A504" s="23" t="str">
        <f>IF('الصرف المباشر'!C4="","",'الصرف المباشر'!B4)</f>
        <v/>
      </c>
      <c r="B504" t="str">
        <f>IF('الصرف المباشر'!C4="","","صرف مباشر")</f>
        <v/>
      </c>
      <c r="C504" t="str">
        <f>IF('الصرف المباشر'!C4="","",IF('الصرف المباشر'!E4="","-",'الصرف المباشر'!E4))</f>
        <v/>
      </c>
      <c r="D504" t="str">
        <f>IF('الصرف المباشر'!C4="","",'الصرف المباشر'!C4)</f>
        <v/>
      </c>
      <c r="E504" s="24" t="str">
        <f>IF('الصرف المباشر'!C4="","",-'الصرف المباشر'!D4)</f>
        <v/>
      </c>
      <c r="F504" t="str">
        <f>IF('الصرف المباشر'!C4="","",IF('الصرف المباشر'!F4="","",'الصرف المباشر'!F4))</f>
        <v/>
      </c>
      <c r="G504" t="str">
        <f>IF($B504&lt;&gt;"",SUMPRODUCT(($B$2:$B504&lt;&gt;"")*1),"")</f>
        <v/>
      </c>
    </row>
    <row r="505" spans="1:7">
      <c r="A505" s="23" t="str">
        <f>IF('الصرف المباشر'!C5="","",'الصرف المباشر'!B5)</f>
        <v/>
      </c>
      <c r="B505" t="str">
        <f>IF('الصرف المباشر'!C5="","","صرف مباشر")</f>
        <v/>
      </c>
      <c r="C505" t="str">
        <f>IF('الصرف المباشر'!C5="","",IF('الصرف المباشر'!E5="","-",'الصرف المباشر'!E5))</f>
        <v/>
      </c>
      <c r="D505" t="str">
        <f>IF('الصرف المباشر'!C5="","",'الصرف المباشر'!C5)</f>
        <v/>
      </c>
      <c r="E505" s="24" t="str">
        <f>IF('الصرف المباشر'!C5="","",-'الصرف المباشر'!D5)</f>
        <v/>
      </c>
      <c r="F505" t="str">
        <f>IF('الصرف المباشر'!C5="","",IF('الصرف المباشر'!F5="","",'الصرف المباشر'!F5))</f>
        <v/>
      </c>
      <c r="G505" t="str">
        <f>IF($B505&lt;&gt;"",SUMPRODUCT(($B$2:$B505&lt;&gt;"")*1),"")</f>
        <v/>
      </c>
    </row>
    <row r="506" spans="1:7">
      <c r="A506" s="23" t="str">
        <f>IF('الصرف المباشر'!C6="","",'الصرف المباشر'!B6)</f>
        <v/>
      </c>
      <c r="B506" t="str">
        <f>IF('الصرف المباشر'!C6="","","صرف مباشر")</f>
        <v/>
      </c>
      <c r="C506" t="str">
        <f>IF('الصرف المباشر'!C6="","",IF('الصرف المباشر'!E6="","-",'الصرف المباشر'!E6))</f>
        <v/>
      </c>
      <c r="D506" t="str">
        <f>IF('الصرف المباشر'!C6="","",'الصرف المباشر'!C6)</f>
        <v/>
      </c>
      <c r="E506" s="24" t="str">
        <f>IF('الصرف المباشر'!C6="","",-'الصرف المباشر'!D6)</f>
        <v/>
      </c>
      <c r="F506" t="str">
        <f>IF('الصرف المباشر'!C6="","",IF('الصرف المباشر'!F6="","",'الصرف المباشر'!F6))</f>
        <v/>
      </c>
      <c r="G506" t="str">
        <f>IF($B506&lt;&gt;"",SUMPRODUCT(($B$2:$B506&lt;&gt;"")*1),"")</f>
        <v/>
      </c>
    </row>
    <row r="507" spans="1:7">
      <c r="A507" s="23" t="str">
        <f>IF('الصرف المباشر'!C7="","",'الصرف المباشر'!B7)</f>
        <v/>
      </c>
      <c r="B507" t="str">
        <f>IF('الصرف المباشر'!C7="","","صرف مباشر")</f>
        <v/>
      </c>
      <c r="C507" t="str">
        <f>IF('الصرف المباشر'!C7="","",IF('الصرف المباشر'!E7="","-",'الصرف المباشر'!E7))</f>
        <v/>
      </c>
      <c r="D507" t="str">
        <f>IF('الصرف المباشر'!C7="","",'الصرف المباشر'!C7)</f>
        <v/>
      </c>
      <c r="E507" s="24" t="str">
        <f>IF('الصرف المباشر'!C7="","",-'الصرف المباشر'!D7)</f>
        <v/>
      </c>
      <c r="F507" t="str">
        <f>IF('الصرف المباشر'!C7="","",IF('الصرف المباشر'!F7="","",'الصرف المباشر'!F7))</f>
        <v/>
      </c>
      <c r="G507" t="str">
        <f>IF($B507&lt;&gt;"",SUMPRODUCT(($B$2:$B507&lt;&gt;"")*1),"")</f>
        <v/>
      </c>
    </row>
    <row r="508" spans="1:7">
      <c r="A508" s="23" t="str">
        <f>IF('الصرف المباشر'!C8="","",'الصرف المباشر'!B8)</f>
        <v/>
      </c>
      <c r="B508" t="str">
        <f>IF('الصرف المباشر'!C8="","","صرف مباشر")</f>
        <v/>
      </c>
      <c r="C508" t="str">
        <f>IF('الصرف المباشر'!C8="","",IF('الصرف المباشر'!E8="","-",'الصرف المباشر'!E8))</f>
        <v/>
      </c>
      <c r="D508" t="str">
        <f>IF('الصرف المباشر'!C8="","",'الصرف المباشر'!C8)</f>
        <v/>
      </c>
      <c r="E508" s="24" t="str">
        <f>IF('الصرف المباشر'!C8="","",-'الصرف المباشر'!D8)</f>
        <v/>
      </c>
      <c r="F508" t="str">
        <f>IF('الصرف المباشر'!C8="","",IF('الصرف المباشر'!F8="","",'الصرف المباشر'!F8))</f>
        <v/>
      </c>
      <c r="G508" t="str">
        <f>IF($B508&lt;&gt;"",SUMPRODUCT(($B$2:$B508&lt;&gt;"")*1),"")</f>
        <v/>
      </c>
    </row>
    <row r="509" spans="1:7">
      <c r="A509" s="23" t="str">
        <f>IF('الصرف المباشر'!C9="","",'الصرف المباشر'!B9)</f>
        <v/>
      </c>
      <c r="B509" t="str">
        <f>IF('الصرف المباشر'!C9="","","صرف مباشر")</f>
        <v/>
      </c>
      <c r="C509" t="str">
        <f>IF('الصرف المباشر'!C9="","",IF('الصرف المباشر'!E9="","-",'الصرف المباشر'!E9))</f>
        <v/>
      </c>
      <c r="D509" t="str">
        <f>IF('الصرف المباشر'!C9="","",'الصرف المباشر'!C9)</f>
        <v/>
      </c>
      <c r="E509" s="24" t="str">
        <f>IF('الصرف المباشر'!C9="","",-'الصرف المباشر'!D9)</f>
        <v/>
      </c>
      <c r="F509" t="str">
        <f>IF('الصرف المباشر'!C9="","",IF('الصرف المباشر'!F9="","",'الصرف المباشر'!F9))</f>
        <v/>
      </c>
      <c r="G509" t="str">
        <f>IF($B509&lt;&gt;"",SUMPRODUCT(($B$2:$B509&lt;&gt;"")*1),"")</f>
        <v/>
      </c>
    </row>
    <row r="510" spans="1:7">
      <c r="A510" s="23" t="str">
        <f>IF('الصرف المباشر'!C10="","",'الصرف المباشر'!B10)</f>
        <v/>
      </c>
      <c r="B510" t="str">
        <f>IF('الصرف المباشر'!C10="","","صرف مباشر")</f>
        <v/>
      </c>
      <c r="C510" t="str">
        <f>IF('الصرف المباشر'!C10="","",IF('الصرف المباشر'!E10="","-",'الصرف المباشر'!E10))</f>
        <v/>
      </c>
      <c r="D510" t="str">
        <f>IF('الصرف المباشر'!C10="","",'الصرف المباشر'!C10)</f>
        <v/>
      </c>
      <c r="E510" s="24" t="str">
        <f>IF('الصرف المباشر'!C10="","",-'الصرف المباشر'!D10)</f>
        <v/>
      </c>
      <c r="F510" t="str">
        <f>IF('الصرف المباشر'!C10="","",IF('الصرف المباشر'!F10="","",'الصرف المباشر'!F10))</f>
        <v/>
      </c>
      <c r="G510" t="str">
        <f>IF($B510&lt;&gt;"",SUMPRODUCT(($B$2:$B510&lt;&gt;"")*1),"")</f>
        <v/>
      </c>
    </row>
    <row r="511" spans="1:7">
      <c r="A511" s="23" t="str">
        <f>IF('الصرف المباشر'!C11="","",'الصرف المباشر'!B11)</f>
        <v/>
      </c>
      <c r="B511" t="str">
        <f>IF('الصرف المباشر'!C11="","","صرف مباشر")</f>
        <v/>
      </c>
      <c r="C511" t="str">
        <f>IF('الصرف المباشر'!C11="","",IF('الصرف المباشر'!E11="","-",'الصرف المباشر'!E11))</f>
        <v/>
      </c>
      <c r="D511" t="str">
        <f>IF('الصرف المباشر'!C11="","",'الصرف المباشر'!C11)</f>
        <v/>
      </c>
      <c r="E511" s="24" t="str">
        <f>IF('الصرف المباشر'!C11="","",-'الصرف المباشر'!D11)</f>
        <v/>
      </c>
      <c r="F511" t="str">
        <f>IF('الصرف المباشر'!C11="","",IF('الصرف المباشر'!F11="","",'الصرف المباشر'!F11))</f>
        <v/>
      </c>
      <c r="G511" t="str">
        <f>IF($B511&lt;&gt;"",SUMPRODUCT(($B$2:$B511&lt;&gt;"")*1),"")</f>
        <v/>
      </c>
    </row>
    <row r="512" spans="1:7">
      <c r="A512" s="23" t="str">
        <f>IF('الصرف المباشر'!C12="","",'الصرف المباشر'!B12)</f>
        <v/>
      </c>
      <c r="B512" t="str">
        <f>IF('الصرف المباشر'!C12="","","صرف مباشر")</f>
        <v/>
      </c>
      <c r="C512" t="str">
        <f>IF('الصرف المباشر'!C12="","",IF('الصرف المباشر'!E12="","-",'الصرف المباشر'!E12))</f>
        <v/>
      </c>
      <c r="D512" t="str">
        <f>IF('الصرف المباشر'!C12="","",'الصرف المباشر'!C12)</f>
        <v/>
      </c>
      <c r="E512" s="24" t="str">
        <f>IF('الصرف المباشر'!C12="","",-'الصرف المباشر'!D12)</f>
        <v/>
      </c>
      <c r="F512" t="str">
        <f>IF('الصرف المباشر'!C12="","",IF('الصرف المباشر'!F12="","",'الصرف المباشر'!F12))</f>
        <v/>
      </c>
      <c r="G512" t="str">
        <f>IF($B512&lt;&gt;"",SUMPRODUCT(($B$2:$B512&lt;&gt;"")*1),"")</f>
        <v/>
      </c>
    </row>
    <row r="513" spans="1:7">
      <c r="A513" s="23" t="str">
        <f>IF('الصرف المباشر'!C13="","",'الصرف المباشر'!B13)</f>
        <v/>
      </c>
      <c r="B513" t="str">
        <f>IF('الصرف المباشر'!C13="","","صرف مباشر")</f>
        <v/>
      </c>
      <c r="C513" t="str">
        <f>IF('الصرف المباشر'!C13="","",IF('الصرف المباشر'!E13="","-",'الصرف المباشر'!E13))</f>
        <v/>
      </c>
      <c r="D513" t="str">
        <f>IF('الصرف المباشر'!C13="","",'الصرف المباشر'!C13)</f>
        <v/>
      </c>
      <c r="E513" s="24" t="str">
        <f>IF('الصرف المباشر'!C13="","",-'الصرف المباشر'!D13)</f>
        <v/>
      </c>
      <c r="F513" t="str">
        <f>IF('الصرف المباشر'!C13="","",IF('الصرف المباشر'!F13="","",'الصرف المباشر'!F13))</f>
        <v/>
      </c>
      <c r="G513" t="str">
        <f>IF($B513&lt;&gt;"",SUMPRODUCT(($B$2:$B513&lt;&gt;"")*1),"")</f>
        <v/>
      </c>
    </row>
    <row r="514" spans="1:7">
      <c r="A514" s="23" t="str">
        <f>IF('الصرف المباشر'!C14="","",'الصرف المباشر'!B14)</f>
        <v/>
      </c>
      <c r="B514" t="str">
        <f>IF('الصرف المباشر'!C14="","","صرف مباشر")</f>
        <v/>
      </c>
      <c r="C514" t="str">
        <f>IF('الصرف المباشر'!C14="","",IF('الصرف المباشر'!E14="","-",'الصرف المباشر'!E14))</f>
        <v/>
      </c>
      <c r="D514" t="str">
        <f>IF('الصرف المباشر'!C14="","",'الصرف المباشر'!C14)</f>
        <v/>
      </c>
      <c r="E514" s="24" t="str">
        <f>IF('الصرف المباشر'!C14="","",-'الصرف المباشر'!D14)</f>
        <v/>
      </c>
      <c r="F514" t="str">
        <f>IF('الصرف المباشر'!C14="","",IF('الصرف المباشر'!F14="","",'الصرف المباشر'!F14))</f>
        <v/>
      </c>
      <c r="G514" t="str">
        <f>IF($B514&lt;&gt;"",SUMPRODUCT(($B$2:$B514&lt;&gt;"")*1),"")</f>
        <v/>
      </c>
    </row>
    <row r="515" spans="1:7">
      <c r="A515" s="23" t="str">
        <f>IF('الصرف المباشر'!C15="","",'الصرف المباشر'!B15)</f>
        <v/>
      </c>
      <c r="B515" t="str">
        <f>IF('الصرف المباشر'!C15="","","صرف مباشر")</f>
        <v/>
      </c>
      <c r="C515" t="str">
        <f>IF('الصرف المباشر'!C15="","",IF('الصرف المباشر'!E15="","-",'الصرف المباشر'!E15))</f>
        <v/>
      </c>
      <c r="D515" t="str">
        <f>IF('الصرف المباشر'!C15="","",'الصرف المباشر'!C15)</f>
        <v/>
      </c>
      <c r="E515" s="24" t="str">
        <f>IF('الصرف المباشر'!C15="","",-'الصرف المباشر'!D15)</f>
        <v/>
      </c>
      <c r="F515" t="str">
        <f>IF('الصرف المباشر'!C15="","",IF('الصرف المباشر'!F15="","",'الصرف المباشر'!F15))</f>
        <v/>
      </c>
      <c r="G515" t="str">
        <f>IF($B515&lt;&gt;"",SUMPRODUCT(($B$2:$B515&lt;&gt;"")*1),"")</f>
        <v/>
      </c>
    </row>
    <row r="516" spans="1:7">
      <c r="A516" s="23" t="str">
        <f>IF('الصرف المباشر'!C16="","",'الصرف المباشر'!B16)</f>
        <v/>
      </c>
      <c r="B516" t="str">
        <f>IF('الصرف المباشر'!C16="","","صرف مباشر")</f>
        <v/>
      </c>
      <c r="C516" t="str">
        <f>IF('الصرف المباشر'!C16="","",IF('الصرف المباشر'!E16="","-",'الصرف المباشر'!E16))</f>
        <v/>
      </c>
      <c r="D516" t="str">
        <f>IF('الصرف المباشر'!C16="","",'الصرف المباشر'!C16)</f>
        <v/>
      </c>
      <c r="E516" s="24" t="str">
        <f>IF('الصرف المباشر'!C16="","",-'الصرف المباشر'!D16)</f>
        <v/>
      </c>
      <c r="F516" t="str">
        <f>IF('الصرف المباشر'!C16="","",IF('الصرف المباشر'!F16="","",'الصرف المباشر'!F16))</f>
        <v/>
      </c>
      <c r="G516" t="str">
        <f>IF($B516&lt;&gt;"",SUMPRODUCT(($B$2:$B516&lt;&gt;"")*1),"")</f>
        <v/>
      </c>
    </row>
    <row r="517" spans="1:7">
      <c r="A517" s="23" t="str">
        <f>IF('الصرف المباشر'!C17="","",'الصرف المباشر'!B17)</f>
        <v/>
      </c>
      <c r="B517" t="str">
        <f>IF('الصرف المباشر'!C17="","","صرف مباشر")</f>
        <v/>
      </c>
      <c r="C517" t="str">
        <f>IF('الصرف المباشر'!C17="","",IF('الصرف المباشر'!E17="","-",'الصرف المباشر'!E17))</f>
        <v/>
      </c>
      <c r="D517" t="str">
        <f>IF('الصرف المباشر'!C17="","",'الصرف المباشر'!C17)</f>
        <v/>
      </c>
      <c r="E517" s="24" t="str">
        <f>IF('الصرف المباشر'!C17="","",-'الصرف المباشر'!D17)</f>
        <v/>
      </c>
      <c r="F517" t="str">
        <f>IF('الصرف المباشر'!C17="","",IF('الصرف المباشر'!F17="","",'الصرف المباشر'!F17))</f>
        <v/>
      </c>
      <c r="G517" t="str">
        <f>IF($B517&lt;&gt;"",SUMPRODUCT(($B$2:$B517&lt;&gt;"")*1),"")</f>
        <v/>
      </c>
    </row>
    <row r="518" spans="1:7">
      <c r="A518" s="23" t="str">
        <f>IF('الصرف المباشر'!C18="","",'الصرف المباشر'!B18)</f>
        <v/>
      </c>
      <c r="B518" t="str">
        <f>IF('الصرف المباشر'!C18="","","صرف مباشر")</f>
        <v/>
      </c>
      <c r="C518" t="str">
        <f>IF('الصرف المباشر'!C18="","",IF('الصرف المباشر'!E18="","-",'الصرف المباشر'!E18))</f>
        <v/>
      </c>
      <c r="D518" t="str">
        <f>IF('الصرف المباشر'!C18="","",'الصرف المباشر'!C18)</f>
        <v/>
      </c>
      <c r="E518" s="24" t="str">
        <f>IF('الصرف المباشر'!C18="","",-'الصرف المباشر'!D18)</f>
        <v/>
      </c>
      <c r="F518" t="str">
        <f>IF('الصرف المباشر'!C18="","",IF('الصرف المباشر'!F18="","",'الصرف المباشر'!F18))</f>
        <v/>
      </c>
      <c r="G518" t="str">
        <f>IF($B518&lt;&gt;"",SUMPRODUCT(($B$2:$B518&lt;&gt;"")*1),"")</f>
        <v/>
      </c>
    </row>
    <row r="519" spans="1:7">
      <c r="A519" s="23" t="str">
        <f>IF('الصرف المباشر'!C19="","",'الصرف المباشر'!B19)</f>
        <v/>
      </c>
      <c r="B519" t="str">
        <f>IF('الصرف المباشر'!C19="","","صرف مباشر")</f>
        <v/>
      </c>
      <c r="C519" t="str">
        <f>IF('الصرف المباشر'!C19="","",IF('الصرف المباشر'!E19="","-",'الصرف المباشر'!E19))</f>
        <v/>
      </c>
      <c r="D519" t="str">
        <f>IF('الصرف المباشر'!C19="","",'الصرف المباشر'!C19)</f>
        <v/>
      </c>
      <c r="E519" s="24" t="str">
        <f>IF('الصرف المباشر'!C19="","",-'الصرف المباشر'!D19)</f>
        <v/>
      </c>
      <c r="F519" t="str">
        <f>IF('الصرف المباشر'!C19="","",IF('الصرف المباشر'!F19="","",'الصرف المباشر'!F19))</f>
        <v/>
      </c>
      <c r="G519" t="str">
        <f>IF($B519&lt;&gt;"",SUMPRODUCT(($B$2:$B519&lt;&gt;"")*1),"")</f>
        <v/>
      </c>
    </row>
    <row r="520" spans="1:7">
      <c r="A520" s="23" t="str">
        <f>IF('الصرف المباشر'!C20="","",'الصرف المباشر'!B20)</f>
        <v/>
      </c>
      <c r="B520" t="str">
        <f>IF('الصرف المباشر'!C20="","","صرف مباشر")</f>
        <v/>
      </c>
      <c r="C520" t="str">
        <f>IF('الصرف المباشر'!C20="","",IF('الصرف المباشر'!E20="","-",'الصرف المباشر'!E20))</f>
        <v/>
      </c>
      <c r="D520" t="str">
        <f>IF('الصرف المباشر'!C20="","",'الصرف المباشر'!C20)</f>
        <v/>
      </c>
      <c r="E520" s="24" t="str">
        <f>IF('الصرف المباشر'!C20="","",-'الصرف المباشر'!D20)</f>
        <v/>
      </c>
      <c r="F520" t="str">
        <f>IF('الصرف المباشر'!C20="","",IF('الصرف المباشر'!F20="","",'الصرف المباشر'!F20))</f>
        <v/>
      </c>
      <c r="G520" t="str">
        <f>IF($B520&lt;&gt;"",SUMPRODUCT(($B$2:$B520&lt;&gt;"")*1),"")</f>
        <v/>
      </c>
    </row>
    <row r="521" spans="1:7">
      <c r="A521" s="23" t="str">
        <f>IF('الصرف المباشر'!C21="","",'الصرف المباشر'!B21)</f>
        <v/>
      </c>
      <c r="B521" t="str">
        <f>IF('الصرف المباشر'!C21="","","صرف مباشر")</f>
        <v/>
      </c>
      <c r="C521" t="str">
        <f>IF('الصرف المباشر'!C21="","",IF('الصرف المباشر'!E21="","-",'الصرف المباشر'!E21))</f>
        <v/>
      </c>
      <c r="D521" t="str">
        <f>IF('الصرف المباشر'!C21="","",'الصرف المباشر'!C21)</f>
        <v/>
      </c>
      <c r="E521" s="24" t="str">
        <f>IF('الصرف المباشر'!C21="","",-'الصرف المباشر'!D21)</f>
        <v/>
      </c>
      <c r="F521" t="str">
        <f>IF('الصرف المباشر'!C21="","",IF('الصرف المباشر'!F21="","",'الصرف المباشر'!F21))</f>
        <v/>
      </c>
      <c r="G521" t="str">
        <f>IF($B521&lt;&gt;"",SUMPRODUCT(($B$2:$B521&lt;&gt;"")*1),"")</f>
        <v/>
      </c>
    </row>
    <row r="522" spans="1:7">
      <c r="A522" s="23" t="str">
        <f>IF('الصرف المباشر'!C22="","",'الصرف المباشر'!B22)</f>
        <v/>
      </c>
      <c r="B522" t="str">
        <f>IF('الصرف المباشر'!C22="","","صرف مباشر")</f>
        <v/>
      </c>
      <c r="C522" t="str">
        <f>IF('الصرف المباشر'!C22="","",IF('الصرف المباشر'!E22="","-",'الصرف المباشر'!E22))</f>
        <v/>
      </c>
      <c r="D522" t="str">
        <f>IF('الصرف المباشر'!C22="","",'الصرف المباشر'!C22)</f>
        <v/>
      </c>
      <c r="E522" s="24" t="str">
        <f>IF('الصرف المباشر'!C22="","",-'الصرف المباشر'!D22)</f>
        <v/>
      </c>
      <c r="F522" t="str">
        <f>IF('الصرف المباشر'!C22="","",IF('الصرف المباشر'!F22="","",'الصرف المباشر'!F22))</f>
        <v/>
      </c>
      <c r="G522" t="str">
        <f>IF($B522&lt;&gt;"",SUMPRODUCT(($B$2:$B522&lt;&gt;"")*1),"")</f>
        <v/>
      </c>
    </row>
    <row r="523" spans="1:7">
      <c r="A523" s="23" t="str">
        <f>IF('الصرف المباشر'!C23="","",'الصرف المباشر'!B23)</f>
        <v/>
      </c>
      <c r="B523" t="str">
        <f>IF('الصرف المباشر'!C23="","","صرف مباشر")</f>
        <v/>
      </c>
      <c r="C523" t="str">
        <f>IF('الصرف المباشر'!C23="","",IF('الصرف المباشر'!E23="","-",'الصرف المباشر'!E23))</f>
        <v/>
      </c>
      <c r="D523" t="str">
        <f>IF('الصرف المباشر'!C23="","",'الصرف المباشر'!C23)</f>
        <v/>
      </c>
      <c r="E523" s="24" t="str">
        <f>IF('الصرف المباشر'!C23="","",-'الصرف المباشر'!D23)</f>
        <v/>
      </c>
      <c r="F523" t="str">
        <f>IF('الصرف المباشر'!C23="","",IF('الصرف المباشر'!F23="","",'الصرف المباشر'!F23))</f>
        <v/>
      </c>
      <c r="G523" t="str">
        <f>IF($B523&lt;&gt;"",SUMPRODUCT(($B$2:$B523&lt;&gt;"")*1),"")</f>
        <v/>
      </c>
    </row>
    <row r="524" spans="1:7">
      <c r="A524" s="23" t="str">
        <f>IF('الصرف المباشر'!C24="","",'الصرف المباشر'!B24)</f>
        <v/>
      </c>
      <c r="B524" t="str">
        <f>IF('الصرف المباشر'!C24="","","صرف مباشر")</f>
        <v/>
      </c>
      <c r="C524" t="str">
        <f>IF('الصرف المباشر'!C24="","",IF('الصرف المباشر'!E24="","-",'الصرف المباشر'!E24))</f>
        <v/>
      </c>
      <c r="D524" t="str">
        <f>IF('الصرف المباشر'!C24="","",'الصرف المباشر'!C24)</f>
        <v/>
      </c>
      <c r="E524" s="24" t="str">
        <f>IF('الصرف المباشر'!C24="","",-'الصرف المباشر'!D24)</f>
        <v/>
      </c>
      <c r="F524" t="str">
        <f>IF('الصرف المباشر'!C24="","",IF('الصرف المباشر'!F24="","",'الصرف المباشر'!F24))</f>
        <v/>
      </c>
      <c r="G524" t="str">
        <f>IF($B524&lt;&gt;"",SUMPRODUCT(($B$2:$B524&lt;&gt;"")*1),"")</f>
        <v/>
      </c>
    </row>
    <row r="525" spans="1:7">
      <c r="A525" s="23" t="str">
        <f>IF('الصرف المباشر'!C25="","",'الصرف المباشر'!B25)</f>
        <v/>
      </c>
      <c r="B525" t="str">
        <f>IF('الصرف المباشر'!C25="","","صرف مباشر")</f>
        <v/>
      </c>
      <c r="C525" t="str">
        <f>IF('الصرف المباشر'!C25="","",IF('الصرف المباشر'!E25="","-",'الصرف المباشر'!E25))</f>
        <v/>
      </c>
      <c r="D525" t="str">
        <f>IF('الصرف المباشر'!C25="","",'الصرف المباشر'!C25)</f>
        <v/>
      </c>
      <c r="E525" s="24" t="str">
        <f>IF('الصرف المباشر'!C25="","",-'الصرف المباشر'!D25)</f>
        <v/>
      </c>
      <c r="F525" t="str">
        <f>IF('الصرف المباشر'!C25="","",IF('الصرف المباشر'!F25="","",'الصرف المباشر'!F25))</f>
        <v/>
      </c>
      <c r="G525" t="str">
        <f>IF($B525&lt;&gt;"",SUMPRODUCT(($B$2:$B525&lt;&gt;"")*1),"")</f>
        <v/>
      </c>
    </row>
    <row r="526" spans="1:7">
      <c r="A526" s="23" t="str">
        <f>IF('الصرف المباشر'!C26="","",'الصرف المباشر'!B26)</f>
        <v/>
      </c>
      <c r="B526" t="str">
        <f>IF('الصرف المباشر'!C26="","","صرف مباشر")</f>
        <v/>
      </c>
      <c r="C526" t="str">
        <f>IF('الصرف المباشر'!C26="","",IF('الصرف المباشر'!E26="","-",'الصرف المباشر'!E26))</f>
        <v/>
      </c>
      <c r="D526" t="str">
        <f>IF('الصرف المباشر'!C26="","",'الصرف المباشر'!C26)</f>
        <v/>
      </c>
      <c r="E526" s="24" t="str">
        <f>IF('الصرف المباشر'!C26="","",-'الصرف المباشر'!D26)</f>
        <v/>
      </c>
      <c r="F526" t="str">
        <f>IF('الصرف المباشر'!C26="","",IF('الصرف المباشر'!F26="","",'الصرف المباشر'!F26))</f>
        <v/>
      </c>
      <c r="G526" t="str">
        <f>IF($B526&lt;&gt;"",SUMPRODUCT(($B$2:$B526&lt;&gt;"")*1),"")</f>
        <v/>
      </c>
    </row>
    <row r="527" spans="1:7">
      <c r="A527" s="23" t="str">
        <f>IF('الصرف المباشر'!C27="","",'الصرف المباشر'!B27)</f>
        <v/>
      </c>
      <c r="B527" t="str">
        <f>IF('الصرف المباشر'!C27="","","صرف مباشر")</f>
        <v/>
      </c>
      <c r="C527" t="str">
        <f>IF('الصرف المباشر'!C27="","",IF('الصرف المباشر'!E27="","-",'الصرف المباشر'!E27))</f>
        <v/>
      </c>
      <c r="D527" t="str">
        <f>IF('الصرف المباشر'!C27="","",'الصرف المباشر'!C27)</f>
        <v/>
      </c>
      <c r="E527" s="24" t="str">
        <f>IF('الصرف المباشر'!C27="","",-'الصرف المباشر'!D27)</f>
        <v/>
      </c>
      <c r="F527" t="str">
        <f>IF('الصرف المباشر'!C27="","",IF('الصرف المباشر'!F27="","",'الصرف المباشر'!F27))</f>
        <v/>
      </c>
      <c r="G527" t="str">
        <f>IF($B527&lt;&gt;"",SUMPRODUCT(($B$2:$B527&lt;&gt;"")*1),"")</f>
        <v/>
      </c>
    </row>
    <row r="528" spans="1:7">
      <c r="A528" s="23" t="str">
        <f>IF('الصرف المباشر'!C28="","",'الصرف المباشر'!B28)</f>
        <v/>
      </c>
      <c r="B528" t="str">
        <f>IF('الصرف المباشر'!C28="","","صرف مباشر")</f>
        <v/>
      </c>
      <c r="C528" t="str">
        <f>IF('الصرف المباشر'!C28="","",IF('الصرف المباشر'!E28="","-",'الصرف المباشر'!E28))</f>
        <v/>
      </c>
      <c r="D528" t="str">
        <f>IF('الصرف المباشر'!C28="","",'الصرف المباشر'!C28)</f>
        <v/>
      </c>
      <c r="E528" s="24" t="str">
        <f>IF('الصرف المباشر'!C28="","",-'الصرف المباشر'!D28)</f>
        <v/>
      </c>
      <c r="F528" t="str">
        <f>IF('الصرف المباشر'!C28="","",IF('الصرف المباشر'!F28="","",'الصرف المباشر'!F28))</f>
        <v/>
      </c>
      <c r="G528" t="str">
        <f>IF($B528&lt;&gt;"",SUMPRODUCT(($B$2:$B528&lt;&gt;"")*1),"")</f>
        <v/>
      </c>
    </row>
    <row r="529" spans="1:7">
      <c r="A529" s="23" t="str">
        <f>IF('الصرف المباشر'!C29="","",'الصرف المباشر'!B29)</f>
        <v/>
      </c>
      <c r="B529" t="str">
        <f>IF('الصرف المباشر'!C29="","","صرف مباشر")</f>
        <v/>
      </c>
      <c r="C529" t="str">
        <f>IF('الصرف المباشر'!C29="","",IF('الصرف المباشر'!E29="","-",'الصرف المباشر'!E29))</f>
        <v/>
      </c>
      <c r="D529" t="str">
        <f>IF('الصرف المباشر'!C29="","",'الصرف المباشر'!C29)</f>
        <v/>
      </c>
      <c r="E529" s="24" t="str">
        <f>IF('الصرف المباشر'!C29="","",-'الصرف المباشر'!D29)</f>
        <v/>
      </c>
      <c r="F529" t="str">
        <f>IF('الصرف المباشر'!C29="","",IF('الصرف المباشر'!F29="","",'الصرف المباشر'!F29))</f>
        <v/>
      </c>
      <c r="G529" t="str">
        <f>IF($B529&lt;&gt;"",SUMPRODUCT(($B$2:$B529&lt;&gt;"")*1),"")</f>
        <v/>
      </c>
    </row>
    <row r="530" spans="1:7">
      <c r="A530" s="23" t="str">
        <f>IF('الصرف المباشر'!C30="","",'الصرف المباشر'!B30)</f>
        <v/>
      </c>
      <c r="B530" t="str">
        <f>IF('الصرف المباشر'!C30="","","صرف مباشر")</f>
        <v/>
      </c>
      <c r="C530" t="str">
        <f>IF('الصرف المباشر'!C30="","",IF('الصرف المباشر'!E30="","-",'الصرف المباشر'!E30))</f>
        <v/>
      </c>
      <c r="D530" t="str">
        <f>IF('الصرف المباشر'!C30="","",'الصرف المباشر'!C30)</f>
        <v/>
      </c>
      <c r="E530" s="24" t="str">
        <f>IF('الصرف المباشر'!C30="","",-'الصرف المباشر'!D30)</f>
        <v/>
      </c>
      <c r="F530" t="str">
        <f>IF('الصرف المباشر'!C30="","",IF('الصرف المباشر'!F30="","",'الصرف المباشر'!F30))</f>
        <v/>
      </c>
      <c r="G530" t="str">
        <f>IF($B530&lt;&gt;"",SUMPRODUCT(($B$2:$B530&lt;&gt;"")*1),"")</f>
        <v/>
      </c>
    </row>
    <row r="531" spans="1:7">
      <c r="A531" s="23" t="str">
        <f>IF('الصرف المباشر'!C31="","",'الصرف المباشر'!B31)</f>
        <v/>
      </c>
      <c r="B531" t="str">
        <f>IF('الصرف المباشر'!C31="","","صرف مباشر")</f>
        <v/>
      </c>
      <c r="C531" t="str">
        <f>IF('الصرف المباشر'!C31="","",IF('الصرف المباشر'!E31="","-",'الصرف المباشر'!E31))</f>
        <v/>
      </c>
      <c r="D531" t="str">
        <f>IF('الصرف المباشر'!C31="","",'الصرف المباشر'!C31)</f>
        <v/>
      </c>
      <c r="E531" s="24" t="str">
        <f>IF('الصرف المباشر'!C31="","",-'الصرف المباشر'!D31)</f>
        <v/>
      </c>
      <c r="F531" t="str">
        <f>IF('الصرف المباشر'!C31="","",IF('الصرف المباشر'!F31="","",'الصرف المباشر'!F31))</f>
        <v/>
      </c>
      <c r="G531" t="str">
        <f>IF($B531&lt;&gt;"",SUMPRODUCT(($B$2:$B531&lt;&gt;"")*1),"")</f>
        <v/>
      </c>
    </row>
    <row r="532" spans="1:7">
      <c r="A532" s="23" t="str">
        <f>IF('الصرف المباشر'!C32="","",'الصرف المباشر'!B32)</f>
        <v/>
      </c>
      <c r="B532" t="str">
        <f>IF('الصرف المباشر'!C32="","","صرف مباشر")</f>
        <v/>
      </c>
      <c r="C532" t="str">
        <f>IF('الصرف المباشر'!C32="","",IF('الصرف المباشر'!E32="","-",'الصرف المباشر'!E32))</f>
        <v/>
      </c>
      <c r="D532" t="str">
        <f>IF('الصرف المباشر'!C32="","",'الصرف المباشر'!C32)</f>
        <v/>
      </c>
      <c r="E532" s="24" t="str">
        <f>IF('الصرف المباشر'!C32="","",-'الصرف المباشر'!D32)</f>
        <v/>
      </c>
      <c r="F532" t="str">
        <f>IF('الصرف المباشر'!C32="","",IF('الصرف المباشر'!F32="","",'الصرف المباشر'!F32))</f>
        <v/>
      </c>
      <c r="G532" t="str">
        <f>IF($B532&lt;&gt;"",SUMPRODUCT(($B$2:$B532&lt;&gt;"")*1),"")</f>
        <v/>
      </c>
    </row>
    <row r="533" spans="1:7">
      <c r="A533" s="23" t="str">
        <f>IF('الصرف المباشر'!C33="","",'الصرف المباشر'!B33)</f>
        <v/>
      </c>
      <c r="B533" t="str">
        <f>IF('الصرف المباشر'!C33="","","صرف مباشر")</f>
        <v/>
      </c>
      <c r="C533" t="str">
        <f>IF('الصرف المباشر'!C33="","",IF('الصرف المباشر'!E33="","-",'الصرف المباشر'!E33))</f>
        <v/>
      </c>
      <c r="D533" t="str">
        <f>IF('الصرف المباشر'!C33="","",'الصرف المباشر'!C33)</f>
        <v/>
      </c>
      <c r="E533" s="24" t="str">
        <f>IF('الصرف المباشر'!C33="","",-'الصرف المباشر'!D33)</f>
        <v/>
      </c>
      <c r="F533" t="str">
        <f>IF('الصرف المباشر'!C33="","",IF('الصرف المباشر'!F33="","",'الصرف المباشر'!F33))</f>
        <v/>
      </c>
      <c r="G533" t="str">
        <f>IF($B533&lt;&gt;"",SUMPRODUCT(($B$2:$B533&lt;&gt;"")*1),"")</f>
        <v/>
      </c>
    </row>
    <row r="534" spans="1:7">
      <c r="A534" s="23" t="str">
        <f>IF('الصرف المباشر'!C34="","",'الصرف المباشر'!B34)</f>
        <v/>
      </c>
      <c r="B534" t="str">
        <f>IF('الصرف المباشر'!C34="","","صرف مباشر")</f>
        <v/>
      </c>
      <c r="C534" t="str">
        <f>IF('الصرف المباشر'!C34="","",IF('الصرف المباشر'!E34="","-",'الصرف المباشر'!E34))</f>
        <v/>
      </c>
      <c r="D534" t="str">
        <f>IF('الصرف المباشر'!C34="","",'الصرف المباشر'!C34)</f>
        <v/>
      </c>
      <c r="E534" s="24" t="str">
        <f>IF('الصرف المباشر'!C34="","",-'الصرف المباشر'!D34)</f>
        <v/>
      </c>
      <c r="F534" t="str">
        <f>IF('الصرف المباشر'!C34="","",IF('الصرف المباشر'!F34="","",'الصرف المباشر'!F34))</f>
        <v/>
      </c>
      <c r="G534" t="str">
        <f>IF($B534&lt;&gt;"",SUMPRODUCT(($B$2:$B534&lt;&gt;"")*1),"")</f>
        <v/>
      </c>
    </row>
    <row r="535" spans="1:7">
      <c r="A535" s="23" t="str">
        <f>IF('الصرف المباشر'!C35="","",'الصرف المباشر'!B35)</f>
        <v/>
      </c>
      <c r="B535" t="str">
        <f>IF('الصرف المباشر'!C35="","","صرف مباشر")</f>
        <v/>
      </c>
      <c r="C535" t="str">
        <f>IF('الصرف المباشر'!C35="","",IF('الصرف المباشر'!E35="","-",'الصرف المباشر'!E35))</f>
        <v/>
      </c>
      <c r="D535" t="str">
        <f>IF('الصرف المباشر'!C35="","",'الصرف المباشر'!C35)</f>
        <v/>
      </c>
      <c r="E535" s="24" t="str">
        <f>IF('الصرف المباشر'!C35="","",-'الصرف المباشر'!D35)</f>
        <v/>
      </c>
      <c r="F535" t="str">
        <f>IF('الصرف المباشر'!C35="","",IF('الصرف المباشر'!F35="","",'الصرف المباشر'!F35))</f>
        <v/>
      </c>
      <c r="G535" t="str">
        <f>IF($B535&lt;&gt;"",SUMPRODUCT(($B$2:$B535&lt;&gt;"")*1),"")</f>
        <v/>
      </c>
    </row>
    <row r="536" spans="1:7">
      <c r="A536" s="23" t="str">
        <f>IF('الصرف المباشر'!C36="","",'الصرف المباشر'!B36)</f>
        <v/>
      </c>
      <c r="B536" t="str">
        <f>IF('الصرف المباشر'!C36="","","صرف مباشر")</f>
        <v/>
      </c>
      <c r="C536" t="str">
        <f>IF('الصرف المباشر'!C36="","",IF('الصرف المباشر'!E36="","-",'الصرف المباشر'!E36))</f>
        <v/>
      </c>
      <c r="D536" t="str">
        <f>IF('الصرف المباشر'!C36="","",'الصرف المباشر'!C36)</f>
        <v/>
      </c>
      <c r="E536" s="24" t="str">
        <f>IF('الصرف المباشر'!C36="","",-'الصرف المباشر'!D36)</f>
        <v/>
      </c>
      <c r="F536" t="str">
        <f>IF('الصرف المباشر'!C36="","",IF('الصرف المباشر'!F36="","",'الصرف المباشر'!F36))</f>
        <v/>
      </c>
      <c r="G536" t="str">
        <f>IF($B536&lt;&gt;"",SUMPRODUCT(($B$2:$B536&lt;&gt;"")*1),"")</f>
        <v/>
      </c>
    </row>
    <row r="537" spans="1:7">
      <c r="A537" s="23" t="str">
        <f>IF('الصرف المباشر'!C37="","",'الصرف المباشر'!B37)</f>
        <v/>
      </c>
      <c r="B537" t="str">
        <f>IF('الصرف المباشر'!C37="","","صرف مباشر")</f>
        <v/>
      </c>
      <c r="C537" t="str">
        <f>IF('الصرف المباشر'!C37="","",IF('الصرف المباشر'!E37="","-",'الصرف المباشر'!E37))</f>
        <v/>
      </c>
      <c r="D537" t="str">
        <f>IF('الصرف المباشر'!C37="","",'الصرف المباشر'!C37)</f>
        <v/>
      </c>
      <c r="E537" s="24" t="str">
        <f>IF('الصرف المباشر'!C37="","",-'الصرف المباشر'!D37)</f>
        <v/>
      </c>
      <c r="F537" t="str">
        <f>IF('الصرف المباشر'!C37="","",IF('الصرف المباشر'!F37="","",'الصرف المباشر'!F37))</f>
        <v/>
      </c>
      <c r="G537" t="str">
        <f>IF($B537&lt;&gt;"",SUMPRODUCT(($B$2:$B537&lt;&gt;"")*1),"")</f>
        <v/>
      </c>
    </row>
    <row r="538" spans="1:7">
      <c r="A538" s="23" t="str">
        <f>IF('الصرف المباشر'!C38="","",'الصرف المباشر'!B38)</f>
        <v/>
      </c>
      <c r="B538" t="str">
        <f>IF('الصرف المباشر'!C38="","","صرف مباشر")</f>
        <v/>
      </c>
      <c r="C538" t="str">
        <f>IF('الصرف المباشر'!C38="","",IF('الصرف المباشر'!E38="","-",'الصرف المباشر'!E38))</f>
        <v/>
      </c>
      <c r="D538" t="str">
        <f>IF('الصرف المباشر'!C38="","",'الصرف المباشر'!C38)</f>
        <v/>
      </c>
      <c r="E538" s="24" t="str">
        <f>IF('الصرف المباشر'!C38="","",-'الصرف المباشر'!D38)</f>
        <v/>
      </c>
      <c r="F538" t="str">
        <f>IF('الصرف المباشر'!C38="","",IF('الصرف المباشر'!F38="","",'الصرف المباشر'!F38))</f>
        <v/>
      </c>
      <c r="G538" t="str">
        <f>IF($B538&lt;&gt;"",SUMPRODUCT(($B$2:$B538&lt;&gt;"")*1),"")</f>
        <v/>
      </c>
    </row>
    <row r="539" spans="1:7">
      <c r="A539" s="23" t="str">
        <f>IF('الصرف المباشر'!C39="","",'الصرف المباشر'!B39)</f>
        <v/>
      </c>
      <c r="B539" t="str">
        <f>IF('الصرف المباشر'!C39="","","صرف مباشر")</f>
        <v/>
      </c>
      <c r="C539" t="str">
        <f>IF('الصرف المباشر'!C39="","",IF('الصرف المباشر'!E39="","-",'الصرف المباشر'!E39))</f>
        <v/>
      </c>
      <c r="D539" t="str">
        <f>IF('الصرف المباشر'!C39="","",'الصرف المباشر'!C39)</f>
        <v/>
      </c>
      <c r="E539" s="24" t="str">
        <f>IF('الصرف المباشر'!C39="","",-'الصرف المباشر'!D39)</f>
        <v/>
      </c>
      <c r="F539" t="str">
        <f>IF('الصرف المباشر'!C39="","",IF('الصرف المباشر'!F39="","",'الصرف المباشر'!F39))</f>
        <v/>
      </c>
      <c r="G539" t="str">
        <f>IF($B539&lt;&gt;"",SUMPRODUCT(($B$2:$B539&lt;&gt;"")*1),"")</f>
        <v/>
      </c>
    </row>
    <row r="540" spans="1:7">
      <c r="A540" s="23" t="str">
        <f>IF('الصرف المباشر'!C40="","",'الصرف المباشر'!B40)</f>
        <v/>
      </c>
      <c r="B540" t="str">
        <f>IF('الصرف المباشر'!C40="","","صرف مباشر")</f>
        <v/>
      </c>
      <c r="C540" t="str">
        <f>IF('الصرف المباشر'!C40="","",IF('الصرف المباشر'!E40="","-",'الصرف المباشر'!E40))</f>
        <v/>
      </c>
      <c r="D540" t="str">
        <f>IF('الصرف المباشر'!C40="","",'الصرف المباشر'!C40)</f>
        <v/>
      </c>
      <c r="E540" s="24" t="str">
        <f>IF('الصرف المباشر'!C40="","",-'الصرف المباشر'!D40)</f>
        <v/>
      </c>
      <c r="F540" t="str">
        <f>IF('الصرف المباشر'!C40="","",IF('الصرف المباشر'!F40="","",'الصرف المباشر'!F40))</f>
        <v/>
      </c>
      <c r="G540" t="str">
        <f>IF($B540&lt;&gt;"",SUMPRODUCT(($B$2:$B540&lt;&gt;"")*1),"")</f>
        <v/>
      </c>
    </row>
    <row r="541" spans="1:7">
      <c r="A541" s="23" t="str">
        <f>IF('الصرف المباشر'!C41="","",'الصرف المباشر'!B41)</f>
        <v/>
      </c>
      <c r="B541" t="str">
        <f>IF('الصرف المباشر'!C41="","","صرف مباشر")</f>
        <v/>
      </c>
      <c r="C541" t="str">
        <f>IF('الصرف المباشر'!C41="","",IF('الصرف المباشر'!E41="","-",'الصرف المباشر'!E41))</f>
        <v/>
      </c>
      <c r="D541" t="str">
        <f>IF('الصرف المباشر'!C41="","",'الصرف المباشر'!C41)</f>
        <v/>
      </c>
      <c r="E541" s="24" t="str">
        <f>IF('الصرف المباشر'!C41="","",-'الصرف المباشر'!D41)</f>
        <v/>
      </c>
      <c r="F541" t="str">
        <f>IF('الصرف المباشر'!C41="","",IF('الصرف المباشر'!F41="","",'الصرف المباشر'!F41))</f>
        <v/>
      </c>
      <c r="G541" t="str">
        <f>IF($B541&lt;&gt;"",SUMPRODUCT(($B$2:$B541&lt;&gt;"")*1),"")</f>
        <v/>
      </c>
    </row>
    <row r="542" spans="1:7">
      <c r="A542" s="23" t="str">
        <f>IF('الصرف المباشر'!C42="","",'الصرف المباشر'!B42)</f>
        <v/>
      </c>
      <c r="B542" t="str">
        <f>IF('الصرف المباشر'!C42="","","صرف مباشر")</f>
        <v/>
      </c>
      <c r="C542" t="str">
        <f>IF('الصرف المباشر'!C42="","",IF('الصرف المباشر'!E42="","-",'الصرف المباشر'!E42))</f>
        <v/>
      </c>
      <c r="D542" t="str">
        <f>IF('الصرف المباشر'!C42="","",'الصرف المباشر'!C42)</f>
        <v/>
      </c>
      <c r="E542" s="24" t="str">
        <f>IF('الصرف المباشر'!C42="","",-'الصرف المباشر'!D42)</f>
        <v/>
      </c>
      <c r="F542" t="str">
        <f>IF('الصرف المباشر'!C42="","",IF('الصرف المباشر'!F42="","",'الصرف المباشر'!F42))</f>
        <v/>
      </c>
      <c r="G542" t="str">
        <f>IF($B542&lt;&gt;"",SUMPRODUCT(($B$2:$B542&lt;&gt;"")*1),"")</f>
        <v/>
      </c>
    </row>
    <row r="543" spans="1:7">
      <c r="A543" s="23" t="str">
        <f>IF('الصرف المباشر'!C43="","",'الصرف المباشر'!B43)</f>
        <v/>
      </c>
      <c r="B543" t="str">
        <f>IF('الصرف المباشر'!C43="","","صرف مباشر")</f>
        <v/>
      </c>
      <c r="C543" t="str">
        <f>IF('الصرف المباشر'!C43="","",IF('الصرف المباشر'!E43="","-",'الصرف المباشر'!E43))</f>
        <v/>
      </c>
      <c r="D543" t="str">
        <f>IF('الصرف المباشر'!C43="","",'الصرف المباشر'!C43)</f>
        <v/>
      </c>
      <c r="E543" s="24" t="str">
        <f>IF('الصرف المباشر'!C43="","",-'الصرف المباشر'!D43)</f>
        <v/>
      </c>
      <c r="F543" t="str">
        <f>IF('الصرف المباشر'!C43="","",IF('الصرف المباشر'!F43="","",'الصرف المباشر'!F43))</f>
        <v/>
      </c>
      <c r="G543" t="str">
        <f>IF($B543&lt;&gt;"",SUMPRODUCT(($B$2:$B543&lt;&gt;"")*1),"")</f>
        <v/>
      </c>
    </row>
    <row r="544" spans="1:7">
      <c r="A544" s="23" t="str">
        <f>IF('الصرف المباشر'!C44="","",'الصرف المباشر'!B44)</f>
        <v/>
      </c>
      <c r="B544" t="str">
        <f>IF('الصرف المباشر'!C44="","","صرف مباشر")</f>
        <v/>
      </c>
      <c r="C544" t="str">
        <f>IF('الصرف المباشر'!C44="","",IF('الصرف المباشر'!E44="","-",'الصرف المباشر'!E44))</f>
        <v/>
      </c>
      <c r="D544" t="str">
        <f>IF('الصرف المباشر'!C44="","",'الصرف المباشر'!C44)</f>
        <v/>
      </c>
      <c r="E544" s="24" t="str">
        <f>IF('الصرف المباشر'!C44="","",-'الصرف المباشر'!D44)</f>
        <v/>
      </c>
      <c r="F544" t="str">
        <f>IF('الصرف المباشر'!C44="","",IF('الصرف المباشر'!F44="","",'الصرف المباشر'!F44))</f>
        <v/>
      </c>
      <c r="G544" t="str">
        <f>IF($B544&lt;&gt;"",SUMPRODUCT(($B$2:$B544&lt;&gt;"")*1),"")</f>
        <v/>
      </c>
    </row>
    <row r="545" spans="1:7">
      <c r="A545" s="23" t="str">
        <f>IF('الصرف المباشر'!C45="","",'الصرف المباشر'!B45)</f>
        <v/>
      </c>
      <c r="B545" t="str">
        <f>IF('الصرف المباشر'!C45="","","صرف مباشر")</f>
        <v/>
      </c>
      <c r="C545" t="str">
        <f>IF('الصرف المباشر'!C45="","",IF('الصرف المباشر'!E45="","-",'الصرف المباشر'!E45))</f>
        <v/>
      </c>
      <c r="D545" t="str">
        <f>IF('الصرف المباشر'!C45="","",'الصرف المباشر'!C45)</f>
        <v/>
      </c>
      <c r="E545" s="24" t="str">
        <f>IF('الصرف المباشر'!C45="","",-'الصرف المباشر'!D45)</f>
        <v/>
      </c>
      <c r="F545" t="str">
        <f>IF('الصرف المباشر'!C45="","",IF('الصرف المباشر'!F45="","",'الصرف المباشر'!F45))</f>
        <v/>
      </c>
      <c r="G545" t="str">
        <f>IF($B545&lt;&gt;"",SUMPRODUCT(($B$2:$B545&lt;&gt;"")*1),"")</f>
        <v/>
      </c>
    </row>
    <row r="546" spans="1:7">
      <c r="A546" s="23" t="str">
        <f>IF('الصرف المباشر'!C46="","",'الصرف المباشر'!B46)</f>
        <v/>
      </c>
      <c r="B546" t="str">
        <f>IF('الصرف المباشر'!C46="","","صرف مباشر")</f>
        <v/>
      </c>
      <c r="C546" t="str">
        <f>IF('الصرف المباشر'!C46="","",IF('الصرف المباشر'!E46="","-",'الصرف المباشر'!E46))</f>
        <v/>
      </c>
      <c r="D546" t="str">
        <f>IF('الصرف المباشر'!C46="","",'الصرف المباشر'!C46)</f>
        <v/>
      </c>
      <c r="E546" s="24" t="str">
        <f>IF('الصرف المباشر'!C46="","",-'الصرف المباشر'!D46)</f>
        <v/>
      </c>
      <c r="F546" t="str">
        <f>IF('الصرف المباشر'!C46="","",IF('الصرف المباشر'!F46="","",'الصرف المباشر'!F46))</f>
        <v/>
      </c>
      <c r="G546" t="str">
        <f>IF($B546&lt;&gt;"",SUMPRODUCT(($B$2:$B546&lt;&gt;"")*1),"")</f>
        <v/>
      </c>
    </row>
    <row r="547" spans="1:7">
      <c r="A547" s="23" t="str">
        <f>IF('الصرف المباشر'!C47="","",'الصرف المباشر'!B47)</f>
        <v/>
      </c>
      <c r="B547" t="str">
        <f>IF('الصرف المباشر'!C47="","","صرف مباشر")</f>
        <v/>
      </c>
      <c r="C547" t="str">
        <f>IF('الصرف المباشر'!C47="","",IF('الصرف المباشر'!E47="","-",'الصرف المباشر'!E47))</f>
        <v/>
      </c>
      <c r="D547" t="str">
        <f>IF('الصرف المباشر'!C47="","",'الصرف المباشر'!C47)</f>
        <v/>
      </c>
      <c r="E547" s="24" t="str">
        <f>IF('الصرف المباشر'!C47="","",-'الصرف المباشر'!D47)</f>
        <v/>
      </c>
      <c r="F547" t="str">
        <f>IF('الصرف المباشر'!C47="","",IF('الصرف المباشر'!F47="","",'الصرف المباشر'!F47))</f>
        <v/>
      </c>
      <c r="G547" t="str">
        <f>IF($B547&lt;&gt;"",SUMPRODUCT(($B$2:$B547&lt;&gt;"")*1),"")</f>
        <v/>
      </c>
    </row>
    <row r="548" spans="1:7">
      <c r="A548" s="23" t="str">
        <f>IF('الصرف المباشر'!C48="","",'الصرف المباشر'!B48)</f>
        <v/>
      </c>
      <c r="B548" t="str">
        <f>IF('الصرف المباشر'!C48="","","صرف مباشر")</f>
        <v/>
      </c>
      <c r="C548" t="str">
        <f>IF('الصرف المباشر'!C48="","",IF('الصرف المباشر'!E48="","-",'الصرف المباشر'!E48))</f>
        <v/>
      </c>
      <c r="D548" t="str">
        <f>IF('الصرف المباشر'!C48="","",'الصرف المباشر'!C48)</f>
        <v/>
      </c>
      <c r="E548" s="24" t="str">
        <f>IF('الصرف المباشر'!C48="","",-'الصرف المباشر'!D48)</f>
        <v/>
      </c>
      <c r="F548" t="str">
        <f>IF('الصرف المباشر'!C48="","",IF('الصرف المباشر'!F48="","",'الصرف المباشر'!F48))</f>
        <v/>
      </c>
      <c r="G548" t="str">
        <f>IF($B548&lt;&gt;"",SUMPRODUCT(($B$2:$B548&lt;&gt;"")*1),"")</f>
        <v/>
      </c>
    </row>
    <row r="549" spans="1:7">
      <c r="A549" s="23" t="str">
        <f>IF('الصرف المباشر'!C49="","",'الصرف المباشر'!B49)</f>
        <v/>
      </c>
      <c r="B549" t="str">
        <f>IF('الصرف المباشر'!C49="","","صرف مباشر")</f>
        <v/>
      </c>
      <c r="C549" t="str">
        <f>IF('الصرف المباشر'!C49="","",IF('الصرف المباشر'!E49="","-",'الصرف المباشر'!E49))</f>
        <v/>
      </c>
      <c r="D549" t="str">
        <f>IF('الصرف المباشر'!C49="","",'الصرف المباشر'!C49)</f>
        <v/>
      </c>
      <c r="E549" s="24" t="str">
        <f>IF('الصرف المباشر'!C49="","",-'الصرف المباشر'!D49)</f>
        <v/>
      </c>
      <c r="F549" t="str">
        <f>IF('الصرف المباشر'!C49="","",IF('الصرف المباشر'!F49="","",'الصرف المباشر'!F49))</f>
        <v/>
      </c>
      <c r="G549" t="str">
        <f>IF($B549&lt;&gt;"",SUMPRODUCT(($B$2:$B549&lt;&gt;"")*1),"")</f>
        <v/>
      </c>
    </row>
    <row r="550" spans="1:7">
      <c r="A550" s="23" t="str">
        <f>IF('الصرف المباشر'!C50="","",'الصرف المباشر'!B50)</f>
        <v/>
      </c>
      <c r="B550" t="str">
        <f>IF('الصرف المباشر'!C50="","","صرف مباشر")</f>
        <v/>
      </c>
      <c r="C550" t="str">
        <f>IF('الصرف المباشر'!C50="","",IF('الصرف المباشر'!E50="","-",'الصرف المباشر'!E50))</f>
        <v/>
      </c>
      <c r="D550" t="str">
        <f>IF('الصرف المباشر'!C50="","",'الصرف المباشر'!C50)</f>
        <v/>
      </c>
      <c r="E550" s="24" t="str">
        <f>IF('الصرف المباشر'!C50="","",-'الصرف المباشر'!D50)</f>
        <v/>
      </c>
      <c r="F550" t="str">
        <f>IF('الصرف المباشر'!C50="","",IF('الصرف المباشر'!F50="","",'الصرف المباشر'!F50))</f>
        <v/>
      </c>
      <c r="G550" t="str">
        <f>IF($B550&lt;&gt;"",SUMPRODUCT(($B$2:$B550&lt;&gt;"")*1),"")</f>
        <v/>
      </c>
    </row>
    <row r="551" spans="1:7">
      <c r="A551" s="23" t="str">
        <f>IF('الصرف المباشر'!C51="","",'الصرف المباشر'!B51)</f>
        <v/>
      </c>
      <c r="B551" t="str">
        <f>IF('الصرف المباشر'!C51="","","صرف مباشر")</f>
        <v/>
      </c>
      <c r="C551" t="str">
        <f>IF('الصرف المباشر'!C51="","",IF('الصرف المباشر'!E51="","-",'الصرف المباشر'!E51))</f>
        <v/>
      </c>
      <c r="D551" t="str">
        <f>IF('الصرف المباشر'!C51="","",'الصرف المباشر'!C51)</f>
        <v/>
      </c>
      <c r="E551" s="24" t="str">
        <f>IF('الصرف المباشر'!C51="","",-'الصرف المباشر'!D51)</f>
        <v/>
      </c>
      <c r="F551" t="str">
        <f>IF('الصرف المباشر'!C51="","",IF('الصرف المباشر'!F51="","",'الصرف المباشر'!F51))</f>
        <v/>
      </c>
      <c r="G551" t="str">
        <f>IF($B551&lt;&gt;"",SUMPRODUCT(($B$2:$B551&lt;&gt;"")*1),"")</f>
        <v/>
      </c>
    </row>
    <row r="552" spans="1:7">
      <c r="A552" s="23" t="str">
        <f>IF('الصرف المباشر'!C52="","",'الصرف المباشر'!B52)</f>
        <v/>
      </c>
      <c r="B552" t="str">
        <f>IF('الصرف المباشر'!C52="","","صرف مباشر")</f>
        <v/>
      </c>
      <c r="C552" t="str">
        <f>IF('الصرف المباشر'!C52="","",IF('الصرف المباشر'!E52="","-",'الصرف المباشر'!E52))</f>
        <v/>
      </c>
      <c r="D552" t="str">
        <f>IF('الصرف المباشر'!C52="","",'الصرف المباشر'!C52)</f>
        <v/>
      </c>
      <c r="E552" s="24" t="str">
        <f>IF('الصرف المباشر'!C52="","",-'الصرف المباشر'!D52)</f>
        <v/>
      </c>
      <c r="F552" t="str">
        <f>IF('الصرف المباشر'!C52="","",IF('الصرف المباشر'!F52="","",'الصرف المباشر'!F52))</f>
        <v/>
      </c>
      <c r="G552" t="str">
        <f>IF($B552&lt;&gt;"",SUMPRODUCT(($B$2:$B552&lt;&gt;"")*1),"")</f>
        <v/>
      </c>
    </row>
    <row r="553" spans="1:7">
      <c r="A553" s="23" t="str">
        <f>IF('الصرف المباشر'!C53="","",'الصرف المباشر'!B53)</f>
        <v/>
      </c>
      <c r="B553" t="str">
        <f>IF('الصرف المباشر'!C53="","","صرف مباشر")</f>
        <v/>
      </c>
      <c r="C553" t="str">
        <f>IF('الصرف المباشر'!C53="","",IF('الصرف المباشر'!E53="","-",'الصرف المباشر'!E53))</f>
        <v/>
      </c>
      <c r="D553" t="str">
        <f>IF('الصرف المباشر'!C53="","",'الصرف المباشر'!C53)</f>
        <v/>
      </c>
      <c r="E553" s="24" t="str">
        <f>IF('الصرف المباشر'!C53="","",-'الصرف المباشر'!D53)</f>
        <v/>
      </c>
      <c r="F553" t="str">
        <f>IF('الصرف المباشر'!C53="","",IF('الصرف المباشر'!F53="","",'الصرف المباشر'!F53))</f>
        <v/>
      </c>
      <c r="G553" t="str">
        <f>IF($B553&lt;&gt;"",SUMPRODUCT(($B$2:$B553&lt;&gt;"")*1),"")</f>
        <v/>
      </c>
    </row>
    <row r="554" spans="1:7">
      <c r="A554" s="23" t="str">
        <f>IF('الصرف المباشر'!C54="","",'الصرف المباشر'!B54)</f>
        <v/>
      </c>
      <c r="B554" t="str">
        <f>IF('الصرف المباشر'!C54="","","صرف مباشر")</f>
        <v/>
      </c>
      <c r="C554" t="str">
        <f>IF('الصرف المباشر'!C54="","",IF('الصرف المباشر'!E54="","-",'الصرف المباشر'!E54))</f>
        <v/>
      </c>
      <c r="D554" t="str">
        <f>IF('الصرف المباشر'!C54="","",'الصرف المباشر'!C54)</f>
        <v/>
      </c>
      <c r="E554" s="24" t="str">
        <f>IF('الصرف المباشر'!C54="","",-'الصرف المباشر'!D54)</f>
        <v/>
      </c>
      <c r="F554" t="str">
        <f>IF('الصرف المباشر'!C54="","",IF('الصرف المباشر'!F54="","",'الصرف المباشر'!F54))</f>
        <v/>
      </c>
      <c r="G554" t="str">
        <f>IF($B554&lt;&gt;"",SUMPRODUCT(($B$2:$B554&lt;&gt;"")*1),"")</f>
        <v/>
      </c>
    </row>
    <row r="555" spans="1:7">
      <c r="A555" s="23" t="str">
        <f>IF('الصرف المباشر'!C55="","",'الصرف المباشر'!B55)</f>
        <v/>
      </c>
      <c r="B555" t="str">
        <f>IF('الصرف المباشر'!C55="","","صرف مباشر")</f>
        <v/>
      </c>
      <c r="C555" t="str">
        <f>IF('الصرف المباشر'!C55="","",IF('الصرف المباشر'!E55="","-",'الصرف المباشر'!E55))</f>
        <v/>
      </c>
      <c r="D555" t="str">
        <f>IF('الصرف المباشر'!C55="","",'الصرف المباشر'!C55)</f>
        <v/>
      </c>
      <c r="E555" s="24" t="str">
        <f>IF('الصرف المباشر'!C55="","",-'الصرف المباشر'!D55)</f>
        <v/>
      </c>
      <c r="F555" t="str">
        <f>IF('الصرف المباشر'!C55="","",IF('الصرف المباشر'!F55="","",'الصرف المباشر'!F55))</f>
        <v/>
      </c>
      <c r="G555" t="str">
        <f>IF($B555&lt;&gt;"",SUMPRODUCT(($B$2:$B555&lt;&gt;"")*1),"")</f>
        <v/>
      </c>
    </row>
    <row r="556" spans="1:7">
      <c r="A556" s="23" t="str">
        <f>IF('الصرف المباشر'!C56="","",'الصرف المباشر'!B56)</f>
        <v/>
      </c>
      <c r="B556" t="str">
        <f>IF('الصرف المباشر'!C56="","","صرف مباشر")</f>
        <v/>
      </c>
      <c r="C556" t="str">
        <f>IF('الصرف المباشر'!C56="","",IF('الصرف المباشر'!E56="","-",'الصرف المباشر'!E56))</f>
        <v/>
      </c>
      <c r="D556" t="str">
        <f>IF('الصرف المباشر'!C56="","",'الصرف المباشر'!C56)</f>
        <v/>
      </c>
      <c r="E556" s="24" t="str">
        <f>IF('الصرف المباشر'!C56="","",-'الصرف المباشر'!D56)</f>
        <v/>
      </c>
      <c r="F556" t="str">
        <f>IF('الصرف المباشر'!C56="","",IF('الصرف المباشر'!F56="","",'الصرف المباشر'!F56))</f>
        <v/>
      </c>
      <c r="G556" t="str">
        <f>IF($B556&lt;&gt;"",SUMPRODUCT(($B$2:$B556&lt;&gt;"")*1),"")</f>
        <v/>
      </c>
    </row>
    <row r="557" spans="1:7">
      <c r="A557" s="23" t="str">
        <f>IF('الصرف المباشر'!C57="","",'الصرف المباشر'!B57)</f>
        <v/>
      </c>
      <c r="B557" t="str">
        <f>IF('الصرف المباشر'!C57="","","صرف مباشر")</f>
        <v/>
      </c>
      <c r="C557" t="str">
        <f>IF('الصرف المباشر'!C57="","",IF('الصرف المباشر'!E57="","-",'الصرف المباشر'!E57))</f>
        <v/>
      </c>
      <c r="D557" t="str">
        <f>IF('الصرف المباشر'!C57="","",'الصرف المباشر'!C57)</f>
        <v/>
      </c>
      <c r="E557" s="24" t="str">
        <f>IF('الصرف المباشر'!C57="","",-'الصرف المباشر'!D57)</f>
        <v/>
      </c>
      <c r="F557" t="str">
        <f>IF('الصرف المباشر'!C57="","",IF('الصرف المباشر'!F57="","",'الصرف المباشر'!F57))</f>
        <v/>
      </c>
      <c r="G557" t="str">
        <f>IF($B557&lt;&gt;"",SUMPRODUCT(($B$2:$B557&lt;&gt;"")*1),"")</f>
        <v/>
      </c>
    </row>
    <row r="558" spans="1:7">
      <c r="A558" s="23" t="str">
        <f>IF('الصرف المباشر'!C58="","",'الصرف المباشر'!B58)</f>
        <v/>
      </c>
      <c r="B558" t="str">
        <f>IF('الصرف المباشر'!C58="","","صرف مباشر")</f>
        <v/>
      </c>
      <c r="C558" t="str">
        <f>IF('الصرف المباشر'!C58="","",IF('الصرف المباشر'!E58="","-",'الصرف المباشر'!E58))</f>
        <v/>
      </c>
      <c r="D558" t="str">
        <f>IF('الصرف المباشر'!C58="","",'الصرف المباشر'!C58)</f>
        <v/>
      </c>
      <c r="E558" s="24" t="str">
        <f>IF('الصرف المباشر'!C58="","",-'الصرف المباشر'!D58)</f>
        <v/>
      </c>
      <c r="F558" t="str">
        <f>IF('الصرف المباشر'!C58="","",IF('الصرف المباشر'!F58="","",'الصرف المباشر'!F58))</f>
        <v/>
      </c>
      <c r="G558" t="str">
        <f>IF($B558&lt;&gt;"",SUMPRODUCT(($B$2:$B558&lt;&gt;"")*1),"")</f>
        <v/>
      </c>
    </row>
    <row r="559" spans="1:7">
      <c r="A559" s="23" t="str">
        <f>IF('الصرف المباشر'!C59="","",'الصرف المباشر'!B59)</f>
        <v/>
      </c>
      <c r="B559" t="str">
        <f>IF('الصرف المباشر'!C59="","","صرف مباشر")</f>
        <v/>
      </c>
      <c r="C559" t="str">
        <f>IF('الصرف المباشر'!C59="","",IF('الصرف المباشر'!E59="","-",'الصرف المباشر'!E59))</f>
        <v/>
      </c>
      <c r="D559" t="str">
        <f>IF('الصرف المباشر'!C59="","",'الصرف المباشر'!C59)</f>
        <v/>
      </c>
      <c r="E559" s="24" t="str">
        <f>IF('الصرف المباشر'!C59="","",-'الصرف المباشر'!D59)</f>
        <v/>
      </c>
      <c r="F559" t="str">
        <f>IF('الصرف المباشر'!C59="","",IF('الصرف المباشر'!F59="","",'الصرف المباشر'!F59))</f>
        <v/>
      </c>
      <c r="G559" t="str">
        <f>IF($B559&lt;&gt;"",SUMPRODUCT(($B$2:$B559&lt;&gt;"")*1),"")</f>
        <v/>
      </c>
    </row>
    <row r="560" spans="1:7">
      <c r="A560" s="23" t="str">
        <f>IF('الصرف المباشر'!C60="","",'الصرف المباشر'!B60)</f>
        <v/>
      </c>
      <c r="B560" t="str">
        <f>IF('الصرف المباشر'!C60="","","صرف مباشر")</f>
        <v/>
      </c>
      <c r="C560" t="str">
        <f>IF('الصرف المباشر'!C60="","",IF('الصرف المباشر'!E60="","-",'الصرف المباشر'!E60))</f>
        <v/>
      </c>
      <c r="D560" t="str">
        <f>IF('الصرف المباشر'!C60="","",'الصرف المباشر'!C60)</f>
        <v/>
      </c>
      <c r="E560" s="24" t="str">
        <f>IF('الصرف المباشر'!C60="","",-'الصرف المباشر'!D60)</f>
        <v/>
      </c>
      <c r="F560" t="str">
        <f>IF('الصرف المباشر'!C60="","",IF('الصرف المباشر'!F60="","",'الصرف المباشر'!F60))</f>
        <v/>
      </c>
      <c r="G560" t="str">
        <f>IF($B560&lt;&gt;"",SUMPRODUCT(($B$2:$B560&lt;&gt;"")*1),"")</f>
        <v/>
      </c>
    </row>
    <row r="561" spans="1:7">
      <c r="A561" s="23" t="str">
        <f>IF('الصرف المباشر'!C61="","",'الصرف المباشر'!B61)</f>
        <v/>
      </c>
      <c r="B561" t="str">
        <f>IF('الصرف المباشر'!C61="","","صرف مباشر")</f>
        <v/>
      </c>
      <c r="C561" t="str">
        <f>IF('الصرف المباشر'!C61="","",IF('الصرف المباشر'!E61="","-",'الصرف المباشر'!E61))</f>
        <v/>
      </c>
      <c r="D561" t="str">
        <f>IF('الصرف المباشر'!C61="","",'الصرف المباشر'!C61)</f>
        <v/>
      </c>
      <c r="E561" s="24" t="str">
        <f>IF('الصرف المباشر'!C61="","",-'الصرف المباشر'!D61)</f>
        <v/>
      </c>
      <c r="F561" t="str">
        <f>IF('الصرف المباشر'!C61="","",IF('الصرف المباشر'!F61="","",'الصرف المباشر'!F61))</f>
        <v/>
      </c>
      <c r="G561" t="str">
        <f>IF($B561&lt;&gt;"",SUMPRODUCT(($B$2:$B561&lt;&gt;"")*1),"")</f>
        <v/>
      </c>
    </row>
    <row r="562" spans="1:7">
      <c r="A562" s="23" t="str">
        <f>IF('الصرف المباشر'!C62="","",'الصرف المباشر'!B62)</f>
        <v/>
      </c>
      <c r="B562" t="str">
        <f>IF('الصرف المباشر'!C62="","","صرف مباشر")</f>
        <v/>
      </c>
      <c r="C562" t="str">
        <f>IF('الصرف المباشر'!C62="","",IF('الصرف المباشر'!E62="","-",'الصرف المباشر'!E62))</f>
        <v/>
      </c>
      <c r="D562" t="str">
        <f>IF('الصرف المباشر'!C62="","",'الصرف المباشر'!C62)</f>
        <v/>
      </c>
      <c r="E562" s="24" t="str">
        <f>IF('الصرف المباشر'!C62="","",-'الصرف المباشر'!D62)</f>
        <v/>
      </c>
      <c r="F562" t="str">
        <f>IF('الصرف المباشر'!C62="","",IF('الصرف المباشر'!F62="","",'الصرف المباشر'!F62))</f>
        <v/>
      </c>
      <c r="G562" t="str">
        <f>IF($B562&lt;&gt;"",SUMPRODUCT(($B$2:$B562&lt;&gt;"")*1),"")</f>
        <v/>
      </c>
    </row>
    <row r="563" spans="1:7">
      <c r="A563" s="23" t="str">
        <f>IF('الصرف المباشر'!C63="","",'الصرف المباشر'!B63)</f>
        <v/>
      </c>
      <c r="B563" t="str">
        <f>IF('الصرف المباشر'!C63="","","صرف مباشر")</f>
        <v/>
      </c>
      <c r="C563" t="str">
        <f>IF('الصرف المباشر'!C63="","",IF('الصرف المباشر'!E63="","-",'الصرف المباشر'!E63))</f>
        <v/>
      </c>
      <c r="D563" t="str">
        <f>IF('الصرف المباشر'!C63="","",'الصرف المباشر'!C63)</f>
        <v/>
      </c>
      <c r="E563" s="24" t="str">
        <f>IF('الصرف المباشر'!C63="","",-'الصرف المباشر'!D63)</f>
        <v/>
      </c>
      <c r="F563" t="str">
        <f>IF('الصرف المباشر'!C63="","",IF('الصرف المباشر'!F63="","",'الصرف المباشر'!F63))</f>
        <v/>
      </c>
      <c r="G563" t="str">
        <f>IF($B563&lt;&gt;"",SUMPRODUCT(($B$2:$B563&lt;&gt;"")*1),"")</f>
        <v/>
      </c>
    </row>
    <row r="564" spans="1:7">
      <c r="A564" s="23" t="str">
        <f>IF('الصرف المباشر'!C64="","",'الصرف المباشر'!B64)</f>
        <v/>
      </c>
      <c r="B564" t="str">
        <f>IF('الصرف المباشر'!C64="","","صرف مباشر")</f>
        <v/>
      </c>
      <c r="C564" t="str">
        <f>IF('الصرف المباشر'!C64="","",IF('الصرف المباشر'!E64="","-",'الصرف المباشر'!E64))</f>
        <v/>
      </c>
      <c r="D564" t="str">
        <f>IF('الصرف المباشر'!C64="","",'الصرف المباشر'!C64)</f>
        <v/>
      </c>
      <c r="E564" s="24" t="str">
        <f>IF('الصرف المباشر'!C64="","",-'الصرف المباشر'!D64)</f>
        <v/>
      </c>
      <c r="F564" t="str">
        <f>IF('الصرف المباشر'!C64="","",IF('الصرف المباشر'!F64="","",'الصرف المباشر'!F64))</f>
        <v/>
      </c>
      <c r="G564" t="str">
        <f>IF($B564&lt;&gt;"",SUMPRODUCT(($B$2:$B564&lt;&gt;"")*1),"")</f>
        <v/>
      </c>
    </row>
    <row r="565" spans="1:7">
      <c r="A565" s="23" t="str">
        <f>IF('الصرف المباشر'!C65="","",'الصرف المباشر'!B65)</f>
        <v/>
      </c>
      <c r="B565" t="str">
        <f>IF('الصرف المباشر'!C65="","","صرف مباشر")</f>
        <v/>
      </c>
      <c r="C565" t="str">
        <f>IF('الصرف المباشر'!C65="","",IF('الصرف المباشر'!E65="","-",'الصرف المباشر'!E65))</f>
        <v/>
      </c>
      <c r="D565" t="str">
        <f>IF('الصرف المباشر'!C65="","",'الصرف المباشر'!C65)</f>
        <v/>
      </c>
      <c r="E565" s="24" t="str">
        <f>IF('الصرف المباشر'!C65="","",-'الصرف المباشر'!D65)</f>
        <v/>
      </c>
      <c r="F565" t="str">
        <f>IF('الصرف المباشر'!C65="","",IF('الصرف المباشر'!F65="","",'الصرف المباشر'!F65))</f>
        <v/>
      </c>
      <c r="G565" t="str">
        <f>IF($B565&lt;&gt;"",SUMPRODUCT(($B$2:$B565&lt;&gt;"")*1),"")</f>
        <v/>
      </c>
    </row>
    <row r="566" spans="1:7">
      <c r="A566" s="23" t="str">
        <f>IF('الصرف المباشر'!C66="","",'الصرف المباشر'!B66)</f>
        <v/>
      </c>
      <c r="B566" t="str">
        <f>IF('الصرف المباشر'!C66="","","صرف مباشر")</f>
        <v/>
      </c>
      <c r="C566" t="str">
        <f>IF('الصرف المباشر'!C66="","",IF('الصرف المباشر'!E66="","-",'الصرف المباشر'!E66))</f>
        <v/>
      </c>
      <c r="D566" t="str">
        <f>IF('الصرف المباشر'!C66="","",'الصرف المباشر'!C66)</f>
        <v/>
      </c>
      <c r="E566" s="24" t="str">
        <f>IF('الصرف المباشر'!C66="","",-'الصرف المباشر'!D66)</f>
        <v/>
      </c>
      <c r="F566" t="str">
        <f>IF('الصرف المباشر'!C66="","",IF('الصرف المباشر'!F66="","",'الصرف المباشر'!F66))</f>
        <v/>
      </c>
      <c r="G566" t="str">
        <f>IF($B566&lt;&gt;"",SUMPRODUCT(($B$2:$B566&lt;&gt;"")*1),"")</f>
        <v/>
      </c>
    </row>
    <row r="567" spans="1:7">
      <c r="A567" s="23" t="str">
        <f>IF('الصرف المباشر'!C67="","",'الصرف المباشر'!B67)</f>
        <v/>
      </c>
      <c r="B567" t="str">
        <f>IF('الصرف المباشر'!C67="","","صرف مباشر")</f>
        <v/>
      </c>
      <c r="C567" t="str">
        <f>IF('الصرف المباشر'!C67="","",IF('الصرف المباشر'!E67="","-",'الصرف المباشر'!E67))</f>
        <v/>
      </c>
      <c r="D567" t="str">
        <f>IF('الصرف المباشر'!C67="","",'الصرف المباشر'!C67)</f>
        <v/>
      </c>
      <c r="E567" s="24" t="str">
        <f>IF('الصرف المباشر'!C67="","",-'الصرف المباشر'!D67)</f>
        <v/>
      </c>
      <c r="F567" t="str">
        <f>IF('الصرف المباشر'!C67="","",IF('الصرف المباشر'!F67="","",'الصرف المباشر'!F67))</f>
        <v/>
      </c>
      <c r="G567" t="str">
        <f>IF($B567&lt;&gt;"",SUMPRODUCT(($B$2:$B567&lt;&gt;"")*1),"")</f>
        <v/>
      </c>
    </row>
    <row r="568" spans="1:7">
      <c r="A568" s="23" t="str">
        <f>IF('الصرف المباشر'!C68="","",'الصرف المباشر'!B68)</f>
        <v/>
      </c>
      <c r="B568" t="str">
        <f>IF('الصرف المباشر'!C68="","","صرف مباشر")</f>
        <v/>
      </c>
      <c r="C568" t="str">
        <f>IF('الصرف المباشر'!C68="","",IF('الصرف المباشر'!E68="","-",'الصرف المباشر'!E68))</f>
        <v/>
      </c>
      <c r="D568" t="str">
        <f>IF('الصرف المباشر'!C68="","",'الصرف المباشر'!C68)</f>
        <v/>
      </c>
      <c r="E568" s="24" t="str">
        <f>IF('الصرف المباشر'!C68="","",-'الصرف المباشر'!D68)</f>
        <v/>
      </c>
      <c r="F568" t="str">
        <f>IF('الصرف المباشر'!C68="","",IF('الصرف المباشر'!F68="","",'الصرف المباشر'!F68))</f>
        <v/>
      </c>
      <c r="G568" t="str">
        <f>IF($B568&lt;&gt;"",SUMPRODUCT(($B$2:$B568&lt;&gt;"")*1),"")</f>
        <v/>
      </c>
    </row>
    <row r="569" spans="1:7">
      <c r="A569" s="23" t="str">
        <f>IF('الصرف المباشر'!C69="","",'الصرف المباشر'!B69)</f>
        <v/>
      </c>
      <c r="B569" t="str">
        <f>IF('الصرف المباشر'!C69="","","صرف مباشر")</f>
        <v/>
      </c>
      <c r="C569" t="str">
        <f>IF('الصرف المباشر'!C69="","",IF('الصرف المباشر'!E69="","-",'الصرف المباشر'!E69))</f>
        <v/>
      </c>
      <c r="D569" t="str">
        <f>IF('الصرف المباشر'!C69="","",'الصرف المباشر'!C69)</f>
        <v/>
      </c>
      <c r="E569" s="24" t="str">
        <f>IF('الصرف المباشر'!C69="","",-'الصرف المباشر'!D69)</f>
        <v/>
      </c>
      <c r="F569" t="str">
        <f>IF('الصرف المباشر'!C69="","",IF('الصرف المباشر'!F69="","",'الصرف المباشر'!F69))</f>
        <v/>
      </c>
      <c r="G569" t="str">
        <f>IF($B569&lt;&gt;"",SUMPRODUCT(($B$2:$B569&lt;&gt;"")*1),"")</f>
        <v/>
      </c>
    </row>
    <row r="570" spans="1:7">
      <c r="A570" s="23" t="str">
        <f>IF('الصرف المباشر'!C70="","",'الصرف المباشر'!B70)</f>
        <v/>
      </c>
      <c r="B570" t="str">
        <f>IF('الصرف المباشر'!C70="","","صرف مباشر")</f>
        <v/>
      </c>
      <c r="C570" t="str">
        <f>IF('الصرف المباشر'!C70="","",IF('الصرف المباشر'!E70="","-",'الصرف المباشر'!E70))</f>
        <v/>
      </c>
      <c r="D570" t="str">
        <f>IF('الصرف المباشر'!C70="","",'الصرف المباشر'!C70)</f>
        <v/>
      </c>
      <c r="E570" s="24" t="str">
        <f>IF('الصرف المباشر'!C70="","",-'الصرف المباشر'!D70)</f>
        <v/>
      </c>
      <c r="F570" t="str">
        <f>IF('الصرف المباشر'!C70="","",IF('الصرف المباشر'!F70="","",'الصرف المباشر'!F70))</f>
        <v/>
      </c>
      <c r="G570" t="str">
        <f>IF($B570&lt;&gt;"",SUMPRODUCT(($B$2:$B570&lt;&gt;"")*1),"")</f>
        <v/>
      </c>
    </row>
    <row r="571" spans="1:7">
      <c r="A571" s="23" t="str">
        <f>IF('الصرف المباشر'!C71="","",'الصرف المباشر'!B71)</f>
        <v/>
      </c>
      <c r="B571" t="str">
        <f>IF('الصرف المباشر'!C71="","","صرف مباشر")</f>
        <v/>
      </c>
      <c r="C571" t="str">
        <f>IF('الصرف المباشر'!C71="","",IF('الصرف المباشر'!E71="","-",'الصرف المباشر'!E71))</f>
        <v/>
      </c>
      <c r="D571" t="str">
        <f>IF('الصرف المباشر'!C71="","",'الصرف المباشر'!C71)</f>
        <v/>
      </c>
      <c r="E571" s="24" t="str">
        <f>IF('الصرف المباشر'!C71="","",-'الصرف المباشر'!D71)</f>
        <v/>
      </c>
      <c r="F571" t="str">
        <f>IF('الصرف المباشر'!C71="","",IF('الصرف المباشر'!F71="","",'الصرف المباشر'!F71))</f>
        <v/>
      </c>
      <c r="G571" t="str">
        <f>IF($B571&lt;&gt;"",SUMPRODUCT(($B$2:$B571&lt;&gt;"")*1),"")</f>
        <v/>
      </c>
    </row>
    <row r="572" spans="1:7">
      <c r="A572" s="23" t="str">
        <f>IF('الصرف المباشر'!C72="","",'الصرف المباشر'!B72)</f>
        <v/>
      </c>
      <c r="B572" t="str">
        <f>IF('الصرف المباشر'!C72="","","صرف مباشر")</f>
        <v/>
      </c>
      <c r="C572" t="str">
        <f>IF('الصرف المباشر'!C72="","",IF('الصرف المباشر'!E72="","-",'الصرف المباشر'!E72))</f>
        <v/>
      </c>
      <c r="D572" t="str">
        <f>IF('الصرف المباشر'!C72="","",'الصرف المباشر'!C72)</f>
        <v/>
      </c>
      <c r="E572" s="24" t="str">
        <f>IF('الصرف المباشر'!C72="","",-'الصرف المباشر'!D72)</f>
        <v/>
      </c>
      <c r="F572" t="str">
        <f>IF('الصرف المباشر'!C72="","",IF('الصرف المباشر'!F72="","",'الصرف المباشر'!F72))</f>
        <v/>
      </c>
      <c r="G572" t="str">
        <f>IF($B572&lt;&gt;"",SUMPRODUCT(($B$2:$B572&lt;&gt;"")*1),"")</f>
        <v/>
      </c>
    </row>
    <row r="573" spans="1:7">
      <c r="A573" s="23" t="str">
        <f>IF('الصرف المباشر'!C73="","",'الصرف المباشر'!B73)</f>
        <v/>
      </c>
      <c r="B573" t="str">
        <f>IF('الصرف المباشر'!C73="","","صرف مباشر")</f>
        <v/>
      </c>
      <c r="C573" t="str">
        <f>IF('الصرف المباشر'!C73="","",IF('الصرف المباشر'!E73="","-",'الصرف المباشر'!E73))</f>
        <v/>
      </c>
      <c r="D573" t="str">
        <f>IF('الصرف المباشر'!C73="","",'الصرف المباشر'!C73)</f>
        <v/>
      </c>
      <c r="E573" s="24" t="str">
        <f>IF('الصرف المباشر'!C73="","",-'الصرف المباشر'!D73)</f>
        <v/>
      </c>
      <c r="F573" t="str">
        <f>IF('الصرف المباشر'!C73="","",IF('الصرف المباشر'!F73="","",'الصرف المباشر'!F73))</f>
        <v/>
      </c>
      <c r="G573" t="str">
        <f>IF($B573&lt;&gt;"",SUMPRODUCT(($B$2:$B573&lt;&gt;"")*1),"")</f>
        <v/>
      </c>
    </row>
    <row r="574" spans="1:7">
      <c r="A574" s="23" t="str">
        <f>IF('الصرف المباشر'!C74="","",'الصرف المباشر'!B74)</f>
        <v/>
      </c>
      <c r="B574" t="str">
        <f>IF('الصرف المباشر'!C74="","","صرف مباشر")</f>
        <v/>
      </c>
      <c r="C574" t="str">
        <f>IF('الصرف المباشر'!C74="","",IF('الصرف المباشر'!E74="","-",'الصرف المباشر'!E74))</f>
        <v/>
      </c>
      <c r="D574" t="str">
        <f>IF('الصرف المباشر'!C74="","",'الصرف المباشر'!C74)</f>
        <v/>
      </c>
      <c r="E574" s="24" t="str">
        <f>IF('الصرف المباشر'!C74="","",-'الصرف المباشر'!D74)</f>
        <v/>
      </c>
      <c r="F574" t="str">
        <f>IF('الصرف المباشر'!C74="","",IF('الصرف المباشر'!F74="","",'الصرف المباشر'!F74))</f>
        <v/>
      </c>
      <c r="G574" t="str">
        <f>IF($B574&lt;&gt;"",SUMPRODUCT(($B$2:$B574&lt;&gt;"")*1),"")</f>
        <v/>
      </c>
    </row>
    <row r="575" spans="1:7">
      <c r="A575" s="23" t="str">
        <f>IF('الصرف المباشر'!C75="","",'الصرف المباشر'!B75)</f>
        <v/>
      </c>
      <c r="B575" t="str">
        <f>IF('الصرف المباشر'!C75="","","صرف مباشر")</f>
        <v/>
      </c>
      <c r="C575" t="str">
        <f>IF('الصرف المباشر'!C75="","",IF('الصرف المباشر'!E75="","-",'الصرف المباشر'!E75))</f>
        <v/>
      </c>
      <c r="D575" t="str">
        <f>IF('الصرف المباشر'!C75="","",'الصرف المباشر'!C75)</f>
        <v/>
      </c>
      <c r="E575" s="24" t="str">
        <f>IF('الصرف المباشر'!C75="","",-'الصرف المباشر'!D75)</f>
        <v/>
      </c>
      <c r="F575" t="str">
        <f>IF('الصرف المباشر'!C75="","",IF('الصرف المباشر'!F75="","",'الصرف المباشر'!F75))</f>
        <v/>
      </c>
      <c r="G575" t="str">
        <f>IF($B575&lt;&gt;"",SUMPRODUCT(($B$2:$B575&lt;&gt;"")*1),"")</f>
        <v/>
      </c>
    </row>
    <row r="576" spans="1:7">
      <c r="A576" s="23" t="str">
        <f>IF('الصرف المباشر'!C76="","",'الصرف المباشر'!B76)</f>
        <v/>
      </c>
      <c r="B576" t="str">
        <f>IF('الصرف المباشر'!C76="","","صرف مباشر")</f>
        <v/>
      </c>
      <c r="C576" t="str">
        <f>IF('الصرف المباشر'!C76="","",IF('الصرف المباشر'!E76="","-",'الصرف المباشر'!E76))</f>
        <v/>
      </c>
      <c r="D576" t="str">
        <f>IF('الصرف المباشر'!C76="","",'الصرف المباشر'!C76)</f>
        <v/>
      </c>
      <c r="E576" s="24" t="str">
        <f>IF('الصرف المباشر'!C76="","",-'الصرف المباشر'!D76)</f>
        <v/>
      </c>
      <c r="F576" t="str">
        <f>IF('الصرف المباشر'!C76="","",IF('الصرف المباشر'!F76="","",'الصرف المباشر'!F76))</f>
        <v/>
      </c>
      <c r="G576" t="str">
        <f>IF($B576&lt;&gt;"",SUMPRODUCT(($B$2:$B576&lt;&gt;"")*1),"")</f>
        <v/>
      </c>
    </row>
    <row r="577" spans="1:7">
      <c r="A577" s="23" t="str">
        <f>IF('الصرف المباشر'!C77="","",'الصرف المباشر'!B77)</f>
        <v/>
      </c>
      <c r="B577" t="str">
        <f>IF('الصرف المباشر'!C77="","","صرف مباشر")</f>
        <v/>
      </c>
      <c r="C577" t="str">
        <f>IF('الصرف المباشر'!C77="","",IF('الصرف المباشر'!E77="","-",'الصرف المباشر'!E77))</f>
        <v/>
      </c>
      <c r="D577" t="str">
        <f>IF('الصرف المباشر'!C77="","",'الصرف المباشر'!C77)</f>
        <v/>
      </c>
      <c r="E577" s="24" t="str">
        <f>IF('الصرف المباشر'!C77="","",-'الصرف المباشر'!D77)</f>
        <v/>
      </c>
      <c r="F577" t="str">
        <f>IF('الصرف المباشر'!C77="","",IF('الصرف المباشر'!F77="","",'الصرف المباشر'!F77))</f>
        <v/>
      </c>
      <c r="G577" t="str">
        <f>IF($B577&lt;&gt;"",SUMPRODUCT(($B$2:$B577&lt;&gt;"")*1),"")</f>
        <v/>
      </c>
    </row>
    <row r="578" spans="1:7">
      <c r="A578" s="23" t="str">
        <f>IF('الصرف المباشر'!C78="","",'الصرف المباشر'!B78)</f>
        <v/>
      </c>
      <c r="B578" t="str">
        <f>IF('الصرف المباشر'!C78="","","صرف مباشر")</f>
        <v/>
      </c>
      <c r="C578" t="str">
        <f>IF('الصرف المباشر'!C78="","",IF('الصرف المباشر'!E78="","-",'الصرف المباشر'!E78))</f>
        <v/>
      </c>
      <c r="D578" t="str">
        <f>IF('الصرف المباشر'!C78="","",'الصرف المباشر'!C78)</f>
        <v/>
      </c>
      <c r="E578" s="24" t="str">
        <f>IF('الصرف المباشر'!C78="","",-'الصرف المباشر'!D78)</f>
        <v/>
      </c>
      <c r="F578" t="str">
        <f>IF('الصرف المباشر'!C78="","",IF('الصرف المباشر'!F78="","",'الصرف المباشر'!F78))</f>
        <v/>
      </c>
      <c r="G578" t="str">
        <f>IF($B578&lt;&gt;"",SUMPRODUCT(($B$2:$B578&lt;&gt;"")*1),"")</f>
        <v/>
      </c>
    </row>
    <row r="579" spans="1:7">
      <c r="A579" s="23" t="str">
        <f>IF('الصرف المباشر'!C79="","",'الصرف المباشر'!B79)</f>
        <v/>
      </c>
      <c r="B579" t="str">
        <f>IF('الصرف المباشر'!C79="","","صرف مباشر")</f>
        <v/>
      </c>
      <c r="C579" t="str">
        <f>IF('الصرف المباشر'!C79="","",IF('الصرف المباشر'!E79="","-",'الصرف المباشر'!E79))</f>
        <v/>
      </c>
      <c r="D579" t="str">
        <f>IF('الصرف المباشر'!C79="","",'الصرف المباشر'!C79)</f>
        <v/>
      </c>
      <c r="E579" s="24" t="str">
        <f>IF('الصرف المباشر'!C79="","",-'الصرف المباشر'!D79)</f>
        <v/>
      </c>
      <c r="F579" t="str">
        <f>IF('الصرف المباشر'!C79="","",IF('الصرف المباشر'!F79="","",'الصرف المباشر'!F79))</f>
        <v/>
      </c>
      <c r="G579" t="str">
        <f>IF($B579&lt;&gt;"",SUMPRODUCT(($B$2:$B579&lt;&gt;"")*1),"")</f>
        <v/>
      </c>
    </row>
    <row r="580" spans="1:7">
      <c r="A580" s="23" t="str">
        <f>IF('الصرف المباشر'!C80="","",'الصرف المباشر'!B80)</f>
        <v/>
      </c>
      <c r="B580" t="str">
        <f>IF('الصرف المباشر'!C80="","","صرف مباشر")</f>
        <v/>
      </c>
      <c r="C580" t="str">
        <f>IF('الصرف المباشر'!C80="","",IF('الصرف المباشر'!E80="","-",'الصرف المباشر'!E80))</f>
        <v/>
      </c>
      <c r="D580" t="str">
        <f>IF('الصرف المباشر'!C80="","",'الصرف المباشر'!C80)</f>
        <v/>
      </c>
      <c r="E580" s="24" t="str">
        <f>IF('الصرف المباشر'!C80="","",-'الصرف المباشر'!D80)</f>
        <v/>
      </c>
      <c r="F580" t="str">
        <f>IF('الصرف المباشر'!C80="","",IF('الصرف المباشر'!F80="","",'الصرف المباشر'!F80))</f>
        <v/>
      </c>
      <c r="G580" t="str">
        <f>IF($B580&lt;&gt;"",SUMPRODUCT(($B$2:$B580&lt;&gt;"")*1),"")</f>
        <v/>
      </c>
    </row>
    <row r="581" spans="1:7">
      <c r="A581" s="23" t="str">
        <f>IF('الصرف المباشر'!C81="","",'الصرف المباشر'!B81)</f>
        <v/>
      </c>
      <c r="B581" t="str">
        <f>IF('الصرف المباشر'!C81="","","صرف مباشر")</f>
        <v/>
      </c>
      <c r="C581" t="str">
        <f>IF('الصرف المباشر'!C81="","",IF('الصرف المباشر'!E81="","-",'الصرف المباشر'!E81))</f>
        <v/>
      </c>
      <c r="D581" t="str">
        <f>IF('الصرف المباشر'!C81="","",'الصرف المباشر'!C81)</f>
        <v/>
      </c>
      <c r="E581" s="24" t="str">
        <f>IF('الصرف المباشر'!C81="","",-'الصرف المباشر'!D81)</f>
        <v/>
      </c>
      <c r="F581" t="str">
        <f>IF('الصرف المباشر'!C81="","",IF('الصرف المباشر'!F81="","",'الصرف المباشر'!F81))</f>
        <v/>
      </c>
      <c r="G581" t="str">
        <f>IF($B581&lt;&gt;"",SUMPRODUCT(($B$2:$B581&lt;&gt;"")*1),"")</f>
        <v/>
      </c>
    </row>
    <row r="582" spans="1:7">
      <c r="A582" s="23" t="str">
        <f>IF('الصرف المباشر'!C82="","",'الصرف المباشر'!B82)</f>
        <v/>
      </c>
      <c r="B582" t="str">
        <f>IF('الصرف المباشر'!C82="","","صرف مباشر")</f>
        <v/>
      </c>
      <c r="C582" t="str">
        <f>IF('الصرف المباشر'!C82="","",IF('الصرف المباشر'!E82="","-",'الصرف المباشر'!E82))</f>
        <v/>
      </c>
      <c r="D582" t="str">
        <f>IF('الصرف المباشر'!C82="","",'الصرف المباشر'!C82)</f>
        <v/>
      </c>
      <c r="E582" s="24" t="str">
        <f>IF('الصرف المباشر'!C82="","",-'الصرف المباشر'!D82)</f>
        <v/>
      </c>
      <c r="F582" t="str">
        <f>IF('الصرف المباشر'!C82="","",IF('الصرف المباشر'!F82="","",'الصرف المباشر'!F82))</f>
        <v/>
      </c>
      <c r="G582" t="str">
        <f>IF($B582&lt;&gt;"",SUMPRODUCT(($B$2:$B582&lt;&gt;"")*1),"")</f>
        <v/>
      </c>
    </row>
    <row r="583" spans="1:7">
      <c r="A583" s="23" t="str">
        <f>IF('الصرف المباشر'!C83="","",'الصرف المباشر'!B83)</f>
        <v/>
      </c>
      <c r="B583" t="str">
        <f>IF('الصرف المباشر'!C83="","","صرف مباشر")</f>
        <v/>
      </c>
      <c r="C583" t="str">
        <f>IF('الصرف المباشر'!C83="","",IF('الصرف المباشر'!E83="","-",'الصرف المباشر'!E83))</f>
        <v/>
      </c>
      <c r="D583" t="str">
        <f>IF('الصرف المباشر'!C83="","",'الصرف المباشر'!C83)</f>
        <v/>
      </c>
      <c r="E583" s="24" t="str">
        <f>IF('الصرف المباشر'!C83="","",-'الصرف المباشر'!D83)</f>
        <v/>
      </c>
      <c r="F583" t="str">
        <f>IF('الصرف المباشر'!C83="","",IF('الصرف المباشر'!F83="","",'الصرف المباشر'!F83))</f>
        <v/>
      </c>
      <c r="G583" t="str">
        <f>IF($B583&lt;&gt;"",SUMPRODUCT(($B$2:$B583&lt;&gt;"")*1),"")</f>
        <v/>
      </c>
    </row>
    <row r="584" spans="1:7">
      <c r="A584" s="23" t="str">
        <f>IF('الصرف المباشر'!C84="","",'الصرف المباشر'!B84)</f>
        <v/>
      </c>
      <c r="B584" t="str">
        <f>IF('الصرف المباشر'!C84="","","صرف مباشر")</f>
        <v/>
      </c>
      <c r="C584" t="str">
        <f>IF('الصرف المباشر'!C84="","",IF('الصرف المباشر'!E84="","-",'الصرف المباشر'!E84))</f>
        <v/>
      </c>
      <c r="D584" t="str">
        <f>IF('الصرف المباشر'!C84="","",'الصرف المباشر'!C84)</f>
        <v/>
      </c>
      <c r="E584" s="24" t="str">
        <f>IF('الصرف المباشر'!C84="","",-'الصرف المباشر'!D84)</f>
        <v/>
      </c>
      <c r="F584" t="str">
        <f>IF('الصرف المباشر'!C84="","",IF('الصرف المباشر'!F84="","",'الصرف المباشر'!F84))</f>
        <v/>
      </c>
      <c r="G584" t="str">
        <f>IF($B584&lt;&gt;"",SUMPRODUCT(($B$2:$B584&lt;&gt;"")*1),"")</f>
        <v/>
      </c>
    </row>
    <row r="585" spans="1:7">
      <c r="A585" s="23" t="str">
        <f>IF('الصرف المباشر'!C85="","",'الصرف المباشر'!B85)</f>
        <v/>
      </c>
      <c r="B585" t="str">
        <f>IF('الصرف المباشر'!C85="","","صرف مباشر")</f>
        <v/>
      </c>
      <c r="C585" t="str">
        <f>IF('الصرف المباشر'!C85="","",IF('الصرف المباشر'!E85="","-",'الصرف المباشر'!E85))</f>
        <v/>
      </c>
      <c r="D585" t="str">
        <f>IF('الصرف المباشر'!C85="","",'الصرف المباشر'!C85)</f>
        <v/>
      </c>
      <c r="E585" s="24" t="str">
        <f>IF('الصرف المباشر'!C85="","",-'الصرف المباشر'!D85)</f>
        <v/>
      </c>
      <c r="F585" t="str">
        <f>IF('الصرف المباشر'!C85="","",IF('الصرف المباشر'!F85="","",'الصرف المباشر'!F85))</f>
        <v/>
      </c>
      <c r="G585" t="str">
        <f>IF($B585&lt;&gt;"",SUMPRODUCT(($B$2:$B585&lt;&gt;"")*1),"")</f>
        <v/>
      </c>
    </row>
    <row r="586" spans="1:7">
      <c r="A586" s="23" t="str">
        <f>IF('الصرف المباشر'!C86="","",'الصرف المباشر'!B86)</f>
        <v/>
      </c>
      <c r="B586" t="str">
        <f>IF('الصرف المباشر'!C86="","","صرف مباشر")</f>
        <v/>
      </c>
      <c r="C586" t="str">
        <f>IF('الصرف المباشر'!C86="","",IF('الصرف المباشر'!E86="","-",'الصرف المباشر'!E86))</f>
        <v/>
      </c>
      <c r="D586" t="str">
        <f>IF('الصرف المباشر'!C86="","",'الصرف المباشر'!C86)</f>
        <v/>
      </c>
      <c r="E586" s="24" t="str">
        <f>IF('الصرف المباشر'!C86="","",-'الصرف المباشر'!D86)</f>
        <v/>
      </c>
      <c r="F586" t="str">
        <f>IF('الصرف المباشر'!C86="","",IF('الصرف المباشر'!F86="","",'الصرف المباشر'!F86))</f>
        <v/>
      </c>
      <c r="G586" t="str">
        <f>IF($B586&lt;&gt;"",SUMPRODUCT(($B$2:$B586&lt;&gt;"")*1),"")</f>
        <v/>
      </c>
    </row>
    <row r="587" spans="1:7">
      <c r="A587" s="23" t="str">
        <f>IF('الصرف المباشر'!C87="","",'الصرف المباشر'!B87)</f>
        <v/>
      </c>
      <c r="B587" t="str">
        <f>IF('الصرف المباشر'!C87="","","صرف مباشر")</f>
        <v/>
      </c>
      <c r="C587" t="str">
        <f>IF('الصرف المباشر'!C87="","",IF('الصرف المباشر'!E87="","-",'الصرف المباشر'!E87))</f>
        <v/>
      </c>
      <c r="D587" t="str">
        <f>IF('الصرف المباشر'!C87="","",'الصرف المباشر'!C87)</f>
        <v/>
      </c>
      <c r="E587" s="24" t="str">
        <f>IF('الصرف المباشر'!C87="","",-'الصرف المباشر'!D87)</f>
        <v/>
      </c>
      <c r="F587" t="str">
        <f>IF('الصرف المباشر'!C87="","",IF('الصرف المباشر'!F87="","",'الصرف المباشر'!F87))</f>
        <v/>
      </c>
      <c r="G587" t="str">
        <f>IF($B587&lt;&gt;"",SUMPRODUCT(($B$2:$B587&lt;&gt;"")*1),"")</f>
        <v/>
      </c>
    </row>
    <row r="588" spans="1:7">
      <c r="A588" s="23" t="str">
        <f>IF('الصرف المباشر'!C88="","",'الصرف المباشر'!B88)</f>
        <v/>
      </c>
      <c r="B588" t="str">
        <f>IF('الصرف المباشر'!C88="","","صرف مباشر")</f>
        <v/>
      </c>
      <c r="C588" t="str">
        <f>IF('الصرف المباشر'!C88="","",IF('الصرف المباشر'!E88="","-",'الصرف المباشر'!E88))</f>
        <v/>
      </c>
      <c r="D588" t="str">
        <f>IF('الصرف المباشر'!C88="","",'الصرف المباشر'!C88)</f>
        <v/>
      </c>
      <c r="E588" s="24" t="str">
        <f>IF('الصرف المباشر'!C88="","",-'الصرف المباشر'!D88)</f>
        <v/>
      </c>
      <c r="F588" t="str">
        <f>IF('الصرف المباشر'!C88="","",IF('الصرف المباشر'!F88="","",'الصرف المباشر'!F88))</f>
        <v/>
      </c>
      <c r="G588" t="str">
        <f>IF($B588&lt;&gt;"",SUMPRODUCT(($B$2:$B588&lt;&gt;"")*1),"")</f>
        <v/>
      </c>
    </row>
    <row r="589" spans="1:7">
      <c r="A589" s="23" t="str">
        <f>IF('الصرف المباشر'!C89="","",'الصرف المباشر'!B89)</f>
        <v/>
      </c>
      <c r="B589" t="str">
        <f>IF('الصرف المباشر'!C89="","","صرف مباشر")</f>
        <v/>
      </c>
      <c r="C589" t="str">
        <f>IF('الصرف المباشر'!C89="","",IF('الصرف المباشر'!E89="","-",'الصرف المباشر'!E89))</f>
        <v/>
      </c>
      <c r="D589" t="str">
        <f>IF('الصرف المباشر'!C89="","",'الصرف المباشر'!C89)</f>
        <v/>
      </c>
      <c r="E589" s="24" t="str">
        <f>IF('الصرف المباشر'!C89="","",-'الصرف المباشر'!D89)</f>
        <v/>
      </c>
      <c r="F589" t="str">
        <f>IF('الصرف المباشر'!C89="","",IF('الصرف المباشر'!F89="","",'الصرف المباشر'!F89))</f>
        <v/>
      </c>
      <c r="G589" t="str">
        <f>IF($B589&lt;&gt;"",SUMPRODUCT(($B$2:$B589&lt;&gt;"")*1),"")</f>
        <v/>
      </c>
    </row>
    <row r="590" spans="1:7">
      <c r="A590" s="23" t="str">
        <f>IF('الصرف المباشر'!C90="","",'الصرف المباشر'!B90)</f>
        <v/>
      </c>
      <c r="B590" t="str">
        <f>IF('الصرف المباشر'!C90="","","صرف مباشر")</f>
        <v/>
      </c>
      <c r="C590" t="str">
        <f>IF('الصرف المباشر'!C90="","",IF('الصرف المباشر'!E90="","-",'الصرف المباشر'!E90))</f>
        <v/>
      </c>
      <c r="D590" t="str">
        <f>IF('الصرف المباشر'!C90="","",'الصرف المباشر'!C90)</f>
        <v/>
      </c>
      <c r="E590" s="24" t="str">
        <f>IF('الصرف المباشر'!C90="","",-'الصرف المباشر'!D90)</f>
        <v/>
      </c>
      <c r="F590" t="str">
        <f>IF('الصرف المباشر'!C90="","",IF('الصرف المباشر'!F90="","",'الصرف المباشر'!F90))</f>
        <v/>
      </c>
      <c r="G590" t="str">
        <f>IF($B590&lt;&gt;"",SUMPRODUCT(($B$2:$B590&lt;&gt;"")*1),"")</f>
        <v/>
      </c>
    </row>
    <row r="591" spans="1:7">
      <c r="A591" s="23" t="str">
        <f>IF('الصرف المباشر'!C91="","",'الصرف المباشر'!B91)</f>
        <v/>
      </c>
      <c r="B591" t="str">
        <f>IF('الصرف المباشر'!C91="","","صرف مباشر")</f>
        <v/>
      </c>
      <c r="C591" t="str">
        <f>IF('الصرف المباشر'!C91="","",IF('الصرف المباشر'!E91="","-",'الصرف المباشر'!E91))</f>
        <v/>
      </c>
      <c r="D591" t="str">
        <f>IF('الصرف المباشر'!C91="","",'الصرف المباشر'!C91)</f>
        <v/>
      </c>
      <c r="E591" s="24" t="str">
        <f>IF('الصرف المباشر'!C91="","",-'الصرف المباشر'!D91)</f>
        <v/>
      </c>
      <c r="F591" t="str">
        <f>IF('الصرف المباشر'!C91="","",IF('الصرف المباشر'!F91="","",'الصرف المباشر'!F91))</f>
        <v/>
      </c>
      <c r="G591" t="str">
        <f>IF($B591&lt;&gt;"",SUMPRODUCT(($B$2:$B591&lt;&gt;"")*1),"")</f>
        <v/>
      </c>
    </row>
    <row r="592" spans="1:7">
      <c r="A592" s="23" t="str">
        <f>IF('الصرف المباشر'!C92="","",'الصرف المباشر'!B92)</f>
        <v/>
      </c>
      <c r="B592" t="str">
        <f>IF('الصرف المباشر'!C92="","","صرف مباشر")</f>
        <v/>
      </c>
      <c r="C592" t="str">
        <f>IF('الصرف المباشر'!C92="","",IF('الصرف المباشر'!E92="","-",'الصرف المباشر'!E92))</f>
        <v/>
      </c>
      <c r="D592" t="str">
        <f>IF('الصرف المباشر'!C92="","",'الصرف المباشر'!C92)</f>
        <v/>
      </c>
      <c r="E592" s="24" t="str">
        <f>IF('الصرف المباشر'!C92="","",-'الصرف المباشر'!D92)</f>
        <v/>
      </c>
      <c r="F592" t="str">
        <f>IF('الصرف المباشر'!C92="","",IF('الصرف المباشر'!F92="","",'الصرف المباشر'!F92))</f>
        <v/>
      </c>
      <c r="G592" t="str">
        <f>IF($B592&lt;&gt;"",SUMPRODUCT(($B$2:$B592&lt;&gt;"")*1),"")</f>
        <v/>
      </c>
    </row>
    <row r="593" spans="1:7">
      <c r="A593" s="23" t="str">
        <f>IF('الصرف المباشر'!C93="","",'الصرف المباشر'!B93)</f>
        <v/>
      </c>
      <c r="B593" t="str">
        <f>IF('الصرف المباشر'!C93="","","صرف مباشر")</f>
        <v/>
      </c>
      <c r="C593" t="str">
        <f>IF('الصرف المباشر'!C93="","",IF('الصرف المباشر'!E93="","-",'الصرف المباشر'!E93))</f>
        <v/>
      </c>
      <c r="D593" t="str">
        <f>IF('الصرف المباشر'!C93="","",'الصرف المباشر'!C93)</f>
        <v/>
      </c>
      <c r="E593" s="24" t="str">
        <f>IF('الصرف المباشر'!C93="","",-'الصرف المباشر'!D93)</f>
        <v/>
      </c>
      <c r="F593" t="str">
        <f>IF('الصرف المباشر'!C93="","",IF('الصرف المباشر'!F93="","",'الصرف المباشر'!F93))</f>
        <v/>
      </c>
      <c r="G593" t="str">
        <f>IF($B593&lt;&gt;"",SUMPRODUCT(($B$2:$B593&lt;&gt;"")*1),"")</f>
        <v/>
      </c>
    </row>
    <row r="594" spans="1:7">
      <c r="A594" s="23" t="str">
        <f>IF('الصرف المباشر'!C94="","",'الصرف المباشر'!B94)</f>
        <v/>
      </c>
      <c r="B594" t="str">
        <f>IF('الصرف المباشر'!C94="","","صرف مباشر")</f>
        <v/>
      </c>
      <c r="C594" t="str">
        <f>IF('الصرف المباشر'!C94="","",IF('الصرف المباشر'!E94="","-",'الصرف المباشر'!E94))</f>
        <v/>
      </c>
      <c r="D594" t="str">
        <f>IF('الصرف المباشر'!C94="","",'الصرف المباشر'!C94)</f>
        <v/>
      </c>
      <c r="E594" s="24" t="str">
        <f>IF('الصرف المباشر'!C94="","",-'الصرف المباشر'!D94)</f>
        <v/>
      </c>
      <c r="F594" t="str">
        <f>IF('الصرف المباشر'!C94="","",IF('الصرف المباشر'!F94="","",'الصرف المباشر'!F94))</f>
        <v/>
      </c>
      <c r="G594" t="str">
        <f>IF($B594&lt;&gt;"",SUMPRODUCT(($B$2:$B594&lt;&gt;"")*1),"")</f>
        <v/>
      </c>
    </row>
    <row r="595" spans="1:7">
      <c r="A595" s="23" t="str">
        <f>IF('الصرف المباشر'!C95="","",'الصرف المباشر'!B95)</f>
        <v/>
      </c>
      <c r="B595" t="str">
        <f>IF('الصرف المباشر'!C95="","","صرف مباشر")</f>
        <v/>
      </c>
      <c r="C595" t="str">
        <f>IF('الصرف المباشر'!C95="","",IF('الصرف المباشر'!E95="","-",'الصرف المباشر'!E95))</f>
        <v/>
      </c>
      <c r="D595" t="str">
        <f>IF('الصرف المباشر'!C95="","",'الصرف المباشر'!C95)</f>
        <v/>
      </c>
      <c r="E595" s="24" t="str">
        <f>IF('الصرف المباشر'!C95="","",-'الصرف المباشر'!D95)</f>
        <v/>
      </c>
      <c r="F595" t="str">
        <f>IF('الصرف المباشر'!C95="","",IF('الصرف المباشر'!F95="","",'الصرف المباشر'!F95))</f>
        <v/>
      </c>
      <c r="G595" t="str">
        <f>IF($B595&lt;&gt;"",SUMPRODUCT(($B$2:$B595&lt;&gt;"")*1),"")</f>
        <v/>
      </c>
    </row>
    <row r="596" spans="1:7">
      <c r="A596" s="23" t="str">
        <f>IF('الصرف المباشر'!C96="","",'الصرف المباشر'!B96)</f>
        <v/>
      </c>
      <c r="B596" t="str">
        <f>IF('الصرف المباشر'!C96="","","صرف مباشر")</f>
        <v/>
      </c>
      <c r="C596" t="str">
        <f>IF('الصرف المباشر'!C96="","",IF('الصرف المباشر'!E96="","-",'الصرف المباشر'!E96))</f>
        <v/>
      </c>
      <c r="D596" t="str">
        <f>IF('الصرف المباشر'!C96="","",'الصرف المباشر'!C96)</f>
        <v/>
      </c>
      <c r="E596" s="24" t="str">
        <f>IF('الصرف المباشر'!C96="","",-'الصرف المباشر'!D96)</f>
        <v/>
      </c>
      <c r="F596" t="str">
        <f>IF('الصرف المباشر'!C96="","",IF('الصرف المباشر'!F96="","",'الصرف المباشر'!F96))</f>
        <v/>
      </c>
      <c r="G596" t="str">
        <f>IF($B596&lt;&gt;"",SUMPRODUCT(($B$2:$B596&lt;&gt;"")*1),"")</f>
        <v/>
      </c>
    </row>
    <row r="597" spans="1:7">
      <c r="A597" s="23" t="str">
        <f>IF('الصرف المباشر'!C97="","",'الصرف المباشر'!B97)</f>
        <v/>
      </c>
      <c r="B597" t="str">
        <f>IF('الصرف المباشر'!C97="","","صرف مباشر")</f>
        <v/>
      </c>
      <c r="C597" t="str">
        <f>IF('الصرف المباشر'!C97="","",IF('الصرف المباشر'!E97="","-",'الصرف المباشر'!E97))</f>
        <v/>
      </c>
      <c r="D597" t="str">
        <f>IF('الصرف المباشر'!C97="","",'الصرف المباشر'!C97)</f>
        <v/>
      </c>
      <c r="E597" s="24" t="str">
        <f>IF('الصرف المباشر'!C97="","",-'الصرف المباشر'!D97)</f>
        <v/>
      </c>
      <c r="F597" t="str">
        <f>IF('الصرف المباشر'!C97="","",IF('الصرف المباشر'!F97="","",'الصرف المباشر'!F97))</f>
        <v/>
      </c>
      <c r="G597" t="str">
        <f>IF($B597&lt;&gt;"",SUMPRODUCT(($B$2:$B597&lt;&gt;"")*1),"")</f>
        <v/>
      </c>
    </row>
    <row r="598" spans="1:7">
      <c r="A598" s="23" t="str">
        <f>IF('الصرف المباشر'!C98="","",'الصرف المباشر'!B98)</f>
        <v/>
      </c>
      <c r="B598" t="str">
        <f>IF('الصرف المباشر'!C98="","","صرف مباشر")</f>
        <v/>
      </c>
      <c r="C598" t="str">
        <f>IF('الصرف المباشر'!C98="","",IF('الصرف المباشر'!E98="","-",'الصرف المباشر'!E98))</f>
        <v/>
      </c>
      <c r="D598" t="str">
        <f>IF('الصرف المباشر'!C98="","",'الصرف المباشر'!C98)</f>
        <v/>
      </c>
      <c r="E598" s="24" t="str">
        <f>IF('الصرف المباشر'!C98="","",-'الصرف المباشر'!D98)</f>
        <v/>
      </c>
      <c r="F598" t="str">
        <f>IF('الصرف المباشر'!C98="","",IF('الصرف المباشر'!F98="","",'الصرف المباشر'!F98))</f>
        <v/>
      </c>
      <c r="G598" t="str">
        <f>IF($B598&lt;&gt;"",SUMPRODUCT(($B$2:$B598&lt;&gt;"")*1),"")</f>
        <v/>
      </c>
    </row>
    <row r="599" spans="1:7">
      <c r="A599" s="23" t="str">
        <f>IF('الصرف المباشر'!C99="","",'الصرف المباشر'!B99)</f>
        <v/>
      </c>
      <c r="B599" t="str">
        <f>IF('الصرف المباشر'!C99="","","صرف مباشر")</f>
        <v/>
      </c>
      <c r="C599" t="str">
        <f>IF('الصرف المباشر'!C99="","",IF('الصرف المباشر'!E99="","-",'الصرف المباشر'!E99))</f>
        <v/>
      </c>
      <c r="D599" t="str">
        <f>IF('الصرف المباشر'!C99="","",'الصرف المباشر'!C99)</f>
        <v/>
      </c>
      <c r="E599" s="24" t="str">
        <f>IF('الصرف المباشر'!C99="","",-'الصرف المباشر'!D99)</f>
        <v/>
      </c>
      <c r="F599" t="str">
        <f>IF('الصرف المباشر'!C99="","",IF('الصرف المباشر'!F99="","",'الصرف المباشر'!F99))</f>
        <v/>
      </c>
      <c r="G599" t="str">
        <f>IF($B599&lt;&gt;"",SUMPRODUCT(($B$2:$B599&lt;&gt;"")*1),"")</f>
        <v/>
      </c>
    </row>
    <row r="600" spans="1:7">
      <c r="A600" s="23" t="str">
        <f>IF('الصرف المباشر'!C100="","",'الصرف المباشر'!B100)</f>
        <v/>
      </c>
      <c r="B600" t="str">
        <f>IF('الصرف المباشر'!C100="","","صرف مباشر")</f>
        <v/>
      </c>
      <c r="C600" t="str">
        <f>IF('الصرف المباشر'!C100="","",IF('الصرف المباشر'!E100="","-",'الصرف المباشر'!E100))</f>
        <v/>
      </c>
      <c r="D600" t="str">
        <f>IF('الصرف المباشر'!C100="","",'الصرف المباشر'!C100)</f>
        <v/>
      </c>
      <c r="E600" s="24" t="str">
        <f>IF('الصرف المباشر'!C100="","",-'الصرف المباشر'!D100)</f>
        <v/>
      </c>
      <c r="F600" t="str">
        <f>IF('الصرف المباشر'!C100="","",IF('الصرف المباشر'!F100="","",'الصرف المباشر'!F100))</f>
        <v/>
      </c>
      <c r="G600" t="str">
        <f>IF($B600&lt;&gt;"",SUMPRODUCT(($B$2:$B600&lt;&gt;"")*1),"")</f>
        <v/>
      </c>
    </row>
    <row r="601" spans="1:7">
      <c r="A601" s="23" t="str">
        <f>IF('الصرف المباشر'!C101="","",'الصرف المباشر'!B101)</f>
        <v/>
      </c>
      <c r="B601" t="str">
        <f>IF('الصرف المباشر'!C101="","","صرف مباشر")</f>
        <v/>
      </c>
      <c r="C601" t="str">
        <f>IF('الصرف المباشر'!C101="","",IF('الصرف المباشر'!E101="","-",'الصرف المباشر'!E101))</f>
        <v/>
      </c>
      <c r="D601" t="str">
        <f>IF('الصرف المباشر'!C101="","",'الصرف المباشر'!C101)</f>
        <v/>
      </c>
      <c r="E601" s="24" t="str">
        <f>IF('الصرف المباشر'!C101="","",-'الصرف المباشر'!D101)</f>
        <v/>
      </c>
      <c r="F601" t="str">
        <f>IF('الصرف المباشر'!C101="","",IF('الصرف المباشر'!F101="","",'الصرف المباشر'!F101))</f>
        <v/>
      </c>
      <c r="G601" t="str">
        <f>IF($B601&lt;&gt;"",SUMPRODUCT(($B$2:$B601&lt;&gt;"")*1),"")</f>
        <v/>
      </c>
    </row>
    <row r="602" spans="1:7">
      <c r="A602" s="23" t="str">
        <f>IF('الصرف المباشر'!C102="","",'الصرف المباشر'!B102)</f>
        <v/>
      </c>
      <c r="B602" t="str">
        <f>IF('الصرف المباشر'!C102="","","صرف مباشر")</f>
        <v/>
      </c>
      <c r="C602" t="str">
        <f>IF('الصرف المباشر'!C102="","",IF('الصرف المباشر'!E102="","-",'الصرف المباشر'!E102))</f>
        <v/>
      </c>
      <c r="D602" t="str">
        <f>IF('الصرف المباشر'!C102="","",'الصرف المباشر'!C102)</f>
        <v/>
      </c>
      <c r="E602" s="24" t="str">
        <f>IF('الصرف المباشر'!C102="","",-'الصرف المباشر'!D102)</f>
        <v/>
      </c>
      <c r="F602" t="str">
        <f>IF('الصرف المباشر'!C102="","",IF('الصرف المباشر'!F102="","",'الصرف المباشر'!F102))</f>
        <v/>
      </c>
      <c r="G602" t="str">
        <f>IF($B602&lt;&gt;"",SUMPRODUCT(($B$2:$B602&lt;&gt;"")*1),"")</f>
        <v/>
      </c>
    </row>
    <row r="603" spans="1:7">
      <c r="A603" s="23" t="str">
        <f>IF('الصرف المباشر'!C103="","",'الصرف المباشر'!B103)</f>
        <v/>
      </c>
      <c r="B603" t="str">
        <f>IF('الصرف المباشر'!C103="","","صرف مباشر")</f>
        <v/>
      </c>
      <c r="C603" t="str">
        <f>IF('الصرف المباشر'!C103="","",IF('الصرف المباشر'!E103="","-",'الصرف المباشر'!E103))</f>
        <v/>
      </c>
      <c r="D603" t="str">
        <f>IF('الصرف المباشر'!C103="","",'الصرف المباشر'!C103)</f>
        <v/>
      </c>
      <c r="E603" s="24" t="str">
        <f>IF('الصرف المباشر'!C103="","",-'الصرف المباشر'!D103)</f>
        <v/>
      </c>
      <c r="F603" t="str">
        <f>IF('الصرف المباشر'!C103="","",IF('الصرف المباشر'!F103="","",'الصرف المباشر'!F103))</f>
        <v/>
      </c>
      <c r="G603" t="str">
        <f>IF($B603&lt;&gt;"",SUMPRODUCT(($B$2:$B603&lt;&gt;"")*1),"")</f>
        <v/>
      </c>
    </row>
    <row r="604" spans="1:7">
      <c r="A604" s="23" t="str">
        <f>IF('الصرف المباشر'!C104="","",'الصرف المباشر'!B104)</f>
        <v/>
      </c>
      <c r="B604" t="str">
        <f>IF('الصرف المباشر'!C104="","","صرف مباشر")</f>
        <v/>
      </c>
      <c r="C604" t="str">
        <f>IF('الصرف المباشر'!C104="","",IF('الصرف المباشر'!E104="","-",'الصرف المباشر'!E104))</f>
        <v/>
      </c>
      <c r="D604" t="str">
        <f>IF('الصرف المباشر'!C104="","",'الصرف المباشر'!C104)</f>
        <v/>
      </c>
      <c r="E604" s="24" t="str">
        <f>IF('الصرف المباشر'!C104="","",-'الصرف المباشر'!D104)</f>
        <v/>
      </c>
      <c r="F604" t="str">
        <f>IF('الصرف المباشر'!C104="","",IF('الصرف المباشر'!F104="","",'الصرف المباشر'!F104))</f>
        <v/>
      </c>
      <c r="G604" t="str">
        <f>IF($B604&lt;&gt;"",SUMPRODUCT(($B$2:$B604&lt;&gt;"")*1),"")</f>
        <v/>
      </c>
    </row>
    <row r="605" spans="1:7">
      <c r="A605" s="23" t="str">
        <f>IF('الصرف المباشر'!C105="","",'الصرف المباشر'!B105)</f>
        <v/>
      </c>
      <c r="B605" t="str">
        <f>IF('الصرف المباشر'!C105="","","صرف مباشر")</f>
        <v/>
      </c>
      <c r="C605" t="str">
        <f>IF('الصرف المباشر'!C105="","",IF('الصرف المباشر'!E105="","-",'الصرف المباشر'!E105))</f>
        <v/>
      </c>
      <c r="D605" t="str">
        <f>IF('الصرف المباشر'!C105="","",'الصرف المباشر'!C105)</f>
        <v/>
      </c>
      <c r="E605" s="24" t="str">
        <f>IF('الصرف المباشر'!C105="","",-'الصرف المباشر'!D105)</f>
        <v/>
      </c>
      <c r="F605" t="str">
        <f>IF('الصرف المباشر'!C105="","",IF('الصرف المباشر'!F105="","",'الصرف المباشر'!F105))</f>
        <v/>
      </c>
      <c r="G605" t="str">
        <f>IF($B605&lt;&gt;"",SUMPRODUCT(($B$2:$B605&lt;&gt;"")*1),"")</f>
        <v/>
      </c>
    </row>
    <row r="606" spans="1:7">
      <c r="A606" s="23" t="str">
        <f>IF('الصرف المباشر'!C106="","",'الصرف المباشر'!B106)</f>
        <v/>
      </c>
      <c r="B606" t="str">
        <f>IF('الصرف المباشر'!C106="","","صرف مباشر")</f>
        <v/>
      </c>
      <c r="C606" t="str">
        <f>IF('الصرف المباشر'!C106="","",IF('الصرف المباشر'!E106="","-",'الصرف المباشر'!E106))</f>
        <v/>
      </c>
      <c r="D606" t="str">
        <f>IF('الصرف المباشر'!C106="","",'الصرف المباشر'!C106)</f>
        <v/>
      </c>
      <c r="E606" s="24" t="str">
        <f>IF('الصرف المباشر'!C106="","",-'الصرف المباشر'!D106)</f>
        <v/>
      </c>
      <c r="F606" t="str">
        <f>IF('الصرف المباشر'!C106="","",IF('الصرف المباشر'!F106="","",'الصرف المباشر'!F106))</f>
        <v/>
      </c>
      <c r="G606" t="str">
        <f>IF($B606&lt;&gt;"",SUMPRODUCT(($B$2:$B606&lt;&gt;"")*1),"")</f>
        <v/>
      </c>
    </row>
    <row r="607" spans="1:7">
      <c r="A607" s="23" t="str">
        <f>IF('الصرف المباشر'!C107="","",'الصرف المباشر'!B107)</f>
        <v/>
      </c>
      <c r="B607" t="str">
        <f>IF('الصرف المباشر'!C107="","","صرف مباشر")</f>
        <v/>
      </c>
      <c r="C607" t="str">
        <f>IF('الصرف المباشر'!C107="","",IF('الصرف المباشر'!E107="","-",'الصرف المباشر'!E107))</f>
        <v/>
      </c>
      <c r="D607" t="str">
        <f>IF('الصرف المباشر'!C107="","",'الصرف المباشر'!C107)</f>
        <v/>
      </c>
      <c r="E607" s="24" t="str">
        <f>IF('الصرف المباشر'!C107="","",-'الصرف المباشر'!D107)</f>
        <v/>
      </c>
      <c r="F607" t="str">
        <f>IF('الصرف المباشر'!C107="","",IF('الصرف المباشر'!F107="","",'الصرف المباشر'!F107))</f>
        <v/>
      </c>
      <c r="G607" t="str">
        <f>IF($B607&lt;&gt;"",SUMPRODUCT(($B$2:$B607&lt;&gt;"")*1),"")</f>
        <v/>
      </c>
    </row>
    <row r="608" spans="1:7">
      <c r="A608" s="23" t="str">
        <f>IF('الصرف المباشر'!C108="","",'الصرف المباشر'!B108)</f>
        <v/>
      </c>
      <c r="B608" t="str">
        <f>IF('الصرف المباشر'!C108="","","صرف مباشر")</f>
        <v/>
      </c>
      <c r="C608" t="str">
        <f>IF('الصرف المباشر'!C108="","",IF('الصرف المباشر'!E108="","-",'الصرف المباشر'!E108))</f>
        <v/>
      </c>
      <c r="D608" t="str">
        <f>IF('الصرف المباشر'!C108="","",'الصرف المباشر'!C108)</f>
        <v/>
      </c>
      <c r="E608" s="24" t="str">
        <f>IF('الصرف المباشر'!C108="","",-'الصرف المباشر'!D108)</f>
        <v/>
      </c>
      <c r="F608" t="str">
        <f>IF('الصرف المباشر'!C108="","",IF('الصرف المباشر'!F108="","",'الصرف المباشر'!F108))</f>
        <v/>
      </c>
      <c r="G608" t="str">
        <f>IF($B608&lt;&gt;"",SUMPRODUCT(($B$2:$B608&lt;&gt;"")*1),"")</f>
        <v/>
      </c>
    </row>
    <row r="609" spans="1:7">
      <c r="A609" s="23" t="str">
        <f>IF('الصرف المباشر'!C109="","",'الصرف المباشر'!B109)</f>
        <v/>
      </c>
      <c r="B609" t="str">
        <f>IF('الصرف المباشر'!C109="","","صرف مباشر")</f>
        <v/>
      </c>
      <c r="C609" t="str">
        <f>IF('الصرف المباشر'!C109="","",IF('الصرف المباشر'!E109="","-",'الصرف المباشر'!E109))</f>
        <v/>
      </c>
      <c r="D609" t="str">
        <f>IF('الصرف المباشر'!C109="","",'الصرف المباشر'!C109)</f>
        <v/>
      </c>
      <c r="E609" s="24" t="str">
        <f>IF('الصرف المباشر'!C109="","",-'الصرف المباشر'!D109)</f>
        <v/>
      </c>
      <c r="F609" t="str">
        <f>IF('الصرف المباشر'!C109="","",IF('الصرف المباشر'!F109="","",'الصرف المباشر'!F109))</f>
        <v/>
      </c>
      <c r="G609" t="str">
        <f>IF($B609&lt;&gt;"",SUMPRODUCT(($B$2:$B609&lt;&gt;"")*1),"")</f>
        <v/>
      </c>
    </row>
    <row r="610" spans="1:7">
      <c r="A610" s="23" t="str">
        <f>IF('الصرف المباشر'!C110="","",'الصرف المباشر'!B110)</f>
        <v/>
      </c>
      <c r="B610" t="str">
        <f>IF('الصرف المباشر'!C110="","","صرف مباشر")</f>
        <v/>
      </c>
      <c r="C610" t="str">
        <f>IF('الصرف المباشر'!C110="","",IF('الصرف المباشر'!E110="","-",'الصرف المباشر'!E110))</f>
        <v/>
      </c>
      <c r="D610" t="str">
        <f>IF('الصرف المباشر'!C110="","",'الصرف المباشر'!C110)</f>
        <v/>
      </c>
      <c r="E610" s="24" t="str">
        <f>IF('الصرف المباشر'!C110="","",-'الصرف المباشر'!D110)</f>
        <v/>
      </c>
      <c r="F610" t="str">
        <f>IF('الصرف المباشر'!C110="","",IF('الصرف المباشر'!F110="","",'الصرف المباشر'!F110))</f>
        <v/>
      </c>
      <c r="G610" t="str">
        <f>IF($B610&lt;&gt;"",SUMPRODUCT(($B$2:$B610&lt;&gt;"")*1),"")</f>
        <v/>
      </c>
    </row>
    <row r="611" spans="1:7">
      <c r="A611" s="23" t="str">
        <f>IF('الصرف المباشر'!C111="","",'الصرف المباشر'!B111)</f>
        <v/>
      </c>
      <c r="B611" t="str">
        <f>IF('الصرف المباشر'!C111="","","صرف مباشر")</f>
        <v/>
      </c>
      <c r="C611" t="str">
        <f>IF('الصرف المباشر'!C111="","",IF('الصرف المباشر'!E111="","-",'الصرف المباشر'!E111))</f>
        <v/>
      </c>
      <c r="D611" t="str">
        <f>IF('الصرف المباشر'!C111="","",'الصرف المباشر'!C111)</f>
        <v/>
      </c>
      <c r="E611" s="24" t="str">
        <f>IF('الصرف المباشر'!C111="","",-'الصرف المباشر'!D111)</f>
        <v/>
      </c>
      <c r="F611" t="str">
        <f>IF('الصرف المباشر'!C111="","",IF('الصرف المباشر'!F111="","",'الصرف المباشر'!F111))</f>
        <v/>
      </c>
      <c r="G611" t="str">
        <f>IF($B611&lt;&gt;"",SUMPRODUCT(($B$2:$B611&lt;&gt;"")*1),"")</f>
        <v/>
      </c>
    </row>
    <row r="612" spans="1:7">
      <c r="A612" s="23" t="str">
        <f>IF('الصرف المباشر'!C112="","",'الصرف المباشر'!B112)</f>
        <v/>
      </c>
      <c r="B612" t="str">
        <f>IF('الصرف المباشر'!C112="","","صرف مباشر")</f>
        <v/>
      </c>
      <c r="C612" t="str">
        <f>IF('الصرف المباشر'!C112="","",IF('الصرف المباشر'!E112="","-",'الصرف المباشر'!E112))</f>
        <v/>
      </c>
      <c r="D612" t="str">
        <f>IF('الصرف المباشر'!C112="","",'الصرف المباشر'!C112)</f>
        <v/>
      </c>
      <c r="E612" s="24" t="str">
        <f>IF('الصرف المباشر'!C112="","",-'الصرف المباشر'!D112)</f>
        <v/>
      </c>
      <c r="F612" t="str">
        <f>IF('الصرف المباشر'!C112="","",IF('الصرف المباشر'!F112="","",'الصرف المباشر'!F112))</f>
        <v/>
      </c>
      <c r="G612" t="str">
        <f>IF($B612&lt;&gt;"",SUMPRODUCT(($B$2:$B612&lt;&gt;"")*1),"")</f>
        <v/>
      </c>
    </row>
    <row r="613" spans="1:7">
      <c r="A613" s="23" t="str">
        <f>IF('الصرف المباشر'!C113="","",'الصرف المباشر'!B113)</f>
        <v/>
      </c>
      <c r="B613" t="str">
        <f>IF('الصرف المباشر'!C113="","","صرف مباشر")</f>
        <v/>
      </c>
      <c r="C613" t="str">
        <f>IF('الصرف المباشر'!C113="","",IF('الصرف المباشر'!E113="","-",'الصرف المباشر'!E113))</f>
        <v/>
      </c>
      <c r="D613" t="str">
        <f>IF('الصرف المباشر'!C113="","",'الصرف المباشر'!C113)</f>
        <v/>
      </c>
      <c r="E613" s="24" t="str">
        <f>IF('الصرف المباشر'!C113="","",-'الصرف المباشر'!D113)</f>
        <v/>
      </c>
      <c r="F613" t="str">
        <f>IF('الصرف المباشر'!C113="","",IF('الصرف المباشر'!F113="","",'الصرف المباشر'!F113))</f>
        <v/>
      </c>
      <c r="G613" t="str">
        <f>IF($B613&lt;&gt;"",SUMPRODUCT(($B$2:$B613&lt;&gt;"")*1),"")</f>
        <v/>
      </c>
    </row>
    <row r="614" spans="1:7">
      <c r="A614" s="23" t="str">
        <f>IF('الصرف المباشر'!C114="","",'الصرف المباشر'!B114)</f>
        <v/>
      </c>
      <c r="B614" t="str">
        <f>IF('الصرف المباشر'!C114="","","صرف مباشر")</f>
        <v/>
      </c>
      <c r="C614" t="str">
        <f>IF('الصرف المباشر'!C114="","",IF('الصرف المباشر'!E114="","-",'الصرف المباشر'!E114))</f>
        <v/>
      </c>
      <c r="D614" t="str">
        <f>IF('الصرف المباشر'!C114="","",'الصرف المباشر'!C114)</f>
        <v/>
      </c>
      <c r="E614" s="24" t="str">
        <f>IF('الصرف المباشر'!C114="","",-'الصرف المباشر'!D114)</f>
        <v/>
      </c>
      <c r="F614" t="str">
        <f>IF('الصرف المباشر'!C114="","",IF('الصرف المباشر'!F114="","",'الصرف المباشر'!F114))</f>
        <v/>
      </c>
      <c r="G614" t="str">
        <f>IF($B614&lt;&gt;"",SUMPRODUCT(($B$2:$B614&lt;&gt;"")*1),"")</f>
        <v/>
      </c>
    </row>
    <row r="615" spans="1:7">
      <c r="A615" s="23" t="str">
        <f>IF('الصرف المباشر'!C115="","",'الصرف المباشر'!B115)</f>
        <v/>
      </c>
      <c r="B615" t="str">
        <f>IF('الصرف المباشر'!C115="","","صرف مباشر")</f>
        <v/>
      </c>
      <c r="C615" t="str">
        <f>IF('الصرف المباشر'!C115="","",IF('الصرف المباشر'!E115="","-",'الصرف المباشر'!E115))</f>
        <v/>
      </c>
      <c r="D615" t="str">
        <f>IF('الصرف المباشر'!C115="","",'الصرف المباشر'!C115)</f>
        <v/>
      </c>
      <c r="E615" s="24" t="str">
        <f>IF('الصرف المباشر'!C115="","",-'الصرف المباشر'!D115)</f>
        <v/>
      </c>
      <c r="F615" t="str">
        <f>IF('الصرف المباشر'!C115="","",IF('الصرف المباشر'!F115="","",'الصرف المباشر'!F115))</f>
        <v/>
      </c>
      <c r="G615" t="str">
        <f>IF($B615&lt;&gt;"",SUMPRODUCT(($B$2:$B615&lt;&gt;"")*1),"")</f>
        <v/>
      </c>
    </row>
    <row r="616" spans="1:7">
      <c r="A616" s="23" t="str">
        <f>IF('الصرف المباشر'!C116="","",'الصرف المباشر'!B116)</f>
        <v/>
      </c>
      <c r="B616" t="str">
        <f>IF('الصرف المباشر'!C116="","","صرف مباشر")</f>
        <v/>
      </c>
      <c r="C616" t="str">
        <f>IF('الصرف المباشر'!C116="","",IF('الصرف المباشر'!E116="","-",'الصرف المباشر'!E116))</f>
        <v/>
      </c>
      <c r="D616" t="str">
        <f>IF('الصرف المباشر'!C116="","",'الصرف المباشر'!C116)</f>
        <v/>
      </c>
      <c r="E616" s="24" t="str">
        <f>IF('الصرف المباشر'!C116="","",-'الصرف المباشر'!D116)</f>
        <v/>
      </c>
      <c r="F616" t="str">
        <f>IF('الصرف المباشر'!C116="","",IF('الصرف المباشر'!F116="","",'الصرف المباشر'!F116))</f>
        <v/>
      </c>
      <c r="G616" t="str">
        <f>IF($B616&lt;&gt;"",SUMPRODUCT(($B$2:$B616&lt;&gt;"")*1),"")</f>
        <v/>
      </c>
    </row>
    <row r="617" spans="1:7">
      <c r="A617" s="23" t="str">
        <f>IF('الصرف المباشر'!C117="","",'الصرف المباشر'!B117)</f>
        <v/>
      </c>
      <c r="B617" t="str">
        <f>IF('الصرف المباشر'!C117="","","صرف مباشر")</f>
        <v/>
      </c>
      <c r="C617" t="str">
        <f>IF('الصرف المباشر'!C117="","",IF('الصرف المباشر'!E117="","-",'الصرف المباشر'!E117))</f>
        <v/>
      </c>
      <c r="D617" t="str">
        <f>IF('الصرف المباشر'!C117="","",'الصرف المباشر'!C117)</f>
        <v/>
      </c>
      <c r="E617" s="24" t="str">
        <f>IF('الصرف المباشر'!C117="","",-'الصرف المباشر'!D117)</f>
        <v/>
      </c>
      <c r="F617" t="str">
        <f>IF('الصرف المباشر'!C117="","",IF('الصرف المباشر'!F117="","",'الصرف المباشر'!F117))</f>
        <v/>
      </c>
      <c r="G617" t="str">
        <f>IF($B617&lt;&gt;"",SUMPRODUCT(($B$2:$B617&lt;&gt;"")*1),"")</f>
        <v/>
      </c>
    </row>
    <row r="618" spans="1:7">
      <c r="A618" s="23" t="str">
        <f>IF('الصرف المباشر'!C118="","",'الصرف المباشر'!B118)</f>
        <v/>
      </c>
      <c r="B618" t="str">
        <f>IF('الصرف المباشر'!C118="","","صرف مباشر")</f>
        <v/>
      </c>
      <c r="C618" t="str">
        <f>IF('الصرف المباشر'!C118="","",IF('الصرف المباشر'!E118="","-",'الصرف المباشر'!E118))</f>
        <v/>
      </c>
      <c r="D618" t="str">
        <f>IF('الصرف المباشر'!C118="","",'الصرف المباشر'!C118)</f>
        <v/>
      </c>
      <c r="E618" s="24" t="str">
        <f>IF('الصرف المباشر'!C118="","",-'الصرف المباشر'!D118)</f>
        <v/>
      </c>
      <c r="F618" t="str">
        <f>IF('الصرف المباشر'!C118="","",IF('الصرف المباشر'!F118="","",'الصرف المباشر'!F118))</f>
        <v/>
      </c>
      <c r="G618" t="str">
        <f>IF($B618&lt;&gt;"",SUMPRODUCT(($B$2:$B618&lt;&gt;"")*1),"")</f>
        <v/>
      </c>
    </row>
    <row r="619" spans="1:7">
      <c r="A619" s="23" t="str">
        <f>IF('الصرف المباشر'!C119="","",'الصرف المباشر'!B119)</f>
        <v/>
      </c>
      <c r="B619" t="str">
        <f>IF('الصرف المباشر'!C119="","","صرف مباشر")</f>
        <v/>
      </c>
      <c r="C619" t="str">
        <f>IF('الصرف المباشر'!C119="","",IF('الصرف المباشر'!E119="","-",'الصرف المباشر'!E119))</f>
        <v/>
      </c>
      <c r="D619" t="str">
        <f>IF('الصرف المباشر'!C119="","",'الصرف المباشر'!C119)</f>
        <v/>
      </c>
      <c r="E619" s="24" t="str">
        <f>IF('الصرف المباشر'!C119="","",-'الصرف المباشر'!D119)</f>
        <v/>
      </c>
      <c r="F619" t="str">
        <f>IF('الصرف المباشر'!C119="","",IF('الصرف المباشر'!F119="","",'الصرف المباشر'!F119))</f>
        <v/>
      </c>
      <c r="G619" t="str">
        <f>IF($B619&lt;&gt;"",SUMPRODUCT(($B$2:$B619&lt;&gt;"")*1),"")</f>
        <v/>
      </c>
    </row>
    <row r="620" spans="1:7">
      <c r="A620" s="23" t="str">
        <f>IF('الصرف المباشر'!C120="","",'الصرف المباشر'!B120)</f>
        <v/>
      </c>
      <c r="B620" t="str">
        <f>IF('الصرف المباشر'!C120="","","صرف مباشر")</f>
        <v/>
      </c>
      <c r="C620" t="str">
        <f>IF('الصرف المباشر'!C120="","",IF('الصرف المباشر'!E120="","-",'الصرف المباشر'!E120))</f>
        <v/>
      </c>
      <c r="D620" t="str">
        <f>IF('الصرف المباشر'!C120="","",'الصرف المباشر'!C120)</f>
        <v/>
      </c>
      <c r="E620" s="24" t="str">
        <f>IF('الصرف المباشر'!C120="","",-'الصرف المباشر'!D120)</f>
        <v/>
      </c>
      <c r="F620" t="str">
        <f>IF('الصرف المباشر'!C120="","",IF('الصرف المباشر'!F120="","",'الصرف المباشر'!F120))</f>
        <v/>
      </c>
      <c r="G620" t="str">
        <f>IF($B620&lt;&gt;"",SUMPRODUCT(($B$2:$B620&lt;&gt;"")*1),"")</f>
        <v/>
      </c>
    </row>
    <row r="621" spans="1:7">
      <c r="A621" s="23" t="str">
        <f>IF('الصرف المباشر'!C121="","",'الصرف المباشر'!B121)</f>
        <v/>
      </c>
      <c r="B621" t="str">
        <f>IF('الصرف المباشر'!C121="","","صرف مباشر")</f>
        <v/>
      </c>
      <c r="C621" t="str">
        <f>IF('الصرف المباشر'!C121="","",IF('الصرف المباشر'!E121="","-",'الصرف المباشر'!E121))</f>
        <v/>
      </c>
      <c r="D621" t="str">
        <f>IF('الصرف المباشر'!C121="","",'الصرف المباشر'!C121)</f>
        <v/>
      </c>
      <c r="E621" s="24" t="str">
        <f>IF('الصرف المباشر'!C121="","",-'الصرف المباشر'!D121)</f>
        <v/>
      </c>
      <c r="F621" t="str">
        <f>IF('الصرف المباشر'!C121="","",IF('الصرف المباشر'!F121="","",'الصرف المباشر'!F121))</f>
        <v/>
      </c>
      <c r="G621" t="str">
        <f>IF($B621&lt;&gt;"",SUMPRODUCT(($B$2:$B621&lt;&gt;"")*1),"")</f>
        <v/>
      </c>
    </row>
    <row r="622" spans="1:7">
      <c r="A622" s="23" t="str">
        <f>IF('الصرف المباشر'!C122="","",'الصرف المباشر'!B122)</f>
        <v/>
      </c>
      <c r="B622" t="str">
        <f>IF('الصرف المباشر'!C122="","","صرف مباشر")</f>
        <v/>
      </c>
      <c r="C622" t="str">
        <f>IF('الصرف المباشر'!C122="","",IF('الصرف المباشر'!E122="","-",'الصرف المباشر'!E122))</f>
        <v/>
      </c>
      <c r="D622" t="str">
        <f>IF('الصرف المباشر'!C122="","",'الصرف المباشر'!C122)</f>
        <v/>
      </c>
      <c r="E622" s="24" t="str">
        <f>IF('الصرف المباشر'!C122="","",-'الصرف المباشر'!D122)</f>
        <v/>
      </c>
      <c r="F622" t="str">
        <f>IF('الصرف المباشر'!C122="","",IF('الصرف المباشر'!F122="","",'الصرف المباشر'!F122))</f>
        <v/>
      </c>
      <c r="G622" t="str">
        <f>IF($B622&lt;&gt;"",SUMPRODUCT(($B$2:$B622&lt;&gt;"")*1),"")</f>
        <v/>
      </c>
    </row>
    <row r="623" spans="1:7">
      <c r="A623" s="23" t="str">
        <f>IF('الصرف المباشر'!C123="","",'الصرف المباشر'!B123)</f>
        <v/>
      </c>
      <c r="B623" t="str">
        <f>IF('الصرف المباشر'!C123="","","صرف مباشر")</f>
        <v/>
      </c>
      <c r="C623" t="str">
        <f>IF('الصرف المباشر'!C123="","",IF('الصرف المباشر'!E123="","-",'الصرف المباشر'!E123))</f>
        <v/>
      </c>
      <c r="D623" t="str">
        <f>IF('الصرف المباشر'!C123="","",'الصرف المباشر'!C123)</f>
        <v/>
      </c>
      <c r="E623" s="24" t="str">
        <f>IF('الصرف المباشر'!C123="","",-'الصرف المباشر'!D123)</f>
        <v/>
      </c>
      <c r="F623" t="str">
        <f>IF('الصرف المباشر'!C123="","",IF('الصرف المباشر'!F123="","",'الصرف المباشر'!F123))</f>
        <v/>
      </c>
      <c r="G623" t="str">
        <f>IF($B623&lt;&gt;"",SUMPRODUCT(($B$2:$B623&lt;&gt;"")*1),"")</f>
        <v/>
      </c>
    </row>
    <row r="624" spans="1:7">
      <c r="A624" s="23" t="str">
        <f>IF('الصرف المباشر'!C124="","",'الصرف المباشر'!B124)</f>
        <v/>
      </c>
      <c r="B624" t="str">
        <f>IF('الصرف المباشر'!C124="","","صرف مباشر")</f>
        <v/>
      </c>
      <c r="C624" t="str">
        <f>IF('الصرف المباشر'!C124="","",IF('الصرف المباشر'!E124="","-",'الصرف المباشر'!E124))</f>
        <v/>
      </c>
      <c r="D624" t="str">
        <f>IF('الصرف المباشر'!C124="","",'الصرف المباشر'!C124)</f>
        <v/>
      </c>
      <c r="E624" s="24" t="str">
        <f>IF('الصرف المباشر'!C124="","",-'الصرف المباشر'!D124)</f>
        <v/>
      </c>
      <c r="F624" t="str">
        <f>IF('الصرف المباشر'!C124="","",IF('الصرف المباشر'!F124="","",'الصرف المباشر'!F124))</f>
        <v/>
      </c>
      <c r="G624" t="str">
        <f>IF($B624&lt;&gt;"",SUMPRODUCT(($B$2:$B624&lt;&gt;"")*1),"")</f>
        <v/>
      </c>
    </row>
    <row r="625" spans="1:7">
      <c r="A625" s="23" t="str">
        <f>IF('الصرف المباشر'!C125="","",'الصرف المباشر'!B125)</f>
        <v/>
      </c>
      <c r="B625" t="str">
        <f>IF('الصرف المباشر'!C125="","","صرف مباشر")</f>
        <v/>
      </c>
      <c r="C625" t="str">
        <f>IF('الصرف المباشر'!C125="","",IF('الصرف المباشر'!E125="","-",'الصرف المباشر'!E125))</f>
        <v/>
      </c>
      <c r="D625" t="str">
        <f>IF('الصرف المباشر'!C125="","",'الصرف المباشر'!C125)</f>
        <v/>
      </c>
      <c r="E625" s="24" t="str">
        <f>IF('الصرف المباشر'!C125="","",-'الصرف المباشر'!D125)</f>
        <v/>
      </c>
      <c r="F625" t="str">
        <f>IF('الصرف المباشر'!C125="","",IF('الصرف المباشر'!F125="","",'الصرف المباشر'!F125))</f>
        <v/>
      </c>
      <c r="G625" t="str">
        <f>IF($B625&lt;&gt;"",SUMPRODUCT(($B$2:$B625&lt;&gt;"")*1),"")</f>
        <v/>
      </c>
    </row>
    <row r="626" spans="1:7">
      <c r="A626" s="23" t="str">
        <f>IF('الصرف المباشر'!C126="","",'الصرف المباشر'!B126)</f>
        <v/>
      </c>
      <c r="B626" t="str">
        <f>IF('الصرف المباشر'!C126="","","صرف مباشر")</f>
        <v/>
      </c>
      <c r="C626" t="str">
        <f>IF('الصرف المباشر'!C126="","",IF('الصرف المباشر'!E126="","-",'الصرف المباشر'!E126))</f>
        <v/>
      </c>
      <c r="D626" t="str">
        <f>IF('الصرف المباشر'!C126="","",'الصرف المباشر'!C126)</f>
        <v/>
      </c>
      <c r="E626" s="24" t="str">
        <f>IF('الصرف المباشر'!C126="","",-'الصرف المباشر'!D126)</f>
        <v/>
      </c>
      <c r="F626" t="str">
        <f>IF('الصرف المباشر'!C126="","",IF('الصرف المباشر'!F126="","",'الصرف المباشر'!F126))</f>
        <v/>
      </c>
      <c r="G626" t="str">
        <f>IF($B626&lt;&gt;"",SUMPRODUCT(($B$2:$B626&lt;&gt;"")*1),"")</f>
        <v/>
      </c>
    </row>
    <row r="627" spans="1:7">
      <c r="A627" s="23" t="str">
        <f>IF('الصرف المباشر'!C127="","",'الصرف المباشر'!B127)</f>
        <v/>
      </c>
      <c r="B627" t="str">
        <f>IF('الصرف المباشر'!C127="","","صرف مباشر")</f>
        <v/>
      </c>
      <c r="C627" t="str">
        <f>IF('الصرف المباشر'!C127="","",IF('الصرف المباشر'!E127="","-",'الصرف المباشر'!E127))</f>
        <v/>
      </c>
      <c r="D627" t="str">
        <f>IF('الصرف المباشر'!C127="","",'الصرف المباشر'!C127)</f>
        <v/>
      </c>
      <c r="E627" s="24" t="str">
        <f>IF('الصرف المباشر'!C127="","",-'الصرف المباشر'!D127)</f>
        <v/>
      </c>
      <c r="F627" t="str">
        <f>IF('الصرف المباشر'!C127="","",IF('الصرف المباشر'!F127="","",'الصرف المباشر'!F127))</f>
        <v/>
      </c>
      <c r="G627" t="str">
        <f>IF($B627&lt;&gt;"",SUMPRODUCT(($B$2:$B627&lt;&gt;"")*1),"")</f>
        <v/>
      </c>
    </row>
    <row r="628" spans="1:7">
      <c r="A628" s="23" t="str">
        <f>IF('الصرف المباشر'!C128="","",'الصرف المباشر'!B128)</f>
        <v/>
      </c>
      <c r="B628" t="str">
        <f>IF('الصرف المباشر'!C128="","","صرف مباشر")</f>
        <v/>
      </c>
      <c r="C628" t="str">
        <f>IF('الصرف المباشر'!C128="","",IF('الصرف المباشر'!E128="","-",'الصرف المباشر'!E128))</f>
        <v/>
      </c>
      <c r="D628" t="str">
        <f>IF('الصرف المباشر'!C128="","",'الصرف المباشر'!C128)</f>
        <v/>
      </c>
      <c r="E628" s="24" t="str">
        <f>IF('الصرف المباشر'!C128="","",-'الصرف المباشر'!D128)</f>
        <v/>
      </c>
      <c r="F628" t="str">
        <f>IF('الصرف المباشر'!C128="","",IF('الصرف المباشر'!F128="","",'الصرف المباشر'!F128))</f>
        <v/>
      </c>
      <c r="G628" t="str">
        <f>IF($B628&lt;&gt;"",SUMPRODUCT(($B$2:$B628&lt;&gt;"")*1),"")</f>
        <v/>
      </c>
    </row>
    <row r="629" spans="1:7">
      <c r="A629" s="23" t="str">
        <f>IF('الصرف المباشر'!C129="","",'الصرف المباشر'!B129)</f>
        <v/>
      </c>
      <c r="B629" t="str">
        <f>IF('الصرف المباشر'!C129="","","صرف مباشر")</f>
        <v/>
      </c>
      <c r="C629" t="str">
        <f>IF('الصرف المباشر'!C129="","",IF('الصرف المباشر'!E129="","-",'الصرف المباشر'!E129))</f>
        <v/>
      </c>
      <c r="D629" t="str">
        <f>IF('الصرف المباشر'!C129="","",'الصرف المباشر'!C129)</f>
        <v/>
      </c>
      <c r="E629" s="24" t="str">
        <f>IF('الصرف المباشر'!C129="","",-'الصرف المباشر'!D129)</f>
        <v/>
      </c>
      <c r="F629" t="str">
        <f>IF('الصرف المباشر'!C129="","",IF('الصرف المباشر'!F129="","",'الصرف المباشر'!F129))</f>
        <v/>
      </c>
      <c r="G629" t="str">
        <f>IF($B629&lt;&gt;"",SUMPRODUCT(($B$2:$B629&lt;&gt;"")*1),"")</f>
        <v/>
      </c>
    </row>
    <row r="630" spans="1:7">
      <c r="A630" s="23" t="str">
        <f>IF('الصرف المباشر'!C130="","",'الصرف المباشر'!B130)</f>
        <v/>
      </c>
      <c r="B630" t="str">
        <f>IF('الصرف المباشر'!C130="","","صرف مباشر")</f>
        <v/>
      </c>
      <c r="C630" t="str">
        <f>IF('الصرف المباشر'!C130="","",IF('الصرف المباشر'!E130="","-",'الصرف المباشر'!E130))</f>
        <v/>
      </c>
      <c r="D630" t="str">
        <f>IF('الصرف المباشر'!C130="","",'الصرف المباشر'!C130)</f>
        <v/>
      </c>
      <c r="E630" s="24" t="str">
        <f>IF('الصرف المباشر'!C130="","",-'الصرف المباشر'!D130)</f>
        <v/>
      </c>
      <c r="F630" t="str">
        <f>IF('الصرف المباشر'!C130="","",IF('الصرف المباشر'!F130="","",'الصرف المباشر'!F130))</f>
        <v/>
      </c>
      <c r="G630" t="str">
        <f>IF($B630&lt;&gt;"",SUMPRODUCT(($B$2:$B630&lt;&gt;"")*1),"")</f>
        <v/>
      </c>
    </row>
    <row r="631" spans="1:7">
      <c r="A631" s="23" t="str">
        <f>IF('الصرف المباشر'!C131="","",'الصرف المباشر'!B131)</f>
        <v/>
      </c>
      <c r="B631" t="str">
        <f>IF('الصرف المباشر'!C131="","","صرف مباشر")</f>
        <v/>
      </c>
      <c r="C631" t="str">
        <f>IF('الصرف المباشر'!C131="","",IF('الصرف المباشر'!E131="","-",'الصرف المباشر'!E131))</f>
        <v/>
      </c>
      <c r="D631" t="str">
        <f>IF('الصرف المباشر'!C131="","",'الصرف المباشر'!C131)</f>
        <v/>
      </c>
      <c r="E631" s="24" t="str">
        <f>IF('الصرف المباشر'!C131="","",-'الصرف المباشر'!D131)</f>
        <v/>
      </c>
      <c r="F631" t="str">
        <f>IF('الصرف المباشر'!C131="","",IF('الصرف المباشر'!F131="","",'الصرف المباشر'!F131))</f>
        <v/>
      </c>
      <c r="G631" t="str">
        <f>IF($B631&lt;&gt;"",SUMPRODUCT(($B$2:$B631&lt;&gt;"")*1),"")</f>
        <v/>
      </c>
    </row>
    <row r="632" spans="1:7">
      <c r="A632" s="23" t="str">
        <f>IF('الصرف المباشر'!C132="","",'الصرف المباشر'!B132)</f>
        <v/>
      </c>
      <c r="B632" t="str">
        <f>IF('الصرف المباشر'!C132="","","صرف مباشر")</f>
        <v/>
      </c>
      <c r="C632" t="str">
        <f>IF('الصرف المباشر'!C132="","",IF('الصرف المباشر'!E132="","-",'الصرف المباشر'!E132))</f>
        <v/>
      </c>
      <c r="D632" t="str">
        <f>IF('الصرف المباشر'!C132="","",'الصرف المباشر'!C132)</f>
        <v/>
      </c>
      <c r="E632" s="24" t="str">
        <f>IF('الصرف المباشر'!C132="","",-'الصرف المباشر'!D132)</f>
        <v/>
      </c>
      <c r="F632" t="str">
        <f>IF('الصرف المباشر'!C132="","",IF('الصرف المباشر'!F132="","",'الصرف المباشر'!F132))</f>
        <v/>
      </c>
      <c r="G632" t="str">
        <f>IF($B632&lt;&gt;"",SUMPRODUCT(($B$2:$B632&lt;&gt;"")*1),"")</f>
        <v/>
      </c>
    </row>
    <row r="633" spans="1:7">
      <c r="A633" s="23" t="str">
        <f>IF('الصرف المباشر'!C133="","",'الصرف المباشر'!B133)</f>
        <v/>
      </c>
      <c r="B633" t="str">
        <f>IF('الصرف المباشر'!C133="","","صرف مباشر")</f>
        <v/>
      </c>
      <c r="C633" t="str">
        <f>IF('الصرف المباشر'!C133="","",IF('الصرف المباشر'!E133="","-",'الصرف المباشر'!E133))</f>
        <v/>
      </c>
      <c r="D633" t="str">
        <f>IF('الصرف المباشر'!C133="","",'الصرف المباشر'!C133)</f>
        <v/>
      </c>
      <c r="E633" s="24" t="str">
        <f>IF('الصرف المباشر'!C133="","",-'الصرف المباشر'!D133)</f>
        <v/>
      </c>
      <c r="F633" t="str">
        <f>IF('الصرف المباشر'!C133="","",IF('الصرف المباشر'!F133="","",'الصرف المباشر'!F133))</f>
        <v/>
      </c>
      <c r="G633" t="str">
        <f>IF($B633&lt;&gt;"",SUMPRODUCT(($B$2:$B633&lt;&gt;"")*1),"")</f>
        <v/>
      </c>
    </row>
    <row r="634" spans="1:7">
      <c r="A634" s="23" t="str">
        <f>IF('الصرف المباشر'!C134="","",'الصرف المباشر'!B134)</f>
        <v/>
      </c>
      <c r="B634" t="str">
        <f>IF('الصرف المباشر'!C134="","","صرف مباشر")</f>
        <v/>
      </c>
      <c r="C634" t="str">
        <f>IF('الصرف المباشر'!C134="","",IF('الصرف المباشر'!E134="","-",'الصرف المباشر'!E134))</f>
        <v/>
      </c>
      <c r="D634" t="str">
        <f>IF('الصرف المباشر'!C134="","",'الصرف المباشر'!C134)</f>
        <v/>
      </c>
      <c r="E634" s="24" t="str">
        <f>IF('الصرف المباشر'!C134="","",-'الصرف المباشر'!D134)</f>
        <v/>
      </c>
      <c r="F634" t="str">
        <f>IF('الصرف المباشر'!C134="","",IF('الصرف المباشر'!F134="","",'الصرف المباشر'!F134))</f>
        <v/>
      </c>
      <c r="G634" t="str">
        <f>IF($B634&lt;&gt;"",SUMPRODUCT(($B$2:$B634&lt;&gt;"")*1),"")</f>
        <v/>
      </c>
    </row>
    <row r="635" spans="1:7">
      <c r="A635" s="23" t="str">
        <f>IF('الصرف المباشر'!C135="","",'الصرف المباشر'!B135)</f>
        <v/>
      </c>
      <c r="B635" t="str">
        <f>IF('الصرف المباشر'!C135="","","صرف مباشر")</f>
        <v/>
      </c>
      <c r="C635" t="str">
        <f>IF('الصرف المباشر'!C135="","",IF('الصرف المباشر'!E135="","-",'الصرف المباشر'!E135))</f>
        <v/>
      </c>
      <c r="D635" t="str">
        <f>IF('الصرف المباشر'!C135="","",'الصرف المباشر'!C135)</f>
        <v/>
      </c>
      <c r="E635" s="24" t="str">
        <f>IF('الصرف المباشر'!C135="","",-'الصرف المباشر'!D135)</f>
        <v/>
      </c>
      <c r="F635" t="str">
        <f>IF('الصرف المباشر'!C135="","",IF('الصرف المباشر'!F135="","",'الصرف المباشر'!F135))</f>
        <v/>
      </c>
      <c r="G635" t="str">
        <f>IF($B635&lt;&gt;"",SUMPRODUCT(($B$2:$B635&lt;&gt;"")*1),"")</f>
        <v/>
      </c>
    </row>
    <row r="636" spans="1:7">
      <c r="A636" s="23" t="str">
        <f>IF('الصرف المباشر'!C136="","",'الصرف المباشر'!B136)</f>
        <v/>
      </c>
      <c r="B636" t="str">
        <f>IF('الصرف المباشر'!C136="","","صرف مباشر")</f>
        <v/>
      </c>
      <c r="C636" t="str">
        <f>IF('الصرف المباشر'!C136="","",IF('الصرف المباشر'!E136="","-",'الصرف المباشر'!E136))</f>
        <v/>
      </c>
      <c r="D636" t="str">
        <f>IF('الصرف المباشر'!C136="","",'الصرف المباشر'!C136)</f>
        <v/>
      </c>
      <c r="E636" s="24" t="str">
        <f>IF('الصرف المباشر'!C136="","",-'الصرف المباشر'!D136)</f>
        <v/>
      </c>
      <c r="F636" t="str">
        <f>IF('الصرف المباشر'!C136="","",IF('الصرف المباشر'!F136="","",'الصرف المباشر'!F136))</f>
        <v/>
      </c>
      <c r="G636" t="str">
        <f>IF($B636&lt;&gt;"",SUMPRODUCT(($B$2:$B636&lt;&gt;"")*1),"")</f>
        <v/>
      </c>
    </row>
    <row r="637" spans="1:7">
      <c r="A637" s="23" t="str">
        <f>IF('الصرف المباشر'!C137="","",'الصرف المباشر'!B137)</f>
        <v/>
      </c>
      <c r="B637" t="str">
        <f>IF('الصرف المباشر'!C137="","","صرف مباشر")</f>
        <v/>
      </c>
      <c r="C637" t="str">
        <f>IF('الصرف المباشر'!C137="","",IF('الصرف المباشر'!E137="","-",'الصرف المباشر'!E137))</f>
        <v/>
      </c>
      <c r="D637" t="str">
        <f>IF('الصرف المباشر'!C137="","",'الصرف المباشر'!C137)</f>
        <v/>
      </c>
      <c r="E637" s="24" t="str">
        <f>IF('الصرف المباشر'!C137="","",-'الصرف المباشر'!D137)</f>
        <v/>
      </c>
      <c r="F637" t="str">
        <f>IF('الصرف المباشر'!C137="","",IF('الصرف المباشر'!F137="","",'الصرف المباشر'!F137))</f>
        <v/>
      </c>
      <c r="G637" t="str">
        <f>IF($B637&lt;&gt;"",SUMPRODUCT(($B$2:$B637&lt;&gt;"")*1),"")</f>
        <v/>
      </c>
    </row>
    <row r="638" spans="1:7">
      <c r="A638" s="23" t="str">
        <f>IF('الصرف المباشر'!C138="","",'الصرف المباشر'!B138)</f>
        <v/>
      </c>
      <c r="B638" t="str">
        <f>IF('الصرف المباشر'!C138="","","صرف مباشر")</f>
        <v/>
      </c>
      <c r="C638" t="str">
        <f>IF('الصرف المباشر'!C138="","",IF('الصرف المباشر'!E138="","-",'الصرف المباشر'!E138))</f>
        <v/>
      </c>
      <c r="D638" t="str">
        <f>IF('الصرف المباشر'!C138="","",'الصرف المباشر'!C138)</f>
        <v/>
      </c>
      <c r="E638" s="24" t="str">
        <f>IF('الصرف المباشر'!C138="","",-'الصرف المباشر'!D138)</f>
        <v/>
      </c>
      <c r="F638" t="str">
        <f>IF('الصرف المباشر'!C138="","",IF('الصرف المباشر'!F138="","",'الصرف المباشر'!F138))</f>
        <v/>
      </c>
      <c r="G638" t="str">
        <f>IF($B638&lt;&gt;"",SUMPRODUCT(($B$2:$B638&lt;&gt;"")*1),"")</f>
        <v/>
      </c>
    </row>
    <row r="639" spans="1:7">
      <c r="A639" s="23" t="str">
        <f>IF('الصرف المباشر'!C139="","",'الصرف المباشر'!B139)</f>
        <v/>
      </c>
      <c r="B639" t="str">
        <f>IF('الصرف المباشر'!C139="","","صرف مباشر")</f>
        <v/>
      </c>
      <c r="C639" t="str">
        <f>IF('الصرف المباشر'!C139="","",IF('الصرف المباشر'!E139="","-",'الصرف المباشر'!E139))</f>
        <v/>
      </c>
      <c r="D639" t="str">
        <f>IF('الصرف المباشر'!C139="","",'الصرف المباشر'!C139)</f>
        <v/>
      </c>
      <c r="E639" s="24" t="str">
        <f>IF('الصرف المباشر'!C139="","",-'الصرف المباشر'!D139)</f>
        <v/>
      </c>
      <c r="F639" t="str">
        <f>IF('الصرف المباشر'!C139="","",IF('الصرف المباشر'!F139="","",'الصرف المباشر'!F139))</f>
        <v/>
      </c>
      <c r="G639" t="str">
        <f>IF($B639&lt;&gt;"",SUMPRODUCT(($B$2:$B639&lt;&gt;"")*1),"")</f>
        <v/>
      </c>
    </row>
    <row r="640" spans="1:7">
      <c r="A640" s="23" t="str">
        <f>IF('الصرف المباشر'!C140="","",'الصرف المباشر'!B140)</f>
        <v/>
      </c>
      <c r="B640" t="str">
        <f>IF('الصرف المباشر'!C140="","","صرف مباشر")</f>
        <v/>
      </c>
      <c r="C640" t="str">
        <f>IF('الصرف المباشر'!C140="","",IF('الصرف المباشر'!E140="","-",'الصرف المباشر'!E140))</f>
        <v/>
      </c>
      <c r="D640" t="str">
        <f>IF('الصرف المباشر'!C140="","",'الصرف المباشر'!C140)</f>
        <v/>
      </c>
      <c r="E640" s="24" t="str">
        <f>IF('الصرف المباشر'!C140="","",-'الصرف المباشر'!D140)</f>
        <v/>
      </c>
      <c r="F640" t="str">
        <f>IF('الصرف المباشر'!C140="","",IF('الصرف المباشر'!F140="","",'الصرف المباشر'!F140))</f>
        <v/>
      </c>
      <c r="G640" t="str">
        <f>IF($B640&lt;&gt;"",SUMPRODUCT(($B$2:$B640&lt;&gt;"")*1),"")</f>
        <v/>
      </c>
    </row>
    <row r="641" spans="1:7">
      <c r="A641" s="23" t="str">
        <f>IF('الصرف المباشر'!C141="","",'الصرف المباشر'!B141)</f>
        <v/>
      </c>
      <c r="B641" t="str">
        <f>IF('الصرف المباشر'!C141="","","صرف مباشر")</f>
        <v/>
      </c>
      <c r="C641" t="str">
        <f>IF('الصرف المباشر'!C141="","",IF('الصرف المباشر'!E141="","-",'الصرف المباشر'!E141))</f>
        <v/>
      </c>
      <c r="D641" t="str">
        <f>IF('الصرف المباشر'!C141="","",'الصرف المباشر'!C141)</f>
        <v/>
      </c>
      <c r="E641" s="24" t="str">
        <f>IF('الصرف المباشر'!C141="","",-'الصرف المباشر'!D141)</f>
        <v/>
      </c>
      <c r="F641" t="str">
        <f>IF('الصرف المباشر'!C141="","",IF('الصرف المباشر'!F141="","",'الصرف المباشر'!F141))</f>
        <v/>
      </c>
      <c r="G641" t="str">
        <f>IF($B641&lt;&gt;"",SUMPRODUCT(($B$2:$B641&lt;&gt;"")*1),"")</f>
        <v/>
      </c>
    </row>
    <row r="642" spans="1:7">
      <c r="A642" s="23" t="str">
        <f>IF('الصرف المباشر'!C142="","",'الصرف المباشر'!B142)</f>
        <v/>
      </c>
      <c r="B642" t="str">
        <f>IF('الصرف المباشر'!C142="","","صرف مباشر")</f>
        <v/>
      </c>
      <c r="C642" t="str">
        <f>IF('الصرف المباشر'!C142="","",IF('الصرف المباشر'!E142="","-",'الصرف المباشر'!E142))</f>
        <v/>
      </c>
      <c r="D642" t="str">
        <f>IF('الصرف المباشر'!C142="","",'الصرف المباشر'!C142)</f>
        <v/>
      </c>
      <c r="E642" s="24" t="str">
        <f>IF('الصرف المباشر'!C142="","",-'الصرف المباشر'!D142)</f>
        <v/>
      </c>
      <c r="F642" t="str">
        <f>IF('الصرف المباشر'!C142="","",IF('الصرف المباشر'!F142="","",'الصرف المباشر'!F142))</f>
        <v/>
      </c>
      <c r="G642" t="str">
        <f>IF($B642&lt;&gt;"",SUMPRODUCT(($B$2:$B642&lt;&gt;"")*1),"")</f>
        <v/>
      </c>
    </row>
    <row r="643" spans="1:7">
      <c r="A643" s="23" t="str">
        <f>IF('الصرف المباشر'!C143="","",'الصرف المباشر'!B143)</f>
        <v/>
      </c>
      <c r="B643" t="str">
        <f>IF('الصرف المباشر'!C143="","","صرف مباشر")</f>
        <v/>
      </c>
      <c r="C643" t="str">
        <f>IF('الصرف المباشر'!C143="","",IF('الصرف المباشر'!E143="","-",'الصرف المباشر'!E143))</f>
        <v/>
      </c>
      <c r="D643" t="str">
        <f>IF('الصرف المباشر'!C143="","",'الصرف المباشر'!C143)</f>
        <v/>
      </c>
      <c r="E643" s="24" t="str">
        <f>IF('الصرف المباشر'!C143="","",-'الصرف المباشر'!D143)</f>
        <v/>
      </c>
      <c r="F643" t="str">
        <f>IF('الصرف المباشر'!C143="","",IF('الصرف المباشر'!F143="","",'الصرف المباشر'!F143))</f>
        <v/>
      </c>
      <c r="G643" t="str">
        <f>IF($B643&lt;&gt;"",SUMPRODUCT(($B$2:$B643&lt;&gt;"")*1),"")</f>
        <v/>
      </c>
    </row>
    <row r="644" spans="1:7">
      <c r="A644" s="23" t="str">
        <f>IF('الصرف المباشر'!C144="","",'الصرف المباشر'!B144)</f>
        <v/>
      </c>
      <c r="B644" t="str">
        <f>IF('الصرف المباشر'!C144="","","صرف مباشر")</f>
        <v/>
      </c>
      <c r="C644" t="str">
        <f>IF('الصرف المباشر'!C144="","",IF('الصرف المباشر'!E144="","-",'الصرف المباشر'!E144))</f>
        <v/>
      </c>
      <c r="D644" t="str">
        <f>IF('الصرف المباشر'!C144="","",'الصرف المباشر'!C144)</f>
        <v/>
      </c>
      <c r="E644" s="24" t="str">
        <f>IF('الصرف المباشر'!C144="","",-'الصرف المباشر'!D144)</f>
        <v/>
      </c>
      <c r="F644" t="str">
        <f>IF('الصرف المباشر'!C144="","",IF('الصرف المباشر'!F144="","",'الصرف المباشر'!F144))</f>
        <v/>
      </c>
      <c r="G644" t="str">
        <f>IF($B644&lt;&gt;"",SUMPRODUCT(($B$2:$B644&lt;&gt;"")*1),"")</f>
        <v/>
      </c>
    </row>
    <row r="645" spans="1:7">
      <c r="A645" s="23" t="str">
        <f>IF('الصرف المباشر'!C145="","",'الصرف المباشر'!B145)</f>
        <v/>
      </c>
      <c r="B645" t="str">
        <f>IF('الصرف المباشر'!C145="","","صرف مباشر")</f>
        <v/>
      </c>
      <c r="C645" t="str">
        <f>IF('الصرف المباشر'!C145="","",IF('الصرف المباشر'!E145="","-",'الصرف المباشر'!E145))</f>
        <v/>
      </c>
      <c r="D645" t="str">
        <f>IF('الصرف المباشر'!C145="","",'الصرف المباشر'!C145)</f>
        <v/>
      </c>
      <c r="E645" s="24" t="str">
        <f>IF('الصرف المباشر'!C145="","",-'الصرف المباشر'!D145)</f>
        <v/>
      </c>
      <c r="F645" t="str">
        <f>IF('الصرف المباشر'!C145="","",IF('الصرف المباشر'!F145="","",'الصرف المباشر'!F145))</f>
        <v/>
      </c>
      <c r="G645" t="str">
        <f>IF($B645&lt;&gt;"",SUMPRODUCT(($B$2:$B645&lt;&gt;"")*1),"")</f>
        <v/>
      </c>
    </row>
    <row r="646" spans="1:7">
      <c r="A646" s="23" t="str">
        <f>IF('الصرف المباشر'!C146="","",'الصرف المباشر'!B146)</f>
        <v/>
      </c>
      <c r="B646" t="str">
        <f>IF('الصرف المباشر'!C146="","","صرف مباشر")</f>
        <v/>
      </c>
      <c r="C646" t="str">
        <f>IF('الصرف المباشر'!C146="","",IF('الصرف المباشر'!E146="","-",'الصرف المباشر'!E146))</f>
        <v/>
      </c>
      <c r="D646" t="str">
        <f>IF('الصرف المباشر'!C146="","",'الصرف المباشر'!C146)</f>
        <v/>
      </c>
      <c r="E646" s="24" t="str">
        <f>IF('الصرف المباشر'!C146="","",-'الصرف المباشر'!D146)</f>
        <v/>
      </c>
      <c r="F646" t="str">
        <f>IF('الصرف المباشر'!C146="","",IF('الصرف المباشر'!F146="","",'الصرف المباشر'!F146))</f>
        <v/>
      </c>
      <c r="G646" t="str">
        <f>IF($B646&lt;&gt;"",SUMPRODUCT(($B$2:$B646&lt;&gt;"")*1),"")</f>
        <v/>
      </c>
    </row>
    <row r="647" spans="1:7">
      <c r="A647" s="23" t="str">
        <f>IF('الصرف المباشر'!C147="","",'الصرف المباشر'!B147)</f>
        <v/>
      </c>
      <c r="B647" t="str">
        <f>IF('الصرف المباشر'!C147="","","صرف مباشر")</f>
        <v/>
      </c>
      <c r="C647" t="str">
        <f>IF('الصرف المباشر'!C147="","",IF('الصرف المباشر'!E147="","-",'الصرف المباشر'!E147))</f>
        <v/>
      </c>
      <c r="D647" t="str">
        <f>IF('الصرف المباشر'!C147="","",'الصرف المباشر'!C147)</f>
        <v/>
      </c>
      <c r="E647" s="24" t="str">
        <f>IF('الصرف المباشر'!C147="","",-'الصرف المباشر'!D147)</f>
        <v/>
      </c>
      <c r="F647" t="str">
        <f>IF('الصرف المباشر'!C147="","",IF('الصرف المباشر'!F147="","",'الصرف المباشر'!F147))</f>
        <v/>
      </c>
      <c r="G647" t="str">
        <f>IF($B647&lt;&gt;"",SUMPRODUCT(($B$2:$B647&lt;&gt;"")*1),"")</f>
        <v/>
      </c>
    </row>
    <row r="648" spans="1:7">
      <c r="A648" s="23" t="str">
        <f>IF('الصرف المباشر'!C148="","",'الصرف المباشر'!B148)</f>
        <v/>
      </c>
      <c r="B648" t="str">
        <f>IF('الصرف المباشر'!C148="","","صرف مباشر")</f>
        <v/>
      </c>
      <c r="C648" t="str">
        <f>IF('الصرف المباشر'!C148="","",IF('الصرف المباشر'!E148="","-",'الصرف المباشر'!E148))</f>
        <v/>
      </c>
      <c r="D648" t="str">
        <f>IF('الصرف المباشر'!C148="","",'الصرف المباشر'!C148)</f>
        <v/>
      </c>
      <c r="E648" s="24" t="str">
        <f>IF('الصرف المباشر'!C148="","",-'الصرف المباشر'!D148)</f>
        <v/>
      </c>
      <c r="F648" t="str">
        <f>IF('الصرف المباشر'!C148="","",IF('الصرف المباشر'!F148="","",'الصرف المباشر'!F148))</f>
        <v/>
      </c>
      <c r="G648" t="str">
        <f>IF($B648&lt;&gt;"",SUMPRODUCT(($B$2:$B648&lt;&gt;"")*1),"")</f>
        <v/>
      </c>
    </row>
    <row r="649" spans="1:7">
      <c r="A649" s="23" t="str">
        <f>IF('الصرف المباشر'!C149="","",'الصرف المباشر'!B149)</f>
        <v/>
      </c>
      <c r="B649" t="str">
        <f>IF('الصرف المباشر'!C149="","","صرف مباشر")</f>
        <v/>
      </c>
      <c r="C649" t="str">
        <f>IF('الصرف المباشر'!C149="","",IF('الصرف المباشر'!E149="","-",'الصرف المباشر'!E149))</f>
        <v/>
      </c>
      <c r="D649" t="str">
        <f>IF('الصرف المباشر'!C149="","",'الصرف المباشر'!C149)</f>
        <v/>
      </c>
      <c r="E649" s="24" t="str">
        <f>IF('الصرف المباشر'!C149="","",-'الصرف المباشر'!D149)</f>
        <v/>
      </c>
      <c r="F649" t="str">
        <f>IF('الصرف المباشر'!C149="","",IF('الصرف المباشر'!F149="","",'الصرف المباشر'!F149))</f>
        <v/>
      </c>
      <c r="G649" t="str">
        <f>IF($B649&lt;&gt;"",SUMPRODUCT(($B$2:$B649&lt;&gt;"")*1),"")</f>
        <v/>
      </c>
    </row>
    <row r="650" spans="1:7">
      <c r="A650" s="23" t="str">
        <f>IF('الصرف المباشر'!C150="","",'الصرف المباشر'!B150)</f>
        <v/>
      </c>
      <c r="B650" t="str">
        <f>IF('الصرف المباشر'!C150="","","صرف مباشر")</f>
        <v/>
      </c>
      <c r="C650" t="str">
        <f>IF('الصرف المباشر'!C150="","",IF('الصرف المباشر'!E150="","-",'الصرف المباشر'!E150))</f>
        <v/>
      </c>
      <c r="D650" t="str">
        <f>IF('الصرف المباشر'!C150="","",'الصرف المباشر'!C150)</f>
        <v/>
      </c>
      <c r="E650" s="24" t="str">
        <f>IF('الصرف المباشر'!C150="","",-'الصرف المباشر'!D150)</f>
        <v/>
      </c>
      <c r="F650" t="str">
        <f>IF('الصرف المباشر'!C150="","",IF('الصرف المباشر'!F150="","",'الصرف المباشر'!F150))</f>
        <v/>
      </c>
      <c r="G650" t="str">
        <f>IF($B650&lt;&gt;"",SUMPRODUCT(($B$2:$B650&lt;&gt;"")*1),"")</f>
        <v/>
      </c>
    </row>
    <row r="651" spans="1:7">
      <c r="A651" s="23" t="str">
        <f>IF('الصرف المباشر'!C151="","",'الصرف المباشر'!B151)</f>
        <v/>
      </c>
      <c r="B651" t="str">
        <f>IF('الصرف المباشر'!C151="","","صرف مباشر")</f>
        <v/>
      </c>
      <c r="C651" t="str">
        <f>IF('الصرف المباشر'!C151="","",IF('الصرف المباشر'!E151="","-",'الصرف المباشر'!E151))</f>
        <v/>
      </c>
      <c r="D651" t="str">
        <f>IF('الصرف المباشر'!C151="","",'الصرف المباشر'!C151)</f>
        <v/>
      </c>
      <c r="E651" s="24" t="str">
        <f>IF('الصرف المباشر'!C151="","",-'الصرف المباشر'!D151)</f>
        <v/>
      </c>
      <c r="F651" t="str">
        <f>IF('الصرف المباشر'!C151="","",IF('الصرف المباشر'!F151="","",'الصرف المباشر'!F151))</f>
        <v/>
      </c>
      <c r="G651" t="str">
        <f>IF($B651&lt;&gt;"",SUMPRODUCT(($B$2:$B651&lt;&gt;"")*1),"")</f>
        <v/>
      </c>
    </row>
    <row r="652" spans="1:7">
      <c r="A652" s="23" t="str">
        <f>IF('الصرف المباشر'!C152="","",'الصرف المباشر'!B152)</f>
        <v/>
      </c>
      <c r="B652" t="str">
        <f>IF('الصرف المباشر'!C152="","","صرف مباشر")</f>
        <v/>
      </c>
      <c r="C652" t="str">
        <f>IF('الصرف المباشر'!C152="","",IF('الصرف المباشر'!E152="","-",'الصرف المباشر'!E152))</f>
        <v/>
      </c>
      <c r="D652" t="str">
        <f>IF('الصرف المباشر'!C152="","",'الصرف المباشر'!C152)</f>
        <v/>
      </c>
      <c r="E652" s="24" t="str">
        <f>IF('الصرف المباشر'!C152="","",-'الصرف المباشر'!D152)</f>
        <v/>
      </c>
      <c r="F652" t="str">
        <f>IF('الصرف المباشر'!C152="","",IF('الصرف المباشر'!F152="","",'الصرف المباشر'!F152))</f>
        <v/>
      </c>
      <c r="G652" t="str">
        <f>IF($B652&lt;&gt;"",SUMPRODUCT(($B$2:$B652&lt;&gt;"")*1),"")</f>
        <v/>
      </c>
    </row>
    <row r="653" spans="1:7">
      <c r="A653" s="23" t="str">
        <f>IF('الصرف المباشر'!C153="","",'الصرف المباشر'!B153)</f>
        <v/>
      </c>
      <c r="B653" t="str">
        <f>IF('الصرف المباشر'!C153="","","صرف مباشر")</f>
        <v/>
      </c>
      <c r="C653" t="str">
        <f>IF('الصرف المباشر'!C153="","",IF('الصرف المباشر'!E153="","-",'الصرف المباشر'!E153))</f>
        <v/>
      </c>
      <c r="D653" t="str">
        <f>IF('الصرف المباشر'!C153="","",'الصرف المباشر'!C153)</f>
        <v/>
      </c>
      <c r="E653" s="24" t="str">
        <f>IF('الصرف المباشر'!C153="","",-'الصرف المباشر'!D153)</f>
        <v/>
      </c>
      <c r="F653" t="str">
        <f>IF('الصرف المباشر'!C153="","",IF('الصرف المباشر'!F153="","",'الصرف المباشر'!F153))</f>
        <v/>
      </c>
      <c r="G653" t="str">
        <f>IF($B653&lt;&gt;"",SUMPRODUCT(($B$2:$B653&lt;&gt;"")*1),"")</f>
        <v/>
      </c>
    </row>
    <row r="654" spans="1:7">
      <c r="A654" s="23" t="str">
        <f>IF('الصرف المباشر'!C154="","",'الصرف المباشر'!B154)</f>
        <v/>
      </c>
      <c r="B654" t="str">
        <f>IF('الصرف المباشر'!C154="","","صرف مباشر")</f>
        <v/>
      </c>
      <c r="C654" t="str">
        <f>IF('الصرف المباشر'!C154="","",IF('الصرف المباشر'!E154="","-",'الصرف المباشر'!E154))</f>
        <v/>
      </c>
      <c r="D654" t="str">
        <f>IF('الصرف المباشر'!C154="","",'الصرف المباشر'!C154)</f>
        <v/>
      </c>
      <c r="E654" s="24" t="str">
        <f>IF('الصرف المباشر'!C154="","",-'الصرف المباشر'!D154)</f>
        <v/>
      </c>
      <c r="F654" t="str">
        <f>IF('الصرف المباشر'!C154="","",IF('الصرف المباشر'!F154="","",'الصرف المباشر'!F154))</f>
        <v/>
      </c>
      <c r="G654" t="str">
        <f>IF($B654&lt;&gt;"",SUMPRODUCT(($B$2:$B654&lt;&gt;"")*1),"")</f>
        <v/>
      </c>
    </row>
    <row r="655" spans="1:7">
      <c r="A655" s="23" t="str">
        <f>IF('الصرف المباشر'!C155="","",'الصرف المباشر'!B155)</f>
        <v/>
      </c>
      <c r="B655" t="str">
        <f>IF('الصرف المباشر'!C155="","","صرف مباشر")</f>
        <v/>
      </c>
      <c r="C655" t="str">
        <f>IF('الصرف المباشر'!C155="","",IF('الصرف المباشر'!E155="","-",'الصرف المباشر'!E155))</f>
        <v/>
      </c>
      <c r="D655" t="str">
        <f>IF('الصرف المباشر'!C155="","",'الصرف المباشر'!C155)</f>
        <v/>
      </c>
      <c r="E655" s="24" t="str">
        <f>IF('الصرف المباشر'!C155="","",-'الصرف المباشر'!D155)</f>
        <v/>
      </c>
      <c r="F655" t="str">
        <f>IF('الصرف المباشر'!C155="","",IF('الصرف المباشر'!F155="","",'الصرف المباشر'!F155))</f>
        <v/>
      </c>
      <c r="G655" t="str">
        <f>IF($B655&lt;&gt;"",SUMPRODUCT(($B$2:$B655&lt;&gt;"")*1),"")</f>
        <v/>
      </c>
    </row>
    <row r="656" spans="1:7">
      <c r="A656" s="23" t="str">
        <f>IF('الصرف المباشر'!C156="","",'الصرف المباشر'!B156)</f>
        <v/>
      </c>
      <c r="B656" t="str">
        <f>IF('الصرف المباشر'!C156="","","صرف مباشر")</f>
        <v/>
      </c>
      <c r="C656" t="str">
        <f>IF('الصرف المباشر'!C156="","",IF('الصرف المباشر'!E156="","-",'الصرف المباشر'!E156))</f>
        <v/>
      </c>
      <c r="D656" t="str">
        <f>IF('الصرف المباشر'!C156="","",'الصرف المباشر'!C156)</f>
        <v/>
      </c>
      <c r="E656" s="24" t="str">
        <f>IF('الصرف المباشر'!C156="","",-'الصرف المباشر'!D156)</f>
        <v/>
      </c>
      <c r="F656" t="str">
        <f>IF('الصرف المباشر'!C156="","",IF('الصرف المباشر'!F156="","",'الصرف المباشر'!F156))</f>
        <v/>
      </c>
      <c r="G656" t="str">
        <f>IF($B656&lt;&gt;"",SUMPRODUCT(($B$2:$B656&lt;&gt;"")*1),"")</f>
        <v/>
      </c>
    </row>
    <row r="657" spans="1:7">
      <c r="A657" s="23" t="str">
        <f>IF('الصرف المباشر'!C157="","",'الصرف المباشر'!B157)</f>
        <v/>
      </c>
      <c r="B657" t="str">
        <f>IF('الصرف المباشر'!C157="","","صرف مباشر")</f>
        <v/>
      </c>
      <c r="C657" t="str">
        <f>IF('الصرف المباشر'!C157="","",IF('الصرف المباشر'!E157="","-",'الصرف المباشر'!E157))</f>
        <v/>
      </c>
      <c r="D657" t="str">
        <f>IF('الصرف المباشر'!C157="","",'الصرف المباشر'!C157)</f>
        <v/>
      </c>
      <c r="E657" s="24" t="str">
        <f>IF('الصرف المباشر'!C157="","",-'الصرف المباشر'!D157)</f>
        <v/>
      </c>
      <c r="F657" t="str">
        <f>IF('الصرف المباشر'!C157="","",IF('الصرف المباشر'!F157="","",'الصرف المباشر'!F157))</f>
        <v/>
      </c>
      <c r="G657" t="str">
        <f>IF($B657&lt;&gt;"",SUMPRODUCT(($B$2:$B657&lt;&gt;"")*1),"")</f>
        <v/>
      </c>
    </row>
    <row r="658" spans="1:7">
      <c r="A658" s="23" t="str">
        <f>IF('الصرف المباشر'!C158="","",'الصرف المباشر'!B158)</f>
        <v/>
      </c>
      <c r="B658" t="str">
        <f>IF('الصرف المباشر'!C158="","","صرف مباشر")</f>
        <v/>
      </c>
      <c r="C658" t="str">
        <f>IF('الصرف المباشر'!C158="","",IF('الصرف المباشر'!E158="","-",'الصرف المباشر'!E158))</f>
        <v/>
      </c>
      <c r="D658" t="str">
        <f>IF('الصرف المباشر'!C158="","",'الصرف المباشر'!C158)</f>
        <v/>
      </c>
      <c r="E658" s="24" t="str">
        <f>IF('الصرف المباشر'!C158="","",-'الصرف المباشر'!D158)</f>
        <v/>
      </c>
      <c r="F658" t="str">
        <f>IF('الصرف المباشر'!C158="","",IF('الصرف المباشر'!F158="","",'الصرف المباشر'!F158))</f>
        <v/>
      </c>
      <c r="G658" t="str">
        <f>IF($B658&lt;&gt;"",SUMPRODUCT(($B$2:$B658&lt;&gt;"")*1),"")</f>
        <v/>
      </c>
    </row>
    <row r="659" spans="1:7">
      <c r="A659" s="23" t="str">
        <f>IF('الصرف المباشر'!C159="","",'الصرف المباشر'!B159)</f>
        <v/>
      </c>
      <c r="B659" t="str">
        <f>IF('الصرف المباشر'!C159="","","صرف مباشر")</f>
        <v/>
      </c>
      <c r="C659" t="str">
        <f>IF('الصرف المباشر'!C159="","",IF('الصرف المباشر'!E159="","-",'الصرف المباشر'!E159))</f>
        <v/>
      </c>
      <c r="D659" t="str">
        <f>IF('الصرف المباشر'!C159="","",'الصرف المباشر'!C159)</f>
        <v/>
      </c>
      <c r="E659" s="24" t="str">
        <f>IF('الصرف المباشر'!C159="","",-'الصرف المباشر'!D159)</f>
        <v/>
      </c>
      <c r="F659" t="str">
        <f>IF('الصرف المباشر'!C159="","",IF('الصرف المباشر'!F159="","",'الصرف المباشر'!F159))</f>
        <v/>
      </c>
      <c r="G659" t="str">
        <f>IF($B659&lt;&gt;"",SUMPRODUCT(($B$2:$B659&lt;&gt;"")*1),"")</f>
        <v/>
      </c>
    </row>
    <row r="660" spans="1:7">
      <c r="A660" s="23" t="str">
        <f>IF('الصرف المباشر'!C160="","",'الصرف المباشر'!B160)</f>
        <v/>
      </c>
      <c r="B660" t="str">
        <f>IF('الصرف المباشر'!C160="","","صرف مباشر")</f>
        <v/>
      </c>
      <c r="C660" t="str">
        <f>IF('الصرف المباشر'!C160="","",IF('الصرف المباشر'!E160="","-",'الصرف المباشر'!E160))</f>
        <v/>
      </c>
      <c r="D660" t="str">
        <f>IF('الصرف المباشر'!C160="","",'الصرف المباشر'!C160)</f>
        <v/>
      </c>
      <c r="E660" s="24" t="str">
        <f>IF('الصرف المباشر'!C160="","",-'الصرف المباشر'!D160)</f>
        <v/>
      </c>
      <c r="F660" t="str">
        <f>IF('الصرف المباشر'!C160="","",IF('الصرف المباشر'!F160="","",'الصرف المباشر'!F160))</f>
        <v/>
      </c>
      <c r="G660" t="str">
        <f>IF($B660&lt;&gt;"",SUMPRODUCT(($B$2:$B660&lt;&gt;"")*1),"")</f>
        <v/>
      </c>
    </row>
    <row r="661" spans="1:7">
      <c r="A661" s="23" t="str">
        <f>IF('الصرف المباشر'!C161="","",'الصرف المباشر'!B161)</f>
        <v/>
      </c>
      <c r="B661" t="str">
        <f>IF('الصرف المباشر'!C161="","","صرف مباشر")</f>
        <v/>
      </c>
      <c r="C661" t="str">
        <f>IF('الصرف المباشر'!C161="","",IF('الصرف المباشر'!E161="","-",'الصرف المباشر'!E161))</f>
        <v/>
      </c>
      <c r="D661" t="str">
        <f>IF('الصرف المباشر'!C161="","",'الصرف المباشر'!C161)</f>
        <v/>
      </c>
      <c r="E661" s="24" t="str">
        <f>IF('الصرف المباشر'!C161="","",-'الصرف المباشر'!D161)</f>
        <v/>
      </c>
      <c r="F661" t="str">
        <f>IF('الصرف المباشر'!C161="","",IF('الصرف المباشر'!F161="","",'الصرف المباشر'!F161))</f>
        <v/>
      </c>
      <c r="G661" t="str">
        <f>IF($B661&lt;&gt;"",SUMPRODUCT(($B$2:$B661&lt;&gt;"")*1),"")</f>
        <v/>
      </c>
    </row>
    <row r="662" spans="1:7">
      <c r="A662" s="23" t="str">
        <f>IF('الصرف المباشر'!C162="","",'الصرف المباشر'!B162)</f>
        <v/>
      </c>
      <c r="B662" t="str">
        <f>IF('الصرف المباشر'!C162="","","صرف مباشر")</f>
        <v/>
      </c>
      <c r="C662" t="str">
        <f>IF('الصرف المباشر'!C162="","",IF('الصرف المباشر'!E162="","-",'الصرف المباشر'!E162))</f>
        <v/>
      </c>
      <c r="D662" t="str">
        <f>IF('الصرف المباشر'!C162="","",'الصرف المباشر'!C162)</f>
        <v/>
      </c>
      <c r="E662" s="24" t="str">
        <f>IF('الصرف المباشر'!C162="","",-'الصرف المباشر'!D162)</f>
        <v/>
      </c>
      <c r="F662" t="str">
        <f>IF('الصرف المباشر'!C162="","",IF('الصرف المباشر'!F162="","",'الصرف المباشر'!F162))</f>
        <v/>
      </c>
      <c r="G662" t="str">
        <f>IF($B662&lt;&gt;"",SUMPRODUCT(($B$2:$B662&lt;&gt;"")*1),"")</f>
        <v/>
      </c>
    </row>
    <row r="663" spans="1:7">
      <c r="A663" s="23" t="str">
        <f>IF('الصرف المباشر'!C163="","",'الصرف المباشر'!B163)</f>
        <v/>
      </c>
      <c r="B663" t="str">
        <f>IF('الصرف المباشر'!C163="","","صرف مباشر")</f>
        <v/>
      </c>
      <c r="C663" t="str">
        <f>IF('الصرف المباشر'!C163="","",IF('الصرف المباشر'!E163="","-",'الصرف المباشر'!E163))</f>
        <v/>
      </c>
      <c r="D663" t="str">
        <f>IF('الصرف المباشر'!C163="","",'الصرف المباشر'!C163)</f>
        <v/>
      </c>
      <c r="E663" s="24" t="str">
        <f>IF('الصرف المباشر'!C163="","",-'الصرف المباشر'!D163)</f>
        <v/>
      </c>
      <c r="F663" t="str">
        <f>IF('الصرف المباشر'!C163="","",IF('الصرف المباشر'!F163="","",'الصرف المباشر'!F163))</f>
        <v/>
      </c>
      <c r="G663" t="str">
        <f>IF($B663&lt;&gt;"",SUMPRODUCT(($B$2:$B663&lt;&gt;"")*1),"")</f>
        <v/>
      </c>
    </row>
    <row r="664" spans="1:7">
      <c r="A664" s="23" t="str">
        <f>IF('الصرف المباشر'!C164="","",'الصرف المباشر'!B164)</f>
        <v/>
      </c>
      <c r="B664" t="str">
        <f>IF('الصرف المباشر'!C164="","","صرف مباشر")</f>
        <v/>
      </c>
      <c r="C664" t="str">
        <f>IF('الصرف المباشر'!C164="","",IF('الصرف المباشر'!E164="","-",'الصرف المباشر'!E164))</f>
        <v/>
      </c>
      <c r="D664" t="str">
        <f>IF('الصرف المباشر'!C164="","",'الصرف المباشر'!C164)</f>
        <v/>
      </c>
      <c r="E664" s="24" t="str">
        <f>IF('الصرف المباشر'!C164="","",-'الصرف المباشر'!D164)</f>
        <v/>
      </c>
      <c r="F664" t="str">
        <f>IF('الصرف المباشر'!C164="","",IF('الصرف المباشر'!F164="","",'الصرف المباشر'!F164))</f>
        <v/>
      </c>
      <c r="G664" t="str">
        <f>IF($B664&lt;&gt;"",SUMPRODUCT(($B$2:$B664&lt;&gt;"")*1),"")</f>
        <v/>
      </c>
    </row>
    <row r="665" spans="1:7">
      <c r="A665" s="23" t="str">
        <f>IF('الصرف المباشر'!C165="","",'الصرف المباشر'!B165)</f>
        <v/>
      </c>
      <c r="B665" t="str">
        <f>IF('الصرف المباشر'!C165="","","صرف مباشر")</f>
        <v/>
      </c>
      <c r="C665" t="str">
        <f>IF('الصرف المباشر'!C165="","",IF('الصرف المباشر'!E165="","-",'الصرف المباشر'!E165))</f>
        <v/>
      </c>
      <c r="D665" t="str">
        <f>IF('الصرف المباشر'!C165="","",'الصرف المباشر'!C165)</f>
        <v/>
      </c>
      <c r="E665" s="24" t="str">
        <f>IF('الصرف المباشر'!C165="","",-'الصرف المباشر'!D165)</f>
        <v/>
      </c>
      <c r="F665" t="str">
        <f>IF('الصرف المباشر'!C165="","",IF('الصرف المباشر'!F165="","",'الصرف المباشر'!F165))</f>
        <v/>
      </c>
      <c r="G665" t="str">
        <f>IF($B665&lt;&gt;"",SUMPRODUCT(($B$2:$B665&lt;&gt;"")*1),"")</f>
        <v/>
      </c>
    </row>
    <row r="666" spans="1:7">
      <c r="A666" s="23" t="str">
        <f>IF('الصرف المباشر'!C166="","",'الصرف المباشر'!B166)</f>
        <v/>
      </c>
      <c r="B666" t="str">
        <f>IF('الصرف المباشر'!C166="","","صرف مباشر")</f>
        <v/>
      </c>
      <c r="C666" t="str">
        <f>IF('الصرف المباشر'!C166="","",IF('الصرف المباشر'!E166="","-",'الصرف المباشر'!E166))</f>
        <v/>
      </c>
      <c r="D666" t="str">
        <f>IF('الصرف المباشر'!C166="","",'الصرف المباشر'!C166)</f>
        <v/>
      </c>
      <c r="E666" s="24" t="str">
        <f>IF('الصرف المباشر'!C166="","",-'الصرف المباشر'!D166)</f>
        <v/>
      </c>
      <c r="F666" t="str">
        <f>IF('الصرف المباشر'!C166="","",IF('الصرف المباشر'!F166="","",'الصرف المباشر'!F166))</f>
        <v/>
      </c>
      <c r="G666" t="str">
        <f>IF($B666&lt;&gt;"",SUMPRODUCT(($B$2:$B666&lt;&gt;"")*1),"")</f>
        <v/>
      </c>
    </row>
    <row r="667" spans="1:7">
      <c r="A667" s="23" t="str">
        <f>IF('الصرف المباشر'!C167="","",'الصرف المباشر'!B167)</f>
        <v/>
      </c>
      <c r="B667" t="str">
        <f>IF('الصرف المباشر'!C167="","","صرف مباشر")</f>
        <v/>
      </c>
      <c r="C667" t="str">
        <f>IF('الصرف المباشر'!C167="","",IF('الصرف المباشر'!E167="","-",'الصرف المباشر'!E167))</f>
        <v/>
      </c>
      <c r="D667" t="str">
        <f>IF('الصرف المباشر'!C167="","",'الصرف المباشر'!C167)</f>
        <v/>
      </c>
      <c r="E667" s="24" t="str">
        <f>IF('الصرف المباشر'!C167="","",-'الصرف المباشر'!D167)</f>
        <v/>
      </c>
      <c r="F667" t="str">
        <f>IF('الصرف المباشر'!C167="","",IF('الصرف المباشر'!F167="","",'الصرف المباشر'!F167))</f>
        <v/>
      </c>
      <c r="G667" t="str">
        <f>IF($B667&lt;&gt;"",SUMPRODUCT(($B$2:$B667&lt;&gt;"")*1),"")</f>
        <v/>
      </c>
    </row>
    <row r="668" spans="1:7">
      <c r="A668" s="23" t="str">
        <f>IF('الصرف المباشر'!C168="","",'الصرف المباشر'!B168)</f>
        <v/>
      </c>
      <c r="B668" t="str">
        <f>IF('الصرف المباشر'!C168="","","صرف مباشر")</f>
        <v/>
      </c>
      <c r="C668" t="str">
        <f>IF('الصرف المباشر'!C168="","",IF('الصرف المباشر'!E168="","-",'الصرف المباشر'!E168))</f>
        <v/>
      </c>
      <c r="D668" t="str">
        <f>IF('الصرف المباشر'!C168="","",'الصرف المباشر'!C168)</f>
        <v/>
      </c>
      <c r="E668" s="24" t="str">
        <f>IF('الصرف المباشر'!C168="","",-'الصرف المباشر'!D168)</f>
        <v/>
      </c>
      <c r="F668" t="str">
        <f>IF('الصرف المباشر'!C168="","",IF('الصرف المباشر'!F168="","",'الصرف المباشر'!F168))</f>
        <v/>
      </c>
      <c r="G668" t="str">
        <f>IF($B668&lt;&gt;"",SUMPRODUCT(($B$2:$B668&lt;&gt;"")*1),"")</f>
        <v/>
      </c>
    </row>
    <row r="669" spans="1:7">
      <c r="A669" s="23" t="str">
        <f>IF('الصرف المباشر'!C169="","",'الصرف المباشر'!B169)</f>
        <v/>
      </c>
      <c r="B669" t="str">
        <f>IF('الصرف المباشر'!C169="","","صرف مباشر")</f>
        <v/>
      </c>
      <c r="C669" t="str">
        <f>IF('الصرف المباشر'!C169="","",IF('الصرف المباشر'!E169="","-",'الصرف المباشر'!E169))</f>
        <v/>
      </c>
      <c r="D669" t="str">
        <f>IF('الصرف المباشر'!C169="","",'الصرف المباشر'!C169)</f>
        <v/>
      </c>
      <c r="E669" s="24" t="str">
        <f>IF('الصرف المباشر'!C169="","",-'الصرف المباشر'!D169)</f>
        <v/>
      </c>
      <c r="F669" t="str">
        <f>IF('الصرف المباشر'!C169="","",IF('الصرف المباشر'!F169="","",'الصرف المباشر'!F169))</f>
        <v/>
      </c>
      <c r="G669" t="str">
        <f>IF($B669&lt;&gt;"",SUMPRODUCT(($B$2:$B669&lt;&gt;"")*1),"")</f>
        <v/>
      </c>
    </row>
    <row r="670" spans="1:7">
      <c r="A670" s="23" t="str">
        <f>IF('الصرف المباشر'!C170="","",'الصرف المباشر'!B170)</f>
        <v/>
      </c>
      <c r="B670" t="str">
        <f>IF('الصرف المباشر'!C170="","","صرف مباشر")</f>
        <v/>
      </c>
      <c r="C670" t="str">
        <f>IF('الصرف المباشر'!C170="","",IF('الصرف المباشر'!E170="","-",'الصرف المباشر'!E170))</f>
        <v/>
      </c>
      <c r="D670" t="str">
        <f>IF('الصرف المباشر'!C170="","",'الصرف المباشر'!C170)</f>
        <v/>
      </c>
      <c r="E670" s="24" t="str">
        <f>IF('الصرف المباشر'!C170="","",-'الصرف المباشر'!D170)</f>
        <v/>
      </c>
      <c r="F670" t="str">
        <f>IF('الصرف المباشر'!C170="","",IF('الصرف المباشر'!F170="","",'الصرف المباشر'!F170))</f>
        <v/>
      </c>
      <c r="G670" t="str">
        <f>IF($B670&lt;&gt;"",SUMPRODUCT(($B$2:$B670&lt;&gt;"")*1),"")</f>
        <v/>
      </c>
    </row>
    <row r="671" spans="1:7">
      <c r="A671" s="23" t="str">
        <f>IF('الصرف المباشر'!C171="","",'الصرف المباشر'!B171)</f>
        <v/>
      </c>
      <c r="B671" t="str">
        <f>IF('الصرف المباشر'!C171="","","صرف مباشر")</f>
        <v/>
      </c>
      <c r="C671" t="str">
        <f>IF('الصرف المباشر'!C171="","",IF('الصرف المباشر'!E171="","-",'الصرف المباشر'!E171))</f>
        <v/>
      </c>
      <c r="D671" t="str">
        <f>IF('الصرف المباشر'!C171="","",'الصرف المباشر'!C171)</f>
        <v/>
      </c>
      <c r="E671" s="24" t="str">
        <f>IF('الصرف المباشر'!C171="","",-'الصرف المباشر'!D171)</f>
        <v/>
      </c>
      <c r="F671" t="str">
        <f>IF('الصرف المباشر'!C171="","",IF('الصرف المباشر'!F171="","",'الصرف المباشر'!F171))</f>
        <v/>
      </c>
      <c r="G671" t="str">
        <f>IF($B671&lt;&gt;"",SUMPRODUCT(($B$2:$B671&lt;&gt;"")*1),"")</f>
        <v/>
      </c>
    </row>
    <row r="672" spans="1:7">
      <c r="A672" s="23" t="str">
        <f>IF('الصرف المباشر'!C172="","",'الصرف المباشر'!B172)</f>
        <v/>
      </c>
      <c r="B672" t="str">
        <f>IF('الصرف المباشر'!C172="","","صرف مباشر")</f>
        <v/>
      </c>
      <c r="C672" t="str">
        <f>IF('الصرف المباشر'!C172="","",IF('الصرف المباشر'!E172="","-",'الصرف المباشر'!E172))</f>
        <v/>
      </c>
      <c r="D672" t="str">
        <f>IF('الصرف المباشر'!C172="","",'الصرف المباشر'!C172)</f>
        <v/>
      </c>
      <c r="E672" s="24" t="str">
        <f>IF('الصرف المباشر'!C172="","",-'الصرف المباشر'!D172)</f>
        <v/>
      </c>
      <c r="F672" t="str">
        <f>IF('الصرف المباشر'!C172="","",IF('الصرف المباشر'!F172="","",'الصرف المباشر'!F172))</f>
        <v/>
      </c>
      <c r="G672" t="str">
        <f>IF($B672&lt;&gt;"",SUMPRODUCT(($B$2:$B672&lt;&gt;"")*1),"")</f>
        <v/>
      </c>
    </row>
    <row r="673" spans="1:7">
      <c r="A673" s="23" t="str">
        <f>IF('الصرف المباشر'!C173="","",'الصرف المباشر'!B173)</f>
        <v/>
      </c>
      <c r="B673" t="str">
        <f>IF('الصرف المباشر'!C173="","","صرف مباشر")</f>
        <v/>
      </c>
      <c r="C673" t="str">
        <f>IF('الصرف المباشر'!C173="","",IF('الصرف المباشر'!E173="","-",'الصرف المباشر'!E173))</f>
        <v/>
      </c>
      <c r="D673" t="str">
        <f>IF('الصرف المباشر'!C173="","",'الصرف المباشر'!C173)</f>
        <v/>
      </c>
      <c r="E673" s="24" t="str">
        <f>IF('الصرف المباشر'!C173="","",-'الصرف المباشر'!D173)</f>
        <v/>
      </c>
      <c r="F673" t="str">
        <f>IF('الصرف المباشر'!C173="","",IF('الصرف المباشر'!F173="","",'الصرف المباشر'!F173))</f>
        <v/>
      </c>
      <c r="G673" t="str">
        <f>IF($B673&lt;&gt;"",SUMPRODUCT(($B$2:$B673&lt;&gt;"")*1),"")</f>
        <v/>
      </c>
    </row>
    <row r="674" spans="1:7">
      <c r="A674" s="23" t="str">
        <f>IF('الصرف المباشر'!C174="","",'الصرف المباشر'!B174)</f>
        <v/>
      </c>
      <c r="B674" t="str">
        <f>IF('الصرف المباشر'!C174="","","صرف مباشر")</f>
        <v/>
      </c>
      <c r="C674" t="str">
        <f>IF('الصرف المباشر'!C174="","",IF('الصرف المباشر'!E174="","-",'الصرف المباشر'!E174))</f>
        <v/>
      </c>
      <c r="D674" t="str">
        <f>IF('الصرف المباشر'!C174="","",'الصرف المباشر'!C174)</f>
        <v/>
      </c>
      <c r="E674" s="24" t="str">
        <f>IF('الصرف المباشر'!C174="","",-'الصرف المباشر'!D174)</f>
        <v/>
      </c>
      <c r="F674" t="str">
        <f>IF('الصرف المباشر'!C174="","",IF('الصرف المباشر'!F174="","",'الصرف المباشر'!F174))</f>
        <v/>
      </c>
      <c r="G674" t="str">
        <f>IF($B674&lt;&gt;"",SUMPRODUCT(($B$2:$B674&lt;&gt;"")*1),"")</f>
        <v/>
      </c>
    </row>
    <row r="675" spans="1:7">
      <c r="A675" s="23" t="str">
        <f>IF('الصرف المباشر'!C175="","",'الصرف المباشر'!B175)</f>
        <v/>
      </c>
      <c r="B675" t="str">
        <f>IF('الصرف المباشر'!C175="","","صرف مباشر")</f>
        <v/>
      </c>
      <c r="C675" t="str">
        <f>IF('الصرف المباشر'!C175="","",IF('الصرف المباشر'!E175="","-",'الصرف المباشر'!E175))</f>
        <v/>
      </c>
      <c r="D675" t="str">
        <f>IF('الصرف المباشر'!C175="","",'الصرف المباشر'!C175)</f>
        <v/>
      </c>
      <c r="E675" s="24" t="str">
        <f>IF('الصرف المباشر'!C175="","",-'الصرف المباشر'!D175)</f>
        <v/>
      </c>
      <c r="F675" t="str">
        <f>IF('الصرف المباشر'!C175="","",IF('الصرف المباشر'!F175="","",'الصرف المباشر'!F175))</f>
        <v/>
      </c>
      <c r="G675" t="str">
        <f>IF($B675&lt;&gt;"",SUMPRODUCT(($B$2:$B675&lt;&gt;"")*1),"")</f>
        <v/>
      </c>
    </row>
    <row r="676" spans="1:7">
      <c r="A676" s="23" t="str">
        <f>IF('الصرف المباشر'!C176="","",'الصرف المباشر'!B176)</f>
        <v/>
      </c>
      <c r="B676" t="str">
        <f>IF('الصرف المباشر'!C176="","","صرف مباشر")</f>
        <v/>
      </c>
      <c r="C676" t="str">
        <f>IF('الصرف المباشر'!C176="","",IF('الصرف المباشر'!E176="","-",'الصرف المباشر'!E176))</f>
        <v/>
      </c>
      <c r="D676" t="str">
        <f>IF('الصرف المباشر'!C176="","",'الصرف المباشر'!C176)</f>
        <v/>
      </c>
      <c r="E676" s="24" t="str">
        <f>IF('الصرف المباشر'!C176="","",-'الصرف المباشر'!D176)</f>
        <v/>
      </c>
      <c r="F676" t="str">
        <f>IF('الصرف المباشر'!C176="","",IF('الصرف المباشر'!F176="","",'الصرف المباشر'!F176))</f>
        <v/>
      </c>
      <c r="G676" t="str">
        <f>IF($B676&lt;&gt;"",SUMPRODUCT(($B$2:$B676&lt;&gt;"")*1),"")</f>
        <v/>
      </c>
    </row>
    <row r="677" spans="1:7">
      <c r="A677" s="23" t="str">
        <f>IF('الصرف المباشر'!C177="","",'الصرف المباشر'!B177)</f>
        <v/>
      </c>
      <c r="B677" t="str">
        <f>IF('الصرف المباشر'!C177="","","صرف مباشر")</f>
        <v/>
      </c>
      <c r="C677" t="str">
        <f>IF('الصرف المباشر'!C177="","",IF('الصرف المباشر'!E177="","-",'الصرف المباشر'!E177))</f>
        <v/>
      </c>
      <c r="D677" t="str">
        <f>IF('الصرف المباشر'!C177="","",'الصرف المباشر'!C177)</f>
        <v/>
      </c>
      <c r="E677" s="24" t="str">
        <f>IF('الصرف المباشر'!C177="","",-'الصرف المباشر'!D177)</f>
        <v/>
      </c>
      <c r="F677" t="str">
        <f>IF('الصرف المباشر'!C177="","",IF('الصرف المباشر'!F177="","",'الصرف المباشر'!F177))</f>
        <v/>
      </c>
      <c r="G677" t="str">
        <f>IF($B677&lt;&gt;"",SUMPRODUCT(($B$2:$B677&lt;&gt;"")*1),"")</f>
        <v/>
      </c>
    </row>
    <row r="678" spans="1:7">
      <c r="A678" s="23" t="str">
        <f>IF('الصرف المباشر'!C178="","",'الصرف المباشر'!B178)</f>
        <v/>
      </c>
      <c r="B678" t="str">
        <f>IF('الصرف المباشر'!C178="","","صرف مباشر")</f>
        <v/>
      </c>
      <c r="C678" t="str">
        <f>IF('الصرف المباشر'!C178="","",IF('الصرف المباشر'!E178="","-",'الصرف المباشر'!E178))</f>
        <v/>
      </c>
      <c r="D678" t="str">
        <f>IF('الصرف المباشر'!C178="","",'الصرف المباشر'!C178)</f>
        <v/>
      </c>
      <c r="E678" s="24" t="str">
        <f>IF('الصرف المباشر'!C178="","",-'الصرف المباشر'!D178)</f>
        <v/>
      </c>
      <c r="F678" t="str">
        <f>IF('الصرف المباشر'!C178="","",IF('الصرف المباشر'!F178="","",'الصرف المباشر'!F178))</f>
        <v/>
      </c>
      <c r="G678" t="str">
        <f>IF($B678&lt;&gt;"",SUMPRODUCT(($B$2:$B678&lt;&gt;"")*1),"")</f>
        <v/>
      </c>
    </row>
    <row r="679" spans="1:7">
      <c r="A679" s="23" t="str">
        <f>IF('الصرف المباشر'!C179="","",'الصرف المباشر'!B179)</f>
        <v/>
      </c>
      <c r="B679" t="str">
        <f>IF('الصرف المباشر'!C179="","","صرف مباشر")</f>
        <v/>
      </c>
      <c r="C679" t="str">
        <f>IF('الصرف المباشر'!C179="","",IF('الصرف المباشر'!E179="","-",'الصرف المباشر'!E179))</f>
        <v/>
      </c>
      <c r="D679" t="str">
        <f>IF('الصرف المباشر'!C179="","",'الصرف المباشر'!C179)</f>
        <v/>
      </c>
      <c r="E679" s="24" t="str">
        <f>IF('الصرف المباشر'!C179="","",-'الصرف المباشر'!D179)</f>
        <v/>
      </c>
      <c r="F679" t="str">
        <f>IF('الصرف المباشر'!C179="","",IF('الصرف المباشر'!F179="","",'الصرف المباشر'!F179))</f>
        <v/>
      </c>
      <c r="G679" t="str">
        <f>IF($B679&lt;&gt;"",SUMPRODUCT(($B$2:$B679&lt;&gt;"")*1),"")</f>
        <v/>
      </c>
    </row>
    <row r="680" spans="1:7">
      <c r="A680" s="23" t="str">
        <f>IF('الصرف المباشر'!C180="","",'الصرف المباشر'!B180)</f>
        <v/>
      </c>
      <c r="B680" t="str">
        <f>IF('الصرف المباشر'!C180="","","صرف مباشر")</f>
        <v/>
      </c>
      <c r="C680" t="str">
        <f>IF('الصرف المباشر'!C180="","",IF('الصرف المباشر'!E180="","-",'الصرف المباشر'!E180))</f>
        <v/>
      </c>
      <c r="D680" t="str">
        <f>IF('الصرف المباشر'!C180="","",'الصرف المباشر'!C180)</f>
        <v/>
      </c>
      <c r="E680" s="24" t="str">
        <f>IF('الصرف المباشر'!C180="","",-'الصرف المباشر'!D180)</f>
        <v/>
      </c>
      <c r="F680" t="str">
        <f>IF('الصرف المباشر'!C180="","",IF('الصرف المباشر'!F180="","",'الصرف المباشر'!F180))</f>
        <v/>
      </c>
      <c r="G680" t="str">
        <f>IF($B680&lt;&gt;"",SUMPRODUCT(($B$2:$B680&lt;&gt;"")*1),"")</f>
        <v/>
      </c>
    </row>
    <row r="681" spans="1:7">
      <c r="A681" s="23" t="str">
        <f>IF('الصرف المباشر'!C181="","",'الصرف المباشر'!B181)</f>
        <v/>
      </c>
      <c r="B681" t="str">
        <f>IF('الصرف المباشر'!C181="","","صرف مباشر")</f>
        <v/>
      </c>
      <c r="C681" t="str">
        <f>IF('الصرف المباشر'!C181="","",IF('الصرف المباشر'!E181="","-",'الصرف المباشر'!E181))</f>
        <v/>
      </c>
      <c r="D681" t="str">
        <f>IF('الصرف المباشر'!C181="","",'الصرف المباشر'!C181)</f>
        <v/>
      </c>
      <c r="E681" s="24" t="str">
        <f>IF('الصرف المباشر'!C181="","",-'الصرف المباشر'!D181)</f>
        <v/>
      </c>
      <c r="F681" t="str">
        <f>IF('الصرف المباشر'!C181="","",IF('الصرف المباشر'!F181="","",'الصرف المباشر'!F181))</f>
        <v/>
      </c>
      <c r="G681" t="str">
        <f>IF($B681&lt;&gt;"",SUMPRODUCT(($B$2:$B681&lt;&gt;"")*1),"")</f>
        <v/>
      </c>
    </row>
    <row r="682" spans="1:7">
      <c r="A682" s="23" t="str">
        <f>IF('الصرف المباشر'!C182="","",'الصرف المباشر'!B182)</f>
        <v/>
      </c>
      <c r="B682" t="str">
        <f>IF('الصرف المباشر'!C182="","","صرف مباشر")</f>
        <v/>
      </c>
      <c r="C682" t="str">
        <f>IF('الصرف المباشر'!C182="","",IF('الصرف المباشر'!E182="","-",'الصرف المباشر'!E182))</f>
        <v/>
      </c>
      <c r="D682" t="str">
        <f>IF('الصرف المباشر'!C182="","",'الصرف المباشر'!C182)</f>
        <v/>
      </c>
      <c r="E682" s="24" t="str">
        <f>IF('الصرف المباشر'!C182="","",-'الصرف المباشر'!D182)</f>
        <v/>
      </c>
      <c r="F682" t="str">
        <f>IF('الصرف المباشر'!C182="","",IF('الصرف المباشر'!F182="","",'الصرف المباشر'!F182))</f>
        <v/>
      </c>
      <c r="G682" t="str">
        <f>IF($B682&lt;&gt;"",SUMPRODUCT(($B$2:$B682&lt;&gt;"")*1),"")</f>
        <v/>
      </c>
    </row>
    <row r="683" spans="1:7">
      <c r="A683" s="23" t="str">
        <f>IF('الصرف المباشر'!C183="","",'الصرف المباشر'!B183)</f>
        <v/>
      </c>
      <c r="B683" t="str">
        <f>IF('الصرف المباشر'!C183="","","صرف مباشر")</f>
        <v/>
      </c>
      <c r="C683" t="str">
        <f>IF('الصرف المباشر'!C183="","",IF('الصرف المباشر'!E183="","-",'الصرف المباشر'!E183))</f>
        <v/>
      </c>
      <c r="D683" t="str">
        <f>IF('الصرف المباشر'!C183="","",'الصرف المباشر'!C183)</f>
        <v/>
      </c>
      <c r="E683" s="24" t="str">
        <f>IF('الصرف المباشر'!C183="","",-'الصرف المباشر'!D183)</f>
        <v/>
      </c>
      <c r="F683" t="str">
        <f>IF('الصرف المباشر'!C183="","",IF('الصرف المباشر'!F183="","",'الصرف المباشر'!F183))</f>
        <v/>
      </c>
      <c r="G683" t="str">
        <f>IF($B683&lt;&gt;"",SUMPRODUCT(($B$2:$B683&lt;&gt;"")*1),"")</f>
        <v/>
      </c>
    </row>
    <row r="684" spans="1:7">
      <c r="A684" s="23" t="str">
        <f>IF('الصرف المباشر'!C184="","",'الصرف المباشر'!B184)</f>
        <v/>
      </c>
      <c r="B684" t="str">
        <f>IF('الصرف المباشر'!C184="","","صرف مباشر")</f>
        <v/>
      </c>
      <c r="C684" t="str">
        <f>IF('الصرف المباشر'!C184="","",IF('الصرف المباشر'!E184="","-",'الصرف المباشر'!E184))</f>
        <v/>
      </c>
      <c r="D684" t="str">
        <f>IF('الصرف المباشر'!C184="","",'الصرف المباشر'!C184)</f>
        <v/>
      </c>
      <c r="E684" s="24" t="str">
        <f>IF('الصرف المباشر'!C184="","",-'الصرف المباشر'!D184)</f>
        <v/>
      </c>
      <c r="F684" t="str">
        <f>IF('الصرف المباشر'!C184="","",IF('الصرف المباشر'!F184="","",'الصرف المباشر'!F184))</f>
        <v/>
      </c>
      <c r="G684" t="str">
        <f>IF($B684&lt;&gt;"",SUMPRODUCT(($B$2:$B684&lt;&gt;"")*1),"")</f>
        <v/>
      </c>
    </row>
    <row r="685" spans="1:7">
      <c r="A685" s="23" t="str">
        <f>IF('الصرف المباشر'!C185="","",'الصرف المباشر'!B185)</f>
        <v/>
      </c>
      <c r="B685" t="str">
        <f>IF('الصرف المباشر'!C185="","","صرف مباشر")</f>
        <v/>
      </c>
      <c r="C685" t="str">
        <f>IF('الصرف المباشر'!C185="","",IF('الصرف المباشر'!E185="","-",'الصرف المباشر'!E185))</f>
        <v/>
      </c>
      <c r="D685" t="str">
        <f>IF('الصرف المباشر'!C185="","",'الصرف المباشر'!C185)</f>
        <v/>
      </c>
      <c r="E685" s="24" t="str">
        <f>IF('الصرف المباشر'!C185="","",-'الصرف المباشر'!D185)</f>
        <v/>
      </c>
      <c r="F685" t="str">
        <f>IF('الصرف المباشر'!C185="","",IF('الصرف المباشر'!F185="","",'الصرف المباشر'!F185))</f>
        <v/>
      </c>
      <c r="G685" t="str">
        <f>IF($B685&lt;&gt;"",SUMPRODUCT(($B$2:$B685&lt;&gt;"")*1),"")</f>
        <v/>
      </c>
    </row>
    <row r="686" spans="1:7">
      <c r="A686" s="23" t="str">
        <f>IF('الصرف المباشر'!C186="","",'الصرف المباشر'!B186)</f>
        <v/>
      </c>
      <c r="B686" t="str">
        <f>IF('الصرف المباشر'!C186="","","صرف مباشر")</f>
        <v/>
      </c>
      <c r="C686" t="str">
        <f>IF('الصرف المباشر'!C186="","",IF('الصرف المباشر'!E186="","-",'الصرف المباشر'!E186))</f>
        <v/>
      </c>
      <c r="D686" t="str">
        <f>IF('الصرف المباشر'!C186="","",'الصرف المباشر'!C186)</f>
        <v/>
      </c>
      <c r="E686" s="24" t="str">
        <f>IF('الصرف المباشر'!C186="","",-'الصرف المباشر'!D186)</f>
        <v/>
      </c>
      <c r="F686" t="str">
        <f>IF('الصرف المباشر'!C186="","",IF('الصرف المباشر'!F186="","",'الصرف المباشر'!F186))</f>
        <v/>
      </c>
      <c r="G686" t="str">
        <f>IF($B686&lt;&gt;"",SUMPRODUCT(($B$2:$B686&lt;&gt;"")*1),"")</f>
        <v/>
      </c>
    </row>
    <row r="687" spans="1:7">
      <c r="A687" s="23" t="str">
        <f>IF('الصرف المباشر'!C187="","",'الصرف المباشر'!B187)</f>
        <v/>
      </c>
      <c r="B687" t="str">
        <f>IF('الصرف المباشر'!C187="","","صرف مباشر")</f>
        <v/>
      </c>
      <c r="C687" t="str">
        <f>IF('الصرف المباشر'!C187="","",IF('الصرف المباشر'!E187="","-",'الصرف المباشر'!E187))</f>
        <v/>
      </c>
      <c r="D687" t="str">
        <f>IF('الصرف المباشر'!C187="","",'الصرف المباشر'!C187)</f>
        <v/>
      </c>
      <c r="E687" s="24" t="str">
        <f>IF('الصرف المباشر'!C187="","",-'الصرف المباشر'!D187)</f>
        <v/>
      </c>
      <c r="F687" t="str">
        <f>IF('الصرف المباشر'!C187="","",IF('الصرف المباشر'!F187="","",'الصرف المباشر'!F187))</f>
        <v/>
      </c>
      <c r="G687" t="str">
        <f>IF($B687&lt;&gt;"",SUMPRODUCT(($B$2:$B687&lt;&gt;"")*1),"")</f>
        <v/>
      </c>
    </row>
    <row r="688" spans="1:7">
      <c r="A688" s="23" t="str">
        <f>IF('الصرف المباشر'!C188="","",'الصرف المباشر'!B188)</f>
        <v/>
      </c>
      <c r="B688" t="str">
        <f>IF('الصرف المباشر'!C188="","","صرف مباشر")</f>
        <v/>
      </c>
      <c r="C688" t="str">
        <f>IF('الصرف المباشر'!C188="","",IF('الصرف المباشر'!E188="","-",'الصرف المباشر'!E188))</f>
        <v/>
      </c>
      <c r="D688" t="str">
        <f>IF('الصرف المباشر'!C188="","",'الصرف المباشر'!C188)</f>
        <v/>
      </c>
      <c r="E688" s="24" t="str">
        <f>IF('الصرف المباشر'!C188="","",-'الصرف المباشر'!D188)</f>
        <v/>
      </c>
      <c r="F688" t="str">
        <f>IF('الصرف المباشر'!C188="","",IF('الصرف المباشر'!F188="","",'الصرف المباشر'!F188))</f>
        <v/>
      </c>
      <c r="G688" t="str">
        <f>IF($B688&lt;&gt;"",SUMPRODUCT(($B$2:$B688&lt;&gt;"")*1),"")</f>
        <v/>
      </c>
    </row>
    <row r="689" spans="1:7">
      <c r="A689" s="23" t="str">
        <f>IF('الصرف المباشر'!C189="","",'الصرف المباشر'!B189)</f>
        <v/>
      </c>
      <c r="B689" t="str">
        <f>IF('الصرف المباشر'!C189="","","صرف مباشر")</f>
        <v/>
      </c>
      <c r="C689" t="str">
        <f>IF('الصرف المباشر'!C189="","",IF('الصرف المباشر'!E189="","-",'الصرف المباشر'!E189))</f>
        <v/>
      </c>
      <c r="D689" t="str">
        <f>IF('الصرف المباشر'!C189="","",'الصرف المباشر'!C189)</f>
        <v/>
      </c>
      <c r="E689" s="24" t="str">
        <f>IF('الصرف المباشر'!C189="","",-'الصرف المباشر'!D189)</f>
        <v/>
      </c>
      <c r="F689" t="str">
        <f>IF('الصرف المباشر'!C189="","",IF('الصرف المباشر'!F189="","",'الصرف المباشر'!F189))</f>
        <v/>
      </c>
      <c r="G689" t="str">
        <f>IF($B689&lt;&gt;"",SUMPRODUCT(($B$2:$B689&lt;&gt;"")*1),"")</f>
        <v/>
      </c>
    </row>
    <row r="690" spans="1:7">
      <c r="A690" s="23" t="str">
        <f>IF('الصرف المباشر'!C190="","",'الصرف المباشر'!B190)</f>
        <v/>
      </c>
      <c r="B690" t="str">
        <f>IF('الصرف المباشر'!C190="","","صرف مباشر")</f>
        <v/>
      </c>
      <c r="C690" t="str">
        <f>IF('الصرف المباشر'!C190="","",IF('الصرف المباشر'!E190="","-",'الصرف المباشر'!E190))</f>
        <v/>
      </c>
      <c r="D690" t="str">
        <f>IF('الصرف المباشر'!C190="","",'الصرف المباشر'!C190)</f>
        <v/>
      </c>
      <c r="E690" s="24" t="str">
        <f>IF('الصرف المباشر'!C190="","",-'الصرف المباشر'!D190)</f>
        <v/>
      </c>
      <c r="F690" t="str">
        <f>IF('الصرف المباشر'!C190="","",IF('الصرف المباشر'!F190="","",'الصرف المباشر'!F190))</f>
        <v/>
      </c>
      <c r="G690" t="str">
        <f>IF($B690&lt;&gt;"",SUMPRODUCT(($B$2:$B690&lt;&gt;"")*1),"")</f>
        <v/>
      </c>
    </row>
    <row r="691" spans="1:7">
      <c r="A691" s="23" t="str">
        <f>IF('الصرف المباشر'!C191="","",'الصرف المباشر'!B191)</f>
        <v/>
      </c>
      <c r="B691" t="str">
        <f>IF('الصرف المباشر'!C191="","","صرف مباشر")</f>
        <v/>
      </c>
      <c r="C691" t="str">
        <f>IF('الصرف المباشر'!C191="","",IF('الصرف المباشر'!E191="","-",'الصرف المباشر'!E191))</f>
        <v/>
      </c>
      <c r="D691" t="str">
        <f>IF('الصرف المباشر'!C191="","",'الصرف المباشر'!C191)</f>
        <v/>
      </c>
      <c r="E691" s="24" t="str">
        <f>IF('الصرف المباشر'!C191="","",-'الصرف المباشر'!D191)</f>
        <v/>
      </c>
      <c r="F691" t="str">
        <f>IF('الصرف المباشر'!C191="","",IF('الصرف المباشر'!F191="","",'الصرف المباشر'!F191))</f>
        <v/>
      </c>
      <c r="G691" t="str">
        <f>IF($B691&lt;&gt;"",SUMPRODUCT(($B$2:$B691&lt;&gt;"")*1),"")</f>
        <v/>
      </c>
    </row>
    <row r="692" spans="1:7">
      <c r="A692" s="23" t="str">
        <f>IF('الصرف المباشر'!C192="","",'الصرف المباشر'!B192)</f>
        <v/>
      </c>
      <c r="B692" t="str">
        <f>IF('الصرف المباشر'!C192="","","صرف مباشر")</f>
        <v/>
      </c>
      <c r="C692" t="str">
        <f>IF('الصرف المباشر'!C192="","",IF('الصرف المباشر'!E192="","-",'الصرف المباشر'!E192))</f>
        <v/>
      </c>
      <c r="D692" t="str">
        <f>IF('الصرف المباشر'!C192="","",'الصرف المباشر'!C192)</f>
        <v/>
      </c>
      <c r="E692" s="24" t="str">
        <f>IF('الصرف المباشر'!C192="","",-'الصرف المباشر'!D192)</f>
        <v/>
      </c>
      <c r="F692" t="str">
        <f>IF('الصرف المباشر'!C192="","",IF('الصرف المباشر'!F192="","",'الصرف المباشر'!F192))</f>
        <v/>
      </c>
      <c r="G692" t="str">
        <f>IF($B692&lt;&gt;"",SUMPRODUCT(($B$2:$B692&lt;&gt;"")*1),"")</f>
        <v/>
      </c>
    </row>
    <row r="693" spans="1:7">
      <c r="A693" s="23" t="str">
        <f>IF('الصرف المباشر'!C193="","",'الصرف المباشر'!B193)</f>
        <v/>
      </c>
      <c r="B693" t="str">
        <f>IF('الصرف المباشر'!C193="","","صرف مباشر")</f>
        <v/>
      </c>
      <c r="C693" t="str">
        <f>IF('الصرف المباشر'!C193="","",IF('الصرف المباشر'!E193="","-",'الصرف المباشر'!E193))</f>
        <v/>
      </c>
      <c r="D693" t="str">
        <f>IF('الصرف المباشر'!C193="","",'الصرف المباشر'!C193)</f>
        <v/>
      </c>
      <c r="E693" s="24" t="str">
        <f>IF('الصرف المباشر'!C193="","",-'الصرف المباشر'!D193)</f>
        <v/>
      </c>
      <c r="F693" t="str">
        <f>IF('الصرف المباشر'!C193="","",IF('الصرف المباشر'!F193="","",'الصرف المباشر'!F193))</f>
        <v/>
      </c>
      <c r="G693" t="str">
        <f>IF($B693&lt;&gt;"",SUMPRODUCT(($B$2:$B693&lt;&gt;"")*1),"")</f>
        <v/>
      </c>
    </row>
    <row r="694" spans="1:7">
      <c r="A694" s="23" t="str">
        <f>IF('الصرف المباشر'!C194="","",'الصرف المباشر'!B194)</f>
        <v/>
      </c>
      <c r="B694" t="str">
        <f>IF('الصرف المباشر'!C194="","","صرف مباشر")</f>
        <v/>
      </c>
      <c r="C694" t="str">
        <f>IF('الصرف المباشر'!C194="","",IF('الصرف المباشر'!E194="","-",'الصرف المباشر'!E194))</f>
        <v/>
      </c>
      <c r="D694" t="str">
        <f>IF('الصرف المباشر'!C194="","",'الصرف المباشر'!C194)</f>
        <v/>
      </c>
      <c r="E694" s="24" t="str">
        <f>IF('الصرف المباشر'!C194="","",-'الصرف المباشر'!D194)</f>
        <v/>
      </c>
      <c r="F694" t="str">
        <f>IF('الصرف المباشر'!C194="","",IF('الصرف المباشر'!F194="","",'الصرف المباشر'!F194))</f>
        <v/>
      </c>
      <c r="G694" t="str">
        <f>IF($B694&lt;&gt;"",SUMPRODUCT(($B$2:$B694&lt;&gt;"")*1),"")</f>
        <v/>
      </c>
    </row>
    <row r="695" spans="1:7">
      <c r="A695" s="23" t="str">
        <f>IF('الصرف المباشر'!C195="","",'الصرف المباشر'!B195)</f>
        <v/>
      </c>
      <c r="B695" t="str">
        <f>IF('الصرف المباشر'!C195="","","صرف مباشر")</f>
        <v/>
      </c>
      <c r="C695" t="str">
        <f>IF('الصرف المباشر'!C195="","",IF('الصرف المباشر'!E195="","-",'الصرف المباشر'!E195))</f>
        <v/>
      </c>
      <c r="D695" t="str">
        <f>IF('الصرف المباشر'!C195="","",'الصرف المباشر'!C195)</f>
        <v/>
      </c>
      <c r="E695" s="24" t="str">
        <f>IF('الصرف المباشر'!C195="","",-'الصرف المباشر'!D195)</f>
        <v/>
      </c>
      <c r="F695" t="str">
        <f>IF('الصرف المباشر'!C195="","",IF('الصرف المباشر'!F195="","",'الصرف المباشر'!F195))</f>
        <v/>
      </c>
      <c r="G695" t="str">
        <f>IF($B695&lt;&gt;"",SUMPRODUCT(($B$2:$B695&lt;&gt;"")*1),"")</f>
        <v/>
      </c>
    </row>
    <row r="696" spans="1:7">
      <c r="A696" s="23" t="str">
        <f>IF('الصرف المباشر'!C196="","",'الصرف المباشر'!B196)</f>
        <v/>
      </c>
      <c r="B696" t="str">
        <f>IF('الصرف المباشر'!C196="","","صرف مباشر")</f>
        <v/>
      </c>
      <c r="C696" t="str">
        <f>IF('الصرف المباشر'!C196="","",IF('الصرف المباشر'!E196="","-",'الصرف المباشر'!E196))</f>
        <v/>
      </c>
      <c r="D696" t="str">
        <f>IF('الصرف المباشر'!C196="","",'الصرف المباشر'!C196)</f>
        <v/>
      </c>
      <c r="E696" s="24" t="str">
        <f>IF('الصرف المباشر'!C196="","",-'الصرف المباشر'!D196)</f>
        <v/>
      </c>
      <c r="F696" t="str">
        <f>IF('الصرف المباشر'!C196="","",IF('الصرف المباشر'!F196="","",'الصرف المباشر'!F196))</f>
        <v/>
      </c>
      <c r="G696" t="str">
        <f>IF($B696&lt;&gt;"",SUMPRODUCT(($B$2:$B696&lt;&gt;"")*1),"")</f>
        <v/>
      </c>
    </row>
    <row r="697" spans="1:7">
      <c r="A697" s="23" t="str">
        <f>IF('الصرف المباشر'!C197="","",'الصرف المباشر'!B197)</f>
        <v/>
      </c>
      <c r="B697" t="str">
        <f>IF('الصرف المباشر'!C197="","","صرف مباشر")</f>
        <v/>
      </c>
      <c r="C697" t="str">
        <f>IF('الصرف المباشر'!C197="","",IF('الصرف المباشر'!E197="","-",'الصرف المباشر'!E197))</f>
        <v/>
      </c>
      <c r="D697" t="str">
        <f>IF('الصرف المباشر'!C197="","",'الصرف المباشر'!C197)</f>
        <v/>
      </c>
      <c r="E697" s="24" t="str">
        <f>IF('الصرف المباشر'!C197="","",-'الصرف المباشر'!D197)</f>
        <v/>
      </c>
      <c r="F697" t="str">
        <f>IF('الصرف المباشر'!C197="","",IF('الصرف المباشر'!F197="","",'الصرف المباشر'!F197))</f>
        <v/>
      </c>
      <c r="G697" t="str">
        <f>IF($B697&lt;&gt;"",SUMPRODUCT(($B$2:$B697&lt;&gt;"")*1),"")</f>
        <v/>
      </c>
    </row>
    <row r="698" spans="1:7">
      <c r="A698" s="23" t="str">
        <f>IF('الصرف المباشر'!C198="","",'الصرف المباشر'!B198)</f>
        <v/>
      </c>
      <c r="B698" t="str">
        <f>IF('الصرف المباشر'!C198="","","صرف مباشر")</f>
        <v/>
      </c>
      <c r="C698" t="str">
        <f>IF('الصرف المباشر'!C198="","",IF('الصرف المباشر'!E198="","-",'الصرف المباشر'!E198))</f>
        <v/>
      </c>
      <c r="D698" t="str">
        <f>IF('الصرف المباشر'!C198="","",'الصرف المباشر'!C198)</f>
        <v/>
      </c>
      <c r="E698" s="24" t="str">
        <f>IF('الصرف المباشر'!C198="","",-'الصرف المباشر'!D198)</f>
        <v/>
      </c>
      <c r="F698" t="str">
        <f>IF('الصرف المباشر'!C198="","",IF('الصرف المباشر'!F198="","",'الصرف المباشر'!F198))</f>
        <v/>
      </c>
      <c r="G698" t="str">
        <f>IF($B698&lt;&gt;"",SUMPRODUCT(($B$2:$B698&lt;&gt;"")*1),"")</f>
        <v/>
      </c>
    </row>
    <row r="699" spans="1:7">
      <c r="A699" s="23" t="str">
        <f>IF('الصرف المباشر'!C199="","",'الصرف المباشر'!B199)</f>
        <v/>
      </c>
      <c r="B699" t="str">
        <f>IF('الصرف المباشر'!C199="","","صرف مباشر")</f>
        <v/>
      </c>
      <c r="C699" t="str">
        <f>IF('الصرف المباشر'!C199="","",IF('الصرف المباشر'!E199="","-",'الصرف المباشر'!E199))</f>
        <v/>
      </c>
      <c r="D699" t="str">
        <f>IF('الصرف المباشر'!C199="","",'الصرف المباشر'!C199)</f>
        <v/>
      </c>
      <c r="E699" s="24" t="str">
        <f>IF('الصرف المباشر'!C199="","",-'الصرف المباشر'!D199)</f>
        <v/>
      </c>
      <c r="F699" t="str">
        <f>IF('الصرف المباشر'!C199="","",IF('الصرف المباشر'!F199="","",'الصرف المباشر'!F199))</f>
        <v/>
      </c>
      <c r="G699" t="str">
        <f>IF($B699&lt;&gt;"",SUMPRODUCT(($B$2:$B699&lt;&gt;"")*1),"")</f>
        <v/>
      </c>
    </row>
    <row r="700" spans="1:7">
      <c r="A700" s="23" t="str">
        <f>IF('الصرف المباشر'!C200="","",'الصرف المباشر'!B200)</f>
        <v/>
      </c>
      <c r="B700" t="str">
        <f>IF('الصرف المباشر'!C200="","","صرف مباشر")</f>
        <v/>
      </c>
      <c r="C700" t="str">
        <f>IF('الصرف المباشر'!C200="","",IF('الصرف المباشر'!E200="","-",'الصرف المباشر'!E200))</f>
        <v/>
      </c>
      <c r="D700" t="str">
        <f>IF('الصرف المباشر'!C200="","",'الصرف المباشر'!C200)</f>
        <v/>
      </c>
      <c r="E700" s="24" t="str">
        <f>IF('الصرف المباشر'!C200="","",-'الصرف المباشر'!D200)</f>
        <v/>
      </c>
      <c r="F700" t="str">
        <f>IF('الصرف المباشر'!C200="","",IF('الصرف المباشر'!F200="","",'الصرف المباشر'!F200))</f>
        <v/>
      </c>
      <c r="G700" t="str">
        <f>IF($B700&lt;&gt;"",SUMPRODUCT(($B$2:$B700&lt;&gt;"")*1),"")</f>
        <v/>
      </c>
    </row>
    <row r="701" spans="1:7">
      <c r="A701" s="23" t="str">
        <f>IF('الصرف المباشر'!C201="","",'الصرف المباشر'!B201)</f>
        <v/>
      </c>
      <c r="B701" t="str">
        <f>IF('الصرف المباشر'!C201="","","صرف مباشر")</f>
        <v/>
      </c>
      <c r="C701" t="str">
        <f>IF('الصرف المباشر'!C201="","",IF('الصرف المباشر'!E201="","-",'الصرف المباشر'!E201))</f>
        <v/>
      </c>
      <c r="D701" t="str">
        <f>IF('الصرف المباشر'!C201="","",'الصرف المباشر'!C201)</f>
        <v/>
      </c>
      <c r="E701" s="24" t="str">
        <f>IF('الصرف المباشر'!C201="","",-'الصرف المباشر'!D201)</f>
        <v/>
      </c>
      <c r="F701" t="str">
        <f>IF('الصرف المباشر'!C201="","",IF('الصرف المباشر'!F201="","",'الصرف المباشر'!F201))</f>
        <v/>
      </c>
      <c r="G701" t="str">
        <f>IF($B701&lt;&gt;"",SUMPRODUCT(($B$2:$B701&lt;&gt;"")*1),"")</f>
        <v/>
      </c>
    </row>
    <row r="702" spans="1:7">
      <c r="A702" s="23" t="str">
        <f>IF('الصرف المباشر'!C202="","",'الصرف المباشر'!B202)</f>
        <v/>
      </c>
      <c r="B702" t="str">
        <f>IF('الصرف المباشر'!C202="","","صرف مباشر")</f>
        <v/>
      </c>
      <c r="C702" t="str">
        <f>IF('الصرف المباشر'!C202="","",IF('الصرف المباشر'!E202="","-",'الصرف المباشر'!E202))</f>
        <v/>
      </c>
      <c r="D702" t="str">
        <f>IF('الصرف المباشر'!C202="","",'الصرف المباشر'!C202)</f>
        <v/>
      </c>
      <c r="E702" s="24" t="str">
        <f>IF('الصرف المباشر'!C202="","",-'الصرف المباشر'!D202)</f>
        <v/>
      </c>
      <c r="F702" t="str">
        <f>IF('الصرف المباشر'!C202="","",IF('الصرف المباشر'!F202="","",'الصرف المباشر'!F202))</f>
        <v/>
      </c>
      <c r="G702" t="str">
        <f>IF($B702&lt;&gt;"",SUMPRODUCT(($B$2:$B702&lt;&gt;"")*1),"")</f>
        <v/>
      </c>
    </row>
    <row r="703" spans="1:7">
      <c r="A703" s="23" t="str">
        <f>IF('الصرف المباشر'!C203="","",'الصرف المباشر'!B203)</f>
        <v/>
      </c>
      <c r="B703" t="str">
        <f>IF('الصرف المباشر'!C203="","","صرف مباشر")</f>
        <v/>
      </c>
      <c r="C703" t="str">
        <f>IF('الصرف المباشر'!C203="","",IF('الصرف المباشر'!E203="","-",'الصرف المباشر'!E203))</f>
        <v/>
      </c>
      <c r="D703" t="str">
        <f>IF('الصرف المباشر'!C203="","",'الصرف المباشر'!C203)</f>
        <v/>
      </c>
      <c r="E703" s="24" t="str">
        <f>IF('الصرف المباشر'!C203="","",-'الصرف المباشر'!D203)</f>
        <v/>
      </c>
      <c r="F703" t="str">
        <f>IF('الصرف المباشر'!C203="","",IF('الصرف المباشر'!F203="","",'الصرف المباشر'!F203))</f>
        <v/>
      </c>
      <c r="G703" t="str">
        <f>IF($B703&lt;&gt;"",SUMPRODUCT(($B$2:$B703&lt;&gt;"")*1),"")</f>
        <v/>
      </c>
    </row>
    <row r="704" spans="1:7">
      <c r="A704" s="23" t="str">
        <f>IF('الصرف المباشر'!C204="","",'الصرف المباشر'!B204)</f>
        <v/>
      </c>
      <c r="B704" t="str">
        <f>IF('الصرف المباشر'!C204="","","صرف مباشر")</f>
        <v/>
      </c>
      <c r="C704" t="str">
        <f>IF('الصرف المباشر'!C204="","",IF('الصرف المباشر'!E204="","-",'الصرف المباشر'!E204))</f>
        <v/>
      </c>
      <c r="D704" t="str">
        <f>IF('الصرف المباشر'!C204="","",'الصرف المباشر'!C204)</f>
        <v/>
      </c>
      <c r="E704" s="24" t="str">
        <f>IF('الصرف المباشر'!C204="","",-'الصرف المباشر'!D204)</f>
        <v/>
      </c>
      <c r="F704" t="str">
        <f>IF('الصرف المباشر'!C204="","",IF('الصرف المباشر'!F204="","",'الصرف المباشر'!F204))</f>
        <v/>
      </c>
      <c r="G704" t="str">
        <f>IF($B704&lt;&gt;"",SUMPRODUCT(($B$2:$B704&lt;&gt;"")*1),"")</f>
        <v/>
      </c>
    </row>
    <row r="705" spans="1:7">
      <c r="A705" s="23" t="str">
        <f>IF('الصرف المباشر'!C205="","",'الصرف المباشر'!B205)</f>
        <v/>
      </c>
      <c r="B705" t="str">
        <f>IF('الصرف المباشر'!C205="","","صرف مباشر")</f>
        <v/>
      </c>
      <c r="C705" t="str">
        <f>IF('الصرف المباشر'!C205="","",IF('الصرف المباشر'!E205="","-",'الصرف المباشر'!E205))</f>
        <v/>
      </c>
      <c r="D705" t="str">
        <f>IF('الصرف المباشر'!C205="","",'الصرف المباشر'!C205)</f>
        <v/>
      </c>
      <c r="E705" s="24" t="str">
        <f>IF('الصرف المباشر'!C205="","",-'الصرف المباشر'!D205)</f>
        <v/>
      </c>
      <c r="F705" t="str">
        <f>IF('الصرف المباشر'!C205="","",IF('الصرف المباشر'!F205="","",'الصرف المباشر'!F205))</f>
        <v/>
      </c>
      <c r="G705" t="str">
        <f>IF($B705&lt;&gt;"",SUMPRODUCT(($B$2:$B705&lt;&gt;"")*1),"")</f>
        <v/>
      </c>
    </row>
    <row r="706" spans="1:7">
      <c r="A706" s="23" t="str">
        <f>IF('الصرف المباشر'!C206="","",'الصرف المباشر'!B206)</f>
        <v/>
      </c>
      <c r="B706" t="str">
        <f>IF('الصرف المباشر'!C206="","","صرف مباشر")</f>
        <v/>
      </c>
      <c r="C706" t="str">
        <f>IF('الصرف المباشر'!C206="","",IF('الصرف المباشر'!E206="","-",'الصرف المباشر'!E206))</f>
        <v/>
      </c>
      <c r="D706" t="str">
        <f>IF('الصرف المباشر'!C206="","",'الصرف المباشر'!C206)</f>
        <v/>
      </c>
      <c r="E706" s="24" t="str">
        <f>IF('الصرف المباشر'!C206="","",-'الصرف المباشر'!D206)</f>
        <v/>
      </c>
      <c r="F706" t="str">
        <f>IF('الصرف المباشر'!C206="","",IF('الصرف المباشر'!F206="","",'الصرف المباشر'!F206))</f>
        <v/>
      </c>
      <c r="G706" t="str">
        <f>IF($B706&lt;&gt;"",SUMPRODUCT(($B$2:$B706&lt;&gt;"")*1),"")</f>
        <v/>
      </c>
    </row>
    <row r="707" spans="1:7">
      <c r="A707" s="23" t="str">
        <f>IF('الصرف المباشر'!C207="","",'الصرف المباشر'!B207)</f>
        <v/>
      </c>
      <c r="B707" t="str">
        <f>IF('الصرف المباشر'!C207="","","صرف مباشر")</f>
        <v/>
      </c>
      <c r="C707" t="str">
        <f>IF('الصرف المباشر'!C207="","",IF('الصرف المباشر'!E207="","-",'الصرف المباشر'!E207))</f>
        <v/>
      </c>
      <c r="D707" t="str">
        <f>IF('الصرف المباشر'!C207="","",'الصرف المباشر'!C207)</f>
        <v/>
      </c>
      <c r="E707" s="24" t="str">
        <f>IF('الصرف المباشر'!C207="","",-'الصرف المباشر'!D207)</f>
        <v/>
      </c>
      <c r="F707" t="str">
        <f>IF('الصرف المباشر'!C207="","",IF('الصرف المباشر'!F207="","",'الصرف المباشر'!F207))</f>
        <v/>
      </c>
      <c r="G707" t="str">
        <f>IF($B707&lt;&gt;"",SUMPRODUCT(($B$2:$B707&lt;&gt;"")*1),"")</f>
        <v/>
      </c>
    </row>
    <row r="708" spans="1:7">
      <c r="A708" s="23" t="str">
        <f>IF('الصرف المباشر'!C208="","",'الصرف المباشر'!B208)</f>
        <v/>
      </c>
      <c r="B708" t="str">
        <f>IF('الصرف المباشر'!C208="","","صرف مباشر")</f>
        <v/>
      </c>
      <c r="C708" t="str">
        <f>IF('الصرف المباشر'!C208="","",IF('الصرف المباشر'!E208="","-",'الصرف المباشر'!E208))</f>
        <v/>
      </c>
      <c r="D708" t="str">
        <f>IF('الصرف المباشر'!C208="","",'الصرف المباشر'!C208)</f>
        <v/>
      </c>
      <c r="E708" s="24" t="str">
        <f>IF('الصرف المباشر'!C208="","",-'الصرف المباشر'!D208)</f>
        <v/>
      </c>
      <c r="F708" t="str">
        <f>IF('الصرف المباشر'!C208="","",IF('الصرف المباشر'!F208="","",'الصرف المباشر'!F208))</f>
        <v/>
      </c>
      <c r="G708" t="str">
        <f>IF($B708&lt;&gt;"",SUMPRODUCT(($B$2:$B708&lt;&gt;"")*1),"")</f>
        <v/>
      </c>
    </row>
    <row r="709" spans="1:7">
      <c r="A709" s="23" t="str">
        <f>IF('الصرف المباشر'!C209="","",'الصرف المباشر'!B209)</f>
        <v/>
      </c>
      <c r="B709" t="str">
        <f>IF('الصرف المباشر'!C209="","","صرف مباشر")</f>
        <v/>
      </c>
      <c r="C709" t="str">
        <f>IF('الصرف المباشر'!C209="","",IF('الصرف المباشر'!E209="","-",'الصرف المباشر'!E209))</f>
        <v/>
      </c>
      <c r="D709" t="str">
        <f>IF('الصرف المباشر'!C209="","",'الصرف المباشر'!C209)</f>
        <v/>
      </c>
      <c r="E709" s="24" t="str">
        <f>IF('الصرف المباشر'!C209="","",-'الصرف المباشر'!D209)</f>
        <v/>
      </c>
      <c r="F709" t="str">
        <f>IF('الصرف المباشر'!C209="","",IF('الصرف المباشر'!F209="","",'الصرف المباشر'!F209))</f>
        <v/>
      </c>
      <c r="G709" t="str">
        <f>IF($B709&lt;&gt;"",SUMPRODUCT(($B$2:$B709&lt;&gt;"")*1),"")</f>
        <v/>
      </c>
    </row>
    <row r="710" spans="1:7">
      <c r="A710" s="23" t="str">
        <f>IF('الصرف المباشر'!C210="","",'الصرف المباشر'!B210)</f>
        <v/>
      </c>
      <c r="B710" t="str">
        <f>IF('الصرف المباشر'!C210="","","صرف مباشر")</f>
        <v/>
      </c>
      <c r="C710" t="str">
        <f>IF('الصرف المباشر'!C210="","",IF('الصرف المباشر'!E210="","-",'الصرف المباشر'!E210))</f>
        <v/>
      </c>
      <c r="D710" t="str">
        <f>IF('الصرف المباشر'!C210="","",'الصرف المباشر'!C210)</f>
        <v/>
      </c>
      <c r="E710" s="24" t="str">
        <f>IF('الصرف المباشر'!C210="","",-'الصرف المباشر'!D210)</f>
        <v/>
      </c>
      <c r="F710" t="str">
        <f>IF('الصرف المباشر'!C210="","",IF('الصرف المباشر'!F210="","",'الصرف المباشر'!F210))</f>
        <v/>
      </c>
      <c r="G710" t="str">
        <f>IF($B710&lt;&gt;"",SUMPRODUCT(($B$2:$B710&lt;&gt;"")*1),"")</f>
        <v/>
      </c>
    </row>
    <row r="711" spans="1:7">
      <c r="A711" s="23" t="str">
        <f>IF('الصرف المباشر'!C211="","",'الصرف المباشر'!B211)</f>
        <v/>
      </c>
      <c r="B711" t="str">
        <f>IF('الصرف المباشر'!C211="","","صرف مباشر")</f>
        <v/>
      </c>
      <c r="C711" t="str">
        <f>IF('الصرف المباشر'!C211="","",IF('الصرف المباشر'!E211="","-",'الصرف المباشر'!E211))</f>
        <v/>
      </c>
      <c r="D711" t="str">
        <f>IF('الصرف المباشر'!C211="","",'الصرف المباشر'!C211)</f>
        <v/>
      </c>
      <c r="E711" s="24" t="str">
        <f>IF('الصرف المباشر'!C211="","",-'الصرف المباشر'!D211)</f>
        <v/>
      </c>
      <c r="F711" t="str">
        <f>IF('الصرف المباشر'!C211="","",IF('الصرف المباشر'!F211="","",'الصرف المباشر'!F211))</f>
        <v/>
      </c>
      <c r="G711" t="str">
        <f>IF($B711&lt;&gt;"",SUMPRODUCT(($B$2:$B711&lt;&gt;"")*1),"")</f>
        <v/>
      </c>
    </row>
    <row r="712" spans="1:7">
      <c r="A712" s="23" t="str">
        <f>IF('الصرف المباشر'!C212="","",'الصرف المباشر'!B212)</f>
        <v/>
      </c>
      <c r="B712" t="str">
        <f>IF('الصرف المباشر'!C212="","","صرف مباشر")</f>
        <v/>
      </c>
      <c r="C712" t="str">
        <f>IF('الصرف المباشر'!C212="","",IF('الصرف المباشر'!E212="","-",'الصرف المباشر'!E212))</f>
        <v/>
      </c>
      <c r="D712" t="str">
        <f>IF('الصرف المباشر'!C212="","",'الصرف المباشر'!C212)</f>
        <v/>
      </c>
      <c r="E712" s="24" t="str">
        <f>IF('الصرف المباشر'!C212="","",-'الصرف المباشر'!D212)</f>
        <v/>
      </c>
      <c r="F712" t="str">
        <f>IF('الصرف المباشر'!C212="","",IF('الصرف المباشر'!F212="","",'الصرف المباشر'!F212))</f>
        <v/>
      </c>
      <c r="G712" t="str">
        <f>IF($B712&lt;&gt;"",SUMPRODUCT(($B$2:$B712&lt;&gt;"")*1),"")</f>
        <v/>
      </c>
    </row>
    <row r="713" spans="1:7">
      <c r="A713" s="23" t="str">
        <f>IF('الصرف المباشر'!C213="","",'الصرف المباشر'!B213)</f>
        <v/>
      </c>
      <c r="B713" t="str">
        <f>IF('الصرف المباشر'!C213="","","صرف مباشر")</f>
        <v/>
      </c>
      <c r="C713" t="str">
        <f>IF('الصرف المباشر'!C213="","",IF('الصرف المباشر'!E213="","-",'الصرف المباشر'!E213))</f>
        <v/>
      </c>
      <c r="D713" t="str">
        <f>IF('الصرف المباشر'!C213="","",'الصرف المباشر'!C213)</f>
        <v/>
      </c>
      <c r="E713" s="24" t="str">
        <f>IF('الصرف المباشر'!C213="","",-'الصرف المباشر'!D213)</f>
        <v/>
      </c>
      <c r="F713" t="str">
        <f>IF('الصرف المباشر'!C213="","",IF('الصرف المباشر'!F213="","",'الصرف المباشر'!F213))</f>
        <v/>
      </c>
      <c r="G713" t="str">
        <f>IF($B713&lt;&gt;"",SUMPRODUCT(($B$2:$B713&lt;&gt;"")*1),"")</f>
        <v/>
      </c>
    </row>
    <row r="714" spans="1:7">
      <c r="A714" s="23" t="str">
        <f>IF('الصرف المباشر'!C214="","",'الصرف المباشر'!B214)</f>
        <v/>
      </c>
      <c r="B714" t="str">
        <f>IF('الصرف المباشر'!C214="","","صرف مباشر")</f>
        <v/>
      </c>
      <c r="C714" t="str">
        <f>IF('الصرف المباشر'!C214="","",IF('الصرف المباشر'!E214="","-",'الصرف المباشر'!E214))</f>
        <v/>
      </c>
      <c r="D714" t="str">
        <f>IF('الصرف المباشر'!C214="","",'الصرف المباشر'!C214)</f>
        <v/>
      </c>
      <c r="E714" s="24" t="str">
        <f>IF('الصرف المباشر'!C214="","",-'الصرف المباشر'!D214)</f>
        <v/>
      </c>
      <c r="F714" t="str">
        <f>IF('الصرف المباشر'!C214="","",IF('الصرف المباشر'!F214="","",'الصرف المباشر'!F214))</f>
        <v/>
      </c>
      <c r="G714" t="str">
        <f>IF($B714&lt;&gt;"",SUMPRODUCT(($B$2:$B714&lt;&gt;"")*1),"")</f>
        <v/>
      </c>
    </row>
    <row r="715" spans="1:7">
      <c r="A715" s="23" t="str">
        <f>IF('الصرف المباشر'!C215="","",'الصرف المباشر'!B215)</f>
        <v/>
      </c>
      <c r="B715" t="str">
        <f>IF('الصرف المباشر'!C215="","","صرف مباشر")</f>
        <v/>
      </c>
      <c r="C715" t="str">
        <f>IF('الصرف المباشر'!C215="","",IF('الصرف المباشر'!E215="","-",'الصرف المباشر'!E215))</f>
        <v/>
      </c>
      <c r="D715" t="str">
        <f>IF('الصرف المباشر'!C215="","",'الصرف المباشر'!C215)</f>
        <v/>
      </c>
      <c r="E715" s="24" t="str">
        <f>IF('الصرف المباشر'!C215="","",-'الصرف المباشر'!D215)</f>
        <v/>
      </c>
      <c r="F715" t="str">
        <f>IF('الصرف المباشر'!C215="","",IF('الصرف المباشر'!F215="","",'الصرف المباشر'!F215))</f>
        <v/>
      </c>
      <c r="G715" t="str">
        <f>IF($B715&lt;&gt;"",SUMPRODUCT(($B$2:$B715&lt;&gt;"")*1),"")</f>
        <v/>
      </c>
    </row>
    <row r="716" spans="1:7">
      <c r="A716" s="23" t="str">
        <f>IF('الصرف المباشر'!C216="","",'الصرف المباشر'!B216)</f>
        <v/>
      </c>
      <c r="B716" t="str">
        <f>IF('الصرف المباشر'!C216="","","صرف مباشر")</f>
        <v/>
      </c>
      <c r="C716" t="str">
        <f>IF('الصرف المباشر'!C216="","",IF('الصرف المباشر'!E216="","-",'الصرف المباشر'!E216))</f>
        <v/>
      </c>
      <c r="D716" t="str">
        <f>IF('الصرف المباشر'!C216="","",'الصرف المباشر'!C216)</f>
        <v/>
      </c>
      <c r="E716" s="24" t="str">
        <f>IF('الصرف المباشر'!C216="","",-'الصرف المباشر'!D216)</f>
        <v/>
      </c>
      <c r="F716" t="str">
        <f>IF('الصرف المباشر'!C216="","",IF('الصرف المباشر'!F216="","",'الصرف المباشر'!F216))</f>
        <v/>
      </c>
      <c r="G716" t="str">
        <f>IF($B716&lt;&gt;"",SUMPRODUCT(($B$2:$B716&lt;&gt;"")*1),"")</f>
        <v/>
      </c>
    </row>
    <row r="717" spans="1:7">
      <c r="A717" s="23" t="str">
        <f>IF('الصرف المباشر'!C217="","",'الصرف المباشر'!B217)</f>
        <v/>
      </c>
      <c r="B717" t="str">
        <f>IF('الصرف المباشر'!C217="","","صرف مباشر")</f>
        <v/>
      </c>
      <c r="C717" t="str">
        <f>IF('الصرف المباشر'!C217="","",IF('الصرف المباشر'!E217="","-",'الصرف المباشر'!E217))</f>
        <v/>
      </c>
      <c r="D717" t="str">
        <f>IF('الصرف المباشر'!C217="","",'الصرف المباشر'!C217)</f>
        <v/>
      </c>
      <c r="E717" s="24" t="str">
        <f>IF('الصرف المباشر'!C217="","",-'الصرف المباشر'!D217)</f>
        <v/>
      </c>
      <c r="F717" t="str">
        <f>IF('الصرف المباشر'!C217="","",IF('الصرف المباشر'!F217="","",'الصرف المباشر'!F217))</f>
        <v/>
      </c>
      <c r="G717" t="str">
        <f>IF($B717&lt;&gt;"",SUMPRODUCT(($B$2:$B717&lt;&gt;"")*1),"")</f>
        <v/>
      </c>
    </row>
    <row r="718" spans="1:7">
      <c r="A718" s="23" t="str">
        <f>IF('الصرف المباشر'!C218="","",'الصرف المباشر'!B218)</f>
        <v/>
      </c>
      <c r="B718" t="str">
        <f>IF('الصرف المباشر'!C218="","","صرف مباشر")</f>
        <v/>
      </c>
      <c r="C718" t="str">
        <f>IF('الصرف المباشر'!C218="","",IF('الصرف المباشر'!E218="","-",'الصرف المباشر'!E218))</f>
        <v/>
      </c>
      <c r="D718" t="str">
        <f>IF('الصرف المباشر'!C218="","",'الصرف المباشر'!C218)</f>
        <v/>
      </c>
      <c r="E718" s="24" t="str">
        <f>IF('الصرف المباشر'!C218="","",-'الصرف المباشر'!D218)</f>
        <v/>
      </c>
      <c r="F718" t="str">
        <f>IF('الصرف المباشر'!C218="","",IF('الصرف المباشر'!F218="","",'الصرف المباشر'!F218))</f>
        <v/>
      </c>
      <c r="G718" t="str">
        <f>IF($B718&lt;&gt;"",SUMPRODUCT(($B$2:$B718&lt;&gt;"")*1),"")</f>
        <v/>
      </c>
    </row>
    <row r="719" spans="1:7">
      <c r="A719" s="23" t="str">
        <f>IF('الصرف المباشر'!C219="","",'الصرف المباشر'!B219)</f>
        <v/>
      </c>
      <c r="B719" t="str">
        <f>IF('الصرف المباشر'!C219="","","صرف مباشر")</f>
        <v/>
      </c>
      <c r="C719" t="str">
        <f>IF('الصرف المباشر'!C219="","",IF('الصرف المباشر'!E219="","-",'الصرف المباشر'!E219))</f>
        <v/>
      </c>
      <c r="D719" t="str">
        <f>IF('الصرف المباشر'!C219="","",'الصرف المباشر'!C219)</f>
        <v/>
      </c>
      <c r="E719" s="24" t="str">
        <f>IF('الصرف المباشر'!C219="","",-'الصرف المباشر'!D219)</f>
        <v/>
      </c>
      <c r="F719" t="str">
        <f>IF('الصرف المباشر'!C219="","",IF('الصرف المباشر'!F219="","",'الصرف المباشر'!F219))</f>
        <v/>
      </c>
      <c r="G719" t="str">
        <f>IF($B719&lt;&gt;"",SUMPRODUCT(($B$2:$B719&lt;&gt;"")*1),"")</f>
        <v/>
      </c>
    </row>
    <row r="720" spans="1:7">
      <c r="A720" s="23" t="str">
        <f>IF('الصرف المباشر'!C220="","",'الصرف المباشر'!B220)</f>
        <v/>
      </c>
      <c r="B720" t="str">
        <f>IF('الصرف المباشر'!C220="","","صرف مباشر")</f>
        <v/>
      </c>
      <c r="C720" t="str">
        <f>IF('الصرف المباشر'!C220="","",IF('الصرف المباشر'!E220="","-",'الصرف المباشر'!E220))</f>
        <v/>
      </c>
      <c r="D720" t="str">
        <f>IF('الصرف المباشر'!C220="","",'الصرف المباشر'!C220)</f>
        <v/>
      </c>
      <c r="E720" s="24" t="str">
        <f>IF('الصرف المباشر'!C220="","",-'الصرف المباشر'!D220)</f>
        <v/>
      </c>
      <c r="F720" t="str">
        <f>IF('الصرف المباشر'!C220="","",IF('الصرف المباشر'!F220="","",'الصرف المباشر'!F220))</f>
        <v/>
      </c>
      <c r="G720" t="str">
        <f>IF($B720&lt;&gt;"",SUMPRODUCT(($B$2:$B720&lt;&gt;"")*1),"")</f>
        <v/>
      </c>
    </row>
    <row r="721" spans="1:7">
      <c r="A721" s="23" t="str">
        <f>IF('الصرف المباشر'!C221="","",'الصرف المباشر'!B221)</f>
        <v/>
      </c>
      <c r="B721" t="str">
        <f>IF('الصرف المباشر'!C221="","","صرف مباشر")</f>
        <v/>
      </c>
      <c r="C721" t="str">
        <f>IF('الصرف المباشر'!C221="","",IF('الصرف المباشر'!E221="","-",'الصرف المباشر'!E221))</f>
        <v/>
      </c>
      <c r="D721" t="str">
        <f>IF('الصرف المباشر'!C221="","",'الصرف المباشر'!C221)</f>
        <v/>
      </c>
      <c r="E721" s="24" t="str">
        <f>IF('الصرف المباشر'!C221="","",-'الصرف المباشر'!D221)</f>
        <v/>
      </c>
      <c r="F721" t="str">
        <f>IF('الصرف المباشر'!C221="","",IF('الصرف المباشر'!F221="","",'الصرف المباشر'!F221))</f>
        <v/>
      </c>
      <c r="G721" t="str">
        <f>IF($B721&lt;&gt;"",SUMPRODUCT(($B$2:$B721&lt;&gt;"")*1),"")</f>
        <v/>
      </c>
    </row>
    <row r="722" spans="1:7">
      <c r="A722" s="23" t="str">
        <f>IF('الصرف المباشر'!C222="","",'الصرف المباشر'!B222)</f>
        <v/>
      </c>
      <c r="B722" t="str">
        <f>IF('الصرف المباشر'!C222="","","صرف مباشر")</f>
        <v/>
      </c>
      <c r="C722" t="str">
        <f>IF('الصرف المباشر'!C222="","",IF('الصرف المباشر'!E222="","-",'الصرف المباشر'!E222))</f>
        <v/>
      </c>
      <c r="D722" t="str">
        <f>IF('الصرف المباشر'!C222="","",'الصرف المباشر'!C222)</f>
        <v/>
      </c>
      <c r="E722" s="24" t="str">
        <f>IF('الصرف المباشر'!C222="","",-'الصرف المباشر'!D222)</f>
        <v/>
      </c>
      <c r="F722" t="str">
        <f>IF('الصرف المباشر'!C222="","",IF('الصرف المباشر'!F222="","",'الصرف المباشر'!F222))</f>
        <v/>
      </c>
      <c r="G722" t="str">
        <f>IF($B722&lt;&gt;"",SUMPRODUCT(($B$2:$B722&lt;&gt;"")*1),"")</f>
        <v/>
      </c>
    </row>
    <row r="723" spans="1:7">
      <c r="A723" s="23" t="str">
        <f>IF('الصرف المباشر'!C223="","",'الصرف المباشر'!B223)</f>
        <v/>
      </c>
      <c r="B723" t="str">
        <f>IF('الصرف المباشر'!C223="","","صرف مباشر")</f>
        <v/>
      </c>
      <c r="C723" t="str">
        <f>IF('الصرف المباشر'!C223="","",IF('الصرف المباشر'!E223="","-",'الصرف المباشر'!E223))</f>
        <v/>
      </c>
      <c r="D723" t="str">
        <f>IF('الصرف المباشر'!C223="","",'الصرف المباشر'!C223)</f>
        <v/>
      </c>
      <c r="E723" s="24" t="str">
        <f>IF('الصرف المباشر'!C223="","",-'الصرف المباشر'!D223)</f>
        <v/>
      </c>
      <c r="F723" t="str">
        <f>IF('الصرف المباشر'!C223="","",IF('الصرف المباشر'!F223="","",'الصرف المباشر'!F223))</f>
        <v/>
      </c>
      <c r="G723" t="str">
        <f>IF($B723&lt;&gt;"",SUMPRODUCT(($B$2:$B723&lt;&gt;"")*1),"")</f>
        <v/>
      </c>
    </row>
    <row r="724" spans="1:7">
      <c r="A724" s="23" t="str">
        <f>IF('الصرف المباشر'!C224="","",'الصرف المباشر'!B224)</f>
        <v/>
      </c>
      <c r="B724" t="str">
        <f>IF('الصرف المباشر'!C224="","","صرف مباشر")</f>
        <v/>
      </c>
      <c r="C724" t="str">
        <f>IF('الصرف المباشر'!C224="","",IF('الصرف المباشر'!E224="","-",'الصرف المباشر'!E224))</f>
        <v/>
      </c>
      <c r="D724" t="str">
        <f>IF('الصرف المباشر'!C224="","",'الصرف المباشر'!C224)</f>
        <v/>
      </c>
      <c r="E724" s="24" t="str">
        <f>IF('الصرف المباشر'!C224="","",-'الصرف المباشر'!D224)</f>
        <v/>
      </c>
      <c r="F724" t="str">
        <f>IF('الصرف المباشر'!C224="","",IF('الصرف المباشر'!F224="","",'الصرف المباشر'!F224))</f>
        <v/>
      </c>
      <c r="G724" t="str">
        <f>IF($B724&lt;&gt;"",SUMPRODUCT(($B$2:$B724&lt;&gt;"")*1),"")</f>
        <v/>
      </c>
    </row>
    <row r="725" spans="1:7">
      <c r="A725" s="23" t="str">
        <f>IF('الصرف المباشر'!C225="","",'الصرف المباشر'!B225)</f>
        <v/>
      </c>
      <c r="B725" t="str">
        <f>IF('الصرف المباشر'!C225="","","صرف مباشر")</f>
        <v/>
      </c>
      <c r="C725" t="str">
        <f>IF('الصرف المباشر'!C225="","",IF('الصرف المباشر'!E225="","-",'الصرف المباشر'!E225))</f>
        <v/>
      </c>
      <c r="D725" t="str">
        <f>IF('الصرف المباشر'!C225="","",'الصرف المباشر'!C225)</f>
        <v/>
      </c>
      <c r="E725" s="24" t="str">
        <f>IF('الصرف المباشر'!C225="","",-'الصرف المباشر'!D225)</f>
        <v/>
      </c>
      <c r="F725" t="str">
        <f>IF('الصرف المباشر'!C225="","",IF('الصرف المباشر'!F225="","",'الصرف المباشر'!F225))</f>
        <v/>
      </c>
      <c r="G725" t="str">
        <f>IF($B725&lt;&gt;"",SUMPRODUCT(($B$2:$B725&lt;&gt;"")*1),"")</f>
        <v/>
      </c>
    </row>
    <row r="726" spans="1:7">
      <c r="A726" s="23" t="str">
        <f>IF('الصرف المباشر'!C226="","",'الصرف المباشر'!B226)</f>
        <v/>
      </c>
      <c r="B726" t="str">
        <f>IF('الصرف المباشر'!C226="","","صرف مباشر")</f>
        <v/>
      </c>
      <c r="C726" t="str">
        <f>IF('الصرف المباشر'!C226="","",IF('الصرف المباشر'!E226="","-",'الصرف المباشر'!E226))</f>
        <v/>
      </c>
      <c r="D726" t="str">
        <f>IF('الصرف المباشر'!C226="","",'الصرف المباشر'!C226)</f>
        <v/>
      </c>
      <c r="E726" s="24" t="str">
        <f>IF('الصرف المباشر'!C226="","",-'الصرف المباشر'!D226)</f>
        <v/>
      </c>
      <c r="F726" t="str">
        <f>IF('الصرف المباشر'!C226="","",IF('الصرف المباشر'!F226="","",'الصرف المباشر'!F226))</f>
        <v/>
      </c>
      <c r="G726" t="str">
        <f>IF($B726&lt;&gt;"",SUMPRODUCT(($B$2:$B726&lt;&gt;"")*1),"")</f>
        <v/>
      </c>
    </row>
    <row r="727" spans="1:7">
      <c r="A727" s="23" t="str">
        <f>IF('الصرف المباشر'!C227="","",'الصرف المباشر'!B227)</f>
        <v/>
      </c>
      <c r="B727" t="str">
        <f>IF('الصرف المباشر'!C227="","","صرف مباشر")</f>
        <v/>
      </c>
      <c r="C727" t="str">
        <f>IF('الصرف المباشر'!C227="","",IF('الصرف المباشر'!E227="","-",'الصرف المباشر'!E227))</f>
        <v/>
      </c>
      <c r="D727" t="str">
        <f>IF('الصرف المباشر'!C227="","",'الصرف المباشر'!C227)</f>
        <v/>
      </c>
      <c r="E727" s="24" t="str">
        <f>IF('الصرف المباشر'!C227="","",-'الصرف المباشر'!D227)</f>
        <v/>
      </c>
      <c r="F727" t="str">
        <f>IF('الصرف المباشر'!C227="","",IF('الصرف المباشر'!F227="","",'الصرف المباشر'!F227))</f>
        <v/>
      </c>
      <c r="G727" t="str">
        <f>IF($B727&lt;&gt;"",SUMPRODUCT(($B$2:$B727&lt;&gt;"")*1),"")</f>
        <v/>
      </c>
    </row>
    <row r="728" spans="1:7">
      <c r="A728" s="23" t="str">
        <f>IF('الصرف المباشر'!C228="","",'الصرف المباشر'!B228)</f>
        <v/>
      </c>
      <c r="B728" t="str">
        <f>IF('الصرف المباشر'!C228="","","صرف مباشر")</f>
        <v/>
      </c>
      <c r="C728" t="str">
        <f>IF('الصرف المباشر'!C228="","",IF('الصرف المباشر'!E228="","-",'الصرف المباشر'!E228))</f>
        <v/>
      </c>
      <c r="D728" t="str">
        <f>IF('الصرف المباشر'!C228="","",'الصرف المباشر'!C228)</f>
        <v/>
      </c>
      <c r="E728" s="24" t="str">
        <f>IF('الصرف المباشر'!C228="","",-'الصرف المباشر'!D228)</f>
        <v/>
      </c>
      <c r="F728" t="str">
        <f>IF('الصرف المباشر'!C228="","",IF('الصرف المباشر'!F228="","",'الصرف المباشر'!F228))</f>
        <v/>
      </c>
      <c r="G728" t="str">
        <f>IF($B728&lt;&gt;"",SUMPRODUCT(($B$2:$B728&lt;&gt;"")*1),"")</f>
        <v/>
      </c>
    </row>
    <row r="729" spans="1:7">
      <c r="A729" s="23" t="str">
        <f>IF('الصرف المباشر'!C229="","",'الصرف المباشر'!B229)</f>
        <v/>
      </c>
      <c r="B729" t="str">
        <f>IF('الصرف المباشر'!C229="","","صرف مباشر")</f>
        <v/>
      </c>
      <c r="C729" t="str">
        <f>IF('الصرف المباشر'!C229="","",IF('الصرف المباشر'!E229="","-",'الصرف المباشر'!E229))</f>
        <v/>
      </c>
      <c r="D729" t="str">
        <f>IF('الصرف المباشر'!C229="","",'الصرف المباشر'!C229)</f>
        <v/>
      </c>
      <c r="E729" s="24" t="str">
        <f>IF('الصرف المباشر'!C229="","",-'الصرف المباشر'!D229)</f>
        <v/>
      </c>
      <c r="F729" t="str">
        <f>IF('الصرف المباشر'!C229="","",IF('الصرف المباشر'!F229="","",'الصرف المباشر'!F229))</f>
        <v/>
      </c>
      <c r="G729" t="str">
        <f>IF($B729&lt;&gt;"",SUMPRODUCT(($B$2:$B729&lt;&gt;"")*1),"")</f>
        <v/>
      </c>
    </row>
    <row r="730" spans="1:7">
      <c r="A730" s="23" t="str">
        <f>IF('الصرف المباشر'!C230="","",'الصرف المباشر'!B230)</f>
        <v/>
      </c>
      <c r="B730" t="str">
        <f>IF('الصرف المباشر'!C230="","","صرف مباشر")</f>
        <v/>
      </c>
      <c r="C730" t="str">
        <f>IF('الصرف المباشر'!C230="","",IF('الصرف المباشر'!E230="","-",'الصرف المباشر'!E230))</f>
        <v/>
      </c>
      <c r="D730" t="str">
        <f>IF('الصرف المباشر'!C230="","",'الصرف المباشر'!C230)</f>
        <v/>
      </c>
      <c r="E730" s="24" t="str">
        <f>IF('الصرف المباشر'!C230="","",-'الصرف المباشر'!D230)</f>
        <v/>
      </c>
      <c r="F730" t="str">
        <f>IF('الصرف المباشر'!C230="","",IF('الصرف المباشر'!F230="","",'الصرف المباشر'!F230))</f>
        <v/>
      </c>
      <c r="G730" t="str">
        <f>IF($B730&lt;&gt;"",SUMPRODUCT(($B$2:$B730&lt;&gt;"")*1),"")</f>
        <v/>
      </c>
    </row>
    <row r="731" spans="1:7">
      <c r="A731" s="23" t="str">
        <f>IF('الصرف المباشر'!C231="","",'الصرف المباشر'!B231)</f>
        <v/>
      </c>
      <c r="B731" t="str">
        <f>IF('الصرف المباشر'!C231="","","صرف مباشر")</f>
        <v/>
      </c>
      <c r="C731" t="str">
        <f>IF('الصرف المباشر'!C231="","",IF('الصرف المباشر'!E231="","-",'الصرف المباشر'!E231))</f>
        <v/>
      </c>
      <c r="D731" t="str">
        <f>IF('الصرف المباشر'!C231="","",'الصرف المباشر'!C231)</f>
        <v/>
      </c>
      <c r="E731" s="24" t="str">
        <f>IF('الصرف المباشر'!C231="","",-'الصرف المباشر'!D231)</f>
        <v/>
      </c>
      <c r="F731" t="str">
        <f>IF('الصرف المباشر'!C231="","",IF('الصرف المباشر'!F231="","",'الصرف المباشر'!F231))</f>
        <v/>
      </c>
      <c r="G731" t="str">
        <f>IF($B731&lt;&gt;"",SUMPRODUCT(($B$2:$B731&lt;&gt;"")*1),"")</f>
        <v/>
      </c>
    </row>
    <row r="732" spans="1:7">
      <c r="A732" s="23" t="str">
        <f>IF('الصرف المباشر'!C232="","",'الصرف المباشر'!B232)</f>
        <v/>
      </c>
      <c r="B732" t="str">
        <f>IF('الصرف المباشر'!C232="","","صرف مباشر")</f>
        <v/>
      </c>
      <c r="C732" t="str">
        <f>IF('الصرف المباشر'!C232="","",IF('الصرف المباشر'!E232="","-",'الصرف المباشر'!E232))</f>
        <v/>
      </c>
      <c r="D732" t="str">
        <f>IF('الصرف المباشر'!C232="","",'الصرف المباشر'!C232)</f>
        <v/>
      </c>
      <c r="E732" s="24" t="str">
        <f>IF('الصرف المباشر'!C232="","",-'الصرف المباشر'!D232)</f>
        <v/>
      </c>
      <c r="F732" t="str">
        <f>IF('الصرف المباشر'!C232="","",IF('الصرف المباشر'!F232="","",'الصرف المباشر'!F232))</f>
        <v/>
      </c>
      <c r="G732" t="str">
        <f>IF($B732&lt;&gt;"",SUMPRODUCT(($B$2:$B732&lt;&gt;"")*1),"")</f>
        <v/>
      </c>
    </row>
    <row r="733" spans="1:7">
      <c r="A733" s="23" t="str">
        <f>IF('الصرف المباشر'!C233="","",'الصرف المباشر'!B233)</f>
        <v/>
      </c>
      <c r="B733" t="str">
        <f>IF('الصرف المباشر'!C233="","","صرف مباشر")</f>
        <v/>
      </c>
      <c r="C733" t="str">
        <f>IF('الصرف المباشر'!C233="","",IF('الصرف المباشر'!E233="","-",'الصرف المباشر'!E233))</f>
        <v/>
      </c>
      <c r="D733" t="str">
        <f>IF('الصرف المباشر'!C233="","",'الصرف المباشر'!C233)</f>
        <v/>
      </c>
      <c r="E733" s="24" t="str">
        <f>IF('الصرف المباشر'!C233="","",-'الصرف المباشر'!D233)</f>
        <v/>
      </c>
      <c r="F733" t="str">
        <f>IF('الصرف المباشر'!C233="","",IF('الصرف المباشر'!F233="","",'الصرف المباشر'!F233))</f>
        <v/>
      </c>
      <c r="G733" t="str">
        <f>IF($B733&lt;&gt;"",SUMPRODUCT(($B$2:$B733&lt;&gt;"")*1),"")</f>
        <v/>
      </c>
    </row>
    <row r="734" spans="1:7">
      <c r="A734" s="23" t="str">
        <f>IF('الصرف المباشر'!C234="","",'الصرف المباشر'!B234)</f>
        <v/>
      </c>
      <c r="B734" t="str">
        <f>IF('الصرف المباشر'!C234="","","صرف مباشر")</f>
        <v/>
      </c>
      <c r="C734" t="str">
        <f>IF('الصرف المباشر'!C234="","",IF('الصرف المباشر'!E234="","-",'الصرف المباشر'!E234))</f>
        <v/>
      </c>
      <c r="D734" t="str">
        <f>IF('الصرف المباشر'!C234="","",'الصرف المباشر'!C234)</f>
        <v/>
      </c>
      <c r="E734" s="24" t="str">
        <f>IF('الصرف المباشر'!C234="","",-'الصرف المباشر'!D234)</f>
        <v/>
      </c>
      <c r="F734" t="str">
        <f>IF('الصرف المباشر'!C234="","",IF('الصرف المباشر'!F234="","",'الصرف المباشر'!F234))</f>
        <v/>
      </c>
      <c r="G734" t="str">
        <f>IF($B734&lt;&gt;"",SUMPRODUCT(($B$2:$B734&lt;&gt;"")*1),"")</f>
        <v/>
      </c>
    </row>
    <row r="735" spans="1:7">
      <c r="A735" s="23" t="str">
        <f>IF('الصرف المباشر'!C235="","",'الصرف المباشر'!B235)</f>
        <v/>
      </c>
      <c r="B735" t="str">
        <f>IF('الصرف المباشر'!C235="","","صرف مباشر")</f>
        <v/>
      </c>
      <c r="C735" t="str">
        <f>IF('الصرف المباشر'!C235="","",IF('الصرف المباشر'!E235="","-",'الصرف المباشر'!E235))</f>
        <v/>
      </c>
      <c r="D735" t="str">
        <f>IF('الصرف المباشر'!C235="","",'الصرف المباشر'!C235)</f>
        <v/>
      </c>
      <c r="E735" s="24" t="str">
        <f>IF('الصرف المباشر'!C235="","",-'الصرف المباشر'!D235)</f>
        <v/>
      </c>
      <c r="F735" t="str">
        <f>IF('الصرف المباشر'!C235="","",IF('الصرف المباشر'!F235="","",'الصرف المباشر'!F235))</f>
        <v/>
      </c>
      <c r="G735" t="str">
        <f>IF($B735&lt;&gt;"",SUMPRODUCT(($B$2:$B735&lt;&gt;"")*1),"")</f>
        <v/>
      </c>
    </row>
    <row r="736" spans="1:7">
      <c r="A736" s="23" t="str">
        <f>IF('الصرف المباشر'!C236="","",'الصرف المباشر'!B236)</f>
        <v/>
      </c>
      <c r="B736" t="str">
        <f>IF('الصرف المباشر'!C236="","","صرف مباشر")</f>
        <v/>
      </c>
      <c r="C736" t="str">
        <f>IF('الصرف المباشر'!C236="","",IF('الصرف المباشر'!E236="","-",'الصرف المباشر'!E236))</f>
        <v/>
      </c>
      <c r="D736" t="str">
        <f>IF('الصرف المباشر'!C236="","",'الصرف المباشر'!C236)</f>
        <v/>
      </c>
      <c r="E736" s="24" t="str">
        <f>IF('الصرف المباشر'!C236="","",-'الصرف المباشر'!D236)</f>
        <v/>
      </c>
      <c r="F736" t="str">
        <f>IF('الصرف المباشر'!C236="","",IF('الصرف المباشر'!F236="","",'الصرف المباشر'!F236))</f>
        <v/>
      </c>
      <c r="G736" t="str">
        <f>IF($B736&lt;&gt;"",SUMPRODUCT(($B$2:$B736&lt;&gt;"")*1),"")</f>
        <v/>
      </c>
    </row>
    <row r="737" spans="1:7">
      <c r="A737" s="23" t="str">
        <f>IF('الصرف المباشر'!C237="","",'الصرف المباشر'!B237)</f>
        <v/>
      </c>
      <c r="B737" t="str">
        <f>IF('الصرف المباشر'!C237="","","صرف مباشر")</f>
        <v/>
      </c>
      <c r="C737" t="str">
        <f>IF('الصرف المباشر'!C237="","",IF('الصرف المباشر'!E237="","-",'الصرف المباشر'!E237))</f>
        <v/>
      </c>
      <c r="D737" t="str">
        <f>IF('الصرف المباشر'!C237="","",'الصرف المباشر'!C237)</f>
        <v/>
      </c>
      <c r="E737" s="24" t="str">
        <f>IF('الصرف المباشر'!C237="","",-'الصرف المباشر'!D237)</f>
        <v/>
      </c>
      <c r="F737" t="str">
        <f>IF('الصرف المباشر'!C237="","",IF('الصرف المباشر'!F237="","",'الصرف المباشر'!F237))</f>
        <v/>
      </c>
      <c r="G737" t="str">
        <f>IF($B737&lt;&gt;"",SUMPRODUCT(($B$2:$B737&lt;&gt;"")*1),"")</f>
        <v/>
      </c>
    </row>
    <row r="738" spans="1:7">
      <c r="A738" s="23" t="str">
        <f>IF('الصرف المباشر'!C238="","",'الصرف المباشر'!B238)</f>
        <v/>
      </c>
      <c r="B738" t="str">
        <f>IF('الصرف المباشر'!C238="","","صرف مباشر")</f>
        <v/>
      </c>
      <c r="C738" t="str">
        <f>IF('الصرف المباشر'!C238="","",IF('الصرف المباشر'!E238="","-",'الصرف المباشر'!E238))</f>
        <v/>
      </c>
      <c r="D738" t="str">
        <f>IF('الصرف المباشر'!C238="","",'الصرف المباشر'!C238)</f>
        <v/>
      </c>
      <c r="E738" s="24" t="str">
        <f>IF('الصرف المباشر'!C238="","",-'الصرف المباشر'!D238)</f>
        <v/>
      </c>
      <c r="F738" t="str">
        <f>IF('الصرف المباشر'!C238="","",IF('الصرف المباشر'!F238="","",'الصرف المباشر'!F238))</f>
        <v/>
      </c>
      <c r="G738" t="str">
        <f>IF($B738&lt;&gt;"",SUMPRODUCT(($B$2:$B738&lt;&gt;"")*1),"")</f>
        <v/>
      </c>
    </row>
    <row r="739" spans="1:7">
      <c r="A739" s="23" t="str">
        <f>IF('الصرف المباشر'!C239="","",'الصرف المباشر'!B239)</f>
        <v/>
      </c>
      <c r="B739" t="str">
        <f>IF('الصرف المباشر'!C239="","","صرف مباشر")</f>
        <v/>
      </c>
      <c r="C739" t="str">
        <f>IF('الصرف المباشر'!C239="","",IF('الصرف المباشر'!E239="","-",'الصرف المباشر'!E239))</f>
        <v/>
      </c>
      <c r="D739" t="str">
        <f>IF('الصرف المباشر'!C239="","",'الصرف المباشر'!C239)</f>
        <v/>
      </c>
      <c r="E739" s="24" t="str">
        <f>IF('الصرف المباشر'!C239="","",-'الصرف المباشر'!D239)</f>
        <v/>
      </c>
      <c r="F739" t="str">
        <f>IF('الصرف المباشر'!C239="","",IF('الصرف المباشر'!F239="","",'الصرف المباشر'!F239))</f>
        <v/>
      </c>
      <c r="G739" t="str">
        <f>IF($B739&lt;&gt;"",SUMPRODUCT(($B$2:$B739&lt;&gt;"")*1),"")</f>
        <v/>
      </c>
    </row>
    <row r="740" spans="1:7">
      <c r="A740" s="23" t="str">
        <f>IF('الصرف المباشر'!C240="","",'الصرف المباشر'!B240)</f>
        <v/>
      </c>
      <c r="B740" t="str">
        <f>IF('الصرف المباشر'!C240="","","صرف مباشر")</f>
        <v/>
      </c>
      <c r="C740" t="str">
        <f>IF('الصرف المباشر'!C240="","",IF('الصرف المباشر'!E240="","-",'الصرف المباشر'!E240))</f>
        <v/>
      </c>
      <c r="D740" t="str">
        <f>IF('الصرف المباشر'!C240="","",'الصرف المباشر'!C240)</f>
        <v/>
      </c>
      <c r="E740" s="24" t="str">
        <f>IF('الصرف المباشر'!C240="","",-'الصرف المباشر'!D240)</f>
        <v/>
      </c>
      <c r="F740" t="str">
        <f>IF('الصرف المباشر'!C240="","",IF('الصرف المباشر'!F240="","",'الصرف المباشر'!F240))</f>
        <v/>
      </c>
      <c r="G740" t="str">
        <f>IF($B740&lt;&gt;"",SUMPRODUCT(($B$2:$B740&lt;&gt;"")*1),"")</f>
        <v/>
      </c>
    </row>
    <row r="741" spans="1:7">
      <c r="A741" s="23" t="str">
        <f>IF('الصرف المباشر'!C241="","",'الصرف المباشر'!B241)</f>
        <v/>
      </c>
      <c r="B741" t="str">
        <f>IF('الصرف المباشر'!C241="","","صرف مباشر")</f>
        <v/>
      </c>
      <c r="C741" t="str">
        <f>IF('الصرف المباشر'!C241="","",IF('الصرف المباشر'!E241="","-",'الصرف المباشر'!E241))</f>
        <v/>
      </c>
      <c r="D741" t="str">
        <f>IF('الصرف المباشر'!C241="","",'الصرف المباشر'!C241)</f>
        <v/>
      </c>
      <c r="E741" s="24" t="str">
        <f>IF('الصرف المباشر'!C241="","",-'الصرف المباشر'!D241)</f>
        <v/>
      </c>
      <c r="F741" t="str">
        <f>IF('الصرف المباشر'!C241="","",IF('الصرف المباشر'!F241="","",'الصرف المباشر'!F241))</f>
        <v/>
      </c>
      <c r="G741" t="str">
        <f>IF($B741&lt;&gt;"",SUMPRODUCT(($B$2:$B741&lt;&gt;"")*1),"")</f>
        <v/>
      </c>
    </row>
    <row r="742" spans="1:7">
      <c r="A742" s="23" t="str">
        <f>IF('الصرف المباشر'!C242="","",'الصرف المباشر'!B242)</f>
        <v/>
      </c>
      <c r="B742" t="str">
        <f>IF('الصرف المباشر'!C242="","","صرف مباشر")</f>
        <v/>
      </c>
      <c r="C742" t="str">
        <f>IF('الصرف المباشر'!C242="","",IF('الصرف المباشر'!E242="","-",'الصرف المباشر'!E242))</f>
        <v/>
      </c>
      <c r="D742" t="str">
        <f>IF('الصرف المباشر'!C242="","",'الصرف المباشر'!C242)</f>
        <v/>
      </c>
      <c r="E742" s="24" t="str">
        <f>IF('الصرف المباشر'!C242="","",-'الصرف المباشر'!D242)</f>
        <v/>
      </c>
      <c r="F742" t="str">
        <f>IF('الصرف المباشر'!C242="","",IF('الصرف المباشر'!F242="","",'الصرف المباشر'!F242))</f>
        <v/>
      </c>
      <c r="G742" t="str">
        <f>IF($B742&lt;&gt;"",SUMPRODUCT(($B$2:$B742&lt;&gt;"")*1),"")</f>
        <v/>
      </c>
    </row>
    <row r="743" spans="1:7">
      <c r="A743" s="23" t="str">
        <f>IF('الصرف المباشر'!C243="","",'الصرف المباشر'!B243)</f>
        <v/>
      </c>
      <c r="B743" t="str">
        <f>IF('الصرف المباشر'!C243="","","صرف مباشر")</f>
        <v/>
      </c>
      <c r="C743" t="str">
        <f>IF('الصرف المباشر'!C243="","",IF('الصرف المباشر'!E243="","-",'الصرف المباشر'!E243))</f>
        <v/>
      </c>
      <c r="D743" t="str">
        <f>IF('الصرف المباشر'!C243="","",'الصرف المباشر'!C243)</f>
        <v/>
      </c>
      <c r="E743" s="24" t="str">
        <f>IF('الصرف المباشر'!C243="","",-'الصرف المباشر'!D243)</f>
        <v/>
      </c>
      <c r="F743" t="str">
        <f>IF('الصرف المباشر'!C243="","",IF('الصرف المباشر'!F243="","",'الصرف المباشر'!F243))</f>
        <v/>
      </c>
      <c r="G743" t="str">
        <f>IF($B743&lt;&gt;"",SUMPRODUCT(($B$2:$B743&lt;&gt;"")*1),"")</f>
        <v/>
      </c>
    </row>
    <row r="744" spans="1:7">
      <c r="A744" s="23" t="str">
        <f>IF('الصرف المباشر'!C244="","",'الصرف المباشر'!B244)</f>
        <v/>
      </c>
      <c r="B744" t="str">
        <f>IF('الصرف المباشر'!C244="","","صرف مباشر")</f>
        <v/>
      </c>
      <c r="C744" t="str">
        <f>IF('الصرف المباشر'!C244="","",IF('الصرف المباشر'!E244="","-",'الصرف المباشر'!E244))</f>
        <v/>
      </c>
      <c r="D744" t="str">
        <f>IF('الصرف المباشر'!C244="","",'الصرف المباشر'!C244)</f>
        <v/>
      </c>
      <c r="E744" s="24" t="str">
        <f>IF('الصرف المباشر'!C244="","",-'الصرف المباشر'!D244)</f>
        <v/>
      </c>
      <c r="F744" t="str">
        <f>IF('الصرف المباشر'!C244="","",IF('الصرف المباشر'!F244="","",'الصرف المباشر'!F244))</f>
        <v/>
      </c>
      <c r="G744" t="str">
        <f>IF($B744&lt;&gt;"",SUMPRODUCT(($B$2:$B744&lt;&gt;"")*1),"")</f>
        <v/>
      </c>
    </row>
    <row r="745" spans="1:7">
      <c r="A745" s="23" t="str">
        <f>IF('الصرف المباشر'!C245="","",'الصرف المباشر'!B245)</f>
        <v/>
      </c>
      <c r="B745" t="str">
        <f>IF('الصرف المباشر'!C245="","","صرف مباشر")</f>
        <v/>
      </c>
      <c r="C745" t="str">
        <f>IF('الصرف المباشر'!C245="","",IF('الصرف المباشر'!E245="","-",'الصرف المباشر'!E245))</f>
        <v/>
      </c>
      <c r="D745" t="str">
        <f>IF('الصرف المباشر'!C245="","",'الصرف المباشر'!C245)</f>
        <v/>
      </c>
      <c r="E745" s="24" t="str">
        <f>IF('الصرف المباشر'!C245="","",-'الصرف المباشر'!D245)</f>
        <v/>
      </c>
      <c r="F745" t="str">
        <f>IF('الصرف المباشر'!C245="","",IF('الصرف المباشر'!F245="","",'الصرف المباشر'!F245))</f>
        <v/>
      </c>
      <c r="G745" t="str">
        <f>IF($B745&lt;&gt;"",SUMPRODUCT(($B$2:$B745&lt;&gt;"")*1),"")</f>
        <v/>
      </c>
    </row>
    <row r="746" spans="1:7">
      <c r="A746" s="23" t="str">
        <f>IF('الصرف المباشر'!C246="","",'الصرف المباشر'!B246)</f>
        <v/>
      </c>
      <c r="B746" t="str">
        <f>IF('الصرف المباشر'!C246="","","صرف مباشر")</f>
        <v/>
      </c>
      <c r="C746" t="str">
        <f>IF('الصرف المباشر'!C246="","",IF('الصرف المباشر'!E246="","-",'الصرف المباشر'!E246))</f>
        <v/>
      </c>
      <c r="D746" t="str">
        <f>IF('الصرف المباشر'!C246="","",'الصرف المباشر'!C246)</f>
        <v/>
      </c>
      <c r="E746" s="24" t="str">
        <f>IF('الصرف المباشر'!C246="","",-'الصرف المباشر'!D246)</f>
        <v/>
      </c>
      <c r="F746" t="str">
        <f>IF('الصرف المباشر'!C246="","",IF('الصرف المباشر'!F246="","",'الصرف المباشر'!F246))</f>
        <v/>
      </c>
      <c r="G746" t="str">
        <f>IF($B746&lt;&gt;"",SUMPRODUCT(($B$2:$B746&lt;&gt;"")*1),"")</f>
        <v/>
      </c>
    </row>
    <row r="747" spans="1:7">
      <c r="A747" s="23" t="str">
        <f>IF('الصرف المباشر'!C247="","",'الصرف المباشر'!B247)</f>
        <v/>
      </c>
      <c r="B747" t="str">
        <f>IF('الصرف المباشر'!C247="","","صرف مباشر")</f>
        <v/>
      </c>
      <c r="C747" t="str">
        <f>IF('الصرف المباشر'!C247="","",IF('الصرف المباشر'!E247="","-",'الصرف المباشر'!E247))</f>
        <v/>
      </c>
      <c r="D747" t="str">
        <f>IF('الصرف المباشر'!C247="","",'الصرف المباشر'!C247)</f>
        <v/>
      </c>
      <c r="E747" s="24" t="str">
        <f>IF('الصرف المباشر'!C247="","",-'الصرف المباشر'!D247)</f>
        <v/>
      </c>
      <c r="F747" t="str">
        <f>IF('الصرف المباشر'!C247="","",IF('الصرف المباشر'!F247="","",'الصرف المباشر'!F247))</f>
        <v/>
      </c>
      <c r="G747" t="str">
        <f>IF($B747&lt;&gt;"",SUMPRODUCT(($B$2:$B747&lt;&gt;"")*1),"")</f>
        <v/>
      </c>
    </row>
    <row r="748" spans="1:7">
      <c r="A748" s="23" t="str">
        <f>IF('الصرف المباشر'!C248="","",'الصرف المباشر'!B248)</f>
        <v/>
      </c>
      <c r="B748" t="str">
        <f>IF('الصرف المباشر'!C248="","","صرف مباشر")</f>
        <v/>
      </c>
      <c r="C748" t="str">
        <f>IF('الصرف المباشر'!C248="","",IF('الصرف المباشر'!E248="","-",'الصرف المباشر'!E248))</f>
        <v/>
      </c>
      <c r="D748" t="str">
        <f>IF('الصرف المباشر'!C248="","",'الصرف المباشر'!C248)</f>
        <v/>
      </c>
      <c r="E748" s="24" t="str">
        <f>IF('الصرف المباشر'!C248="","",-'الصرف المباشر'!D248)</f>
        <v/>
      </c>
      <c r="F748" t="str">
        <f>IF('الصرف المباشر'!C248="","",IF('الصرف المباشر'!F248="","",'الصرف المباشر'!F248))</f>
        <v/>
      </c>
      <c r="G748" t="str">
        <f>IF($B748&lt;&gt;"",SUMPRODUCT(($B$2:$B748&lt;&gt;"")*1),"")</f>
        <v/>
      </c>
    </row>
    <row r="749" spans="1:7">
      <c r="A749" s="23" t="str">
        <f>IF('الصرف المباشر'!C249="","",'الصرف المباشر'!B249)</f>
        <v/>
      </c>
      <c r="B749" t="str">
        <f>IF('الصرف المباشر'!C249="","","صرف مباشر")</f>
        <v/>
      </c>
      <c r="C749" t="str">
        <f>IF('الصرف المباشر'!C249="","",IF('الصرف المباشر'!E249="","-",'الصرف المباشر'!E249))</f>
        <v/>
      </c>
      <c r="D749" t="str">
        <f>IF('الصرف المباشر'!C249="","",'الصرف المباشر'!C249)</f>
        <v/>
      </c>
      <c r="E749" s="24" t="str">
        <f>IF('الصرف المباشر'!C249="","",-'الصرف المباشر'!D249)</f>
        <v/>
      </c>
      <c r="F749" t="str">
        <f>IF('الصرف المباشر'!C249="","",IF('الصرف المباشر'!F249="","",'الصرف المباشر'!F249))</f>
        <v/>
      </c>
      <c r="G749" t="str">
        <f>IF($B749&lt;&gt;"",SUMPRODUCT(($B$2:$B749&lt;&gt;"")*1),"")</f>
        <v/>
      </c>
    </row>
    <row r="750" spans="1:7">
      <c r="A750" s="23" t="str">
        <f>IF('الصرف المباشر'!C250="","",'الصرف المباشر'!B250)</f>
        <v/>
      </c>
      <c r="B750" t="str">
        <f>IF('الصرف المباشر'!C250="","","صرف مباشر")</f>
        <v/>
      </c>
      <c r="C750" t="str">
        <f>IF('الصرف المباشر'!C250="","",IF('الصرف المباشر'!E250="","-",'الصرف المباشر'!E250))</f>
        <v/>
      </c>
      <c r="D750" t="str">
        <f>IF('الصرف المباشر'!C250="","",'الصرف المباشر'!C250)</f>
        <v/>
      </c>
      <c r="E750" s="24" t="str">
        <f>IF('الصرف المباشر'!C250="","",-'الصرف المباشر'!D250)</f>
        <v/>
      </c>
      <c r="F750" t="str">
        <f>IF('الصرف المباشر'!C250="","",IF('الصرف المباشر'!F250="","",'الصرف المباشر'!F250))</f>
        <v/>
      </c>
      <c r="G750" t="str">
        <f>IF($B750&lt;&gt;"",SUMPRODUCT(($B$2:$B750&lt;&gt;"")*1),"")</f>
        <v/>
      </c>
    </row>
    <row r="751" spans="1:7">
      <c r="A751" s="23" t="str">
        <f>IF('الصرف المباشر'!C251="","",'الصرف المباشر'!B251)</f>
        <v/>
      </c>
      <c r="B751" t="str">
        <f>IF('الصرف المباشر'!C251="","","صرف مباشر")</f>
        <v/>
      </c>
      <c r="C751" t="str">
        <f>IF('الصرف المباشر'!C251="","",IF('الصرف المباشر'!E251="","-",'الصرف المباشر'!E251))</f>
        <v/>
      </c>
      <c r="D751" t="str">
        <f>IF('الصرف المباشر'!C251="","",'الصرف المباشر'!C251)</f>
        <v/>
      </c>
      <c r="E751" s="24" t="str">
        <f>IF('الصرف المباشر'!C251="","",-'الصرف المباشر'!D251)</f>
        <v/>
      </c>
      <c r="F751" t="str">
        <f>IF('الصرف المباشر'!C251="","",IF('الصرف المباشر'!F251="","",'الصرف المباشر'!F251))</f>
        <v/>
      </c>
      <c r="G751" t="str">
        <f>IF($B751&lt;&gt;"",SUMPRODUCT(($B$2:$B751&lt;&gt;"")*1),"")</f>
        <v/>
      </c>
    </row>
    <row r="752" spans="1:7">
      <c r="A752" s="23" t="str">
        <f>IF('الصرف المباشر'!C252="","",'الصرف المباشر'!B252)</f>
        <v/>
      </c>
      <c r="B752" t="str">
        <f>IF('الصرف المباشر'!C252="","","صرف مباشر")</f>
        <v/>
      </c>
      <c r="C752" t="str">
        <f>IF('الصرف المباشر'!C252="","",IF('الصرف المباشر'!E252="","-",'الصرف المباشر'!E252))</f>
        <v/>
      </c>
      <c r="D752" t="str">
        <f>IF('الصرف المباشر'!C252="","",'الصرف المباشر'!C252)</f>
        <v/>
      </c>
      <c r="E752" s="24" t="str">
        <f>IF('الصرف المباشر'!C252="","",-'الصرف المباشر'!D252)</f>
        <v/>
      </c>
      <c r="F752" t="str">
        <f>IF('الصرف المباشر'!C252="","",IF('الصرف المباشر'!F252="","",'الصرف المباشر'!F252))</f>
        <v/>
      </c>
      <c r="G752" t="str">
        <f>IF($B752&lt;&gt;"",SUMPRODUCT(($B$2:$B752&lt;&gt;"")*1),"")</f>
        <v/>
      </c>
    </row>
    <row r="753" spans="1:7">
      <c r="A753" s="23" t="str">
        <f>IF('الصرف المباشر'!C253="","",'الصرف المباشر'!B253)</f>
        <v/>
      </c>
      <c r="B753" t="str">
        <f>IF('الصرف المباشر'!C253="","","صرف مباشر")</f>
        <v/>
      </c>
      <c r="C753" t="str">
        <f>IF('الصرف المباشر'!C253="","",IF('الصرف المباشر'!E253="","-",'الصرف المباشر'!E253))</f>
        <v/>
      </c>
      <c r="D753" t="str">
        <f>IF('الصرف المباشر'!C253="","",'الصرف المباشر'!C253)</f>
        <v/>
      </c>
      <c r="E753" s="24" t="str">
        <f>IF('الصرف المباشر'!C253="","",-'الصرف المباشر'!D253)</f>
        <v/>
      </c>
      <c r="F753" t="str">
        <f>IF('الصرف المباشر'!C253="","",IF('الصرف المباشر'!F253="","",'الصرف المباشر'!F253))</f>
        <v/>
      </c>
      <c r="G753" t="str">
        <f>IF($B753&lt;&gt;"",SUMPRODUCT(($B$2:$B753&lt;&gt;"")*1),"")</f>
        <v/>
      </c>
    </row>
    <row r="754" spans="1:7">
      <c r="A754" s="23" t="str">
        <f>IF('الصرف المباشر'!C254="","",'الصرف المباشر'!B254)</f>
        <v/>
      </c>
      <c r="B754" t="str">
        <f>IF('الصرف المباشر'!C254="","","صرف مباشر")</f>
        <v/>
      </c>
      <c r="C754" t="str">
        <f>IF('الصرف المباشر'!C254="","",IF('الصرف المباشر'!E254="","-",'الصرف المباشر'!E254))</f>
        <v/>
      </c>
      <c r="D754" t="str">
        <f>IF('الصرف المباشر'!C254="","",'الصرف المباشر'!C254)</f>
        <v/>
      </c>
      <c r="E754" s="24" t="str">
        <f>IF('الصرف المباشر'!C254="","",-'الصرف المباشر'!D254)</f>
        <v/>
      </c>
      <c r="F754" t="str">
        <f>IF('الصرف المباشر'!C254="","",IF('الصرف المباشر'!F254="","",'الصرف المباشر'!F254))</f>
        <v/>
      </c>
      <c r="G754" t="str">
        <f>IF($B754&lt;&gt;"",SUMPRODUCT(($B$2:$B754&lt;&gt;"")*1),"")</f>
        <v/>
      </c>
    </row>
    <row r="755" spans="1:7">
      <c r="A755" s="23" t="str">
        <f>IF('الصرف المباشر'!C255="","",'الصرف المباشر'!B255)</f>
        <v/>
      </c>
      <c r="B755" t="str">
        <f>IF('الصرف المباشر'!C255="","","صرف مباشر")</f>
        <v/>
      </c>
      <c r="C755" t="str">
        <f>IF('الصرف المباشر'!C255="","",IF('الصرف المباشر'!E255="","-",'الصرف المباشر'!E255))</f>
        <v/>
      </c>
      <c r="D755" t="str">
        <f>IF('الصرف المباشر'!C255="","",'الصرف المباشر'!C255)</f>
        <v/>
      </c>
      <c r="E755" s="24" t="str">
        <f>IF('الصرف المباشر'!C255="","",-'الصرف المباشر'!D255)</f>
        <v/>
      </c>
      <c r="F755" t="str">
        <f>IF('الصرف المباشر'!C255="","",IF('الصرف المباشر'!F255="","",'الصرف المباشر'!F255))</f>
        <v/>
      </c>
      <c r="G755" t="str">
        <f>IF($B755&lt;&gt;"",SUMPRODUCT(($B$2:$B755&lt;&gt;"")*1),"")</f>
        <v/>
      </c>
    </row>
    <row r="756" spans="1:7">
      <c r="A756" s="23" t="str">
        <f>IF('الصرف المباشر'!C256="","",'الصرف المباشر'!B256)</f>
        <v/>
      </c>
      <c r="B756" t="str">
        <f>IF('الصرف المباشر'!C256="","","صرف مباشر")</f>
        <v/>
      </c>
      <c r="C756" t="str">
        <f>IF('الصرف المباشر'!C256="","",IF('الصرف المباشر'!E256="","-",'الصرف المباشر'!E256))</f>
        <v/>
      </c>
      <c r="D756" t="str">
        <f>IF('الصرف المباشر'!C256="","",'الصرف المباشر'!C256)</f>
        <v/>
      </c>
      <c r="E756" s="24" t="str">
        <f>IF('الصرف المباشر'!C256="","",-'الصرف المباشر'!D256)</f>
        <v/>
      </c>
      <c r="F756" t="str">
        <f>IF('الصرف المباشر'!C256="","",IF('الصرف المباشر'!F256="","",'الصرف المباشر'!F256))</f>
        <v/>
      </c>
      <c r="G756" t="str">
        <f>IF($B756&lt;&gt;"",SUMPRODUCT(($B$2:$B756&lt;&gt;"")*1),"")</f>
        <v/>
      </c>
    </row>
    <row r="757" spans="1:7">
      <c r="A757" s="23" t="str">
        <f>IF('الصرف المباشر'!C257="","",'الصرف المباشر'!B257)</f>
        <v/>
      </c>
      <c r="B757" t="str">
        <f>IF('الصرف المباشر'!C257="","","صرف مباشر")</f>
        <v/>
      </c>
      <c r="C757" t="str">
        <f>IF('الصرف المباشر'!C257="","",IF('الصرف المباشر'!E257="","-",'الصرف المباشر'!E257))</f>
        <v/>
      </c>
      <c r="D757" t="str">
        <f>IF('الصرف المباشر'!C257="","",'الصرف المباشر'!C257)</f>
        <v/>
      </c>
      <c r="E757" s="24" t="str">
        <f>IF('الصرف المباشر'!C257="","",-'الصرف المباشر'!D257)</f>
        <v/>
      </c>
      <c r="F757" t="str">
        <f>IF('الصرف المباشر'!C257="","",IF('الصرف المباشر'!F257="","",'الصرف المباشر'!F257))</f>
        <v/>
      </c>
      <c r="G757" t="str">
        <f>IF($B757&lt;&gt;"",SUMPRODUCT(($B$2:$B757&lt;&gt;"")*1),"")</f>
        <v/>
      </c>
    </row>
    <row r="758" spans="1:7">
      <c r="A758" s="23" t="str">
        <f>IF('الصرف المباشر'!C258="","",'الصرف المباشر'!B258)</f>
        <v/>
      </c>
      <c r="B758" t="str">
        <f>IF('الصرف المباشر'!C258="","","صرف مباشر")</f>
        <v/>
      </c>
      <c r="C758" t="str">
        <f>IF('الصرف المباشر'!C258="","",IF('الصرف المباشر'!E258="","-",'الصرف المباشر'!E258))</f>
        <v/>
      </c>
      <c r="D758" t="str">
        <f>IF('الصرف المباشر'!C258="","",'الصرف المباشر'!C258)</f>
        <v/>
      </c>
      <c r="E758" s="24" t="str">
        <f>IF('الصرف المباشر'!C258="","",-'الصرف المباشر'!D258)</f>
        <v/>
      </c>
      <c r="F758" t="str">
        <f>IF('الصرف المباشر'!C258="","",IF('الصرف المباشر'!F258="","",'الصرف المباشر'!F258))</f>
        <v/>
      </c>
      <c r="G758" t="str">
        <f>IF($B758&lt;&gt;"",SUMPRODUCT(($B$2:$B758&lt;&gt;"")*1),"")</f>
        <v/>
      </c>
    </row>
    <row r="759" spans="1:7">
      <c r="A759" s="23" t="str">
        <f>IF('الصرف المباشر'!C259="","",'الصرف المباشر'!B259)</f>
        <v/>
      </c>
      <c r="B759" t="str">
        <f>IF('الصرف المباشر'!C259="","","صرف مباشر")</f>
        <v/>
      </c>
      <c r="C759" t="str">
        <f>IF('الصرف المباشر'!C259="","",IF('الصرف المباشر'!E259="","-",'الصرف المباشر'!E259))</f>
        <v/>
      </c>
      <c r="D759" t="str">
        <f>IF('الصرف المباشر'!C259="","",'الصرف المباشر'!C259)</f>
        <v/>
      </c>
      <c r="E759" s="24" t="str">
        <f>IF('الصرف المباشر'!C259="","",-'الصرف المباشر'!D259)</f>
        <v/>
      </c>
      <c r="F759" t="str">
        <f>IF('الصرف المباشر'!C259="","",IF('الصرف المباشر'!F259="","",'الصرف المباشر'!F259))</f>
        <v/>
      </c>
      <c r="G759" t="str">
        <f>IF($B759&lt;&gt;"",SUMPRODUCT(($B$2:$B759&lt;&gt;"")*1),"")</f>
        <v/>
      </c>
    </row>
    <row r="760" spans="1:7">
      <c r="A760" s="23" t="str">
        <f>IF('الصرف المباشر'!C260="","",'الصرف المباشر'!B260)</f>
        <v/>
      </c>
      <c r="B760" t="str">
        <f>IF('الصرف المباشر'!C260="","","صرف مباشر")</f>
        <v/>
      </c>
      <c r="C760" t="str">
        <f>IF('الصرف المباشر'!C260="","",IF('الصرف المباشر'!E260="","-",'الصرف المباشر'!E260))</f>
        <v/>
      </c>
      <c r="D760" t="str">
        <f>IF('الصرف المباشر'!C260="","",'الصرف المباشر'!C260)</f>
        <v/>
      </c>
      <c r="E760" s="24" t="str">
        <f>IF('الصرف المباشر'!C260="","",-'الصرف المباشر'!D260)</f>
        <v/>
      </c>
      <c r="F760" t="str">
        <f>IF('الصرف المباشر'!C260="","",IF('الصرف المباشر'!F260="","",'الصرف المباشر'!F260))</f>
        <v/>
      </c>
      <c r="G760" t="str">
        <f>IF($B760&lt;&gt;"",SUMPRODUCT(($B$2:$B760&lt;&gt;"")*1),"")</f>
        <v/>
      </c>
    </row>
    <row r="761" spans="1:7">
      <c r="A761" s="23" t="str">
        <f>IF('الصرف المباشر'!C261="","",'الصرف المباشر'!B261)</f>
        <v/>
      </c>
      <c r="B761" t="str">
        <f>IF('الصرف المباشر'!C261="","","صرف مباشر")</f>
        <v/>
      </c>
      <c r="C761" t="str">
        <f>IF('الصرف المباشر'!C261="","",IF('الصرف المباشر'!E261="","-",'الصرف المباشر'!E261))</f>
        <v/>
      </c>
      <c r="D761" t="str">
        <f>IF('الصرف المباشر'!C261="","",'الصرف المباشر'!C261)</f>
        <v/>
      </c>
      <c r="E761" s="24" t="str">
        <f>IF('الصرف المباشر'!C261="","",-'الصرف المباشر'!D261)</f>
        <v/>
      </c>
      <c r="F761" t="str">
        <f>IF('الصرف المباشر'!C261="","",IF('الصرف المباشر'!F261="","",'الصرف المباشر'!F261))</f>
        <v/>
      </c>
      <c r="G761" t="str">
        <f>IF($B761&lt;&gt;"",SUMPRODUCT(($B$2:$B761&lt;&gt;"")*1),"")</f>
        <v/>
      </c>
    </row>
    <row r="762" spans="1:7">
      <c r="A762" s="23" t="str">
        <f>IF('الصرف المباشر'!C262="","",'الصرف المباشر'!B262)</f>
        <v/>
      </c>
      <c r="B762" t="str">
        <f>IF('الصرف المباشر'!C262="","","صرف مباشر")</f>
        <v/>
      </c>
      <c r="C762" t="str">
        <f>IF('الصرف المباشر'!C262="","",IF('الصرف المباشر'!E262="","-",'الصرف المباشر'!E262))</f>
        <v/>
      </c>
      <c r="D762" t="str">
        <f>IF('الصرف المباشر'!C262="","",'الصرف المباشر'!C262)</f>
        <v/>
      </c>
      <c r="E762" s="24" t="str">
        <f>IF('الصرف المباشر'!C262="","",-'الصرف المباشر'!D262)</f>
        <v/>
      </c>
      <c r="F762" t="str">
        <f>IF('الصرف المباشر'!C262="","",IF('الصرف المباشر'!F262="","",'الصرف المباشر'!F262))</f>
        <v/>
      </c>
      <c r="G762" t="str">
        <f>IF($B762&lt;&gt;"",SUMPRODUCT(($B$2:$B762&lt;&gt;"")*1),"")</f>
        <v/>
      </c>
    </row>
    <row r="763" spans="1:7">
      <c r="A763" s="23" t="str">
        <f>IF('الصرف المباشر'!C263="","",'الصرف المباشر'!B263)</f>
        <v/>
      </c>
      <c r="B763" t="str">
        <f>IF('الصرف المباشر'!C263="","","صرف مباشر")</f>
        <v/>
      </c>
      <c r="C763" t="str">
        <f>IF('الصرف المباشر'!C263="","",IF('الصرف المباشر'!E263="","-",'الصرف المباشر'!E263))</f>
        <v/>
      </c>
      <c r="D763" t="str">
        <f>IF('الصرف المباشر'!C263="","",'الصرف المباشر'!C263)</f>
        <v/>
      </c>
      <c r="E763" s="24" t="str">
        <f>IF('الصرف المباشر'!C263="","",-'الصرف المباشر'!D263)</f>
        <v/>
      </c>
      <c r="F763" t="str">
        <f>IF('الصرف المباشر'!C263="","",IF('الصرف المباشر'!F263="","",'الصرف المباشر'!F263))</f>
        <v/>
      </c>
      <c r="G763" t="str">
        <f>IF($B763&lt;&gt;"",SUMPRODUCT(($B$2:$B763&lt;&gt;"")*1),"")</f>
        <v/>
      </c>
    </row>
    <row r="764" spans="1:7">
      <c r="A764" s="23" t="str">
        <f>IF('الصرف المباشر'!C264="","",'الصرف المباشر'!B264)</f>
        <v/>
      </c>
      <c r="B764" t="str">
        <f>IF('الصرف المباشر'!C264="","","صرف مباشر")</f>
        <v/>
      </c>
      <c r="C764" t="str">
        <f>IF('الصرف المباشر'!C264="","",IF('الصرف المباشر'!E264="","-",'الصرف المباشر'!E264))</f>
        <v/>
      </c>
      <c r="D764" t="str">
        <f>IF('الصرف المباشر'!C264="","",'الصرف المباشر'!C264)</f>
        <v/>
      </c>
      <c r="E764" s="24" t="str">
        <f>IF('الصرف المباشر'!C264="","",-'الصرف المباشر'!D264)</f>
        <v/>
      </c>
      <c r="F764" t="str">
        <f>IF('الصرف المباشر'!C264="","",IF('الصرف المباشر'!F264="","",'الصرف المباشر'!F264))</f>
        <v/>
      </c>
      <c r="G764" t="str">
        <f>IF($B764&lt;&gt;"",SUMPRODUCT(($B$2:$B764&lt;&gt;"")*1),"")</f>
        <v/>
      </c>
    </row>
    <row r="765" spans="1:7">
      <c r="A765" s="23" t="str">
        <f>IF('الصرف المباشر'!C265="","",'الصرف المباشر'!B265)</f>
        <v/>
      </c>
      <c r="B765" t="str">
        <f>IF('الصرف المباشر'!C265="","","صرف مباشر")</f>
        <v/>
      </c>
      <c r="C765" t="str">
        <f>IF('الصرف المباشر'!C265="","",IF('الصرف المباشر'!E265="","-",'الصرف المباشر'!E265))</f>
        <v/>
      </c>
      <c r="D765" t="str">
        <f>IF('الصرف المباشر'!C265="","",'الصرف المباشر'!C265)</f>
        <v/>
      </c>
      <c r="E765" s="24" t="str">
        <f>IF('الصرف المباشر'!C265="","",-'الصرف المباشر'!D265)</f>
        <v/>
      </c>
      <c r="F765" t="str">
        <f>IF('الصرف المباشر'!C265="","",IF('الصرف المباشر'!F265="","",'الصرف المباشر'!F265))</f>
        <v/>
      </c>
      <c r="G765" t="str">
        <f>IF($B765&lt;&gt;"",SUMPRODUCT(($B$2:$B765&lt;&gt;"")*1),"")</f>
        <v/>
      </c>
    </row>
    <row r="766" spans="1:7">
      <c r="A766" s="23" t="str">
        <f>IF('الصرف المباشر'!C266="","",'الصرف المباشر'!B266)</f>
        <v/>
      </c>
      <c r="B766" t="str">
        <f>IF('الصرف المباشر'!C266="","","صرف مباشر")</f>
        <v/>
      </c>
      <c r="C766" t="str">
        <f>IF('الصرف المباشر'!C266="","",IF('الصرف المباشر'!E266="","-",'الصرف المباشر'!E266))</f>
        <v/>
      </c>
      <c r="D766" t="str">
        <f>IF('الصرف المباشر'!C266="","",'الصرف المباشر'!C266)</f>
        <v/>
      </c>
      <c r="E766" s="24" t="str">
        <f>IF('الصرف المباشر'!C266="","",-'الصرف المباشر'!D266)</f>
        <v/>
      </c>
      <c r="F766" t="str">
        <f>IF('الصرف المباشر'!C266="","",IF('الصرف المباشر'!F266="","",'الصرف المباشر'!F266))</f>
        <v/>
      </c>
      <c r="G766" t="str">
        <f>IF($B766&lt;&gt;"",SUMPRODUCT(($B$2:$B766&lt;&gt;"")*1),"")</f>
        <v/>
      </c>
    </row>
    <row r="767" spans="1:7">
      <c r="A767" s="23" t="str">
        <f>IF('الصرف المباشر'!C267="","",'الصرف المباشر'!B267)</f>
        <v/>
      </c>
      <c r="B767" t="str">
        <f>IF('الصرف المباشر'!C267="","","صرف مباشر")</f>
        <v/>
      </c>
      <c r="C767" t="str">
        <f>IF('الصرف المباشر'!C267="","",IF('الصرف المباشر'!E267="","-",'الصرف المباشر'!E267))</f>
        <v/>
      </c>
      <c r="D767" t="str">
        <f>IF('الصرف المباشر'!C267="","",'الصرف المباشر'!C267)</f>
        <v/>
      </c>
      <c r="E767" s="24" t="str">
        <f>IF('الصرف المباشر'!C267="","",-'الصرف المباشر'!D267)</f>
        <v/>
      </c>
      <c r="F767" t="str">
        <f>IF('الصرف المباشر'!C267="","",IF('الصرف المباشر'!F267="","",'الصرف المباشر'!F267))</f>
        <v/>
      </c>
      <c r="G767" t="str">
        <f>IF($B767&lt;&gt;"",SUMPRODUCT(($B$2:$B767&lt;&gt;"")*1),"")</f>
        <v/>
      </c>
    </row>
    <row r="768" spans="1:7">
      <c r="A768" s="23" t="str">
        <f>IF('الصرف المباشر'!C268="","",'الصرف المباشر'!B268)</f>
        <v/>
      </c>
      <c r="B768" t="str">
        <f>IF('الصرف المباشر'!C268="","","صرف مباشر")</f>
        <v/>
      </c>
      <c r="C768" t="str">
        <f>IF('الصرف المباشر'!C268="","",IF('الصرف المباشر'!E268="","-",'الصرف المباشر'!E268))</f>
        <v/>
      </c>
      <c r="D768" t="str">
        <f>IF('الصرف المباشر'!C268="","",'الصرف المباشر'!C268)</f>
        <v/>
      </c>
      <c r="E768" s="24" t="str">
        <f>IF('الصرف المباشر'!C268="","",-'الصرف المباشر'!D268)</f>
        <v/>
      </c>
      <c r="F768" t="str">
        <f>IF('الصرف المباشر'!C268="","",IF('الصرف المباشر'!F268="","",'الصرف المباشر'!F268))</f>
        <v/>
      </c>
      <c r="G768" t="str">
        <f>IF($B768&lt;&gt;"",SUMPRODUCT(($B$2:$B768&lt;&gt;"")*1),"")</f>
        <v/>
      </c>
    </row>
    <row r="769" spans="1:7">
      <c r="A769" s="23" t="str">
        <f>IF('الصرف المباشر'!C269="","",'الصرف المباشر'!B269)</f>
        <v/>
      </c>
      <c r="B769" t="str">
        <f>IF('الصرف المباشر'!C269="","","صرف مباشر")</f>
        <v/>
      </c>
      <c r="C769" t="str">
        <f>IF('الصرف المباشر'!C269="","",IF('الصرف المباشر'!E269="","-",'الصرف المباشر'!E269))</f>
        <v/>
      </c>
      <c r="D769" t="str">
        <f>IF('الصرف المباشر'!C269="","",'الصرف المباشر'!C269)</f>
        <v/>
      </c>
      <c r="E769" s="24" t="str">
        <f>IF('الصرف المباشر'!C269="","",-'الصرف المباشر'!D269)</f>
        <v/>
      </c>
      <c r="F769" t="str">
        <f>IF('الصرف المباشر'!C269="","",IF('الصرف المباشر'!F269="","",'الصرف المباشر'!F269))</f>
        <v/>
      </c>
      <c r="G769" t="str">
        <f>IF($B769&lt;&gt;"",SUMPRODUCT(($B$2:$B769&lt;&gt;"")*1),"")</f>
        <v/>
      </c>
    </row>
    <row r="770" spans="1:7">
      <c r="A770" s="23" t="str">
        <f>IF('الصرف المباشر'!C270="","",'الصرف المباشر'!B270)</f>
        <v/>
      </c>
      <c r="B770" t="str">
        <f>IF('الصرف المباشر'!C270="","","صرف مباشر")</f>
        <v/>
      </c>
      <c r="C770" t="str">
        <f>IF('الصرف المباشر'!C270="","",IF('الصرف المباشر'!E270="","-",'الصرف المباشر'!E270))</f>
        <v/>
      </c>
      <c r="D770" t="str">
        <f>IF('الصرف المباشر'!C270="","",'الصرف المباشر'!C270)</f>
        <v/>
      </c>
      <c r="E770" s="24" t="str">
        <f>IF('الصرف المباشر'!C270="","",-'الصرف المباشر'!D270)</f>
        <v/>
      </c>
      <c r="F770" t="str">
        <f>IF('الصرف المباشر'!C270="","",IF('الصرف المباشر'!F270="","",'الصرف المباشر'!F270))</f>
        <v/>
      </c>
      <c r="G770" t="str">
        <f>IF($B770&lt;&gt;"",SUMPRODUCT(($B$2:$B770&lt;&gt;"")*1),"")</f>
        <v/>
      </c>
    </row>
    <row r="771" spans="1:7">
      <c r="A771" s="23" t="str">
        <f>IF('الصرف المباشر'!C271="","",'الصرف المباشر'!B271)</f>
        <v/>
      </c>
      <c r="B771" t="str">
        <f>IF('الصرف المباشر'!C271="","","صرف مباشر")</f>
        <v/>
      </c>
      <c r="C771" t="str">
        <f>IF('الصرف المباشر'!C271="","",IF('الصرف المباشر'!E271="","-",'الصرف المباشر'!E271))</f>
        <v/>
      </c>
      <c r="D771" t="str">
        <f>IF('الصرف المباشر'!C271="","",'الصرف المباشر'!C271)</f>
        <v/>
      </c>
      <c r="E771" s="24" t="str">
        <f>IF('الصرف المباشر'!C271="","",-'الصرف المباشر'!D271)</f>
        <v/>
      </c>
      <c r="F771" t="str">
        <f>IF('الصرف المباشر'!C271="","",IF('الصرف المباشر'!F271="","",'الصرف المباشر'!F271))</f>
        <v/>
      </c>
      <c r="G771" t="str">
        <f>IF($B771&lt;&gt;"",SUMPRODUCT(($B$2:$B771&lt;&gt;"")*1),"")</f>
        <v/>
      </c>
    </row>
    <row r="772" spans="1:7">
      <c r="A772" s="23" t="str">
        <f>IF('الصرف المباشر'!C272="","",'الصرف المباشر'!B272)</f>
        <v/>
      </c>
      <c r="B772" t="str">
        <f>IF('الصرف المباشر'!C272="","","صرف مباشر")</f>
        <v/>
      </c>
      <c r="C772" t="str">
        <f>IF('الصرف المباشر'!C272="","",IF('الصرف المباشر'!E272="","-",'الصرف المباشر'!E272))</f>
        <v/>
      </c>
      <c r="D772" t="str">
        <f>IF('الصرف المباشر'!C272="","",'الصرف المباشر'!C272)</f>
        <v/>
      </c>
      <c r="E772" s="24" t="str">
        <f>IF('الصرف المباشر'!C272="","",-'الصرف المباشر'!D272)</f>
        <v/>
      </c>
      <c r="F772" t="str">
        <f>IF('الصرف المباشر'!C272="","",IF('الصرف المباشر'!F272="","",'الصرف المباشر'!F272))</f>
        <v/>
      </c>
      <c r="G772" t="str">
        <f>IF($B772&lt;&gt;"",SUMPRODUCT(($B$2:$B772&lt;&gt;"")*1),"")</f>
        <v/>
      </c>
    </row>
    <row r="773" spans="1:7">
      <c r="A773" s="23" t="str">
        <f>IF('الصرف المباشر'!C273="","",'الصرف المباشر'!B273)</f>
        <v/>
      </c>
      <c r="B773" t="str">
        <f>IF('الصرف المباشر'!C273="","","صرف مباشر")</f>
        <v/>
      </c>
      <c r="C773" t="str">
        <f>IF('الصرف المباشر'!C273="","",IF('الصرف المباشر'!E273="","-",'الصرف المباشر'!E273))</f>
        <v/>
      </c>
      <c r="D773" t="str">
        <f>IF('الصرف المباشر'!C273="","",'الصرف المباشر'!C273)</f>
        <v/>
      </c>
      <c r="E773" s="24" t="str">
        <f>IF('الصرف المباشر'!C273="","",-'الصرف المباشر'!D273)</f>
        <v/>
      </c>
      <c r="F773" t="str">
        <f>IF('الصرف المباشر'!C273="","",IF('الصرف المباشر'!F273="","",'الصرف المباشر'!F273))</f>
        <v/>
      </c>
      <c r="G773" t="str">
        <f>IF($B773&lt;&gt;"",SUMPRODUCT(($B$2:$B773&lt;&gt;"")*1),"")</f>
        <v/>
      </c>
    </row>
    <row r="774" spans="1:7">
      <c r="A774" s="23" t="str">
        <f>IF('الصرف المباشر'!C274="","",'الصرف المباشر'!B274)</f>
        <v/>
      </c>
      <c r="B774" t="str">
        <f>IF('الصرف المباشر'!C274="","","صرف مباشر")</f>
        <v/>
      </c>
      <c r="C774" t="str">
        <f>IF('الصرف المباشر'!C274="","",IF('الصرف المباشر'!E274="","-",'الصرف المباشر'!E274))</f>
        <v/>
      </c>
      <c r="D774" t="str">
        <f>IF('الصرف المباشر'!C274="","",'الصرف المباشر'!C274)</f>
        <v/>
      </c>
      <c r="E774" s="24" t="str">
        <f>IF('الصرف المباشر'!C274="","",-'الصرف المباشر'!D274)</f>
        <v/>
      </c>
      <c r="F774" t="str">
        <f>IF('الصرف المباشر'!C274="","",IF('الصرف المباشر'!F274="","",'الصرف المباشر'!F274))</f>
        <v/>
      </c>
      <c r="G774" t="str">
        <f>IF($B774&lt;&gt;"",SUMPRODUCT(($B$2:$B774&lt;&gt;"")*1),"")</f>
        <v/>
      </c>
    </row>
    <row r="775" spans="1:7">
      <c r="A775" s="23" t="str">
        <f>IF('الصرف المباشر'!C275="","",'الصرف المباشر'!B275)</f>
        <v/>
      </c>
      <c r="B775" t="str">
        <f>IF('الصرف المباشر'!C275="","","صرف مباشر")</f>
        <v/>
      </c>
      <c r="C775" t="str">
        <f>IF('الصرف المباشر'!C275="","",IF('الصرف المباشر'!E275="","-",'الصرف المباشر'!E275))</f>
        <v/>
      </c>
      <c r="D775" t="str">
        <f>IF('الصرف المباشر'!C275="","",'الصرف المباشر'!C275)</f>
        <v/>
      </c>
      <c r="E775" s="24" t="str">
        <f>IF('الصرف المباشر'!C275="","",-'الصرف المباشر'!D275)</f>
        <v/>
      </c>
      <c r="F775" t="str">
        <f>IF('الصرف المباشر'!C275="","",IF('الصرف المباشر'!F275="","",'الصرف المباشر'!F275))</f>
        <v/>
      </c>
      <c r="G775" t="str">
        <f>IF($B775&lt;&gt;"",SUMPRODUCT(($B$2:$B775&lt;&gt;"")*1),"")</f>
        <v/>
      </c>
    </row>
    <row r="776" spans="1:7">
      <c r="A776" s="23" t="str">
        <f>IF('الصرف المباشر'!C276="","",'الصرف المباشر'!B276)</f>
        <v/>
      </c>
      <c r="B776" t="str">
        <f>IF('الصرف المباشر'!C276="","","صرف مباشر")</f>
        <v/>
      </c>
      <c r="C776" t="str">
        <f>IF('الصرف المباشر'!C276="","",IF('الصرف المباشر'!E276="","-",'الصرف المباشر'!E276))</f>
        <v/>
      </c>
      <c r="D776" t="str">
        <f>IF('الصرف المباشر'!C276="","",'الصرف المباشر'!C276)</f>
        <v/>
      </c>
      <c r="E776" s="24" t="str">
        <f>IF('الصرف المباشر'!C276="","",-'الصرف المباشر'!D276)</f>
        <v/>
      </c>
      <c r="F776" t="str">
        <f>IF('الصرف المباشر'!C276="","",IF('الصرف المباشر'!F276="","",'الصرف المباشر'!F276))</f>
        <v/>
      </c>
      <c r="G776" t="str">
        <f>IF($B776&lt;&gt;"",SUMPRODUCT(($B$2:$B776&lt;&gt;"")*1),"")</f>
        <v/>
      </c>
    </row>
    <row r="777" spans="1:7">
      <c r="A777" s="23" t="str">
        <f>IF('الصرف المباشر'!C277="","",'الصرف المباشر'!B277)</f>
        <v/>
      </c>
      <c r="B777" t="str">
        <f>IF('الصرف المباشر'!C277="","","صرف مباشر")</f>
        <v/>
      </c>
      <c r="C777" t="str">
        <f>IF('الصرف المباشر'!C277="","",IF('الصرف المباشر'!E277="","-",'الصرف المباشر'!E277))</f>
        <v/>
      </c>
      <c r="D777" t="str">
        <f>IF('الصرف المباشر'!C277="","",'الصرف المباشر'!C277)</f>
        <v/>
      </c>
      <c r="E777" s="24" t="str">
        <f>IF('الصرف المباشر'!C277="","",-'الصرف المباشر'!D277)</f>
        <v/>
      </c>
      <c r="F777" t="str">
        <f>IF('الصرف المباشر'!C277="","",IF('الصرف المباشر'!F277="","",'الصرف المباشر'!F277))</f>
        <v/>
      </c>
      <c r="G777" t="str">
        <f>IF($B777&lt;&gt;"",SUMPRODUCT(($B$2:$B777&lt;&gt;"")*1),"")</f>
        <v/>
      </c>
    </row>
    <row r="778" spans="1:7">
      <c r="A778" s="23" t="str">
        <f>IF('الصرف المباشر'!C278="","",'الصرف المباشر'!B278)</f>
        <v/>
      </c>
      <c r="B778" t="str">
        <f>IF('الصرف المباشر'!C278="","","صرف مباشر")</f>
        <v/>
      </c>
      <c r="C778" t="str">
        <f>IF('الصرف المباشر'!C278="","",IF('الصرف المباشر'!E278="","-",'الصرف المباشر'!E278))</f>
        <v/>
      </c>
      <c r="D778" t="str">
        <f>IF('الصرف المباشر'!C278="","",'الصرف المباشر'!C278)</f>
        <v/>
      </c>
      <c r="E778" s="24" t="str">
        <f>IF('الصرف المباشر'!C278="","",-'الصرف المباشر'!D278)</f>
        <v/>
      </c>
      <c r="F778" t="str">
        <f>IF('الصرف المباشر'!C278="","",IF('الصرف المباشر'!F278="","",'الصرف المباشر'!F278))</f>
        <v/>
      </c>
      <c r="G778" t="str">
        <f>IF($B778&lt;&gt;"",SUMPRODUCT(($B$2:$B778&lt;&gt;"")*1),"")</f>
        <v/>
      </c>
    </row>
    <row r="779" spans="1:7">
      <c r="A779" s="23" t="str">
        <f>IF('الصرف المباشر'!C279="","",'الصرف المباشر'!B279)</f>
        <v/>
      </c>
      <c r="B779" t="str">
        <f>IF('الصرف المباشر'!C279="","","صرف مباشر")</f>
        <v/>
      </c>
      <c r="C779" t="str">
        <f>IF('الصرف المباشر'!C279="","",IF('الصرف المباشر'!E279="","-",'الصرف المباشر'!E279))</f>
        <v/>
      </c>
      <c r="D779" t="str">
        <f>IF('الصرف المباشر'!C279="","",'الصرف المباشر'!C279)</f>
        <v/>
      </c>
      <c r="E779" s="24" t="str">
        <f>IF('الصرف المباشر'!C279="","",-'الصرف المباشر'!D279)</f>
        <v/>
      </c>
      <c r="F779" t="str">
        <f>IF('الصرف المباشر'!C279="","",IF('الصرف المباشر'!F279="","",'الصرف المباشر'!F279))</f>
        <v/>
      </c>
      <c r="G779" t="str">
        <f>IF($B779&lt;&gt;"",SUMPRODUCT(($B$2:$B779&lt;&gt;"")*1),"")</f>
        <v/>
      </c>
    </row>
    <row r="780" spans="1:7">
      <c r="A780" s="23" t="str">
        <f>IF('الصرف المباشر'!C280="","",'الصرف المباشر'!B280)</f>
        <v/>
      </c>
      <c r="B780" t="str">
        <f>IF('الصرف المباشر'!C280="","","صرف مباشر")</f>
        <v/>
      </c>
      <c r="C780" t="str">
        <f>IF('الصرف المباشر'!C280="","",IF('الصرف المباشر'!E280="","-",'الصرف المباشر'!E280))</f>
        <v/>
      </c>
      <c r="D780" t="str">
        <f>IF('الصرف المباشر'!C280="","",'الصرف المباشر'!C280)</f>
        <v/>
      </c>
      <c r="E780" s="24" t="str">
        <f>IF('الصرف المباشر'!C280="","",-'الصرف المباشر'!D280)</f>
        <v/>
      </c>
      <c r="F780" t="str">
        <f>IF('الصرف المباشر'!C280="","",IF('الصرف المباشر'!F280="","",'الصرف المباشر'!F280))</f>
        <v/>
      </c>
      <c r="G780" t="str">
        <f>IF($B780&lt;&gt;"",SUMPRODUCT(($B$2:$B780&lt;&gt;"")*1),"")</f>
        <v/>
      </c>
    </row>
    <row r="781" spans="1:7">
      <c r="A781" s="23" t="str">
        <f>IF('الصرف المباشر'!C281="","",'الصرف المباشر'!B281)</f>
        <v/>
      </c>
      <c r="B781" t="str">
        <f>IF('الصرف المباشر'!C281="","","صرف مباشر")</f>
        <v/>
      </c>
      <c r="C781" t="str">
        <f>IF('الصرف المباشر'!C281="","",IF('الصرف المباشر'!E281="","-",'الصرف المباشر'!E281))</f>
        <v/>
      </c>
      <c r="D781" t="str">
        <f>IF('الصرف المباشر'!C281="","",'الصرف المباشر'!C281)</f>
        <v/>
      </c>
      <c r="E781" s="24" t="str">
        <f>IF('الصرف المباشر'!C281="","",-'الصرف المباشر'!D281)</f>
        <v/>
      </c>
      <c r="F781" t="str">
        <f>IF('الصرف المباشر'!C281="","",IF('الصرف المباشر'!F281="","",'الصرف المباشر'!F281))</f>
        <v/>
      </c>
      <c r="G781" t="str">
        <f>IF($B781&lt;&gt;"",SUMPRODUCT(($B$2:$B781&lt;&gt;"")*1),"")</f>
        <v/>
      </c>
    </row>
    <row r="782" spans="1:7">
      <c r="A782" s="23" t="str">
        <f>IF('الصرف المباشر'!C282="","",'الصرف المباشر'!B282)</f>
        <v/>
      </c>
      <c r="B782" t="str">
        <f>IF('الصرف المباشر'!C282="","","صرف مباشر")</f>
        <v/>
      </c>
      <c r="C782" t="str">
        <f>IF('الصرف المباشر'!C282="","",IF('الصرف المباشر'!E282="","-",'الصرف المباشر'!E282))</f>
        <v/>
      </c>
      <c r="D782" t="str">
        <f>IF('الصرف المباشر'!C282="","",'الصرف المباشر'!C282)</f>
        <v/>
      </c>
      <c r="E782" s="24" t="str">
        <f>IF('الصرف المباشر'!C282="","",-'الصرف المباشر'!D282)</f>
        <v/>
      </c>
      <c r="F782" t="str">
        <f>IF('الصرف المباشر'!C282="","",IF('الصرف المباشر'!F282="","",'الصرف المباشر'!F282))</f>
        <v/>
      </c>
      <c r="G782" t="str">
        <f>IF($B782&lt;&gt;"",SUMPRODUCT(($B$2:$B782&lt;&gt;"")*1),"")</f>
        <v/>
      </c>
    </row>
    <row r="783" spans="1:7">
      <c r="A783" s="23" t="str">
        <f>IF('الصرف المباشر'!C283="","",'الصرف المباشر'!B283)</f>
        <v/>
      </c>
      <c r="B783" t="str">
        <f>IF('الصرف المباشر'!C283="","","صرف مباشر")</f>
        <v/>
      </c>
      <c r="C783" t="str">
        <f>IF('الصرف المباشر'!C283="","",IF('الصرف المباشر'!E283="","-",'الصرف المباشر'!E283))</f>
        <v/>
      </c>
      <c r="D783" t="str">
        <f>IF('الصرف المباشر'!C283="","",'الصرف المباشر'!C283)</f>
        <v/>
      </c>
      <c r="E783" s="24" t="str">
        <f>IF('الصرف المباشر'!C283="","",-'الصرف المباشر'!D283)</f>
        <v/>
      </c>
      <c r="F783" t="str">
        <f>IF('الصرف المباشر'!C283="","",IF('الصرف المباشر'!F283="","",'الصرف المباشر'!F283))</f>
        <v/>
      </c>
      <c r="G783" t="str">
        <f>IF($B783&lt;&gt;"",SUMPRODUCT(($B$2:$B783&lt;&gt;"")*1),"")</f>
        <v/>
      </c>
    </row>
    <row r="784" spans="1:7">
      <c r="A784" s="23" t="str">
        <f>IF('الصرف المباشر'!C284="","",'الصرف المباشر'!B284)</f>
        <v/>
      </c>
      <c r="B784" t="str">
        <f>IF('الصرف المباشر'!C284="","","صرف مباشر")</f>
        <v/>
      </c>
      <c r="C784" t="str">
        <f>IF('الصرف المباشر'!C284="","",IF('الصرف المباشر'!E284="","-",'الصرف المباشر'!E284))</f>
        <v/>
      </c>
      <c r="D784" t="str">
        <f>IF('الصرف المباشر'!C284="","",'الصرف المباشر'!C284)</f>
        <v/>
      </c>
      <c r="E784" s="24" t="str">
        <f>IF('الصرف المباشر'!C284="","",-'الصرف المباشر'!D284)</f>
        <v/>
      </c>
      <c r="F784" t="str">
        <f>IF('الصرف المباشر'!C284="","",IF('الصرف المباشر'!F284="","",'الصرف المباشر'!F284))</f>
        <v/>
      </c>
      <c r="G784" t="str">
        <f>IF($B784&lt;&gt;"",SUMPRODUCT(($B$2:$B784&lt;&gt;"")*1),"")</f>
        <v/>
      </c>
    </row>
    <row r="785" spans="1:7">
      <c r="A785" s="23" t="str">
        <f>IF('الصرف المباشر'!C285="","",'الصرف المباشر'!B285)</f>
        <v/>
      </c>
      <c r="B785" t="str">
        <f>IF('الصرف المباشر'!C285="","","صرف مباشر")</f>
        <v/>
      </c>
      <c r="C785" t="str">
        <f>IF('الصرف المباشر'!C285="","",IF('الصرف المباشر'!E285="","-",'الصرف المباشر'!E285))</f>
        <v/>
      </c>
      <c r="D785" t="str">
        <f>IF('الصرف المباشر'!C285="","",'الصرف المباشر'!C285)</f>
        <v/>
      </c>
      <c r="E785" s="24" t="str">
        <f>IF('الصرف المباشر'!C285="","",-'الصرف المباشر'!D285)</f>
        <v/>
      </c>
      <c r="F785" t="str">
        <f>IF('الصرف المباشر'!C285="","",IF('الصرف المباشر'!F285="","",'الصرف المباشر'!F285))</f>
        <v/>
      </c>
      <c r="G785" t="str">
        <f>IF($B785&lt;&gt;"",SUMPRODUCT(($B$2:$B785&lt;&gt;"")*1),"")</f>
        <v/>
      </c>
    </row>
    <row r="786" spans="1:7">
      <c r="A786" s="23" t="str">
        <f>IF('الصرف المباشر'!C286="","",'الصرف المباشر'!B286)</f>
        <v/>
      </c>
      <c r="B786" t="str">
        <f>IF('الصرف المباشر'!C286="","","صرف مباشر")</f>
        <v/>
      </c>
      <c r="C786" t="str">
        <f>IF('الصرف المباشر'!C286="","",IF('الصرف المباشر'!E286="","-",'الصرف المباشر'!E286))</f>
        <v/>
      </c>
      <c r="D786" t="str">
        <f>IF('الصرف المباشر'!C286="","",'الصرف المباشر'!C286)</f>
        <v/>
      </c>
      <c r="E786" s="24" t="str">
        <f>IF('الصرف المباشر'!C286="","",-'الصرف المباشر'!D286)</f>
        <v/>
      </c>
      <c r="F786" t="str">
        <f>IF('الصرف المباشر'!C286="","",IF('الصرف المباشر'!F286="","",'الصرف المباشر'!F286))</f>
        <v/>
      </c>
      <c r="G786" t="str">
        <f>IF($B786&lt;&gt;"",SUMPRODUCT(($B$2:$B786&lt;&gt;"")*1),"")</f>
        <v/>
      </c>
    </row>
    <row r="787" spans="1:7">
      <c r="A787" s="23" t="str">
        <f>IF('الصرف المباشر'!C287="","",'الصرف المباشر'!B287)</f>
        <v/>
      </c>
      <c r="B787" t="str">
        <f>IF('الصرف المباشر'!C287="","","صرف مباشر")</f>
        <v/>
      </c>
      <c r="C787" t="str">
        <f>IF('الصرف المباشر'!C287="","",IF('الصرف المباشر'!E287="","-",'الصرف المباشر'!E287))</f>
        <v/>
      </c>
      <c r="D787" t="str">
        <f>IF('الصرف المباشر'!C287="","",'الصرف المباشر'!C287)</f>
        <v/>
      </c>
      <c r="E787" s="24" t="str">
        <f>IF('الصرف المباشر'!C287="","",-'الصرف المباشر'!D287)</f>
        <v/>
      </c>
      <c r="F787" t="str">
        <f>IF('الصرف المباشر'!C287="","",IF('الصرف المباشر'!F287="","",'الصرف المباشر'!F287))</f>
        <v/>
      </c>
      <c r="G787" t="str">
        <f>IF($B787&lt;&gt;"",SUMPRODUCT(($B$2:$B787&lt;&gt;"")*1),"")</f>
        <v/>
      </c>
    </row>
    <row r="788" spans="1:7">
      <c r="A788" s="23" t="str">
        <f>IF('الصرف المباشر'!C288="","",'الصرف المباشر'!B288)</f>
        <v/>
      </c>
      <c r="B788" t="str">
        <f>IF('الصرف المباشر'!C288="","","صرف مباشر")</f>
        <v/>
      </c>
      <c r="C788" t="str">
        <f>IF('الصرف المباشر'!C288="","",IF('الصرف المباشر'!E288="","-",'الصرف المباشر'!E288))</f>
        <v/>
      </c>
      <c r="D788" t="str">
        <f>IF('الصرف المباشر'!C288="","",'الصرف المباشر'!C288)</f>
        <v/>
      </c>
      <c r="E788" s="24" t="str">
        <f>IF('الصرف المباشر'!C288="","",-'الصرف المباشر'!D288)</f>
        <v/>
      </c>
      <c r="F788" t="str">
        <f>IF('الصرف المباشر'!C288="","",IF('الصرف المباشر'!F288="","",'الصرف المباشر'!F288))</f>
        <v/>
      </c>
      <c r="G788" t="str">
        <f>IF($B788&lt;&gt;"",SUMPRODUCT(($B$2:$B788&lt;&gt;"")*1),"")</f>
        <v/>
      </c>
    </row>
    <row r="789" spans="1:7">
      <c r="A789" s="23" t="str">
        <f>IF('الصرف المباشر'!C289="","",'الصرف المباشر'!B289)</f>
        <v/>
      </c>
      <c r="B789" t="str">
        <f>IF('الصرف المباشر'!C289="","","صرف مباشر")</f>
        <v/>
      </c>
      <c r="C789" t="str">
        <f>IF('الصرف المباشر'!C289="","",IF('الصرف المباشر'!E289="","-",'الصرف المباشر'!E289))</f>
        <v/>
      </c>
      <c r="D789" t="str">
        <f>IF('الصرف المباشر'!C289="","",'الصرف المباشر'!C289)</f>
        <v/>
      </c>
      <c r="E789" s="24" t="str">
        <f>IF('الصرف المباشر'!C289="","",-'الصرف المباشر'!D289)</f>
        <v/>
      </c>
      <c r="F789" t="str">
        <f>IF('الصرف المباشر'!C289="","",IF('الصرف المباشر'!F289="","",'الصرف المباشر'!F289))</f>
        <v/>
      </c>
      <c r="G789" t="str">
        <f>IF($B789&lt;&gt;"",SUMPRODUCT(($B$2:$B789&lt;&gt;"")*1),"")</f>
        <v/>
      </c>
    </row>
    <row r="790" spans="1:7">
      <c r="A790" s="23" t="str">
        <f>IF('الصرف المباشر'!C290="","",'الصرف المباشر'!B290)</f>
        <v/>
      </c>
      <c r="B790" t="str">
        <f>IF('الصرف المباشر'!C290="","","صرف مباشر")</f>
        <v/>
      </c>
      <c r="C790" t="str">
        <f>IF('الصرف المباشر'!C290="","",IF('الصرف المباشر'!E290="","-",'الصرف المباشر'!E290))</f>
        <v/>
      </c>
      <c r="D790" t="str">
        <f>IF('الصرف المباشر'!C290="","",'الصرف المباشر'!C290)</f>
        <v/>
      </c>
      <c r="E790" s="24" t="str">
        <f>IF('الصرف المباشر'!C290="","",-'الصرف المباشر'!D290)</f>
        <v/>
      </c>
      <c r="F790" t="str">
        <f>IF('الصرف المباشر'!C290="","",IF('الصرف المباشر'!F290="","",'الصرف المباشر'!F290))</f>
        <v/>
      </c>
      <c r="G790" t="str">
        <f>IF($B790&lt;&gt;"",SUMPRODUCT(($B$2:$B790&lt;&gt;"")*1),"")</f>
        <v/>
      </c>
    </row>
    <row r="791" spans="1:7">
      <c r="A791" s="23" t="str">
        <f>IF('الصرف المباشر'!C291="","",'الصرف المباشر'!B291)</f>
        <v/>
      </c>
      <c r="B791" t="str">
        <f>IF('الصرف المباشر'!C291="","","صرف مباشر")</f>
        <v/>
      </c>
      <c r="C791" t="str">
        <f>IF('الصرف المباشر'!C291="","",IF('الصرف المباشر'!E291="","-",'الصرف المباشر'!E291))</f>
        <v/>
      </c>
      <c r="D791" t="str">
        <f>IF('الصرف المباشر'!C291="","",'الصرف المباشر'!C291)</f>
        <v/>
      </c>
      <c r="E791" s="24" t="str">
        <f>IF('الصرف المباشر'!C291="","",-'الصرف المباشر'!D291)</f>
        <v/>
      </c>
      <c r="F791" t="str">
        <f>IF('الصرف المباشر'!C291="","",IF('الصرف المباشر'!F291="","",'الصرف المباشر'!F291))</f>
        <v/>
      </c>
      <c r="G791" t="str">
        <f>IF($B791&lt;&gt;"",SUMPRODUCT(($B$2:$B791&lt;&gt;"")*1),"")</f>
        <v/>
      </c>
    </row>
    <row r="792" spans="1:7">
      <c r="A792" s="23" t="str">
        <f>IF('الصرف المباشر'!C292="","",'الصرف المباشر'!B292)</f>
        <v/>
      </c>
      <c r="B792" t="str">
        <f>IF('الصرف المباشر'!C292="","","صرف مباشر")</f>
        <v/>
      </c>
      <c r="C792" t="str">
        <f>IF('الصرف المباشر'!C292="","",IF('الصرف المباشر'!E292="","-",'الصرف المباشر'!E292))</f>
        <v/>
      </c>
      <c r="D792" t="str">
        <f>IF('الصرف المباشر'!C292="","",'الصرف المباشر'!C292)</f>
        <v/>
      </c>
      <c r="E792" s="24" t="str">
        <f>IF('الصرف المباشر'!C292="","",-'الصرف المباشر'!D292)</f>
        <v/>
      </c>
      <c r="F792" t="str">
        <f>IF('الصرف المباشر'!C292="","",IF('الصرف المباشر'!F292="","",'الصرف المباشر'!F292))</f>
        <v/>
      </c>
      <c r="G792" t="str">
        <f>IF($B792&lt;&gt;"",SUMPRODUCT(($B$2:$B792&lt;&gt;"")*1),"")</f>
        <v/>
      </c>
    </row>
    <row r="793" spans="1:7">
      <c r="A793" s="23" t="str">
        <f>IF('الصرف المباشر'!C293="","",'الصرف المباشر'!B293)</f>
        <v/>
      </c>
      <c r="B793" t="str">
        <f>IF('الصرف المباشر'!C293="","","صرف مباشر")</f>
        <v/>
      </c>
      <c r="C793" t="str">
        <f>IF('الصرف المباشر'!C293="","",IF('الصرف المباشر'!E293="","-",'الصرف المباشر'!E293))</f>
        <v/>
      </c>
      <c r="D793" t="str">
        <f>IF('الصرف المباشر'!C293="","",'الصرف المباشر'!C293)</f>
        <v/>
      </c>
      <c r="E793" s="24" t="str">
        <f>IF('الصرف المباشر'!C293="","",-'الصرف المباشر'!D293)</f>
        <v/>
      </c>
      <c r="F793" t="str">
        <f>IF('الصرف المباشر'!C293="","",IF('الصرف المباشر'!F293="","",'الصرف المباشر'!F293))</f>
        <v/>
      </c>
      <c r="G793" t="str">
        <f>IF($B793&lt;&gt;"",SUMPRODUCT(($B$2:$B793&lt;&gt;"")*1),"")</f>
        <v/>
      </c>
    </row>
    <row r="794" spans="1:7">
      <c r="A794" s="23" t="str">
        <f>IF('الصرف المباشر'!C294="","",'الصرف المباشر'!B294)</f>
        <v/>
      </c>
      <c r="B794" t="str">
        <f>IF('الصرف المباشر'!C294="","","صرف مباشر")</f>
        <v/>
      </c>
      <c r="C794" t="str">
        <f>IF('الصرف المباشر'!C294="","",IF('الصرف المباشر'!E294="","-",'الصرف المباشر'!E294))</f>
        <v/>
      </c>
      <c r="D794" t="str">
        <f>IF('الصرف المباشر'!C294="","",'الصرف المباشر'!C294)</f>
        <v/>
      </c>
      <c r="E794" s="24" t="str">
        <f>IF('الصرف المباشر'!C294="","",-'الصرف المباشر'!D294)</f>
        <v/>
      </c>
      <c r="F794" t="str">
        <f>IF('الصرف المباشر'!C294="","",IF('الصرف المباشر'!F294="","",'الصرف المباشر'!F294))</f>
        <v/>
      </c>
      <c r="G794" t="str">
        <f>IF($B794&lt;&gt;"",SUMPRODUCT(($B$2:$B794&lt;&gt;"")*1),"")</f>
        <v/>
      </c>
    </row>
    <row r="795" spans="1:7">
      <c r="A795" s="23" t="str">
        <f>IF('الصرف المباشر'!C295="","",'الصرف المباشر'!B295)</f>
        <v/>
      </c>
      <c r="B795" t="str">
        <f>IF('الصرف المباشر'!C295="","","صرف مباشر")</f>
        <v/>
      </c>
      <c r="C795" t="str">
        <f>IF('الصرف المباشر'!C295="","",IF('الصرف المباشر'!E295="","-",'الصرف المباشر'!E295))</f>
        <v/>
      </c>
      <c r="D795" t="str">
        <f>IF('الصرف المباشر'!C295="","",'الصرف المباشر'!C295)</f>
        <v/>
      </c>
      <c r="E795" s="24" t="str">
        <f>IF('الصرف المباشر'!C295="","",-'الصرف المباشر'!D295)</f>
        <v/>
      </c>
      <c r="F795" t="str">
        <f>IF('الصرف المباشر'!C295="","",IF('الصرف المباشر'!F295="","",'الصرف المباشر'!F295))</f>
        <v/>
      </c>
      <c r="G795" t="str">
        <f>IF($B795&lt;&gt;"",SUMPRODUCT(($B$2:$B795&lt;&gt;"")*1),"")</f>
        <v/>
      </c>
    </row>
    <row r="796" spans="1:7">
      <c r="A796" s="23" t="str">
        <f>IF('الصرف المباشر'!C296="","",'الصرف المباشر'!B296)</f>
        <v/>
      </c>
      <c r="B796" t="str">
        <f>IF('الصرف المباشر'!C296="","","صرف مباشر")</f>
        <v/>
      </c>
      <c r="C796" t="str">
        <f>IF('الصرف المباشر'!C296="","",IF('الصرف المباشر'!E296="","-",'الصرف المباشر'!E296))</f>
        <v/>
      </c>
      <c r="D796" t="str">
        <f>IF('الصرف المباشر'!C296="","",'الصرف المباشر'!C296)</f>
        <v/>
      </c>
      <c r="E796" s="24" t="str">
        <f>IF('الصرف المباشر'!C296="","",-'الصرف المباشر'!D296)</f>
        <v/>
      </c>
      <c r="F796" t="str">
        <f>IF('الصرف المباشر'!C296="","",IF('الصرف المباشر'!F296="","",'الصرف المباشر'!F296))</f>
        <v/>
      </c>
      <c r="G796" t="str">
        <f>IF($B796&lt;&gt;"",SUMPRODUCT(($B$2:$B796&lt;&gt;"")*1),"")</f>
        <v/>
      </c>
    </row>
    <row r="797" spans="1:7">
      <c r="A797" s="23" t="str">
        <f>IF('الصرف المباشر'!C297="","",'الصرف المباشر'!B297)</f>
        <v/>
      </c>
      <c r="B797" t="str">
        <f>IF('الصرف المباشر'!C297="","","صرف مباشر")</f>
        <v/>
      </c>
      <c r="C797" t="str">
        <f>IF('الصرف المباشر'!C297="","",IF('الصرف المباشر'!E297="","-",'الصرف المباشر'!E297))</f>
        <v/>
      </c>
      <c r="D797" t="str">
        <f>IF('الصرف المباشر'!C297="","",'الصرف المباشر'!C297)</f>
        <v/>
      </c>
      <c r="E797" s="24" t="str">
        <f>IF('الصرف المباشر'!C297="","",-'الصرف المباشر'!D297)</f>
        <v/>
      </c>
      <c r="F797" t="str">
        <f>IF('الصرف المباشر'!C297="","",IF('الصرف المباشر'!F297="","",'الصرف المباشر'!F297))</f>
        <v/>
      </c>
      <c r="G797" t="str">
        <f>IF($B797&lt;&gt;"",SUMPRODUCT(($B$2:$B797&lt;&gt;"")*1),"")</f>
        <v/>
      </c>
    </row>
    <row r="798" spans="1:7">
      <c r="A798" s="23" t="str">
        <f>IF('الصرف المباشر'!C298="","",'الصرف المباشر'!B298)</f>
        <v/>
      </c>
      <c r="B798" t="str">
        <f>IF('الصرف المباشر'!C298="","","صرف مباشر")</f>
        <v/>
      </c>
      <c r="C798" t="str">
        <f>IF('الصرف المباشر'!C298="","",IF('الصرف المباشر'!E298="","-",'الصرف المباشر'!E298))</f>
        <v/>
      </c>
      <c r="D798" t="str">
        <f>IF('الصرف المباشر'!C298="","",'الصرف المباشر'!C298)</f>
        <v/>
      </c>
      <c r="E798" s="24" t="str">
        <f>IF('الصرف المباشر'!C298="","",-'الصرف المباشر'!D298)</f>
        <v/>
      </c>
      <c r="F798" t="str">
        <f>IF('الصرف المباشر'!C298="","",IF('الصرف المباشر'!F298="","",'الصرف المباشر'!F298))</f>
        <v/>
      </c>
      <c r="G798" t="str">
        <f>IF($B798&lt;&gt;"",SUMPRODUCT(($B$2:$B798&lt;&gt;"")*1),"")</f>
        <v/>
      </c>
    </row>
    <row r="799" spans="1:7">
      <c r="A799" s="23" t="str">
        <f>IF('الصرف المباشر'!C299="","",'الصرف المباشر'!B299)</f>
        <v/>
      </c>
      <c r="B799" t="str">
        <f>IF('الصرف المباشر'!C299="","","صرف مباشر")</f>
        <v/>
      </c>
      <c r="C799" t="str">
        <f>IF('الصرف المباشر'!C299="","",IF('الصرف المباشر'!E299="","-",'الصرف المباشر'!E299))</f>
        <v/>
      </c>
      <c r="D799" t="str">
        <f>IF('الصرف المباشر'!C299="","",'الصرف المباشر'!C299)</f>
        <v/>
      </c>
      <c r="E799" s="24" t="str">
        <f>IF('الصرف المباشر'!C299="","",-'الصرف المباشر'!D299)</f>
        <v/>
      </c>
      <c r="F799" t="str">
        <f>IF('الصرف المباشر'!C299="","",IF('الصرف المباشر'!F299="","",'الصرف المباشر'!F299))</f>
        <v/>
      </c>
      <c r="G799" t="str">
        <f>IF($B799&lt;&gt;"",SUMPRODUCT(($B$2:$B799&lt;&gt;"")*1),"")</f>
        <v/>
      </c>
    </row>
    <row r="800" spans="1:7">
      <c r="A800" s="23" t="str">
        <f>IF('الصرف المباشر'!C300="","",'الصرف المباشر'!B300)</f>
        <v/>
      </c>
      <c r="B800" t="str">
        <f>IF('الصرف المباشر'!C300="","","صرف مباشر")</f>
        <v/>
      </c>
      <c r="C800" t="str">
        <f>IF('الصرف المباشر'!C300="","",IF('الصرف المباشر'!E300="","-",'الصرف المباشر'!E300))</f>
        <v/>
      </c>
      <c r="D800" t="str">
        <f>IF('الصرف المباشر'!C300="","",'الصرف المباشر'!C300)</f>
        <v/>
      </c>
      <c r="E800" s="24" t="str">
        <f>IF('الصرف المباشر'!C300="","",-'الصرف المباشر'!D300)</f>
        <v/>
      </c>
      <c r="F800" t="str">
        <f>IF('الصرف المباشر'!C300="","",IF('الصرف المباشر'!F300="","",'الصرف المباشر'!F300))</f>
        <v/>
      </c>
      <c r="G800" t="str">
        <f>IF($B800&lt;&gt;"",SUMPRODUCT(($B$2:$B800&lt;&gt;"")*1),"")</f>
        <v/>
      </c>
    </row>
    <row r="801" spans="1:7">
      <c r="A801" s="23" t="str">
        <f>IF('الصرف المباشر'!C301="","",'الصرف المباشر'!B301)</f>
        <v/>
      </c>
      <c r="B801" t="str">
        <f>IF('الصرف المباشر'!C301="","","صرف مباشر")</f>
        <v/>
      </c>
      <c r="C801" t="str">
        <f>IF('الصرف المباشر'!C301="","",IF('الصرف المباشر'!E301="","-",'الصرف المباشر'!E301))</f>
        <v/>
      </c>
      <c r="D801" t="str">
        <f>IF('الصرف المباشر'!C301="","",'الصرف المباشر'!C301)</f>
        <v/>
      </c>
      <c r="E801" s="24" t="str">
        <f>IF('الصرف المباشر'!C301="","",-'الصرف المباشر'!D301)</f>
        <v/>
      </c>
      <c r="F801" t="str">
        <f>IF('الصرف المباشر'!C301="","",IF('الصرف المباشر'!F301="","",'الصرف المباشر'!F301))</f>
        <v/>
      </c>
      <c r="G801" t="str">
        <f>IF($B801&lt;&gt;"",SUMPRODUCT(($B$2:$B801&lt;&gt;"")*1),"")</f>
        <v/>
      </c>
    </row>
    <row r="802" spans="1:7">
      <c r="A802" s="23" t="str">
        <f>IF('الصرف المباشر'!C302="","",'الصرف المباشر'!B302)</f>
        <v/>
      </c>
      <c r="B802" t="str">
        <f>IF('الصرف المباشر'!C302="","","صرف مباشر")</f>
        <v/>
      </c>
      <c r="C802" t="str">
        <f>IF('الصرف المباشر'!C302="","",IF('الصرف المباشر'!E302="","-",'الصرف المباشر'!E302))</f>
        <v/>
      </c>
      <c r="D802" t="str">
        <f>IF('الصرف المباشر'!C302="","",'الصرف المباشر'!C302)</f>
        <v/>
      </c>
      <c r="E802" s="24" t="str">
        <f>IF('الصرف المباشر'!C302="","",-'الصرف المباشر'!D302)</f>
        <v/>
      </c>
      <c r="F802" t="str">
        <f>IF('الصرف المباشر'!C302="","",IF('الصرف المباشر'!F302="","",'الصرف المباشر'!F302))</f>
        <v/>
      </c>
      <c r="G802" t="str">
        <f>IF($B802&lt;&gt;"",SUMPRODUCT(($B$2:$B802&lt;&gt;"")*1),"")</f>
        <v/>
      </c>
    </row>
    <row r="803" spans="1:7">
      <c r="A803" s="23" t="str">
        <f>IF('الصرف المباشر'!C303="","",'الصرف المباشر'!B303)</f>
        <v/>
      </c>
      <c r="B803" t="str">
        <f>IF('الصرف المباشر'!C303="","","صرف مباشر")</f>
        <v/>
      </c>
      <c r="C803" t="str">
        <f>IF('الصرف المباشر'!C303="","",IF('الصرف المباشر'!E303="","-",'الصرف المباشر'!E303))</f>
        <v/>
      </c>
      <c r="D803" t="str">
        <f>IF('الصرف المباشر'!C303="","",'الصرف المباشر'!C303)</f>
        <v/>
      </c>
      <c r="E803" s="24" t="str">
        <f>IF('الصرف المباشر'!C303="","",-'الصرف المباشر'!D303)</f>
        <v/>
      </c>
      <c r="F803" t="str">
        <f>IF('الصرف المباشر'!C303="","",IF('الصرف المباشر'!F303="","",'الصرف المباشر'!F303))</f>
        <v/>
      </c>
      <c r="G803" t="str">
        <f>IF($B803&lt;&gt;"",SUMPRODUCT(($B$2:$B803&lt;&gt;"")*1),"")</f>
        <v/>
      </c>
    </row>
    <row r="804" spans="1:7">
      <c r="A804" s="23" t="str">
        <f>IF('الصرف المباشر'!C304="","",'الصرف المباشر'!B304)</f>
        <v/>
      </c>
      <c r="B804" t="str">
        <f>IF('الصرف المباشر'!C304="","","صرف مباشر")</f>
        <v/>
      </c>
      <c r="C804" t="str">
        <f>IF('الصرف المباشر'!C304="","",IF('الصرف المباشر'!E304="","-",'الصرف المباشر'!E304))</f>
        <v/>
      </c>
      <c r="D804" t="str">
        <f>IF('الصرف المباشر'!C304="","",'الصرف المباشر'!C304)</f>
        <v/>
      </c>
      <c r="E804" s="24" t="str">
        <f>IF('الصرف المباشر'!C304="","",-'الصرف المباشر'!D304)</f>
        <v/>
      </c>
      <c r="F804" t="str">
        <f>IF('الصرف المباشر'!C304="","",IF('الصرف المباشر'!F304="","",'الصرف المباشر'!F304))</f>
        <v/>
      </c>
      <c r="G804" t="str">
        <f>IF($B804&lt;&gt;"",SUMPRODUCT(($B$2:$B804&lt;&gt;"")*1),"")</f>
        <v/>
      </c>
    </row>
    <row r="805" spans="1:7">
      <c r="A805" s="23" t="str">
        <f>IF('الصرف المباشر'!C305="","",'الصرف المباشر'!B305)</f>
        <v/>
      </c>
      <c r="B805" t="str">
        <f>IF('الصرف المباشر'!C305="","","صرف مباشر")</f>
        <v/>
      </c>
      <c r="C805" t="str">
        <f>IF('الصرف المباشر'!C305="","",IF('الصرف المباشر'!E305="","-",'الصرف المباشر'!E305))</f>
        <v/>
      </c>
      <c r="D805" t="str">
        <f>IF('الصرف المباشر'!C305="","",'الصرف المباشر'!C305)</f>
        <v/>
      </c>
      <c r="E805" s="24" t="str">
        <f>IF('الصرف المباشر'!C305="","",-'الصرف المباشر'!D305)</f>
        <v/>
      </c>
      <c r="F805" t="str">
        <f>IF('الصرف المباشر'!C305="","",IF('الصرف المباشر'!F305="","",'الصرف المباشر'!F305))</f>
        <v/>
      </c>
      <c r="G805" t="str">
        <f>IF($B805&lt;&gt;"",SUMPRODUCT(($B$2:$B805&lt;&gt;"")*1),"")</f>
        <v/>
      </c>
    </row>
    <row r="806" spans="1:7">
      <c r="A806" s="23" t="str">
        <f>IF('الصرف المباشر'!C306="","",'الصرف المباشر'!B306)</f>
        <v/>
      </c>
      <c r="B806" t="str">
        <f>IF('الصرف المباشر'!C306="","","صرف مباشر")</f>
        <v/>
      </c>
      <c r="C806" t="str">
        <f>IF('الصرف المباشر'!C306="","",IF('الصرف المباشر'!E306="","-",'الصرف المباشر'!E306))</f>
        <v/>
      </c>
      <c r="D806" t="str">
        <f>IF('الصرف المباشر'!C306="","",'الصرف المباشر'!C306)</f>
        <v/>
      </c>
      <c r="E806" s="24" t="str">
        <f>IF('الصرف المباشر'!C306="","",-'الصرف المباشر'!D306)</f>
        <v/>
      </c>
      <c r="F806" t="str">
        <f>IF('الصرف المباشر'!C306="","",IF('الصرف المباشر'!F306="","",'الصرف المباشر'!F306))</f>
        <v/>
      </c>
      <c r="G806" t="str">
        <f>IF($B806&lt;&gt;"",SUMPRODUCT(($B$2:$B806&lt;&gt;"")*1),"")</f>
        <v/>
      </c>
    </row>
    <row r="807" spans="1:7">
      <c r="A807" s="23" t="str">
        <f>IF('الصرف المباشر'!C307="","",'الصرف المباشر'!B307)</f>
        <v/>
      </c>
      <c r="B807" t="str">
        <f>IF('الصرف المباشر'!C307="","","صرف مباشر")</f>
        <v/>
      </c>
      <c r="C807" t="str">
        <f>IF('الصرف المباشر'!C307="","",IF('الصرف المباشر'!E307="","-",'الصرف المباشر'!E307))</f>
        <v/>
      </c>
      <c r="D807" t="str">
        <f>IF('الصرف المباشر'!C307="","",'الصرف المباشر'!C307)</f>
        <v/>
      </c>
      <c r="E807" s="24" t="str">
        <f>IF('الصرف المباشر'!C307="","",-'الصرف المباشر'!D307)</f>
        <v/>
      </c>
      <c r="F807" t="str">
        <f>IF('الصرف المباشر'!C307="","",IF('الصرف المباشر'!F307="","",'الصرف المباشر'!F307))</f>
        <v/>
      </c>
      <c r="G807" t="str">
        <f>IF($B807&lt;&gt;"",SUMPRODUCT(($B$2:$B807&lt;&gt;"")*1),"")</f>
        <v/>
      </c>
    </row>
    <row r="808" spans="1:7">
      <c r="A808" s="23" t="str">
        <f>IF('الصرف المباشر'!C308="","",'الصرف المباشر'!B308)</f>
        <v/>
      </c>
      <c r="B808" t="str">
        <f>IF('الصرف المباشر'!C308="","","صرف مباشر")</f>
        <v/>
      </c>
      <c r="C808" t="str">
        <f>IF('الصرف المباشر'!C308="","",IF('الصرف المباشر'!E308="","-",'الصرف المباشر'!E308))</f>
        <v/>
      </c>
      <c r="D808" t="str">
        <f>IF('الصرف المباشر'!C308="","",'الصرف المباشر'!C308)</f>
        <v/>
      </c>
      <c r="E808" s="24" t="str">
        <f>IF('الصرف المباشر'!C308="","",-'الصرف المباشر'!D308)</f>
        <v/>
      </c>
      <c r="F808" t="str">
        <f>IF('الصرف المباشر'!C308="","",IF('الصرف المباشر'!F308="","",'الصرف المباشر'!F308))</f>
        <v/>
      </c>
      <c r="G808" t="str">
        <f>IF($B808&lt;&gt;"",SUMPRODUCT(($B$2:$B808&lt;&gt;"")*1),"")</f>
        <v/>
      </c>
    </row>
    <row r="809" spans="1:7">
      <c r="A809" s="23" t="str">
        <f>IF('الصرف المباشر'!C309="","",'الصرف المباشر'!B309)</f>
        <v/>
      </c>
      <c r="B809" t="str">
        <f>IF('الصرف المباشر'!C309="","","صرف مباشر")</f>
        <v/>
      </c>
      <c r="C809" t="str">
        <f>IF('الصرف المباشر'!C309="","",IF('الصرف المباشر'!E309="","-",'الصرف المباشر'!E309))</f>
        <v/>
      </c>
      <c r="D809" t="str">
        <f>IF('الصرف المباشر'!C309="","",'الصرف المباشر'!C309)</f>
        <v/>
      </c>
      <c r="E809" s="24" t="str">
        <f>IF('الصرف المباشر'!C309="","",-'الصرف المباشر'!D309)</f>
        <v/>
      </c>
      <c r="F809" t="str">
        <f>IF('الصرف المباشر'!C309="","",IF('الصرف المباشر'!F309="","",'الصرف المباشر'!F309))</f>
        <v/>
      </c>
      <c r="G809" t="str">
        <f>IF($B809&lt;&gt;"",SUMPRODUCT(($B$2:$B809&lt;&gt;"")*1),"")</f>
        <v/>
      </c>
    </row>
    <row r="810" spans="1:7">
      <c r="A810" s="23" t="str">
        <f>IF('الصرف المباشر'!C310="","",'الصرف المباشر'!B310)</f>
        <v/>
      </c>
      <c r="B810" t="str">
        <f>IF('الصرف المباشر'!C310="","","صرف مباشر")</f>
        <v/>
      </c>
      <c r="C810" t="str">
        <f>IF('الصرف المباشر'!C310="","",IF('الصرف المباشر'!E310="","-",'الصرف المباشر'!E310))</f>
        <v/>
      </c>
      <c r="D810" t="str">
        <f>IF('الصرف المباشر'!C310="","",'الصرف المباشر'!C310)</f>
        <v/>
      </c>
      <c r="E810" s="24" t="str">
        <f>IF('الصرف المباشر'!C310="","",-'الصرف المباشر'!D310)</f>
        <v/>
      </c>
      <c r="F810" t="str">
        <f>IF('الصرف المباشر'!C310="","",IF('الصرف المباشر'!F310="","",'الصرف المباشر'!F310))</f>
        <v/>
      </c>
      <c r="G810" t="str">
        <f>IF($B810&lt;&gt;"",SUMPRODUCT(($B$2:$B810&lt;&gt;"")*1),"")</f>
        <v/>
      </c>
    </row>
    <row r="811" spans="1:7">
      <c r="A811" s="23" t="str">
        <f>IF('الصرف المباشر'!C311="","",'الصرف المباشر'!B311)</f>
        <v/>
      </c>
      <c r="B811" t="str">
        <f>IF('الصرف المباشر'!C311="","","صرف مباشر")</f>
        <v/>
      </c>
      <c r="C811" t="str">
        <f>IF('الصرف المباشر'!C311="","",IF('الصرف المباشر'!E311="","-",'الصرف المباشر'!E311))</f>
        <v/>
      </c>
      <c r="D811" t="str">
        <f>IF('الصرف المباشر'!C311="","",'الصرف المباشر'!C311)</f>
        <v/>
      </c>
      <c r="E811" s="24" t="str">
        <f>IF('الصرف المباشر'!C311="","",-'الصرف المباشر'!D311)</f>
        <v/>
      </c>
      <c r="F811" t="str">
        <f>IF('الصرف المباشر'!C311="","",IF('الصرف المباشر'!F311="","",'الصرف المباشر'!F311))</f>
        <v/>
      </c>
      <c r="G811" t="str">
        <f>IF($B811&lt;&gt;"",SUMPRODUCT(($B$2:$B811&lt;&gt;"")*1),"")</f>
        <v/>
      </c>
    </row>
    <row r="812" spans="1:7">
      <c r="A812" s="23" t="str">
        <f>IF('الصرف المباشر'!C312="","",'الصرف المباشر'!B312)</f>
        <v/>
      </c>
      <c r="B812" t="str">
        <f>IF('الصرف المباشر'!C312="","","صرف مباشر")</f>
        <v/>
      </c>
      <c r="C812" t="str">
        <f>IF('الصرف المباشر'!C312="","",IF('الصرف المباشر'!E312="","-",'الصرف المباشر'!E312))</f>
        <v/>
      </c>
      <c r="D812" t="str">
        <f>IF('الصرف المباشر'!C312="","",'الصرف المباشر'!C312)</f>
        <v/>
      </c>
      <c r="E812" s="24" t="str">
        <f>IF('الصرف المباشر'!C312="","",-'الصرف المباشر'!D312)</f>
        <v/>
      </c>
      <c r="F812" t="str">
        <f>IF('الصرف المباشر'!C312="","",IF('الصرف المباشر'!F312="","",'الصرف المباشر'!F312))</f>
        <v/>
      </c>
      <c r="G812" t="str">
        <f>IF($B812&lt;&gt;"",SUMPRODUCT(($B$2:$B812&lt;&gt;"")*1),"")</f>
        <v/>
      </c>
    </row>
    <row r="813" spans="1:7">
      <c r="A813" s="23" t="str">
        <f>IF('الصرف المباشر'!C313="","",'الصرف المباشر'!B313)</f>
        <v/>
      </c>
      <c r="B813" t="str">
        <f>IF('الصرف المباشر'!C313="","","صرف مباشر")</f>
        <v/>
      </c>
      <c r="C813" t="str">
        <f>IF('الصرف المباشر'!C313="","",IF('الصرف المباشر'!E313="","-",'الصرف المباشر'!E313))</f>
        <v/>
      </c>
      <c r="D813" t="str">
        <f>IF('الصرف المباشر'!C313="","",'الصرف المباشر'!C313)</f>
        <v/>
      </c>
      <c r="E813" s="24" t="str">
        <f>IF('الصرف المباشر'!C313="","",-'الصرف المباشر'!D313)</f>
        <v/>
      </c>
      <c r="F813" t="str">
        <f>IF('الصرف المباشر'!C313="","",IF('الصرف المباشر'!F313="","",'الصرف المباشر'!F313))</f>
        <v/>
      </c>
      <c r="G813" t="str">
        <f>IF($B813&lt;&gt;"",SUMPRODUCT(($B$2:$B813&lt;&gt;"")*1),"")</f>
        <v/>
      </c>
    </row>
    <row r="814" spans="1:7">
      <c r="A814" s="23" t="str">
        <f>IF('الصرف المباشر'!C314="","",'الصرف المباشر'!B314)</f>
        <v/>
      </c>
      <c r="B814" t="str">
        <f>IF('الصرف المباشر'!C314="","","صرف مباشر")</f>
        <v/>
      </c>
      <c r="C814" t="str">
        <f>IF('الصرف المباشر'!C314="","",IF('الصرف المباشر'!E314="","-",'الصرف المباشر'!E314))</f>
        <v/>
      </c>
      <c r="D814" t="str">
        <f>IF('الصرف المباشر'!C314="","",'الصرف المباشر'!C314)</f>
        <v/>
      </c>
      <c r="E814" s="24" t="str">
        <f>IF('الصرف المباشر'!C314="","",-'الصرف المباشر'!D314)</f>
        <v/>
      </c>
      <c r="F814" t="str">
        <f>IF('الصرف المباشر'!C314="","",IF('الصرف المباشر'!F314="","",'الصرف المباشر'!F314))</f>
        <v/>
      </c>
      <c r="G814" t="str">
        <f>IF($B814&lt;&gt;"",SUMPRODUCT(($B$2:$B814&lt;&gt;"")*1),"")</f>
        <v/>
      </c>
    </row>
    <row r="815" spans="1:7">
      <c r="A815" s="23" t="str">
        <f>IF('الصرف المباشر'!C315="","",'الصرف المباشر'!B315)</f>
        <v/>
      </c>
      <c r="B815" t="str">
        <f>IF('الصرف المباشر'!C315="","","صرف مباشر")</f>
        <v/>
      </c>
      <c r="C815" t="str">
        <f>IF('الصرف المباشر'!C315="","",IF('الصرف المباشر'!E315="","-",'الصرف المباشر'!E315))</f>
        <v/>
      </c>
      <c r="D815" t="str">
        <f>IF('الصرف المباشر'!C315="","",'الصرف المباشر'!C315)</f>
        <v/>
      </c>
      <c r="E815" s="24" t="str">
        <f>IF('الصرف المباشر'!C315="","",-'الصرف المباشر'!D315)</f>
        <v/>
      </c>
      <c r="F815" t="str">
        <f>IF('الصرف المباشر'!C315="","",IF('الصرف المباشر'!F315="","",'الصرف المباشر'!F315))</f>
        <v/>
      </c>
      <c r="G815" t="str">
        <f>IF($B815&lt;&gt;"",SUMPRODUCT(($B$2:$B815&lt;&gt;"")*1),"")</f>
        <v/>
      </c>
    </row>
    <row r="816" spans="1:7">
      <c r="A816" s="23" t="str">
        <f>IF('الصرف المباشر'!C316="","",'الصرف المباشر'!B316)</f>
        <v/>
      </c>
      <c r="B816" t="str">
        <f>IF('الصرف المباشر'!C316="","","صرف مباشر")</f>
        <v/>
      </c>
      <c r="C816" t="str">
        <f>IF('الصرف المباشر'!C316="","",IF('الصرف المباشر'!E316="","-",'الصرف المباشر'!E316))</f>
        <v/>
      </c>
      <c r="D816" t="str">
        <f>IF('الصرف المباشر'!C316="","",'الصرف المباشر'!C316)</f>
        <v/>
      </c>
      <c r="E816" s="24" t="str">
        <f>IF('الصرف المباشر'!C316="","",-'الصرف المباشر'!D316)</f>
        <v/>
      </c>
      <c r="F816" t="str">
        <f>IF('الصرف المباشر'!C316="","",IF('الصرف المباشر'!F316="","",'الصرف المباشر'!F316))</f>
        <v/>
      </c>
      <c r="G816" t="str">
        <f>IF($B816&lt;&gt;"",SUMPRODUCT(($B$2:$B816&lt;&gt;"")*1),"")</f>
        <v/>
      </c>
    </row>
    <row r="817" spans="1:7">
      <c r="A817" s="23" t="str">
        <f>IF('الصرف المباشر'!C317="","",'الصرف المباشر'!B317)</f>
        <v/>
      </c>
      <c r="B817" t="str">
        <f>IF('الصرف المباشر'!C317="","","صرف مباشر")</f>
        <v/>
      </c>
      <c r="C817" t="str">
        <f>IF('الصرف المباشر'!C317="","",IF('الصرف المباشر'!E317="","-",'الصرف المباشر'!E317))</f>
        <v/>
      </c>
      <c r="D817" t="str">
        <f>IF('الصرف المباشر'!C317="","",'الصرف المباشر'!C317)</f>
        <v/>
      </c>
      <c r="E817" s="24" t="str">
        <f>IF('الصرف المباشر'!C317="","",-'الصرف المباشر'!D317)</f>
        <v/>
      </c>
      <c r="F817" t="str">
        <f>IF('الصرف المباشر'!C317="","",IF('الصرف المباشر'!F317="","",'الصرف المباشر'!F317))</f>
        <v/>
      </c>
      <c r="G817" t="str">
        <f>IF($B817&lt;&gt;"",SUMPRODUCT(($B$2:$B817&lt;&gt;"")*1),"")</f>
        <v/>
      </c>
    </row>
    <row r="818" spans="1:7">
      <c r="A818" s="23" t="str">
        <f>IF('الصرف المباشر'!C318="","",'الصرف المباشر'!B318)</f>
        <v/>
      </c>
      <c r="B818" t="str">
        <f>IF('الصرف المباشر'!C318="","","صرف مباشر")</f>
        <v/>
      </c>
      <c r="C818" t="str">
        <f>IF('الصرف المباشر'!C318="","",IF('الصرف المباشر'!E318="","-",'الصرف المباشر'!E318))</f>
        <v/>
      </c>
      <c r="D818" t="str">
        <f>IF('الصرف المباشر'!C318="","",'الصرف المباشر'!C318)</f>
        <v/>
      </c>
      <c r="E818" s="24" t="str">
        <f>IF('الصرف المباشر'!C318="","",-'الصرف المباشر'!D318)</f>
        <v/>
      </c>
      <c r="F818" t="str">
        <f>IF('الصرف المباشر'!C318="","",IF('الصرف المباشر'!F318="","",'الصرف المباشر'!F318))</f>
        <v/>
      </c>
      <c r="G818" t="str">
        <f>IF($B818&lt;&gt;"",SUMPRODUCT(($B$2:$B818&lt;&gt;"")*1),"")</f>
        <v/>
      </c>
    </row>
    <row r="819" spans="1:7">
      <c r="A819" s="23" t="str">
        <f>IF('الصرف المباشر'!C319="","",'الصرف المباشر'!B319)</f>
        <v/>
      </c>
      <c r="B819" t="str">
        <f>IF('الصرف المباشر'!C319="","","صرف مباشر")</f>
        <v/>
      </c>
      <c r="C819" t="str">
        <f>IF('الصرف المباشر'!C319="","",IF('الصرف المباشر'!E319="","-",'الصرف المباشر'!E319))</f>
        <v/>
      </c>
      <c r="D819" t="str">
        <f>IF('الصرف المباشر'!C319="","",'الصرف المباشر'!C319)</f>
        <v/>
      </c>
      <c r="E819" s="24" t="str">
        <f>IF('الصرف المباشر'!C319="","",-'الصرف المباشر'!D319)</f>
        <v/>
      </c>
      <c r="F819" t="str">
        <f>IF('الصرف المباشر'!C319="","",IF('الصرف المباشر'!F319="","",'الصرف المباشر'!F319))</f>
        <v/>
      </c>
      <c r="G819" t="str">
        <f>IF($B819&lt;&gt;"",SUMPRODUCT(($B$2:$B819&lt;&gt;"")*1),"")</f>
        <v/>
      </c>
    </row>
    <row r="820" spans="1:7">
      <c r="A820" s="23" t="str">
        <f>IF('الصرف المباشر'!C320="","",'الصرف المباشر'!B320)</f>
        <v/>
      </c>
      <c r="B820" t="str">
        <f>IF('الصرف المباشر'!C320="","","صرف مباشر")</f>
        <v/>
      </c>
      <c r="C820" t="str">
        <f>IF('الصرف المباشر'!C320="","",IF('الصرف المباشر'!E320="","-",'الصرف المباشر'!E320))</f>
        <v/>
      </c>
      <c r="D820" t="str">
        <f>IF('الصرف المباشر'!C320="","",'الصرف المباشر'!C320)</f>
        <v/>
      </c>
      <c r="E820" s="24" t="str">
        <f>IF('الصرف المباشر'!C320="","",-'الصرف المباشر'!D320)</f>
        <v/>
      </c>
      <c r="F820" t="str">
        <f>IF('الصرف المباشر'!C320="","",IF('الصرف المباشر'!F320="","",'الصرف المباشر'!F320))</f>
        <v/>
      </c>
      <c r="G820" t="str">
        <f>IF($B820&lt;&gt;"",SUMPRODUCT(($B$2:$B820&lt;&gt;"")*1),"")</f>
        <v/>
      </c>
    </row>
    <row r="821" spans="1:7">
      <c r="A821" s="23" t="str">
        <f>IF('الصرف المباشر'!C321="","",'الصرف المباشر'!B321)</f>
        <v/>
      </c>
      <c r="B821" t="str">
        <f>IF('الصرف المباشر'!C321="","","صرف مباشر")</f>
        <v/>
      </c>
      <c r="C821" t="str">
        <f>IF('الصرف المباشر'!C321="","",IF('الصرف المباشر'!E321="","-",'الصرف المباشر'!E321))</f>
        <v/>
      </c>
      <c r="D821" t="str">
        <f>IF('الصرف المباشر'!C321="","",'الصرف المباشر'!C321)</f>
        <v/>
      </c>
      <c r="E821" s="24" t="str">
        <f>IF('الصرف المباشر'!C321="","",-'الصرف المباشر'!D321)</f>
        <v/>
      </c>
      <c r="F821" t="str">
        <f>IF('الصرف المباشر'!C321="","",IF('الصرف المباشر'!F321="","",'الصرف المباشر'!F321))</f>
        <v/>
      </c>
      <c r="G821" t="str">
        <f>IF($B821&lt;&gt;"",SUMPRODUCT(($B$2:$B821&lt;&gt;"")*1),"")</f>
        <v/>
      </c>
    </row>
    <row r="822" spans="1:7">
      <c r="A822" s="23" t="str">
        <f>IF('الصرف المباشر'!C322="","",'الصرف المباشر'!B322)</f>
        <v/>
      </c>
      <c r="B822" t="str">
        <f>IF('الصرف المباشر'!C322="","","صرف مباشر")</f>
        <v/>
      </c>
      <c r="C822" t="str">
        <f>IF('الصرف المباشر'!C322="","",IF('الصرف المباشر'!E322="","-",'الصرف المباشر'!E322))</f>
        <v/>
      </c>
      <c r="D822" t="str">
        <f>IF('الصرف المباشر'!C322="","",'الصرف المباشر'!C322)</f>
        <v/>
      </c>
      <c r="E822" s="24" t="str">
        <f>IF('الصرف المباشر'!C322="","",-'الصرف المباشر'!D322)</f>
        <v/>
      </c>
      <c r="F822" t="str">
        <f>IF('الصرف المباشر'!C322="","",IF('الصرف المباشر'!F322="","",'الصرف المباشر'!F322))</f>
        <v/>
      </c>
      <c r="G822" t="str">
        <f>IF($B822&lt;&gt;"",SUMPRODUCT(($B$2:$B822&lt;&gt;"")*1),"")</f>
        <v/>
      </c>
    </row>
    <row r="823" spans="1:7">
      <c r="A823" s="23" t="str">
        <f>IF('الصرف المباشر'!C323="","",'الصرف المباشر'!B323)</f>
        <v/>
      </c>
      <c r="B823" t="str">
        <f>IF('الصرف المباشر'!C323="","","صرف مباشر")</f>
        <v/>
      </c>
      <c r="C823" t="str">
        <f>IF('الصرف المباشر'!C323="","",IF('الصرف المباشر'!E323="","-",'الصرف المباشر'!E323))</f>
        <v/>
      </c>
      <c r="D823" t="str">
        <f>IF('الصرف المباشر'!C323="","",'الصرف المباشر'!C323)</f>
        <v/>
      </c>
      <c r="E823" s="24" t="str">
        <f>IF('الصرف المباشر'!C323="","",-'الصرف المباشر'!D323)</f>
        <v/>
      </c>
      <c r="F823" t="str">
        <f>IF('الصرف المباشر'!C323="","",IF('الصرف المباشر'!F323="","",'الصرف المباشر'!F323))</f>
        <v/>
      </c>
      <c r="G823" t="str">
        <f>IF($B823&lt;&gt;"",SUMPRODUCT(($B$2:$B823&lt;&gt;"")*1),"")</f>
        <v/>
      </c>
    </row>
    <row r="824" spans="1:7">
      <c r="A824" s="23" t="str">
        <f>IF('الصرف المباشر'!C324="","",'الصرف المباشر'!B324)</f>
        <v/>
      </c>
      <c r="B824" t="str">
        <f>IF('الصرف المباشر'!C324="","","صرف مباشر")</f>
        <v/>
      </c>
      <c r="C824" t="str">
        <f>IF('الصرف المباشر'!C324="","",IF('الصرف المباشر'!E324="","-",'الصرف المباشر'!E324))</f>
        <v/>
      </c>
      <c r="D824" t="str">
        <f>IF('الصرف المباشر'!C324="","",'الصرف المباشر'!C324)</f>
        <v/>
      </c>
      <c r="E824" s="24" t="str">
        <f>IF('الصرف المباشر'!C324="","",-'الصرف المباشر'!D324)</f>
        <v/>
      </c>
      <c r="F824" t="str">
        <f>IF('الصرف المباشر'!C324="","",IF('الصرف المباشر'!F324="","",'الصرف المباشر'!F324))</f>
        <v/>
      </c>
      <c r="G824" t="str">
        <f>IF($B824&lt;&gt;"",SUMPRODUCT(($B$2:$B824&lt;&gt;"")*1),"")</f>
        <v/>
      </c>
    </row>
    <row r="825" spans="1:7">
      <c r="A825" s="23" t="str">
        <f>IF('الصرف المباشر'!C325="","",'الصرف المباشر'!B325)</f>
        <v/>
      </c>
      <c r="B825" t="str">
        <f>IF('الصرف المباشر'!C325="","","صرف مباشر")</f>
        <v/>
      </c>
      <c r="C825" t="str">
        <f>IF('الصرف المباشر'!C325="","",IF('الصرف المباشر'!E325="","-",'الصرف المباشر'!E325))</f>
        <v/>
      </c>
      <c r="D825" t="str">
        <f>IF('الصرف المباشر'!C325="","",'الصرف المباشر'!C325)</f>
        <v/>
      </c>
      <c r="E825" s="24" t="str">
        <f>IF('الصرف المباشر'!C325="","",-'الصرف المباشر'!D325)</f>
        <v/>
      </c>
      <c r="F825" t="str">
        <f>IF('الصرف المباشر'!C325="","",IF('الصرف المباشر'!F325="","",'الصرف المباشر'!F325))</f>
        <v/>
      </c>
      <c r="G825" t="str">
        <f>IF($B825&lt;&gt;"",SUMPRODUCT(($B$2:$B825&lt;&gt;"")*1),"")</f>
        <v/>
      </c>
    </row>
    <row r="826" spans="1:7">
      <c r="A826" s="23" t="str">
        <f>IF('الصرف المباشر'!C326="","",'الصرف المباشر'!B326)</f>
        <v/>
      </c>
      <c r="B826" t="str">
        <f>IF('الصرف المباشر'!C326="","","صرف مباشر")</f>
        <v/>
      </c>
      <c r="C826" t="str">
        <f>IF('الصرف المباشر'!C326="","",IF('الصرف المباشر'!E326="","-",'الصرف المباشر'!E326))</f>
        <v/>
      </c>
      <c r="D826" t="str">
        <f>IF('الصرف المباشر'!C326="","",'الصرف المباشر'!C326)</f>
        <v/>
      </c>
      <c r="E826" s="24" t="str">
        <f>IF('الصرف المباشر'!C326="","",-'الصرف المباشر'!D326)</f>
        <v/>
      </c>
      <c r="F826" t="str">
        <f>IF('الصرف المباشر'!C326="","",IF('الصرف المباشر'!F326="","",'الصرف المباشر'!F326))</f>
        <v/>
      </c>
      <c r="G826" t="str">
        <f>IF($B826&lt;&gt;"",SUMPRODUCT(($B$2:$B826&lt;&gt;"")*1),"")</f>
        <v/>
      </c>
    </row>
    <row r="827" spans="1:7">
      <c r="A827" s="23" t="str">
        <f>IF('الصرف المباشر'!C327="","",'الصرف المباشر'!B327)</f>
        <v/>
      </c>
      <c r="B827" t="str">
        <f>IF('الصرف المباشر'!C327="","","صرف مباشر")</f>
        <v/>
      </c>
      <c r="C827" t="str">
        <f>IF('الصرف المباشر'!C327="","",IF('الصرف المباشر'!E327="","-",'الصرف المباشر'!E327))</f>
        <v/>
      </c>
      <c r="D827" t="str">
        <f>IF('الصرف المباشر'!C327="","",'الصرف المباشر'!C327)</f>
        <v/>
      </c>
      <c r="E827" s="24" t="str">
        <f>IF('الصرف المباشر'!C327="","",-'الصرف المباشر'!D327)</f>
        <v/>
      </c>
      <c r="F827" t="str">
        <f>IF('الصرف المباشر'!C327="","",IF('الصرف المباشر'!F327="","",'الصرف المباشر'!F327))</f>
        <v/>
      </c>
      <c r="G827" t="str">
        <f>IF($B827&lt;&gt;"",SUMPRODUCT(($B$2:$B827&lt;&gt;"")*1),"")</f>
        <v/>
      </c>
    </row>
    <row r="828" spans="1:7">
      <c r="A828" s="23" t="str">
        <f>IF('الصرف المباشر'!C328="","",'الصرف المباشر'!B328)</f>
        <v/>
      </c>
      <c r="B828" t="str">
        <f>IF('الصرف المباشر'!C328="","","صرف مباشر")</f>
        <v/>
      </c>
      <c r="C828" t="str">
        <f>IF('الصرف المباشر'!C328="","",IF('الصرف المباشر'!E328="","-",'الصرف المباشر'!E328))</f>
        <v/>
      </c>
      <c r="D828" t="str">
        <f>IF('الصرف المباشر'!C328="","",'الصرف المباشر'!C328)</f>
        <v/>
      </c>
      <c r="E828" s="24" t="str">
        <f>IF('الصرف المباشر'!C328="","",-'الصرف المباشر'!D328)</f>
        <v/>
      </c>
      <c r="F828" t="str">
        <f>IF('الصرف المباشر'!C328="","",IF('الصرف المباشر'!F328="","",'الصرف المباشر'!F328))</f>
        <v/>
      </c>
      <c r="G828" t="str">
        <f>IF($B828&lt;&gt;"",SUMPRODUCT(($B$2:$B828&lt;&gt;"")*1),"")</f>
        <v/>
      </c>
    </row>
    <row r="829" spans="1:7">
      <c r="A829" s="23" t="str">
        <f>IF('الصرف المباشر'!C329="","",'الصرف المباشر'!B329)</f>
        <v/>
      </c>
      <c r="B829" t="str">
        <f>IF('الصرف المباشر'!C329="","","صرف مباشر")</f>
        <v/>
      </c>
      <c r="C829" t="str">
        <f>IF('الصرف المباشر'!C329="","",IF('الصرف المباشر'!E329="","-",'الصرف المباشر'!E329))</f>
        <v/>
      </c>
      <c r="D829" t="str">
        <f>IF('الصرف المباشر'!C329="","",'الصرف المباشر'!C329)</f>
        <v/>
      </c>
      <c r="E829" s="24" t="str">
        <f>IF('الصرف المباشر'!C329="","",-'الصرف المباشر'!D329)</f>
        <v/>
      </c>
      <c r="F829" t="str">
        <f>IF('الصرف المباشر'!C329="","",IF('الصرف المباشر'!F329="","",'الصرف المباشر'!F329))</f>
        <v/>
      </c>
      <c r="G829" t="str">
        <f>IF($B829&lt;&gt;"",SUMPRODUCT(($B$2:$B829&lt;&gt;"")*1),"")</f>
        <v/>
      </c>
    </row>
    <row r="830" spans="1:7">
      <c r="A830" s="23" t="str">
        <f>IF('الصرف المباشر'!C330="","",'الصرف المباشر'!B330)</f>
        <v/>
      </c>
      <c r="B830" t="str">
        <f>IF('الصرف المباشر'!C330="","","صرف مباشر")</f>
        <v/>
      </c>
      <c r="C830" t="str">
        <f>IF('الصرف المباشر'!C330="","",IF('الصرف المباشر'!E330="","-",'الصرف المباشر'!E330))</f>
        <v/>
      </c>
      <c r="D830" t="str">
        <f>IF('الصرف المباشر'!C330="","",'الصرف المباشر'!C330)</f>
        <v/>
      </c>
      <c r="E830" s="24" t="str">
        <f>IF('الصرف المباشر'!C330="","",-'الصرف المباشر'!D330)</f>
        <v/>
      </c>
      <c r="F830" t="str">
        <f>IF('الصرف المباشر'!C330="","",IF('الصرف المباشر'!F330="","",'الصرف المباشر'!F330))</f>
        <v/>
      </c>
      <c r="G830" t="str">
        <f>IF($B830&lt;&gt;"",SUMPRODUCT(($B$2:$B830&lt;&gt;"")*1),"")</f>
        <v/>
      </c>
    </row>
    <row r="831" spans="1:7">
      <c r="A831" s="23" t="str">
        <f>IF('الصرف المباشر'!C331="","",'الصرف المباشر'!B331)</f>
        <v/>
      </c>
      <c r="B831" t="str">
        <f>IF('الصرف المباشر'!C331="","","صرف مباشر")</f>
        <v/>
      </c>
      <c r="C831" t="str">
        <f>IF('الصرف المباشر'!C331="","",IF('الصرف المباشر'!E331="","-",'الصرف المباشر'!E331))</f>
        <v/>
      </c>
      <c r="D831" t="str">
        <f>IF('الصرف المباشر'!C331="","",'الصرف المباشر'!C331)</f>
        <v/>
      </c>
      <c r="E831" s="24" t="str">
        <f>IF('الصرف المباشر'!C331="","",-'الصرف المباشر'!D331)</f>
        <v/>
      </c>
      <c r="F831" t="str">
        <f>IF('الصرف المباشر'!C331="","",IF('الصرف المباشر'!F331="","",'الصرف المباشر'!F331))</f>
        <v/>
      </c>
      <c r="G831" t="str">
        <f>IF($B831&lt;&gt;"",SUMPRODUCT(($B$2:$B831&lt;&gt;"")*1),"")</f>
        <v/>
      </c>
    </row>
    <row r="832" spans="1:7">
      <c r="A832" s="23" t="str">
        <f>IF('الصرف المباشر'!C332="","",'الصرف المباشر'!B332)</f>
        <v/>
      </c>
      <c r="B832" t="str">
        <f>IF('الصرف المباشر'!C332="","","صرف مباشر")</f>
        <v/>
      </c>
      <c r="C832" t="str">
        <f>IF('الصرف المباشر'!C332="","",IF('الصرف المباشر'!E332="","-",'الصرف المباشر'!E332))</f>
        <v/>
      </c>
      <c r="D832" t="str">
        <f>IF('الصرف المباشر'!C332="","",'الصرف المباشر'!C332)</f>
        <v/>
      </c>
      <c r="E832" s="24" t="str">
        <f>IF('الصرف المباشر'!C332="","",-'الصرف المباشر'!D332)</f>
        <v/>
      </c>
      <c r="F832" t="str">
        <f>IF('الصرف المباشر'!C332="","",IF('الصرف المباشر'!F332="","",'الصرف المباشر'!F332))</f>
        <v/>
      </c>
      <c r="G832" t="str">
        <f>IF($B832&lt;&gt;"",SUMPRODUCT(($B$2:$B832&lt;&gt;"")*1),"")</f>
        <v/>
      </c>
    </row>
    <row r="833" spans="1:7">
      <c r="A833" s="23" t="str">
        <f>IF('الصرف المباشر'!C333="","",'الصرف المباشر'!B333)</f>
        <v/>
      </c>
      <c r="B833" t="str">
        <f>IF('الصرف المباشر'!C333="","","صرف مباشر")</f>
        <v/>
      </c>
      <c r="C833" t="str">
        <f>IF('الصرف المباشر'!C333="","",IF('الصرف المباشر'!E333="","-",'الصرف المباشر'!E333))</f>
        <v/>
      </c>
      <c r="D833" t="str">
        <f>IF('الصرف المباشر'!C333="","",'الصرف المباشر'!C333)</f>
        <v/>
      </c>
      <c r="E833" s="24" t="str">
        <f>IF('الصرف المباشر'!C333="","",-'الصرف المباشر'!D333)</f>
        <v/>
      </c>
      <c r="F833" t="str">
        <f>IF('الصرف المباشر'!C333="","",IF('الصرف المباشر'!F333="","",'الصرف المباشر'!F333))</f>
        <v/>
      </c>
      <c r="G833" t="str">
        <f>IF($B833&lt;&gt;"",SUMPRODUCT(($B$2:$B833&lt;&gt;"")*1),"")</f>
        <v/>
      </c>
    </row>
    <row r="834" spans="1:7">
      <c r="A834" s="23" t="str">
        <f>IF('الصرف المباشر'!C334="","",'الصرف المباشر'!B334)</f>
        <v/>
      </c>
      <c r="B834" t="str">
        <f>IF('الصرف المباشر'!C334="","","صرف مباشر")</f>
        <v/>
      </c>
      <c r="C834" t="str">
        <f>IF('الصرف المباشر'!C334="","",IF('الصرف المباشر'!E334="","-",'الصرف المباشر'!E334))</f>
        <v/>
      </c>
      <c r="D834" t="str">
        <f>IF('الصرف المباشر'!C334="","",'الصرف المباشر'!C334)</f>
        <v/>
      </c>
      <c r="E834" s="24" t="str">
        <f>IF('الصرف المباشر'!C334="","",-'الصرف المباشر'!D334)</f>
        <v/>
      </c>
      <c r="F834" t="str">
        <f>IF('الصرف المباشر'!C334="","",IF('الصرف المباشر'!F334="","",'الصرف المباشر'!F334))</f>
        <v/>
      </c>
      <c r="G834" t="str">
        <f>IF($B834&lt;&gt;"",SUMPRODUCT(($B$2:$B834&lt;&gt;"")*1),"")</f>
        <v/>
      </c>
    </row>
    <row r="835" spans="1:7">
      <c r="A835" s="23" t="str">
        <f>IF('الصرف المباشر'!C335="","",'الصرف المباشر'!B335)</f>
        <v/>
      </c>
      <c r="B835" t="str">
        <f>IF('الصرف المباشر'!C335="","","صرف مباشر")</f>
        <v/>
      </c>
      <c r="C835" t="str">
        <f>IF('الصرف المباشر'!C335="","",IF('الصرف المباشر'!E335="","-",'الصرف المباشر'!E335))</f>
        <v/>
      </c>
      <c r="D835" t="str">
        <f>IF('الصرف المباشر'!C335="","",'الصرف المباشر'!C335)</f>
        <v/>
      </c>
      <c r="E835" s="24" t="str">
        <f>IF('الصرف المباشر'!C335="","",-'الصرف المباشر'!D335)</f>
        <v/>
      </c>
      <c r="F835" t="str">
        <f>IF('الصرف المباشر'!C335="","",IF('الصرف المباشر'!F335="","",'الصرف المباشر'!F335))</f>
        <v/>
      </c>
      <c r="G835" t="str">
        <f>IF($B835&lt;&gt;"",SUMPRODUCT(($B$2:$B835&lt;&gt;"")*1),"")</f>
        <v/>
      </c>
    </row>
    <row r="836" spans="1:7">
      <c r="A836" s="23" t="str">
        <f>IF('الصرف المباشر'!C336="","",'الصرف المباشر'!B336)</f>
        <v/>
      </c>
      <c r="B836" t="str">
        <f>IF('الصرف المباشر'!C336="","","صرف مباشر")</f>
        <v/>
      </c>
      <c r="C836" t="str">
        <f>IF('الصرف المباشر'!C336="","",IF('الصرف المباشر'!E336="","-",'الصرف المباشر'!E336))</f>
        <v/>
      </c>
      <c r="D836" t="str">
        <f>IF('الصرف المباشر'!C336="","",'الصرف المباشر'!C336)</f>
        <v/>
      </c>
      <c r="E836" s="24" t="str">
        <f>IF('الصرف المباشر'!C336="","",-'الصرف المباشر'!D336)</f>
        <v/>
      </c>
      <c r="F836" t="str">
        <f>IF('الصرف المباشر'!C336="","",IF('الصرف المباشر'!F336="","",'الصرف المباشر'!F336))</f>
        <v/>
      </c>
      <c r="G836" t="str">
        <f>IF($B836&lt;&gt;"",SUMPRODUCT(($B$2:$B836&lt;&gt;"")*1),"")</f>
        <v/>
      </c>
    </row>
    <row r="837" spans="1:7">
      <c r="A837" s="23" t="str">
        <f>IF('الصرف المباشر'!C337="","",'الصرف المباشر'!B337)</f>
        <v/>
      </c>
      <c r="B837" t="str">
        <f>IF('الصرف المباشر'!C337="","","صرف مباشر")</f>
        <v/>
      </c>
      <c r="C837" t="str">
        <f>IF('الصرف المباشر'!C337="","",IF('الصرف المباشر'!E337="","-",'الصرف المباشر'!E337))</f>
        <v/>
      </c>
      <c r="D837" t="str">
        <f>IF('الصرف المباشر'!C337="","",'الصرف المباشر'!C337)</f>
        <v/>
      </c>
      <c r="E837" s="24" t="str">
        <f>IF('الصرف المباشر'!C337="","",-'الصرف المباشر'!D337)</f>
        <v/>
      </c>
      <c r="F837" t="str">
        <f>IF('الصرف المباشر'!C337="","",IF('الصرف المباشر'!F337="","",'الصرف المباشر'!F337))</f>
        <v/>
      </c>
      <c r="G837" t="str">
        <f>IF($B837&lt;&gt;"",SUMPRODUCT(($B$2:$B837&lt;&gt;"")*1),"")</f>
        <v/>
      </c>
    </row>
    <row r="838" spans="1:7">
      <c r="A838" s="23" t="str">
        <f>IF('الصرف المباشر'!C338="","",'الصرف المباشر'!B338)</f>
        <v/>
      </c>
      <c r="B838" t="str">
        <f>IF('الصرف المباشر'!C338="","","صرف مباشر")</f>
        <v/>
      </c>
      <c r="C838" t="str">
        <f>IF('الصرف المباشر'!C338="","",IF('الصرف المباشر'!E338="","-",'الصرف المباشر'!E338))</f>
        <v/>
      </c>
      <c r="D838" t="str">
        <f>IF('الصرف المباشر'!C338="","",'الصرف المباشر'!C338)</f>
        <v/>
      </c>
      <c r="E838" s="24" t="str">
        <f>IF('الصرف المباشر'!C338="","",-'الصرف المباشر'!D338)</f>
        <v/>
      </c>
      <c r="F838" t="str">
        <f>IF('الصرف المباشر'!C338="","",IF('الصرف المباشر'!F338="","",'الصرف المباشر'!F338))</f>
        <v/>
      </c>
      <c r="G838" t="str">
        <f>IF($B838&lt;&gt;"",SUMPRODUCT(($B$2:$B838&lt;&gt;"")*1),"")</f>
        <v/>
      </c>
    </row>
    <row r="839" spans="1:7">
      <c r="A839" s="23" t="str">
        <f>IF('الصرف المباشر'!C339="","",'الصرف المباشر'!B339)</f>
        <v/>
      </c>
      <c r="B839" t="str">
        <f>IF('الصرف المباشر'!C339="","","صرف مباشر")</f>
        <v/>
      </c>
      <c r="C839" t="str">
        <f>IF('الصرف المباشر'!C339="","",IF('الصرف المباشر'!E339="","-",'الصرف المباشر'!E339))</f>
        <v/>
      </c>
      <c r="D839" t="str">
        <f>IF('الصرف المباشر'!C339="","",'الصرف المباشر'!C339)</f>
        <v/>
      </c>
      <c r="E839" s="24" t="str">
        <f>IF('الصرف المباشر'!C339="","",-'الصرف المباشر'!D339)</f>
        <v/>
      </c>
      <c r="F839" t="str">
        <f>IF('الصرف المباشر'!C339="","",IF('الصرف المباشر'!F339="","",'الصرف المباشر'!F339))</f>
        <v/>
      </c>
      <c r="G839" t="str">
        <f>IF($B839&lt;&gt;"",SUMPRODUCT(($B$2:$B839&lt;&gt;"")*1),"")</f>
        <v/>
      </c>
    </row>
    <row r="840" spans="1:7">
      <c r="A840" s="23" t="str">
        <f>IF('الصرف المباشر'!C340="","",'الصرف المباشر'!B340)</f>
        <v/>
      </c>
      <c r="B840" t="str">
        <f>IF('الصرف المباشر'!C340="","","صرف مباشر")</f>
        <v/>
      </c>
      <c r="C840" t="str">
        <f>IF('الصرف المباشر'!C340="","",IF('الصرف المباشر'!E340="","-",'الصرف المباشر'!E340))</f>
        <v/>
      </c>
      <c r="D840" t="str">
        <f>IF('الصرف المباشر'!C340="","",'الصرف المباشر'!C340)</f>
        <v/>
      </c>
      <c r="E840" s="24" t="str">
        <f>IF('الصرف المباشر'!C340="","",-'الصرف المباشر'!D340)</f>
        <v/>
      </c>
      <c r="F840" t="str">
        <f>IF('الصرف المباشر'!C340="","",IF('الصرف المباشر'!F340="","",'الصرف المباشر'!F340))</f>
        <v/>
      </c>
      <c r="G840" t="str">
        <f>IF($B840&lt;&gt;"",SUMPRODUCT(($B$2:$B840&lt;&gt;"")*1),"")</f>
        <v/>
      </c>
    </row>
    <row r="841" spans="1:7">
      <c r="A841" s="23" t="str">
        <f>IF('الصرف المباشر'!C341="","",'الصرف المباشر'!B341)</f>
        <v/>
      </c>
      <c r="B841" t="str">
        <f>IF('الصرف المباشر'!C341="","","صرف مباشر")</f>
        <v/>
      </c>
      <c r="C841" t="str">
        <f>IF('الصرف المباشر'!C341="","",IF('الصرف المباشر'!E341="","-",'الصرف المباشر'!E341))</f>
        <v/>
      </c>
      <c r="D841" t="str">
        <f>IF('الصرف المباشر'!C341="","",'الصرف المباشر'!C341)</f>
        <v/>
      </c>
      <c r="E841" s="24" t="str">
        <f>IF('الصرف المباشر'!C341="","",-'الصرف المباشر'!D341)</f>
        <v/>
      </c>
      <c r="F841" t="str">
        <f>IF('الصرف المباشر'!C341="","",IF('الصرف المباشر'!F341="","",'الصرف المباشر'!F341))</f>
        <v/>
      </c>
      <c r="G841" t="str">
        <f>IF($B841&lt;&gt;"",SUMPRODUCT(($B$2:$B841&lt;&gt;"")*1),"")</f>
        <v/>
      </c>
    </row>
    <row r="842" spans="1:7">
      <c r="A842" s="23" t="str">
        <f>IF('الصرف المباشر'!C342="","",'الصرف المباشر'!B342)</f>
        <v/>
      </c>
      <c r="B842" t="str">
        <f>IF('الصرف المباشر'!C342="","","صرف مباشر")</f>
        <v/>
      </c>
      <c r="C842" t="str">
        <f>IF('الصرف المباشر'!C342="","",IF('الصرف المباشر'!E342="","-",'الصرف المباشر'!E342))</f>
        <v/>
      </c>
      <c r="D842" t="str">
        <f>IF('الصرف المباشر'!C342="","",'الصرف المباشر'!C342)</f>
        <v/>
      </c>
      <c r="E842" s="24" t="str">
        <f>IF('الصرف المباشر'!C342="","",-'الصرف المباشر'!D342)</f>
        <v/>
      </c>
      <c r="F842" t="str">
        <f>IF('الصرف المباشر'!C342="","",IF('الصرف المباشر'!F342="","",'الصرف المباشر'!F342))</f>
        <v/>
      </c>
      <c r="G842" t="str">
        <f>IF($B842&lt;&gt;"",SUMPRODUCT(($B$2:$B842&lt;&gt;"")*1),"")</f>
        <v/>
      </c>
    </row>
    <row r="843" spans="1:7">
      <c r="A843" s="23" t="str">
        <f>IF('الصرف المباشر'!C343="","",'الصرف المباشر'!B343)</f>
        <v/>
      </c>
      <c r="B843" t="str">
        <f>IF('الصرف المباشر'!C343="","","صرف مباشر")</f>
        <v/>
      </c>
      <c r="C843" t="str">
        <f>IF('الصرف المباشر'!C343="","",IF('الصرف المباشر'!E343="","-",'الصرف المباشر'!E343))</f>
        <v/>
      </c>
      <c r="D843" t="str">
        <f>IF('الصرف المباشر'!C343="","",'الصرف المباشر'!C343)</f>
        <v/>
      </c>
      <c r="E843" s="24" t="str">
        <f>IF('الصرف المباشر'!C343="","",-'الصرف المباشر'!D343)</f>
        <v/>
      </c>
      <c r="F843" t="str">
        <f>IF('الصرف المباشر'!C343="","",IF('الصرف المباشر'!F343="","",'الصرف المباشر'!F343))</f>
        <v/>
      </c>
      <c r="G843" t="str">
        <f>IF($B843&lt;&gt;"",SUMPRODUCT(($B$2:$B843&lt;&gt;"")*1),"")</f>
        <v/>
      </c>
    </row>
    <row r="844" spans="1:7">
      <c r="A844" s="23" t="str">
        <f>IF('الصرف المباشر'!C344="","",'الصرف المباشر'!B344)</f>
        <v/>
      </c>
      <c r="B844" t="str">
        <f>IF('الصرف المباشر'!C344="","","صرف مباشر")</f>
        <v/>
      </c>
      <c r="C844" t="str">
        <f>IF('الصرف المباشر'!C344="","",IF('الصرف المباشر'!E344="","-",'الصرف المباشر'!E344))</f>
        <v/>
      </c>
      <c r="D844" t="str">
        <f>IF('الصرف المباشر'!C344="","",'الصرف المباشر'!C344)</f>
        <v/>
      </c>
      <c r="E844" s="24" t="str">
        <f>IF('الصرف المباشر'!C344="","",-'الصرف المباشر'!D344)</f>
        <v/>
      </c>
      <c r="F844" t="str">
        <f>IF('الصرف المباشر'!C344="","",IF('الصرف المباشر'!F344="","",'الصرف المباشر'!F344))</f>
        <v/>
      </c>
      <c r="G844" t="str">
        <f>IF($B844&lt;&gt;"",SUMPRODUCT(($B$2:$B844&lt;&gt;"")*1),"")</f>
        <v/>
      </c>
    </row>
    <row r="845" spans="1:7">
      <c r="A845" s="23" t="str">
        <f>IF('الصرف المباشر'!C345="","",'الصرف المباشر'!B345)</f>
        <v/>
      </c>
      <c r="B845" t="str">
        <f>IF('الصرف المباشر'!C345="","","صرف مباشر")</f>
        <v/>
      </c>
      <c r="C845" t="str">
        <f>IF('الصرف المباشر'!C345="","",IF('الصرف المباشر'!E345="","-",'الصرف المباشر'!E345))</f>
        <v/>
      </c>
      <c r="D845" t="str">
        <f>IF('الصرف المباشر'!C345="","",'الصرف المباشر'!C345)</f>
        <v/>
      </c>
      <c r="E845" s="24" t="str">
        <f>IF('الصرف المباشر'!C345="","",-'الصرف المباشر'!D345)</f>
        <v/>
      </c>
      <c r="F845" t="str">
        <f>IF('الصرف المباشر'!C345="","",IF('الصرف المباشر'!F345="","",'الصرف المباشر'!F345))</f>
        <v/>
      </c>
      <c r="G845" t="str">
        <f>IF($B845&lt;&gt;"",SUMPRODUCT(($B$2:$B845&lt;&gt;"")*1),"")</f>
        <v/>
      </c>
    </row>
    <row r="846" spans="1:7">
      <c r="A846" s="23" t="str">
        <f>IF('الصرف المباشر'!C346="","",'الصرف المباشر'!B346)</f>
        <v/>
      </c>
      <c r="B846" t="str">
        <f>IF('الصرف المباشر'!C346="","","صرف مباشر")</f>
        <v/>
      </c>
      <c r="C846" t="str">
        <f>IF('الصرف المباشر'!C346="","",IF('الصرف المباشر'!E346="","-",'الصرف المباشر'!E346))</f>
        <v/>
      </c>
      <c r="D846" t="str">
        <f>IF('الصرف المباشر'!C346="","",'الصرف المباشر'!C346)</f>
        <v/>
      </c>
      <c r="E846" s="24" t="str">
        <f>IF('الصرف المباشر'!C346="","",-'الصرف المباشر'!D346)</f>
        <v/>
      </c>
      <c r="F846" t="str">
        <f>IF('الصرف المباشر'!C346="","",IF('الصرف المباشر'!F346="","",'الصرف المباشر'!F346))</f>
        <v/>
      </c>
      <c r="G846" t="str">
        <f>IF($B846&lt;&gt;"",SUMPRODUCT(($B$2:$B846&lt;&gt;"")*1),"")</f>
        <v/>
      </c>
    </row>
    <row r="847" spans="1:7">
      <c r="A847" s="23" t="str">
        <f>IF('الصرف المباشر'!C347="","",'الصرف المباشر'!B347)</f>
        <v/>
      </c>
      <c r="B847" t="str">
        <f>IF('الصرف المباشر'!C347="","","صرف مباشر")</f>
        <v/>
      </c>
      <c r="C847" t="str">
        <f>IF('الصرف المباشر'!C347="","",IF('الصرف المباشر'!E347="","-",'الصرف المباشر'!E347))</f>
        <v/>
      </c>
      <c r="D847" t="str">
        <f>IF('الصرف المباشر'!C347="","",'الصرف المباشر'!C347)</f>
        <v/>
      </c>
      <c r="E847" s="24" t="str">
        <f>IF('الصرف المباشر'!C347="","",-'الصرف المباشر'!D347)</f>
        <v/>
      </c>
      <c r="F847" t="str">
        <f>IF('الصرف المباشر'!C347="","",IF('الصرف المباشر'!F347="","",'الصرف المباشر'!F347))</f>
        <v/>
      </c>
      <c r="G847" t="str">
        <f>IF($B847&lt;&gt;"",SUMPRODUCT(($B$2:$B847&lt;&gt;"")*1),"")</f>
        <v/>
      </c>
    </row>
    <row r="848" spans="1:7">
      <c r="A848" s="23" t="str">
        <f>IF('الصرف المباشر'!C348="","",'الصرف المباشر'!B348)</f>
        <v/>
      </c>
      <c r="B848" t="str">
        <f>IF('الصرف المباشر'!C348="","","صرف مباشر")</f>
        <v/>
      </c>
      <c r="C848" t="str">
        <f>IF('الصرف المباشر'!C348="","",IF('الصرف المباشر'!E348="","-",'الصرف المباشر'!E348))</f>
        <v/>
      </c>
      <c r="D848" t="str">
        <f>IF('الصرف المباشر'!C348="","",'الصرف المباشر'!C348)</f>
        <v/>
      </c>
      <c r="E848" s="24" t="str">
        <f>IF('الصرف المباشر'!C348="","",-'الصرف المباشر'!D348)</f>
        <v/>
      </c>
      <c r="F848" t="str">
        <f>IF('الصرف المباشر'!C348="","",IF('الصرف المباشر'!F348="","",'الصرف المباشر'!F348))</f>
        <v/>
      </c>
      <c r="G848" t="str">
        <f>IF($B848&lt;&gt;"",SUMPRODUCT(($B$2:$B848&lt;&gt;"")*1),"")</f>
        <v/>
      </c>
    </row>
    <row r="849" spans="1:7">
      <c r="A849" s="23" t="str">
        <f>IF('الصرف المباشر'!C349="","",'الصرف المباشر'!B349)</f>
        <v/>
      </c>
      <c r="B849" t="str">
        <f>IF('الصرف المباشر'!C349="","","صرف مباشر")</f>
        <v/>
      </c>
      <c r="C849" t="str">
        <f>IF('الصرف المباشر'!C349="","",IF('الصرف المباشر'!E349="","-",'الصرف المباشر'!E349))</f>
        <v/>
      </c>
      <c r="D849" t="str">
        <f>IF('الصرف المباشر'!C349="","",'الصرف المباشر'!C349)</f>
        <v/>
      </c>
      <c r="E849" s="24" t="str">
        <f>IF('الصرف المباشر'!C349="","",-'الصرف المباشر'!D349)</f>
        <v/>
      </c>
      <c r="F849" t="str">
        <f>IF('الصرف المباشر'!C349="","",IF('الصرف المباشر'!F349="","",'الصرف المباشر'!F349))</f>
        <v/>
      </c>
      <c r="G849" t="str">
        <f>IF($B849&lt;&gt;"",SUMPRODUCT(($B$2:$B849&lt;&gt;"")*1),"")</f>
        <v/>
      </c>
    </row>
    <row r="850" spans="1:7">
      <c r="A850" s="23" t="str">
        <f>IF('الصرف المباشر'!C350="","",'الصرف المباشر'!B350)</f>
        <v/>
      </c>
      <c r="B850" t="str">
        <f>IF('الصرف المباشر'!C350="","","صرف مباشر")</f>
        <v/>
      </c>
      <c r="C850" t="str">
        <f>IF('الصرف المباشر'!C350="","",IF('الصرف المباشر'!E350="","-",'الصرف المباشر'!E350))</f>
        <v/>
      </c>
      <c r="D850" t="str">
        <f>IF('الصرف المباشر'!C350="","",'الصرف المباشر'!C350)</f>
        <v/>
      </c>
      <c r="E850" s="24" t="str">
        <f>IF('الصرف المباشر'!C350="","",-'الصرف المباشر'!D350)</f>
        <v/>
      </c>
      <c r="F850" t="str">
        <f>IF('الصرف المباشر'!C350="","",IF('الصرف المباشر'!F350="","",'الصرف المباشر'!F350))</f>
        <v/>
      </c>
      <c r="G850" t="str">
        <f>IF($B850&lt;&gt;"",SUMPRODUCT(($B$2:$B850&lt;&gt;"")*1),"")</f>
        <v/>
      </c>
    </row>
    <row r="851" spans="1:7">
      <c r="A851" s="23" t="str">
        <f>IF('الصرف المباشر'!C351="","",'الصرف المباشر'!B351)</f>
        <v/>
      </c>
      <c r="B851" t="str">
        <f>IF('الصرف المباشر'!C351="","","صرف مباشر")</f>
        <v/>
      </c>
      <c r="C851" t="str">
        <f>IF('الصرف المباشر'!C351="","",IF('الصرف المباشر'!E351="","-",'الصرف المباشر'!E351))</f>
        <v/>
      </c>
      <c r="D851" t="str">
        <f>IF('الصرف المباشر'!C351="","",'الصرف المباشر'!C351)</f>
        <v/>
      </c>
      <c r="E851" s="24" t="str">
        <f>IF('الصرف المباشر'!C351="","",-'الصرف المباشر'!D351)</f>
        <v/>
      </c>
      <c r="F851" t="str">
        <f>IF('الصرف المباشر'!C351="","",IF('الصرف المباشر'!F351="","",'الصرف المباشر'!F351))</f>
        <v/>
      </c>
      <c r="G851" t="str">
        <f>IF($B851&lt;&gt;"",SUMPRODUCT(($B$2:$B851&lt;&gt;"")*1),"")</f>
        <v/>
      </c>
    </row>
    <row r="852" spans="1:7">
      <c r="A852" s="23" t="str">
        <f>IF('الصرف المباشر'!C352="","",'الصرف المباشر'!B352)</f>
        <v/>
      </c>
      <c r="B852" t="str">
        <f>IF('الصرف المباشر'!C352="","","صرف مباشر")</f>
        <v/>
      </c>
      <c r="C852" t="str">
        <f>IF('الصرف المباشر'!C352="","",IF('الصرف المباشر'!E352="","-",'الصرف المباشر'!E352))</f>
        <v/>
      </c>
      <c r="D852" t="str">
        <f>IF('الصرف المباشر'!C352="","",'الصرف المباشر'!C352)</f>
        <v/>
      </c>
      <c r="E852" s="24" t="str">
        <f>IF('الصرف المباشر'!C352="","",-'الصرف المباشر'!D352)</f>
        <v/>
      </c>
      <c r="F852" t="str">
        <f>IF('الصرف المباشر'!C352="","",IF('الصرف المباشر'!F352="","",'الصرف المباشر'!F352))</f>
        <v/>
      </c>
      <c r="G852" t="str">
        <f>IF($B852&lt;&gt;"",SUMPRODUCT(($B$2:$B852&lt;&gt;"")*1),"")</f>
        <v/>
      </c>
    </row>
    <row r="853" spans="1:7">
      <c r="A853" s="23" t="str">
        <f>IF('الصرف المباشر'!C353="","",'الصرف المباشر'!B353)</f>
        <v/>
      </c>
      <c r="B853" t="str">
        <f>IF('الصرف المباشر'!C353="","","صرف مباشر")</f>
        <v/>
      </c>
      <c r="C853" t="str">
        <f>IF('الصرف المباشر'!C353="","",IF('الصرف المباشر'!E353="","-",'الصرف المباشر'!E353))</f>
        <v/>
      </c>
      <c r="D853" t="str">
        <f>IF('الصرف المباشر'!C353="","",'الصرف المباشر'!C353)</f>
        <v/>
      </c>
      <c r="E853" s="24" t="str">
        <f>IF('الصرف المباشر'!C353="","",-'الصرف المباشر'!D353)</f>
        <v/>
      </c>
      <c r="F853" t="str">
        <f>IF('الصرف المباشر'!C353="","",IF('الصرف المباشر'!F353="","",'الصرف المباشر'!F353))</f>
        <v/>
      </c>
      <c r="G853" t="str">
        <f>IF($B853&lt;&gt;"",SUMPRODUCT(($B$2:$B853&lt;&gt;"")*1),"")</f>
        <v/>
      </c>
    </row>
    <row r="854" spans="1:7">
      <c r="A854" s="23" t="str">
        <f>IF('الصرف المباشر'!C354="","",'الصرف المباشر'!B354)</f>
        <v/>
      </c>
      <c r="B854" t="str">
        <f>IF('الصرف المباشر'!C354="","","صرف مباشر")</f>
        <v/>
      </c>
      <c r="C854" t="str">
        <f>IF('الصرف المباشر'!C354="","",IF('الصرف المباشر'!E354="","-",'الصرف المباشر'!E354))</f>
        <v/>
      </c>
      <c r="D854" t="str">
        <f>IF('الصرف المباشر'!C354="","",'الصرف المباشر'!C354)</f>
        <v/>
      </c>
      <c r="E854" s="24" t="str">
        <f>IF('الصرف المباشر'!C354="","",-'الصرف المباشر'!D354)</f>
        <v/>
      </c>
      <c r="F854" t="str">
        <f>IF('الصرف المباشر'!C354="","",IF('الصرف المباشر'!F354="","",'الصرف المباشر'!F354))</f>
        <v/>
      </c>
      <c r="G854" t="str">
        <f>IF($B854&lt;&gt;"",SUMPRODUCT(($B$2:$B854&lt;&gt;"")*1),"")</f>
        <v/>
      </c>
    </row>
    <row r="855" spans="1:7">
      <c r="A855" s="23" t="str">
        <f>IF('الصرف المباشر'!C355="","",'الصرف المباشر'!B355)</f>
        <v/>
      </c>
      <c r="B855" t="str">
        <f>IF('الصرف المباشر'!C355="","","صرف مباشر")</f>
        <v/>
      </c>
      <c r="C855" t="str">
        <f>IF('الصرف المباشر'!C355="","",IF('الصرف المباشر'!E355="","-",'الصرف المباشر'!E355))</f>
        <v/>
      </c>
      <c r="D855" t="str">
        <f>IF('الصرف المباشر'!C355="","",'الصرف المباشر'!C355)</f>
        <v/>
      </c>
      <c r="E855" s="24" t="str">
        <f>IF('الصرف المباشر'!C355="","",-'الصرف المباشر'!D355)</f>
        <v/>
      </c>
      <c r="F855" t="str">
        <f>IF('الصرف المباشر'!C355="","",IF('الصرف المباشر'!F355="","",'الصرف المباشر'!F355))</f>
        <v/>
      </c>
      <c r="G855" t="str">
        <f>IF($B855&lt;&gt;"",SUMPRODUCT(($B$2:$B855&lt;&gt;"")*1),"")</f>
        <v/>
      </c>
    </row>
    <row r="856" spans="1:7">
      <c r="A856" s="23" t="str">
        <f>IF('الصرف المباشر'!C356="","",'الصرف المباشر'!B356)</f>
        <v/>
      </c>
      <c r="B856" t="str">
        <f>IF('الصرف المباشر'!C356="","","صرف مباشر")</f>
        <v/>
      </c>
      <c r="C856" t="str">
        <f>IF('الصرف المباشر'!C356="","",IF('الصرف المباشر'!E356="","-",'الصرف المباشر'!E356))</f>
        <v/>
      </c>
      <c r="D856" t="str">
        <f>IF('الصرف المباشر'!C356="","",'الصرف المباشر'!C356)</f>
        <v/>
      </c>
      <c r="E856" s="24" t="str">
        <f>IF('الصرف المباشر'!C356="","",-'الصرف المباشر'!D356)</f>
        <v/>
      </c>
      <c r="F856" t="str">
        <f>IF('الصرف المباشر'!C356="","",IF('الصرف المباشر'!F356="","",'الصرف المباشر'!F356))</f>
        <v/>
      </c>
      <c r="G856" t="str">
        <f>IF($B856&lt;&gt;"",SUMPRODUCT(($B$2:$B856&lt;&gt;"")*1),"")</f>
        <v/>
      </c>
    </row>
    <row r="857" spans="1:7">
      <c r="A857" s="23" t="str">
        <f>IF('الصرف المباشر'!C357="","",'الصرف المباشر'!B357)</f>
        <v/>
      </c>
      <c r="B857" t="str">
        <f>IF('الصرف المباشر'!C357="","","صرف مباشر")</f>
        <v/>
      </c>
      <c r="C857" t="str">
        <f>IF('الصرف المباشر'!C357="","",IF('الصرف المباشر'!E357="","-",'الصرف المباشر'!E357))</f>
        <v/>
      </c>
      <c r="D857" t="str">
        <f>IF('الصرف المباشر'!C357="","",'الصرف المباشر'!C357)</f>
        <v/>
      </c>
      <c r="E857" s="24" t="str">
        <f>IF('الصرف المباشر'!C357="","",-'الصرف المباشر'!D357)</f>
        <v/>
      </c>
      <c r="F857" t="str">
        <f>IF('الصرف المباشر'!C357="","",IF('الصرف المباشر'!F357="","",'الصرف المباشر'!F357))</f>
        <v/>
      </c>
      <c r="G857" t="str">
        <f>IF($B857&lt;&gt;"",SUMPRODUCT(($B$2:$B857&lt;&gt;"")*1),"")</f>
        <v/>
      </c>
    </row>
    <row r="858" spans="1:7">
      <c r="A858" s="23" t="str">
        <f>IF('الصرف المباشر'!C358="","",'الصرف المباشر'!B358)</f>
        <v/>
      </c>
      <c r="B858" t="str">
        <f>IF('الصرف المباشر'!C358="","","صرف مباشر")</f>
        <v/>
      </c>
      <c r="C858" t="str">
        <f>IF('الصرف المباشر'!C358="","",IF('الصرف المباشر'!E358="","-",'الصرف المباشر'!E358))</f>
        <v/>
      </c>
      <c r="D858" t="str">
        <f>IF('الصرف المباشر'!C358="","",'الصرف المباشر'!C358)</f>
        <v/>
      </c>
      <c r="E858" s="24" t="str">
        <f>IF('الصرف المباشر'!C358="","",-'الصرف المباشر'!D358)</f>
        <v/>
      </c>
      <c r="F858" t="str">
        <f>IF('الصرف المباشر'!C358="","",IF('الصرف المباشر'!F358="","",'الصرف المباشر'!F358))</f>
        <v/>
      </c>
      <c r="G858" t="str">
        <f>IF($B858&lt;&gt;"",SUMPRODUCT(($B$2:$B858&lt;&gt;"")*1),"")</f>
        <v/>
      </c>
    </row>
    <row r="859" spans="1:7">
      <c r="A859" s="23" t="str">
        <f>IF('الصرف المباشر'!C359="","",'الصرف المباشر'!B359)</f>
        <v/>
      </c>
      <c r="B859" t="str">
        <f>IF('الصرف المباشر'!C359="","","صرف مباشر")</f>
        <v/>
      </c>
      <c r="C859" t="str">
        <f>IF('الصرف المباشر'!C359="","",IF('الصرف المباشر'!E359="","-",'الصرف المباشر'!E359))</f>
        <v/>
      </c>
      <c r="D859" t="str">
        <f>IF('الصرف المباشر'!C359="","",'الصرف المباشر'!C359)</f>
        <v/>
      </c>
      <c r="E859" s="24" t="str">
        <f>IF('الصرف المباشر'!C359="","",-'الصرف المباشر'!D359)</f>
        <v/>
      </c>
      <c r="F859" t="str">
        <f>IF('الصرف المباشر'!C359="","",IF('الصرف المباشر'!F359="","",'الصرف المباشر'!F359))</f>
        <v/>
      </c>
      <c r="G859" t="str">
        <f>IF($B859&lt;&gt;"",SUMPRODUCT(($B$2:$B859&lt;&gt;"")*1),"")</f>
        <v/>
      </c>
    </row>
    <row r="860" spans="1:7">
      <c r="A860" s="23" t="str">
        <f>IF('الصرف المباشر'!C360="","",'الصرف المباشر'!B360)</f>
        <v/>
      </c>
      <c r="B860" t="str">
        <f>IF('الصرف المباشر'!C360="","","صرف مباشر")</f>
        <v/>
      </c>
      <c r="C860" t="str">
        <f>IF('الصرف المباشر'!C360="","",IF('الصرف المباشر'!E360="","-",'الصرف المباشر'!E360))</f>
        <v/>
      </c>
      <c r="D860" t="str">
        <f>IF('الصرف المباشر'!C360="","",'الصرف المباشر'!C360)</f>
        <v/>
      </c>
      <c r="E860" s="24" t="str">
        <f>IF('الصرف المباشر'!C360="","",-'الصرف المباشر'!D360)</f>
        <v/>
      </c>
      <c r="F860" t="str">
        <f>IF('الصرف المباشر'!C360="","",IF('الصرف المباشر'!F360="","",'الصرف المباشر'!F360))</f>
        <v/>
      </c>
      <c r="G860" t="str">
        <f>IF($B860&lt;&gt;"",SUMPRODUCT(($B$2:$B860&lt;&gt;"")*1),"")</f>
        <v/>
      </c>
    </row>
    <row r="861" spans="1:7">
      <c r="A861" s="23" t="str">
        <f>IF('الصرف المباشر'!C361="","",'الصرف المباشر'!B361)</f>
        <v/>
      </c>
      <c r="B861" t="str">
        <f>IF('الصرف المباشر'!C361="","","صرف مباشر")</f>
        <v/>
      </c>
      <c r="C861" t="str">
        <f>IF('الصرف المباشر'!C361="","",IF('الصرف المباشر'!E361="","-",'الصرف المباشر'!E361))</f>
        <v/>
      </c>
      <c r="D861" t="str">
        <f>IF('الصرف المباشر'!C361="","",'الصرف المباشر'!C361)</f>
        <v/>
      </c>
      <c r="E861" s="24" t="str">
        <f>IF('الصرف المباشر'!C361="","",-'الصرف المباشر'!D361)</f>
        <v/>
      </c>
      <c r="F861" t="str">
        <f>IF('الصرف المباشر'!C361="","",IF('الصرف المباشر'!F361="","",'الصرف المباشر'!F361))</f>
        <v/>
      </c>
      <c r="G861" t="str">
        <f>IF($B861&lt;&gt;"",SUMPRODUCT(($B$2:$B861&lt;&gt;"")*1),"")</f>
        <v/>
      </c>
    </row>
    <row r="862" spans="1:7">
      <c r="A862" s="23" t="str">
        <f>IF('الصرف المباشر'!C362="","",'الصرف المباشر'!B362)</f>
        <v/>
      </c>
      <c r="B862" t="str">
        <f>IF('الصرف المباشر'!C362="","","صرف مباشر")</f>
        <v/>
      </c>
      <c r="C862" t="str">
        <f>IF('الصرف المباشر'!C362="","",IF('الصرف المباشر'!E362="","-",'الصرف المباشر'!E362))</f>
        <v/>
      </c>
      <c r="D862" t="str">
        <f>IF('الصرف المباشر'!C362="","",'الصرف المباشر'!C362)</f>
        <v/>
      </c>
      <c r="E862" s="24" t="str">
        <f>IF('الصرف المباشر'!C362="","",-'الصرف المباشر'!D362)</f>
        <v/>
      </c>
      <c r="F862" t="str">
        <f>IF('الصرف المباشر'!C362="","",IF('الصرف المباشر'!F362="","",'الصرف المباشر'!F362))</f>
        <v/>
      </c>
      <c r="G862" t="str">
        <f>IF($B862&lt;&gt;"",SUMPRODUCT(($B$2:$B862&lt;&gt;"")*1),"")</f>
        <v/>
      </c>
    </row>
    <row r="863" spans="1:7">
      <c r="A863" s="23" t="str">
        <f>IF('الصرف المباشر'!C363="","",'الصرف المباشر'!B363)</f>
        <v/>
      </c>
      <c r="B863" t="str">
        <f>IF('الصرف المباشر'!C363="","","صرف مباشر")</f>
        <v/>
      </c>
      <c r="C863" t="str">
        <f>IF('الصرف المباشر'!C363="","",IF('الصرف المباشر'!E363="","-",'الصرف المباشر'!E363))</f>
        <v/>
      </c>
      <c r="D863" t="str">
        <f>IF('الصرف المباشر'!C363="","",'الصرف المباشر'!C363)</f>
        <v/>
      </c>
      <c r="E863" s="24" t="str">
        <f>IF('الصرف المباشر'!C363="","",-'الصرف المباشر'!D363)</f>
        <v/>
      </c>
      <c r="F863" t="str">
        <f>IF('الصرف المباشر'!C363="","",IF('الصرف المباشر'!F363="","",'الصرف المباشر'!F363))</f>
        <v/>
      </c>
      <c r="G863" t="str">
        <f>IF($B863&lt;&gt;"",SUMPRODUCT(($B$2:$B863&lt;&gt;"")*1),"")</f>
        <v/>
      </c>
    </row>
    <row r="864" spans="1:7">
      <c r="A864" s="23" t="str">
        <f>IF('الصرف المباشر'!C364="","",'الصرف المباشر'!B364)</f>
        <v/>
      </c>
      <c r="B864" t="str">
        <f>IF('الصرف المباشر'!C364="","","صرف مباشر")</f>
        <v/>
      </c>
      <c r="C864" t="str">
        <f>IF('الصرف المباشر'!C364="","",IF('الصرف المباشر'!E364="","-",'الصرف المباشر'!E364))</f>
        <v/>
      </c>
      <c r="D864" t="str">
        <f>IF('الصرف المباشر'!C364="","",'الصرف المباشر'!C364)</f>
        <v/>
      </c>
      <c r="E864" s="24" t="str">
        <f>IF('الصرف المباشر'!C364="","",-'الصرف المباشر'!D364)</f>
        <v/>
      </c>
      <c r="F864" t="str">
        <f>IF('الصرف المباشر'!C364="","",IF('الصرف المباشر'!F364="","",'الصرف المباشر'!F364))</f>
        <v/>
      </c>
      <c r="G864" t="str">
        <f>IF($B864&lt;&gt;"",SUMPRODUCT(($B$2:$B864&lt;&gt;"")*1),"")</f>
        <v/>
      </c>
    </row>
    <row r="865" spans="1:7">
      <c r="A865" s="23" t="str">
        <f>IF('الصرف المباشر'!C365="","",'الصرف المباشر'!B365)</f>
        <v/>
      </c>
      <c r="B865" t="str">
        <f>IF('الصرف المباشر'!C365="","","صرف مباشر")</f>
        <v/>
      </c>
      <c r="C865" t="str">
        <f>IF('الصرف المباشر'!C365="","",IF('الصرف المباشر'!E365="","-",'الصرف المباشر'!E365))</f>
        <v/>
      </c>
      <c r="D865" t="str">
        <f>IF('الصرف المباشر'!C365="","",'الصرف المباشر'!C365)</f>
        <v/>
      </c>
      <c r="E865" s="24" t="str">
        <f>IF('الصرف المباشر'!C365="","",-'الصرف المباشر'!D365)</f>
        <v/>
      </c>
      <c r="F865" t="str">
        <f>IF('الصرف المباشر'!C365="","",IF('الصرف المباشر'!F365="","",'الصرف المباشر'!F365))</f>
        <v/>
      </c>
      <c r="G865" t="str">
        <f>IF($B865&lt;&gt;"",SUMPRODUCT(($B$2:$B865&lt;&gt;"")*1),"")</f>
        <v/>
      </c>
    </row>
    <row r="866" spans="1:7">
      <c r="A866" s="23" t="str">
        <f>IF('الصرف المباشر'!C366="","",'الصرف المباشر'!B366)</f>
        <v/>
      </c>
      <c r="B866" t="str">
        <f>IF('الصرف المباشر'!C366="","","صرف مباشر")</f>
        <v/>
      </c>
      <c r="C866" t="str">
        <f>IF('الصرف المباشر'!C366="","",IF('الصرف المباشر'!E366="","-",'الصرف المباشر'!E366))</f>
        <v/>
      </c>
      <c r="D866" t="str">
        <f>IF('الصرف المباشر'!C366="","",'الصرف المباشر'!C366)</f>
        <v/>
      </c>
      <c r="E866" s="24" t="str">
        <f>IF('الصرف المباشر'!C366="","",-'الصرف المباشر'!D366)</f>
        <v/>
      </c>
      <c r="F866" t="str">
        <f>IF('الصرف المباشر'!C366="","",IF('الصرف المباشر'!F366="","",'الصرف المباشر'!F366))</f>
        <v/>
      </c>
      <c r="G866" t="str">
        <f>IF($B866&lt;&gt;"",SUMPRODUCT(($B$2:$B866&lt;&gt;"")*1),"")</f>
        <v/>
      </c>
    </row>
    <row r="867" spans="1:7">
      <c r="A867" s="23" t="str">
        <f>IF('الصرف المباشر'!C367="","",'الصرف المباشر'!B367)</f>
        <v/>
      </c>
      <c r="B867" t="str">
        <f>IF('الصرف المباشر'!C367="","","صرف مباشر")</f>
        <v/>
      </c>
      <c r="C867" t="str">
        <f>IF('الصرف المباشر'!C367="","",IF('الصرف المباشر'!E367="","-",'الصرف المباشر'!E367))</f>
        <v/>
      </c>
      <c r="D867" t="str">
        <f>IF('الصرف المباشر'!C367="","",'الصرف المباشر'!C367)</f>
        <v/>
      </c>
      <c r="E867" s="24" t="str">
        <f>IF('الصرف المباشر'!C367="","",-'الصرف المباشر'!D367)</f>
        <v/>
      </c>
      <c r="F867" t="str">
        <f>IF('الصرف المباشر'!C367="","",IF('الصرف المباشر'!F367="","",'الصرف المباشر'!F367))</f>
        <v/>
      </c>
      <c r="G867" t="str">
        <f>IF($B867&lt;&gt;"",SUMPRODUCT(($B$2:$B867&lt;&gt;"")*1),"")</f>
        <v/>
      </c>
    </row>
    <row r="868" spans="1:7">
      <c r="A868" s="23" t="str">
        <f>IF('الصرف المباشر'!C368="","",'الصرف المباشر'!B368)</f>
        <v/>
      </c>
      <c r="B868" t="str">
        <f>IF('الصرف المباشر'!C368="","","صرف مباشر")</f>
        <v/>
      </c>
      <c r="C868" t="str">
        <f>IF('الصرف المباشر'!C368="","",IF('الصرف المباشر'!E368="","-",'الصرف المباشر'!E368))</f>
        <v/>
      </c>
      <c r="D868" t="str">
        <f>IF('الصرف المباشر'!C368="","",'الصرف المباشر'!C368)</f>
        <v/>
      </c>
      <c r="E868" s="24" t="str">
        <f>IF('الصرف المباشر'!C368="","",-'الصرف المباشر'!D368)</f>
        <v/>
      </c>
      <c r="F868" t="str">
        <f>IF('الصرف المباشر'!C368="","",IF('الصرف المباشر'!F368="","",'الصرف المباشر'!F368))</f>
        <v/>
      </c>
      <c r="G868" t="str">
        <f>IF($B868&lt;&gt;"",SUMPRODUCT(($B$2:$B868&lt;&gt;"")*1),"")</f>
        <v/>
      </c>
    </row>
    <row r="869" spans="1:7">
      <c r="A869" s="23" t="str">
        <f>IF('الصرف المباشر'!C369="","",'الصرف المباشر'!B369)</f>
        <v/>
      </c>
      <c r="B869" t="str">
        <f>IF('الصرف المباشر'!C369="","","صرف مباشر")</f>
        <v/>
      </c>
      <c r="C869" t="str">
        <f>IF('الصرف المباشر'!C369="","",IF('الصرف المباشر'!E369="","-",'الصرف المباشر'!E369))</f>
        <v/>
      </c>
      <c r="D869" t="str">
        <f>IF('الصرف المباشر'!C369="","",'الصرف المباشر'!C369)</f>
        <v/>
      </c>
      <c r="E869" s="24" t="str">
        <f>IF('الصرف المباشر'!C369="","",-'الصرف المباشر'!D369)</f>
        <v/>
      </c>
      <c r="F869" t="str">
        <f>IF('الصرف المباشر'!C369="","",IF('الصرف المباشر'!F369="","",'الصرف المباشر'!F369))</f>
        <v/>
      </c>
      <c r="G869" t="str">
        <f>IF($B869&lt;&gt;"",SUMPRODUCT(($B$2:$B869&lt;&gt;"")*1),"")</f>
        <v/>
      </c>
    </row>
    <row r="870" spans="1:7">
      <c r="A870" s="23" t="str">
        <f>IF('الصرف المباشر'!C370="","",'الصرف المباشر'!B370)</f>
        <v/>
      </c>
      <c r="B870" t="str">
        <f>IF('الصرف المباشر'!C370="","","صرف مباشر")</f>
        <v/>
      </c>
      <c r="C870" t="str">
        <f>IF('الصرف المباشر'!C370="","",IF('الصرف المباشر'!E370="","-",'الصرف المباشر'!E370))</f>
        <v/>
      </c>
      <c r="D870" t="str">
        <f>IF('الصرف المباشر'!C370="","",'الصرف المباشر'!C370)</f>
        <v/>
      </c>
      <c r="E870" s="24" t="str">
        <f>IF('الصرف المباشر'!C370="","",-'الصرف المباشر'!D370)</f>
        <v/>
      </c>
      <c r="F870" t="str">
        <f>IF('الصرف المباشر'!C370="","",IF('الصرف المباشر'!F370="","",'الصرف المباشر'!F370))</f>
        <v/>
      </c>
      <c r="G870" t="str">
        <f>IF($B870&lt;&gt;"",SUMPRODUCT(($B$2:$B870&lt;&gt;"")*1),"")</f>
        <v/>
      </c>
    </row>
    <row r="871" spans="1:7">
      <c r="A871" s="23" t="str">
        <f>IF('الصرف المباشر'!C371="","",'الصرف المباشر'!B371)</f>
        <v/>
      </c>
      <c r="B871" t="str">
        <f>IF('الصرف المباشر'!C371="","","صرف مباشر")</f>
        <v/>
      </c>
      <c r="C871" t="str">
        <f>IF('الصرف المباشر'!C371="","",IF('الصرف المباشر'!E371="","-",'الصرف المباشر'!E371))</f>
        <v/>
      </c>
      <c r="D871" t="str">
        <f>IF('الصرف المباشر'!C371="","",'الصرف المباشر'!C371)</f>
        <v/>
      </c>
      <c r="E871" s="24" t="str">
        <f>IF('الصرف المباشر'!C371="","",-'الصرف المباشر'!D371)</f>
        <v/>
      </c>
      <c r="F871" t="str">
        <f>IF('الصرف المباشر'!C371="","",IF('الصرف المباشر'!F371="","",'الصرف المباشر'!F371))</f>
        <v/>
      </c>
      <c r="G871" t="str">
        <f>IF($B871&lt;&gt;"",SUMPRODUCT(($B$2:$B871&lt;&gt;"")*1),"")</f>
        <v/>
      </c>
    </row>
    <row r="872" spans="1:7">
      <c r="A872" s="23" t="str">
        <f>IF('الصرف المباشر'!C372="","",'الصرف المباشر'!B372)</f>
        <v/>
      </c>
      <c r="B872" t="str">
        <f>IF('الصرف المباشر'!C372="","","صرف مباشر")</f>
        <v/>
      </c>
      <c r="C872" t="str">
        <f>IF('الصرف المباشر'!C372="","",IF('الصرف المباشر'!E372="","-",'الصرف المباشر'!E372))</f>
        <v/>
      </c>
      <c r="D872" t="str">
        <f>IF('الصرف المباشر'!C372="","",'الصرف المباشر'!C372)</f>
        <v/>
      </c>
      <c r="E872" s="24" t="str">
        <f>IF('الصرف المباشر'!C372="","",-'الصرف المباشر'!D372)</f>
        <v/>
      </c>
      <c r="F872" t="str">
        <f>IF('الصرف المباشر'!C372="","",IF('الصرف المباشر'!F372="","",'الصرف المباشر'!F372))</f>
        <v/>
      </c>
      <c r="G872" t="str">
        <f>IF($B872&lt;&gt;"",SUMPRODUCT(($B$2:$B872&lt;&gt;"")*1),"")</f>
        <v/>
      </c>
    </row>
    <row r="873" spans="1:7">
      <c r="A873" s="23" t="str">
        <f>IF('الصرف المباشر'!C373="","",'الصرف المباشر'!B373)</f>
        <v/>
      </c>
      <c r="B873" t="str">
        <f>IF('الصرف المباشر'!C373="","","صرف مباشر")</f>
        <v/>
      </c>
      <c r="C873" t="str">
        <f>IF('الصرف المباشر'!C373="","",IF('الصرف المباشر'!E373="","-",'الصرف المباشر'!E373))</f>
        <v/>
      </c>
      <c r="D873" t="str">
        <f>IF('الصرف المباشر'!C373="","",'الصرف المباشر'!C373)</f>
        <v/>
      </c>
      <c r="E873" s="24" t="str">
        <f>IF('الصرف المباشر'!C373="","",-'الصرف المباشر'!D373)</f>
        <v/>
      </c>
      <c r="F873" t="str">
        <f>IF('الصرف المباشر'!C373="","",IF('الصرف المباشر'!F373="","",'الصرف المباشر'!F373))</f>
        <v/>
      </c>
      <c r="G873" t="str">
        <f>IF($B873&lt;&gt;"",SUMPRODUCT(($B$2:$B873&lt;&gt;"")*1),"")</f>
        <v/>
      </c>
    </row>
    <row r="874" spans="1:7">
      <c r="A874" s="23" t="str">
        <f>IF('الصرف المباشر'!C374="","",'الصرف المباشر'!B374)</f>
        <v/>
      </c>
      <c r="B874" t="str">
        <f>IF('الصرف المباشر'!C374="","","صرف مباشر")</f>
        <v/>
      </c>
      <c r="C874" t="str">
        <f>IF('الصرف المباشر'!C374="","",IF('الصرف المباشر'!E374="","-",'الصرف المباشر'!E374))</f>
        <v/>
      </c>
      <c r="D874" t="str">
        <f>IF('الصرف المباشر'!C374="","",'الصرف المباشر'!C374)</f>
        <v/>
      </c>
      <c r="E874" s="24" t="str">
        <f>IF('الصرف المباشر'!C374="","",-'الصرف المباشر'!D374)</f>
        <v/>
      </c>
      <c r="F874" t="str">
        <f>IF('الصرف المباشر'!C374="","",IF('الصرف المباشر'!F374="","",'الصرف المباشر'!F374))</f>
        <v/>
      </c>
      <c r="G874" t="str">
        <f>IF($B874&lt;&gt;"",SUMPRODUCT(($B$2:$B874&lt;&gt;"")*1),"")</f>
        <v/>
      </c>
    </row>
    <row r="875" spans="1:7">
      <c r="A875" s="23" t="str">
        <f>IF('الصرف المباشر'!C375="","",'الصرف المباشر'!B375)</f>
        <v/>
      </c>
      <c r="B875" t="str">
        <f>IF('الصرف المباشر'!C375="","","صرف مباشر")</f>
        <v/>
      </c>
      <c r="C875" t="str">
        <f>IF('الصرف المباشر'!C375="","",IF('الصرف المباشر'!E375="","-",'الصرف المباشر'!E375))</f>
        <v/>
      </c>
      <c r="D875" t="str">
        <f>IF('الصرف المباشر'!C375="","",'الصرف المباشر'!C375)</f>
        <v/>
      </c>
      <c r="E875" s="24" t="str">
        <f>IF('الصرف المباشر'!C375="","",-'الصرف المباشر'!D375)</f>
        <v/>
      </c>
      <c r="F875" t="str">
        <f>IF('الصرف المباشر'!C375="","",IF('الصرف المباشر'!F375="","",'الصرف المباشر'!F375))</f>
        <v/>
      </c>
      <c r="G875" t="str">
        <f>IF($B875&lt;&gt;"",SUMPRODUCT(($B$2:$B875&lt;&gt;"")*1),"")</f>
        <v/>
      </c>
    </row>
    <row r="876" spans="1:7">
      <c r="A876" s="23" t="str">
        <f>IF('الصرف المباشر'!C376="","",'الصرف المباشر'!B376)</f>
        <v/>
      </c>
      <c r="B876" t="str">
        <f>IF('الصرف المباشر'!C376="","","صرف مباشر")</f>
        <v/>
      </c>
      <c r="C876" t="str">
        <f>IF('الصرف المباشر'!C376="","",IF('الصرف المباشر'!E376="","-",'الصرف المباشر'!E376))</f>
        <v/>
      </c>
      <c r="D876" t="str">
        <f>IF('الصرف المباشر'!C376="","",'الصرف المباشر'!C376)</f>
        <v/>
      </c>
      <c r="E876" s="24" t="str">
        <f>IF('الصرف المباشر'!C376="","",-'الصرف المباشر'!D376)</f>
        <v/>
      </c>
      <c r="F876" t="str">
        <f>IF('الصرف المباشر'!C376="","",IF('الصرف المباشر'!F376="","",'الصرف المباشر'!F376))</f>
        <v/>
      </c>
      <c r="G876" t="str">
        <f>IF($B876&lt;&gt;"",SUMPRODUCT(($B$2:$B876&lt;&gt;"")*1),"")</f>
        <v/>
      </c>
    </row>
    <row r="877" spans="1:7">
      <c r="A877" s="23" t="str">
        <f>IF('الصرف المباشر'!C377="","",'الصرف المباشر'!B377)</f>
        <v/>
      </c>
      <c r="B877" t="str">
        <f>IF('الصرف المباشر'!C377="","","صرف مباشر")</f>
        <v/>
      </c>
      <c r="C877" t="str">
        <f>IF('الصرف المباشر'!C377="","",IF('الصرف المباشر'!E377="","-",'الصرف المباشر'!E377))</f>
        <v/>
      </c>
      <c r="D877" t="str">
        <f>IF('الصرف المباشر'!C377="","",'الصرف المباشر'!C377)</f>
        <v/>
      </c>
      <c r="E877" s="24" t="str">
        <f>IF('الصرف المباشر'!C377="","",-'الصرف المباشر'!D377)</f>
        <v/>
      </c>
      <c r="F877" t="str">
        <f>IF('الصرف المباشر'!C377="","",IF('الصرف المباشر'!F377="","",'الصرف المباشر'!F377))</f>
        <v/>
      </c>
      <c r="G877" t="str">
        <f>IF($B877&lt;&gt;"",SUMPRODUCT(($B$2:$B877&lt;&gt;"")*1),"")</f>
        <v/>
      </c>
    </row>
    <row r="878" spans="1:7">
      <c r="A878" s="23" t="str">
        <f>IF('الصرف المباشر'!C378="","",'الصرف المباشر'!B378)</f>
        <v/>
      </c>
      <c r="B878" t="str">
        <f>IF('الصرف المباشر'!C378="","","صرف مباشر")</f>
        <v/>
      </c>
      <c r="C878" t="str">
        <f>IF('الصرف المباشر'!C378="","",IF('الصرف المباشر'!E378="","-",'الصرف المباشر'!E378))</f>
        <v/>
      </c>
      <c r="D878" t="str">
        <f>IF('الصرف المباشر'!C378="","",'الصرف المباشر'!C378)</f>
        <v/>
      </c>
      <c r="E878" s="24" t="str">
        <f>IF('الصرف المباشر'!C378="","",-'الصرف المباشر'!D378)</f>
        <v/>
      </c>
      <c r="F878" t="str">
        <f>IF('الصرف المباشر'!C378="","",IF('الصرف المباشر'!F378="","",'الصرف المباشر'!F378))</f>
        <v/>
      </c>
      <c r="G878" t="str">
        <f>IF($B878&lt;&gt;"",SUMPRODUCT(($B$2:$B878&lt;&gt;"")*1),"")</f>
        <v/>
      </c>
    </row>
    <row r="879" spans="1:7">
      <c r="A879" s="23" t="str">
        <f>IF('الصرف المباشر'!C379="","",'الصرف المباشر'!B379)</f>
        <v/>
      </c>
      <c r="B879" t="str">
        <f>IF('الصرف المباشر'!C379="","","صرف مباشر")</f>
        <v/>
      </c>
      <c r="C879" t="str">
        <f>IF('الصرف المباشر'!C379="","",IF('الصرف المباشر'!E379="","-",'الصرف المباشر'!E379))</f>
        <v/>
      </c>
      <c r="D879" t="str">
        <f>IF('الصرف المباشر'!C379="","",'الصرف المباشر'!C379)</f>
        <v/>
      </c>
      <c r="E879" s="24" t="str">
        <f>IF('الصرف المباشر'!C379="","",-'الصرف المباشر'!D379)</f>
        <v/>
      </c>
      <c r="F879" t="str">
        <f>IF('الصرف المباشر'!C379="","",IF('الصرف المباشر'!F379="","",'الصرف المباشر'!F379))</f>
        <v/>
      </c>
      <c r="G879" t="str">
        <f>IF($B879&lt;&gt;"",SUMPRODUCT(($B$2:$B879&lt;&gt;"")*1),"")</f>
        <v/>
      </c>
    </row>
    <row r="880" spans="1:7">
      <c r="A880" s="23" t="str">
        <f>IF('الصرف المباشر'!C380="","",'الصرف المباشر'!B380)</f>
        <v/>
      </c>
      <c r="B880" t="str">
        <f>IF('الصرف المباشر'!C380="","","صرف مباشر")</f>
        <v/>
      </c>
      <c r="C880" t="str">
        <f>IF('الصرف المباشر'!C380="","",IF('الصرف المباشر'!E380="","-",'الصرف المباشر'!E380))</f>
        <v/>
      </c>
      <c r="D880" t="str">
        <f>IF('الصرف المباشر'!C380="","",'الصرف المباشر'!C380)</f>
        <v/>
      </c>
      <c r="E880" s="24" t="str">
        <f>IF('الصرف المباشر'!C380="","",-'الصرف المباشر'!D380)</f>
        <v/>
      </c>
      <c r="F880" t="str">
        <f>IF('الصرف المباشر'!C380="","",IF('الصرف المباشر'!F380="","",'الصرف المباشر'!F380))</f>
        <v/>
      </c>
      <c r="G880" t="str">
        <f>IF($B880&lt;&gt;"",SUMPRODUCT(($B$2:$B880&lt;&gt;"")*1),"")</f>
        <v/>
      </c>
    </row>
    <row r="881" spans="1:7">
      <c r="A881" s="23" t="str">
        <f>IF('الصرف المباشر'!C381="","",'الصرف المباشر'!B381)</f>
        <v/>
      </c>
      <c r="B881" t="str">
        <f>IF('الصرف المباشر'!C381="","","صرف مباشر")</f>
        <v/>
      </c>
      <c r="C881" t="str">
        <f>IF('الصرف المباشر'!C381="","",IF('الصرف المباشر'!E381="","-",'الصرف المباشر'!E381))</f>
        <v/>
      </c>
      <c r="D881" t="str">
        <f>IF('الصرف المباشر'!C381="","",'الصرف المباشر'!C381)</f>
        <v/>
      </c>
      <c r="E881" s="24" t="str">
        <f>IF('الصرف المباشر'!C381="","",-'الصرف المباشر'!D381)</f>
        <v/>
      </c>
      <c r="F881" t="str">
        <f>IF('الصرف المباشر'!C381="","",IF('الصرف المباشر'!F381="","",'الصرف المباشر'!F381))</f>
        <v/>
      </c>
      <c r="G881" t="str">
        <f>IF($B881&lt;&gt;"",SUMPRODUCT(($B$2:$B881&lt;&gt;"")*1),"")</f>
        <v/>
      </c>
    </row>
    <row r="882" spans="1:7">
      <c r="A882" s="23" t="str">
        <f>IF('الصرف المباشر'!C382="","",'الصرف المباشر'!B382)</f>
        <v/>
      </c>
      <c r="B882" t="str">
        <f>IF('الصرف المباشر'!C382="","","صرف مباشر")</f>
        <v/>
      </c>
      <c r="C882" t="str">
        <f>IF('الصرف المباشر'!C382="","",IF('الصرف المباشر'!E382="","-",'الصرف المباشر'!E382))</f>
        <v/>
      </c>
      <c r="D882" t="str">
        <f>IF('الصرف المباشر'!C382="","",'الصرف المباشر'!C382)</f>
        <v/>
      </c>
      <c r="E882" s="24" t="str">
        <f>IF('الصرف المباشر'!C382="","",-'الصرف المباشر'!D382)</f>
        <v/>
      </c>
      <c r="F882" t="str">
        <f>IF('الصرف المباشر'!C382="","",IF('الصرف المباشر'!F382="","",'الصرف المباشر'!F382))</f>
        <v/>
      </c>
      <c r="G882" t="str">
        <f>IF($B882&lt;&gt;"",SUMPRODUCT(($B$2:$B882&lt;&gt;"")*1),"")</f>
        <v/>
      </c>
    </row>
    <row r="883" spans="1:7">
      <c r="A883" s="23" t="str">
        <f>IF('الصرف المباشر'!C383="","",'الصرف المباشر'!B383)</f>
        <v/>
      </c>
      <c r="B883" t="str">
        <f>IF('الصرف المباشر'!C383="","","صرف مباشر")</f>
        <v/>
      </c>
      <c r="C883" t="str">
        <f>IF('الصرف المباشر'!C383="","",IF('الصرف المباشر'!E383="","-",'الصرف المباشر'!E383))</f>
        <v/>
      </c>
      <c r="D883" t="str">
        <f>IF('الصرف المباشر'!C383="","",'الصرف المباشر'!C383)</f>
        <v/>
      </c>
      <c r="E883" s="24" t="str">
        <f>IF('الصرف المباشر'!C383="","",-'الصرف المباشر'!D383)</f>
        <v/>
      </c>
      <c r="F883" t="str">
        <f>IF('الصرف المباشر'!C383="","",IF('الصرف المباشر'!F383="","",'الصرف المباشر'!F383))</f>
        <v/>
      </c>
      <c r="G883" t="str">
        <f>IF($B883&lt;&gt;"",SUMPRODUCT(($B$2:$B883&lt;&gt;"")*1),"")</f>
        <v/>
      </c>
    </row>
    <row r="884" spans="1:7">
      <c r="A884" s="23" t="str">
        <f>IF('الصرف المباشر'!C384="","",'الصرف المباشر'!B384)</f>
        <v/>
      </c>
      <c r="B884" t="str">
        <f>IF('الصرف المباشر'!C384="","","صرف مباشر")</f>
        <v/>
      </c>
      <c r="C884" t="str">
        <f>IF('الصرف المباشر'!C384="","",IF('الصرف المباشر'!E384="","-",'الصرف المباشر'!E384))</f>
        <v/>
      </c>
      <c r="D884" t="str">
        <f>IF('الصرف المباشر'!C384="","",'الصرف المباشر'!C384)</f>
        <v/>
      </c>
      <c r="E884" s="24" t="str">
        <f>IF('الصرف المباشر'!C384="","",-'الصرف المباشر'!D384)</f>
        <v/>
      </c>
      <c r="F884" t="str">
        <f>IF('الصرف المباشر'!C384="","",IF('الصرف المباشر'!F384="","",'الصرف المباشر'!F384))</f>
        <v/>
      </c>
      <c r="G884" t="str">
        <f>IF($B884&lt;&gt;"",SUMPRODUCT(($B$2:$B884&lt;&gt;"")*1),"")</f>
        <v/>
      </c>
    </row>
    <row r="885" spans="1:7">
      <c r="A885" s="23" t="str">
        <f>IF('الصرف المباشر'!C385="","",'الصرف المباشر'!B385)</f>
        <v/>
      </c>
      <c r="B885" t="str">
        <f>IF('الصرف المباشر'!C385="","","صرف مباشر")</f>
        <v/>
      </c>
      <c r="C885" t="str">
        <f>IF('الصرف المباشر'!C385="","",IF('الصرف المباشر'!E385="","-",'الصرف المباشر'!E385))</f>
        <v/>
      </c>
      <c r="D885" t="str">
        <f>IF('الصرف المباشر'!C385="","",'الصرف المباشر'!C385)</f>
        <v/>
      </c>
      <c r="E885" s="24" t="str">
        <f>IF('الصرف المباشر'!C385="","",-'الصرف المباشر'!D385)</f>
        <v/>
      </c>
      <c r="F885" t="str">
        <f>IF('الصرف المباشر'!C385="","",IF('الصرف المباشر'!F385="","",'الصرف المباشر'!F385))</f>
        <v/>
      </c>
      <c r="G885" t="str">
        <f>IF($B885&lt;&gt;"",SUMPRODUCT(($B$2:$B885&lt;&gt;"")*1),"")</f>
        <v/>
      </c>
    </row>
    <row r="886" spans="1:7">
      <c r="A886" s="23" t="str">
        <f>IF('الصرف المباشر'!C386="","",'الصرف المباشر'!B386)</f>
        <v/>
      </c>
      <c r="B886" t="str">
        <f>IF('الصرف المباشر'!C386="","","صرف مباشر")</f>
        <v/>
      </c>
      <c r="C886" t="str">
        <f>IF('الصرف المباشر'!C386="","",IF('الصرف المباشر'!E386="","-",'الصرف المباشر'!E386))</f>
        <v/>
      </c>
      <c r="D886" t="str">
        <f>IF('الصرف المباشر'!C386="","",'الصرف المباشر'!C386)</f>
        <v/>
      </c>
      <c r="E886" s="24" t="str">
        <f>IF('الصرف المباشر'!C386="","",-'الصرف المباشر'!D386)</f>
        <v/>
      </c>
      <c r="F886" t="str">
        <f>IF('الصرف المباشر'!C386="","",IF('الصرف المباشر'!F386="","",'الصرف المباشر'!F386))</f>
        <v/>
      </c>
      <c r="G886" t="str">
        <f>IF($B886&lt;&gt;"",SUMPRODUCT(($B$2:$B886&lt;&gt;"")*1),"")</f>
        <v/>
      </c>
    </row>
    <row r="887" spans="1:7">
      <c r="A887" s="23" t="str">
        <f>IF('الصرف المباشر'!C387="","",'الصرف المباشر'!B387)</f>
        <v/>
      </c>
      <c r="B887" t="str">
        <f>IF('الصرف المباشر'!C387="","","صرف مباشر")</f>
        <v/>
      </c>
      <c r="C887" t="str">
        <f>IF('الصرف المباشر'!C387="","",IF('الصرف المباشر'!E387="","-",'الصرف المباشر'!E387))</f>
        <v/>
      </c>
      <c r="D887" t="str">
        <f>IF('الصرف المباشر'!C387="","",'الصرف المباشر'!C387)</f>
        <v/>
      </c>
      <c r="E887" s="24" t="str">
        <f>IF('الصرف المباشر'!C387="","",-'الصرف المباشر'!D387)</f>
        <v/>
      </c>
      <c r="F887" t="str">
        <f>IF('الصرف المباشر'!C387="","",IF('الصرف المباشر'!F387="","",'الصرف المباشر'!F387))</f>
        <v/>
      </c>
      <c r="G887" t="str">
        <f>IF($B887&lt;&gt;"",SUMPRODUCT(($B$2:$B887&lt;&gt;"")*1),"")</f>
        <v/>
      </c>
    </row>
    <row r="888" spans="1:7">
      <c r="A888" s="23" t="str">
        <f>IF('الصرف المباشر'!C388="","",'الصرف المباشر'!B388)</f>
        <v/>
      </c>
      <c r="B888" t="str">
        <f>IF('الصرف المباشر'!C388="","","صرف مباشر")</f>
        <v/>
      </c>
      <c r="C888" t="str">
        <f>IF('الصرف المباشر'!C388="","",IF('الصرف المباشر'!E388="","-",'الصرف المباشر'!E388))</f>
        <v/>
      </c>
      <c r="D888" t="str">
        <f>IF('الصرف المباشر'!C388="","",'الصرف المباشر'!C388)</f>
        <v/>
      </c>
      <c r="E888" s="24" t="str">
        <f>IF('الصرف المباشر'!C388="","",-'الصرف المباشر'!D388)</f>
        <v/>
      </c>
      <c r="F888" t="str">
        <f>IF('الصرف المباشر'!C388="","",IF('الصرف المباشر'!F388="","",'الصرف المباشر'!F388))</f>
        <v/>
      </c>
      <c r="G888" t="str">
        <f>IF($B888&lt;&gt;"",SUMPRODUCT(($B$2:$B888&lt;&gt;"")*1),"")</f>
        <v/>
      </c>
    </row>
    <row r="889" spans="1:7">
      <c r="A889" s="23" t="str">
        <f>IF('الصرف المباشر'!C389="","",'الصرف المباشر'!B389)</f>
        <v/>
      </c>
      <c r="B889" t="str">
        <f>IF('الصرف المباشر'!C389="","","صرف مباشر")</f>
        <v/>
      </c>
      <c r="C889" t="str">
        <f>IF('الصرف المباشر'!C389="","",IF('الصرف المباشر'!E389="","-",'الصرف المباشر'!E389))</f>
        <v/>
      </c>
      <c r="D889" t="str">
        <f>IF('الصرف المباشر'!C389="","",'الصرف المباشر'!C389)</f>
        <v/>
      </c>
      <c r="E889" s="24" t="str">
        <f>IF('الصرف المباشر'!C389="","",-'الصرف المباشر'!D389)</f>
        <v/>
      </c>
      <c r="F889" t="str">
        <f>IF('الصرف المباشر'!C389="","",IF('الصرف المباشر'!F389="","",'الصرف المباشر'!F389))</f>
        <v/>
      </c>
      <c r="G889" t="str">
        <f>IF($B889&lt;&gt;"",SUMPRODUCT(($B$2:$B889&lt;&gt;"")*1),"")</f>
        <v/>
      </c>
    </row>
    <row r="890" spans="1:7">
      <c r="A890" s="23" t="str">
        <f>IF('الصرف المباشر'!C390="","",'الصرف المباشر'!B390)</f>
        <v/>
      </c>
      <c r="B890" t="str">
        <f>IF('الصرف المباشر'!C390="","","صرف مباشر")</f>
        <v/>
      </c>
      <c r="C890" t="str">
        <f>IF('الصرف المباشر'!C390="","",IF('الصرف المباشر'!E390="","-",'الصرف المباشر'!E390))</f>
        <v/>
      </c>
      <c r="D890" t="str">
        <f>IF('الصرف المباشر'!C390="","",'الصرف المباشر'!C390)</f>
        <v/>
      </c>
      <c r="E890" s="24" t="str">
        <f>IF('الصرف المباشر'!C390="","",-'الصرف المباشر'!D390)</f>
        <v/>
      </c>
      <c r="F890" t="str">
        <f>IF('الصرف المباشر'!C390="","",IF('الصرف المباشر'!F390="","",'الصرف المباشر'!F390))</f>
        <v/>
      </c>
      <c r="G890" t="str">
        <f>IF($B890&lt;&gt;"",SUMPRODUCT(($B$2:$B890&lt;&gt;"")*1),"")</f>
        <v/>
      </c>
    </row>
    <row r="891" spans="1:7">
      <c r="A891" s="23" t="str">
        <f>IF('الصرف المباشر'!C391="","",'الصرف المباشر'!B391)</f>
        <v/>
      </c>
      <c r="B891" t="str">
        <f>IF('الصرف المباشر'!C391="","","صرف مباشر")</f>
        <v/>
      </c>
      <c r="C891" t="str">
        <f>IF('الصرف المباشر'!C391="","",IF('الصرف المباشر'!E391="","-",'الصرف المباشر'!E391))</f>
        <v/>
      </c>
      <c r="D891" t="str">
        <f>IF('الصرف المباشر'!C391="","",'الصرف المباشر'!C391)</f>
        <v/>
      </c>
      <c r="E891" s="24" t="str">
        <f>IF('الصرف المباشر'!C391="","",-'الصرف المباشر'!D391)</f>
        <v/>
      </c>
      <c r="F891" t="str">
        <f>IF('الصرف المباشر'!C391="","",IF('الصرف المباشر'!F391="","",'الصرف المباشر'!F391))</f>
        <v/>
      </c>
      <c r="G891" t="str">
        <f>IF($B891&lt;&gt;"",SUMPRODUCT(($B$2:$B891&lt;&gt;"")*1),"")</f>
        <v/>
      </c>
    </row>
    <row r="892" spans="1:7">
      <c r="A892" s="23" t="str">
        <f>IF('الصرف المباشر'!C392="","",'الصرف المباشر'!B392)</f>
        <v/>
      </c>
      <c r="B892" t="str">
        <f>IF('الصرف المباشر'!C392="","","صرف مباشر")</f>
        <v/>
      </c>
      <c r="C892" t="str">
        <f>IF('الصرف المباشر'!C392="","",IF('الصرف المباشر'!E392="","-",'الصرف المباشر'!E392))</f>
        <v/>
      </c>
      <c r="D892" t="str">
        <f>IF('الصرف المباشر'!C392="","",'الصرف المباشر'!C392)</f>
        <v/>
      </c>
      <c r="E892" s="24" t="str">
        <f>IF('الصرف المباشر'!C392="","",-'الصرف المباشر'!D392)</f>
        <v/>
      </c>
      <c r="F892" t="str">
        <f>IF('الصرف المباشر'!C392="","",IF('الصرف المباشر'!F392="","",'الصرف المباشر'!F392))</f>
        <v/>
      </c>
      <c r="G892" t="str">
        <f>IF($B892&lt;&gt;"",SUMPRODUCT(($B$2:$B892&lt;&gt;"")*1),"")</f>
        <v/>
      </c>
    </row>
    <row r="893" spans="1:7">
      <c r="A893" s="23" t="str">
        <f>IF('الصرف المباشر'!C393="","",'الصرف المباشر'!B393)</f>
        <v/>
      </c>
      <c r="B893" t="str">
        <f>IF('الصرف المباشر'!C393="","","صرف مباشر")</f>
        <v/>
      </c>
      <c r="C893" t="str">
        <f>IF('الصرف المباشر'!C393="","",IF('الصرف المباشر'!E393="","-",'الصرف المباشر'!E393))</f>
        <v/>
      </c>
      <c r="D893" t="str">
        <f>IF('الصرف المباشر'!C393="","",'الصرف المباشر'!C393)</f>
        <v/>
      </c>
      <c r="E893" s="24" t="str">
        <f>IF('الصرف المباشر'!C393="","",-'الصرف المباشر'!D393)</f>
        <v/>
      </c>
      <c r="F893" t="str">
        <f>IF('الصرف المباشر'!C393="","",IF('الصرف المباشر'!F393="","",'الصرف المباشر'!F393))</f>
        <v/>
      </c>
      <c r="G893" t="str">
        <f>IF($B893&lt;&gt;"",SUMPRODUCT(($B$2:$B893&lt;&gt;"")*1),"")</f>
        <v/>
      </c>
    </row>
    <row r="894" spans="1:7">
      <c r="A894" s="23" t="str">
        <f>IF('الصرف المباشر'!C394="","",'الصرف المباشر'!B394)</f>
        <v/>
      </c>
      <c r="B894" t="str">
        <f>IF('الصرف المباشر'!C394="","","صرف مباشر")</f>
        <v/>
      </c>
      <c r="C894" t="str">
        <f>IF('الصرف المباشر'!C394="","",IF('الصرف المباشر'!E394="","-",'الصرف المباشر'!E394))</f>
        <v/>
      </c>
      <c r="D894" t="str">
        <f>IF('الصرف المباشر'!C394="","",'الصرف المباشر'!C394)</f>
        <v/>
      </c>
      <c r="E894" s="24" t="str">
        <f>IF('الصرف المباشر'!C394="","",-'الصرف المباشر'!D394)</f>
        <v/>
      </c>
      <c r="F894" t="str">
        <f>IF('الصرف المباشر'!C394="","",IF('الصرف المباشر'!F394="","",'الصرف المباشر'!F394))</f>
        <v/>
      </c>
      <c r="G894" t="str">
        <f>IF($B894&lt;&gt;"",SUMPRODUCT(($B$2:$B894&lt;&gt;"")*1),"")</f>
        <v/>
      </c>
    </row>
    <row r="895" spans="1:7">
      <c r="A895" s="23" t="str">
        <f>IF('الصرف المباشر'!C395="","",'الصرف المباشر'!B395)</f>
        <v/>
      </c>
      <c r="B895" t="str">
        <f>IF('الصرف المباشر'!C395="","","صرف مباشر")</f>
        <v/>
      </c>
      <c r="C895" t="str">
        <f>IF('الصرف المباشر'!C395="","",IF('الصرف المباشر'!E395="","-",'الصرف المباشر'!E395))</f>
        <v/>
      </c>
      <c r="D895" t="str">
        <f>IF('الصرف المباشر'!C395="","",'الصرف المباشر'!C395)</f>
        <v/>
      </c>
      <c r="E895" s="24" t="str">
        <f>IF('الصرف المباشر'!C395="","",-'الصرف المباشر'!D395)</f>
        <v/>
      </c>
      <c r="F895" t="str">
        <f>IF('الصرف المباشر'!C395="","",IF('الصرف المباشر'!F395="","",'الصرف المباشر'!F395))</f>
        <v/>
      </c>
      <c r="G895" t="str">
        <f>IF($B895&lt;&gt;"",SUMPRODUCT(($B$2:$B895&lt;&gt;"")*1),"")</f>
        <v/>
      </c>
    </row>
    <row r="896" spans="1:7">
      <c r="A896" s="23" t="str">
        <f>IF('الصرف المباشر'!C396="","",'الصرف المباشر'!B396)</f>
        <v/>
      </c>
      <c r="B896" t="str">
        <f>IF('الصرف المباشر'!C396="","","صرف مباشر")</f>
        <v/>
      </c>
      <c r="C896" t="str">
        <f>IF('الصرف المباشر'!C396="","",IF('الصرف المباشر'!E396="","-",'الصرف المباشر'!E396))</f>
        <v/>
      </c>
      <c r="D896" t="str">
        <f>IF('الصرف المباشر'!C396="","",'الصرف المباشر'!C396)</f>
        <v/>
      </c>
      <c r="E896" s="24" t="str">
        <f>IF('الصرف المباشر'!C396="","",-'الصرف المباشر'!D396)</f>
        <v/>
      </c>
      <c r="F896" t="str">
        <f>IF('الصرف المباشر'!C396="","",IF('الصرف المباشر'!F396="","",'الصرف المباشر'!F396))</f>
        <v/>
      </c>
      <c r="G896" t="str">
        <f>IF($B896&lt;&gt;"",SUMPRODUCT(($B$2:$B896&lt;&gt;"")*1),"")</f>
        <v/>
      </c>
    </row>
    <row r="897" spans="1:7">
      <c r="A897" s="23" t="str">
        <f>IF('الصرف المباشر'!C397="","",'الصرف المباشر'!B397)</f>
        <v/>
      </c>
      <c r="B897" t="str">
        <f>IF('الصرف المباشر'!C397="","","صرف مباشر")</f>
        <v/>
      </c>
      <c r="C897" t="str">
        <f>IF('الصرف المباشر'!C397="","",IF('الصرف المباشر'!E397="","-",'الصرف المباشر'!E397))</f>
        <v/>
      </c>
      <c r="D897" t="str">
        <f>IF('الصرف المباشر'!C397="","",'الصرف المباشر'!C397)</f>
        <v/>
      </c>
      <c r="E897" s="24" t="str">
        <f>IF('الصرف المباشر'!C397="","",-'الصرف المباشر'!D397)</f>
        <v/>
      </c>
      <c r="F897" t="str">
        <f>IF('الصرف المباشر'!C397="","",IF('الصرف المباشر'!F397="","",'الصرف المباشر'!F397))</f>
        <v/>
      </c>
      <c r="G897" t="str">
        <f>IF($B897&lt;&gt;"",SUMPRODUCT(($B$2:$B897&lt;&gt;"")*1),"")</f>
        <v/>
      </c>
    </row>
    <row r="898" spans="1:7">
      <c r="A898" s="23" t="str">
        <f>IF('الصرف المباشر'!C398="","",'الصرف المباشر'!B398)</f>
        <v/>
      </c>
      <c r="B898" t="str">
        <f>IF('الصرف المباشر'!C398="","","صرف مباشر")</f>
        <v/>
      </c>
      <c r="C898" t="str">
        <f>IF('الصرف المباشر'!C398="","",IF('الصرف المباشر'!E398="","-",'الصرف المباشر'!E398))</f>
        <v/>
      </c>
      <c r="D898" t="str">
        <f>IF('الصرف المباشر'!C398="","",'الصرف المباشر'!C398)</f>
        <v/>
      </c>
      <c r="E898" s="24" t="str">
        <f>IF('الصرف المباشر'!C398="","",-'الصرف المباشر'!D398)</f>
        <v/>
      </c>
      <c r="F898" t="str">
        <f>IF('الصرف المباشر'!C398="","",IF('الصرف المباشر'!F398="","",'الصرف المباشر'!F398))</f>
        <v/>
      </c>
      <c r="G898" t="str">
        <f>IF($B898&lt;&gt;"",SUMPRODUCT(($B$2:$B898&lt;&gt;"")*1),"")</f>
        <v/>
      </c>
    </row>
    <row r="899" spans="1:7">
      <c r="A899" s="23" t="str">
        <f>IF('الصرف المباشر'!C399="","",'الصرف المباشر'!B399)</f>
        <v/>
      </c>
      <c r="B899" t="str">
        <f>IF('الصرف المباشر'!C399="","","صرف مباشر")</f>
        <v/>
      </c>
      <c r="C899" t="str">
        <f>IF('الصرف المباشر'!C399="","",IF('الصرف المباشر'!E399="","-",'الصرف المباشر'!E399))</f>
        <v/>
      </c>
      <c r="D899" t="str">
        <f>IF('الصرف المباشر'!C399="","",'الصرف المباشر'!C399)</f>
        <v/>
      </c>
      <c r="E899" s="24" t="str">
        <f>IF('الصرف المباشر'!C399="","",-'الصرف المباشر'!D399)</f>
        <v/>
      </c>
      <c r="F899" t="str">
        <f>IF('الصرف المباشر'!C399="","",IF('الصرف المباشر'!F399="","",'الصرف المباشر'!F399))</f>
        <v/>
      </c>
      <c r="G899" t="str">
        <f>IF($B899&lt;&gt;"",SUMPRODUCT(($B$2:$B899&lt;&gt;"")*1),"")</f>
        <v/>
      </c>
    </row>
    <row r="900" spans="1:7">
      <c r="A900" s="23" t="str">
        <f>IF('الصرف المباشر'!C400="","",'الصرف المباشر'!B400)</f>
        <v/>
      </c>
      <c r="B900" t="str">
        <f>IF('الصرف المباشر'!C400="","","صرف مباشر")</f>
        <v/>
      </c>
      <c r="C900" t="str">
        <f>IF('الصرف المباشر'!C400="","",IF('الصرف المباشر'!E400="","-",'الصرف المباشر'!E400))</f>
        <v/>
      </c>
      <c r="D900" t="str">
        <f>IF('الصرف المباشر'!C400="","",'الصرف المباشر'!C400)</f>
        <v/>
      </c>
      <c r="E900" s="24" t="str">
        <f>IF('الصرف المباشر'!C400="","",-'الصرف المباشر'!D400)</f>
        <v/>
      </c>
      <c r="F900" t="str">
        <f>IF('الصرف المباشر'!C400="","",IF('الصرف المباشر'!F400="","",'الصرف المباشر'!F400))</f>
        <v/>
      </c>
      <c r="G900" t="str">
        <f>IF($B900&lt;&gt;"",SUMPRODUCT(($B$2:$B900&lt;&gt;"")*1),"")</f>
        <v/>
      </c>
    </row>
    <row r="901" spans="1:7">
      <c r="A901" s="23" t="str">
        <f>IF('الصرف المباشر'!C401="","",'الصرف المباشر'!B401)</f>
        <v/>
      </c>
      <c r="B901" t="str">
        <f>IF('الصرف المباشر'!C401="","","صرف مباشر")</f>
        <v/>
      </c>
      <c r="C901" t="str">
        <f>IF('الصرف المباشر'!C401="","",IF('الصرف المباشر'!E401="","-",'الصرف المباشر'!E401))</f>
        <v/>
      </c>
      <c r="D901" t="str">
        <f>IF('الصرف المباشر'!C401="","",'الصرف المباشر'!C401)</f>
        <v/>
      </c>
      <c r="E901" s="24" t="str">
        <f>IF('الصرف المباشر'!C401="","",-'الصرف المباشر'!D401)</f>
        <v/>
      </c>
      <c r="F901" t="str">
        <f>IF('الصرف المباشر'!C401="","",IF('الصرف المباشر'!F401="","",'الصرف المباشر'!F401))</f>
        <v/>
      </c>
      <c r="G901" t="str">
        <f>IF($B901&lt;&gt;"",SUMPRODUCT(($B$2:$B901&lt;&gt;"")*1),"")</f>
        <v/>
      </c>
    </row>
    <row r="902" spans="1:7">
      <c r="A902" s="23" t="str">
        <f>IF('الصرف المباشر'!C402="","",'الصرف المباشر'!B402)</f>
        <v/>
      </c>
      <c r="B902" t="str">
        <f>IF('الصرف المباشر'!C402="","","صرف مباشر")</f>
        <v/>
      </c>
      <c r="C902" t="str">
        <f>IF('الصرف المباشر'!C402="","",IF('الصرف المباشر'!E402="","-",'الصرف المباشر'!E402))</f>
        <v/>
      </c>
      <c r="D902" t="str">
        <f>IF('الصرف المباشر'!C402="","",'الصرف المباشر'!C402)</f>
        <v/>
      </c>
      <c r="E902" s="24" t="str">
        <f>IF('الصرف المباشر'!C402="","",-'الصرف المباشر'!D402)</f>
        <v/>
      </c>
      <c r="F902" t="str">
        <f>IF('الصرف المباشر'!C402="","",IF('الصرف المباشر'!F402="","",'الصرف المباشر'!F402))</f>
        <v/>
      </c>
      <c r="G902" t="str">
        <f>IF($B902&lt;&gt;"",SUMPRODUCT(($B$2:$B902&lt;&gt;"")*1),"")</f>
        <v/>
      </c>
    </row>
    <row r="903" spans="1:7">
      <c r="A903" s="23" t="str">
        <f>IF('الصرف المباشر'!C403="","",'الصرف المباشر'!B403)</f>
        <v/>
      </c>
      <c r="B903" t="str">
        <f>IF('الصرف المباشر'!C403="","","صرف مباشر")</f>
        <v/>
      </c>
      <c r="C903" t="str">
        <f>IF('الصرف المباشر'!C403="","",IF('الصرف المباشر'!E403="","-",'الصرف المباشر'!E403))</f>
        <v/>
      </c>
      <c r="D903" t="str">
        <f>IF('الصرف المباشر'!C403="","",'الصرف المباشر'!C403)</f>
        <v/>
      </c>
      <c r="E903" s="24" t="str">
        <f>IF('الصرف المباشر'!C403="","",-'الصرف المباشر'!D403)</f>
        <v/>
      </c>
      <c r="F903" t="str">
        <f>IF('الصرف المباشر'!C403="","",IF('الصرف المباشر'!F403="","",'الصرف المباشر'!F403))</f>
        <v/>
      </c>
      <c r="G903" t="str">
        <f>IF($B903&lt;&gt;"",SUMPRODUCT(($B$2:$B903&lt;&gt;"")*1),"")</f>
        <v/>
      </c>
    </row>
    <row r="904" spans="1:7">
      <c r="A904" s="23" t="str">
        <f>IF('الصرف المباشر'!C404="","",'الصرف المباشر'!B404)</f>
        <v/>
      </c>
      <c r="B904" t="str">
        <f>IF('الصرف المباشر'!C404="","","صرف مباشر")</f>
        <v/>
      </c>
      <c r="C904" t="str">
        <f>IF('الصرف المباشر'!C404="","",IF('الصرف المباشر'!E404="","-",'الصرف المباشر'!E404))</f>
        <v/>
      </c>
      <c r="D904" t="str">
        <f>IF('الصرف المباشر'!C404="","",'الصرف المباشر'!C404)</f>
        <v/>
      </c>
      <c r="E904" s="24" t="str">
        <f>IF('الصرف المباشر'!C404="","",-'الصرف المباشر'!D404)</f>
        <v/>
      </c>
      <c r="F904" t="str">
        <f>IF('الصرف المباشر'!C404="","",IF('الصرف المباشر'!F404="","",'الصرف المباشر'!F404))</f>
        <v/>
      </c>
      <c r="G904" t="str">
        <f>IF($B904&lt;&gt;"",SUMPRODUCT(($B$2:$B904&lt;&gt;"")*1),"")</f>
        <v/>
      </c>
    </row>
    <row r="905" spans="1:7">
      <c r="A905" s="23" t="str">
        <f>IF('الصرف المباشر'!C405="","",'الصرف المباشر'!B405)</f>
        <v/>
      </c>
      <c r="B905" t="str">
        <f>IF('الصرف المباشر'!C405="","","صرف مباشر")</f>
        <v/>
      </c>
      <c r="C905" t="str">
        <f>IF('الصرف المباشر'!C405="","",IF('الصرف المباشر'!E405="","-",'الصرف المباشر'!E405))</f>
        <v/>
      </c>
      <c r="D905" t="str">
        <f>IF('الصرف المباشر'!C405="","",'الصرف المباشر'!C405)</f>
        <v/>
      </c>
      <c r="E905" s="24" t="str">
        <f>IF('الصرف المباشر'!C405="","",-'الصرف المباشر'!D405)</f>
        <v/>
      </c>
      <c r="F905" t="str">
        <f>IF('الصرف المباشر'!C405="","",IF('الصرف المباشر'!F405="","",'الصرف المباشر'!F405))</f>
        <v/>
      </c>
      <c r="G905" t="str">
        <f>IF($B905&lt;&gt;"",SUMPRODUCT(($B$2:$B905&lt;&gt;"")*1),"")</f>
        <v/>
      </c>
    </row>
    <row r="906" spans="1:7">
      <c r="A906" s="23" t="str">
        <f>IF('الصرف المباشر'!C406="","",'الصرف المباشر'!B406)</f>
        <v/>
      </c>
      <c r="B906" t="str">
        <f>IF('الصرف المباشر'!C406="","","صرف مباشر")</f>
        <v/>
      </c>
      <c r="C906" t="str">
        <f>IF('الصرف المباشر'!C406="","",IF('الصرف المباشر'!E406="","-",'الصرف المباشر'!E406))</f>
        <v/>
      </c>
      <c r="D906" t="str">
        <f>IF('الصرف المباشر'!C406="","",'الصرف المباشر'!C406)</f>
        <v/>
      </c>
      <c r="E906" s="24" t="str">
        <f>IF('الصرف المباشر'!C406="","",-'الصرف المباشر'!D406)</f>
        <v/>
      </c>
      <c r="F906" t="str">
        <f>IF('الصرف المباشر'!C406="","",IF('الصرف المباشر'!F406="","",'الصرف المباشر'!F406))</f>
        <v/>
      </c>
      <c r="G906" t="str">
        <f>IF($B906&lt;&gt;"",SUMPRODUCT(($B$2:$B906&lt;&gt;"")*1),"")</f>
        <v/>
      </c>
    </row>
    <row r="907" spans="1:7">
      <c r="A907" s="23" t="str">
        <f>IF('الصرف المباشر'!C407="","",'الصرف المباشر'!B407)</f>
        <v/>
      </c>
      <c r="B907" t="str">
        <f>IF('الصرف المباشر'!C407="","","صرف مباشر")</f>
        <v/>
      </c>
      <c r="C907" t="str">
        <f>IF('الصرف المباشر'!C407="","",IF('الصرف المباشر'!E407="","-",'الصرف المباشر'!E407))</f>
        <v/>
      </c>
      <c r="D907" t="str">
        <f>IF('الصرف المباشر'!C407="","",'الصرف المباشر'!C407)</f>
        <v/>
      </c>
      <c r="E907" s="24" t="str">
        <f>IF('الصرف المباشر'!C407="","",-'الصرف المباشر'!D407)</f>
        <v/>
      </c>
      <c r="F907" t="str">
        <f>IF('الصرف المباشر'!C407="","",IF('الصرف المباشر'!F407="","",'الصرف المباشر'!F407))</f>
        <v/>
      </c>
      <c r="G907" t="str">
        <f>IF($B907&lt;&gt;"",SUMPRODUCT(($B$2:$B907&lt;&gt;"")*1),"")</f>
        <v/>
      </c>
    </row>
    <row r="908" spans="1:7">
      <c r="A908" s="23" t="str">
        <f>IF('الصرف المباشر'!C408="","",'الصرف المباشر'!B408)</f>
        <v/>
      </c>
      <c r="B908" t="str">
        <f>IF('الصرف المباشر'!C408="","","صرف مباشر")</f>
        <v/>
      </c>
      <c r="C908" t="str">
        <f>IF('الصرف المباشر'!C408="","",IF('الصرف المباشر'!E408="","-",'الصرف المباشر'!E408))</f>
        <v/>
      </c>
      <c r="D908" t="str">
        <f>IF('الصرف المباشر'!C408="","",'الصرف المباشر'!C408)</f>
        <v/>
      </c>
      <c r="E908" s="24" t="str">
        <f>IF('الصرف المباشر'!C408="","",-'الصرف المباشر'!D408)</f>
        <v/>
      </c>
      <c r="F908" t="str">
        <f>IF('الصرف المباشر'!C408="","",IF('الصرف المباشر'!F408="","",'الصرف المباشر'!F408))</f>
        <v/>
      </c>
      <c r="G908" t="str">
        <f>IF($B908&lt;&gt;"",SUMPRODUCT(($B$2:$B908&lt;&gt;"")*1),"")</f>
        <v/>
      </c>
    </row>
    <row r="909" spans="1:7">
      <c r="A909" s="23" t="str">
        <f>IF('الصرف المباشر'!C409="","",'الصرف المباشر'!B409)</f>
        <v/>
      </c>
      <c r="B909" t="str">
        <f>IF('الصرف المباشر'!C409="","","صرف مباشر")</f>
        <v/>
      </c>
      <c r="C909" t="str">
        <f>IF('الصرف المباشر'!C409="","",IF('الصرف المباشر'!E409="","-",'الصرف المباشر'!E409))</f>
        <v/>
      </c>
      <c r="D909" t="str">
        <f>IF('الصرف المباشر'!C409="","",'الصرف المباشر'!C409)</f>
        <v/>
      </c>
      <c r="E909" s="24" t="str">
        <f>IF('الصرف المباشر'!C409="","",-'الصرف المباشر'!D409)</f>
        <v/>
      </c>
      <c r="F909" t="str">
        <f>IF('الصرف المباشر'!C409="","",IF('الصرف المباشر'!F409="","",'الصرف المباشر'!F409))</f>
        <v/>
      </c>
      <c r="G909" t="str">
        <f>IF($B909&lt;&gt;"",SUMPRODUCT(($B$2:$B909&lt;&gt;"")*1),"")</f>
        <v/>
      </c>
    </row>
    <row r="910" spans="1:7">
      <c r="A910" s="23" t="str">
        <f>IF('الصرف المباشر'!C410="","",'الصرف المباشر'!B410)</f>
        <v/>
      </c>
      <c r="B910" t="str">
        <f>IF('الصرف المباشر'!C410="","","صرف مباشر")</f>
        <v/>
      </c>
      <c r="C910" t="str">
        <f>IF('الصرف المباشر'!C410="","",IF('الصرف المباشر'!E410="","-",'الصرف المباشر'!E410))</f>
        <v/>
      </c>
      <c r="D910" t="str">
        <f>IF('الصرف المباشر'!C410="","",'الصرف المباشر'!C410)</f>
        <v/>
      </c>
      <c r="E910" s="24" t="str">
        <f>IF('الصرف المباشر'!C410="","",-'الصرف المباشر'!D410)</f>
        <v/>
      </c>
      <c r="F910" t="str">
        <f>IF('الصرف المباشر'!C410="","",IF('الصرف المباشر'!F410="","",'الصرف المباشر'!F410))</f>
        <v/>
      </c>
      <c r="G910" t="str">
        <f>IF($B910&lt;&gt;"",SUMPRODUCT(($B$2:$B910&lt;&gt;"")*1),"")</f>
        <v/>
      </c>
    </row>
    <row r="911" spans="1:7">
      <c r="A911" s="23" t="str">
        <f>IF('الصرف المباشر'!C411="","",'الصرف المباشر'!B411)</f>
        <v/>
      </c>
      <c r="B911" t="str">
        <f>IF('الصرف المباشر'!C411="","","صرف مباشر")</f>
        <v/>
      </c>
      <c r="C911" t="str">
        <f>IF('الصرف المباشر'!C411="","",IF('الصرف المباشر'!E411="","-",'الصرف المباشر'!E411))</f>
        <v/>
      </c>
      <c r="D911" t="str">
        <f>IF('الصرف المباشر'!C411="","",'الصرف المباشر'!C411)</f>
        <v/>
      </c>
      <c r="E911" s="24" t="str">
        <f>IF('الصرف المباشر'!C411="","",-'الصرف المباشر'!D411)</f>
        <v/>
      </c>
      <c r="F911" t="str">
        <f>IF('الصرف المباشر'!C411="","",IF('الصرف المباشر'!F411="","",'الصرف المباشر'!F411))</f>
        <v/>
      </c>
      <c r="G911" t="str">
        <f>IF($B911&lt;&gt;"",SUMPRODUCT(($B$2:$B911&lt;&gt;"")*1),"")</f>
        <v/>
      </c>
    </row>
    <row r="912" spans="1:7">
      <c r="A912" s="23" t="str">
        <f>IF('الصرف المباشر'!C412="","",'الصرف المباشر'!B412)</f>
        <v/>
      </c>
      <c r="B912" t="str">
        <f>IF('الصرف المباشر'!C412="","","صرف مباشر")</f>
        <v/>
      </c>
      <c r="C912" t="str">
        <f>IF('الصرف المباشر'!C412="","",IF('الصرف المباشر'!E412="","-",'الصرف المباشر'!E412))</f>
        <v/>
      </c>
      <c r="D912" t="str">
        <f>IF('الصرف المباشر'!C412="","",'الصرف المباشر'!C412)</f>
        <v/>
      </c>
      <c r="E912" s="24" t="str">
        <f>IF('الصرف المباشر'!C412="","",-'الصرف المباشر'!D412)</f>
        <v/>
      </c>
      <c r="F912" t="str">
        <f>IF('الصرف المباشر'!C412="","",IF('الصرف المباشر'!F412="","",'الصرف المباشر'!F412))</f>
        <v/>
      </c>
      <c r="G912" t="str">
        <f>IF($B912&lt;&gt;"",SUMPRODUCT(($B$2:$B912&lt;&gt;"")*1),"")</f>
        <v/>
      </c>
    </row>
    <row r="913" spans="1:7">
      <c r="A913" s="23" t="str">
        <f>IF('الصرف المباشر'!C413="","",'الصرف المباشر'!B413)</f>
        <v/>
      </c>
      <c r="B913" t="str">
        <f>IF('الصرف المباشر'!C413="","","صرف مباشر")</f>
        <v/>
      </c>
      <c r="C913" t="str">
        <f>IF('الصرف المباشر'!C413="","",IF('الصرف المباشر'!E413="","-",'الصرف المباشر'!E413))</f>
        <v/>
      </c>
      <c r="D913" t="str">
        <f>IF('الصرف المباشر'!C413="","",'الصرف المباشر'!C413)</f>
        <v/>
      </c>
      <c r="E913" s="24" t="str">
        <f>IF('الصرف المباشر'!C413="","",-'الصرف المباشر'!D413)</f>
        <v/>
      </c>
      <c r="F913" t="str">
        <f>IF('الصرف المباشر'!C413="","",IF('الصرف المباشر'!F413="","",'الصرف المباشر'!F413))</f>
        <v/>
      </c>
      <c r="G913" t="str">
        <f>IF($B913&lt;&gt;"",SUMPRODUCT(($B$2:$B913&lt;&gt;"")*1),"")</f>
        <v/>
      </c>
    </row>
    <row r="914" spans="1:7">
      <c r="A914" s="23" t="str">
        <f>IF('الصرف المباشر'!C414="","",'الصرف المباشر'!B414)</f>
        <v/>
      </c>
      <c r="B914" t="str">
        <f>IF('الصرف المباشر'!C414="","","صرف مباشر")</f>
        <v/>
      </c>
      <c r="C914" t="str">
        <f>IF('الصرف المباشر'!C414="","",IF('الصرف المباشر'!E414="","-",'الصرف المباشر'!E414))</f>
        <v/>
      </c>
      <c r="D914" t="str">
        <f>IF('الصرف المباشر'!C414="","",'الصرف المباشر'!C414)</f>
        <v/>
      </c>
      <c r="E914" s="24" t="str">
        <f>IF('الصرف المباشر'!C414="","",-'الصرف المباشر'!D414)</f>
        <v/>
      </c>
      <c r="F914" t="str">
        <f>IF('الصرف المباشر'!C414="","",IF('الصرف المباشر'!F414="","",'الصرف المباشر'!F414))</f>
        <v/>
      </c>
      <c r="G914" t="str">
        <f>IF($B914&lt;&gt;"",SUMPRODUCT(($B$2:$B914&lt;&gt;"")*1),"")</f>
        <v/>
      </c>
    </row>
    <row r="915" spans="1:7">
      <c r="A915" s="23" t="str">
        <f>IF('الصرف المباشر'!C415="","",'الصرف المباشر'!B415)</f>
        <v/>
      </c>
      <c r="B915" t="str">
        <f>IF('الصرف المباشر'!C415="","","صرف مباشر")</f>
        <v/>
      </c>
      <c r="C915" t="str">
        <f>IF('الصرف المباشر'!C415="","",IF('الصرف المباشر'!E415="","-",'الصرف المباشر'!E415))</f>
        <v/>
      </c>
      <c r="D915" t="str">
        <f>IF('الصرف المباشر'!C415="","",'الصرف المباشر'!C415)</f>
        <v/>
      </c>
      <c r="E915" s="24" t="str">
        <f>IF('الصرف المباشر'!C415="","",-'الصرف المباشر'!D415)</f>
        <v/>
      </c>
      <c r="F915" t="str">
        <f>IF('الصرف المباشر'!C415="","",IF('الصرف المباشر'!F415="","",'الصرف المباشر'!F415))</f>
        <v/>
      </c>
      <c r="G915" t="str">
        <f>IF($B915&lt;&gt;"",SUMPRODUCT(($B$2:$B915&lt;&gt;"")*1),"")</f>
        <v/>
      </c>
    </row>
    <row r="916" spans="1:7">
      <c r="A916" s="23" t="str">
        <f>IF('الصرف المباشر'!C416="","",'الصرف المباشر'!B416)</f>
        <v/>
      </c>
      <c r="B916" t="str">
        <f>IF('الصرف المباشر'!C416="","","صرف مباشر")</f>
        <v/>
      </c>
      <c r="C916" t="str">
        <f>IF('الصرف المباشر'!C416="","",IF('الصرف المباشر'!E416="","-",'الصرف المباشر'!E416))</f>
        <v/>
      </c>
      <c r="D916" t="str">
        <f>IF('الصرف المباشر'!C416="","",'الصرف المباشر'!C416)</f>
        <v/>
      </c>
      <c r="E916" s="24" t="str">
        <f>IF('الصرف المباشر'!C416="","",-'الصرف المباشر'!D416)</f>
        <v/>
      </c>
      <c r="F916" t="str">
        <f>IF('الصرف المباشر'!C416="","",IF('الصرف المباشر'!F416="","",'الصرف المباشر'!F416))</f>
        <v/>
      </c>
      <c r="G916" t="str">
        <f>IF($B916&lt;&gt;"",SUMPRODUCT(($B$2:$B916&lt;&gt;"")*1),"")</f>
        <v/>
      </c>
    </row>
    <row r="917" spans="1:7">
      <c r="A917" s="23" t="str">
        <f>IF('الصرف المباشر'!C417="","",'الصرف المباشر'!B417)</f>
        <v/>
      </c>
      <c r="B917" t="str">
        <f>IF('الصرف المباشر'!C417="","","صرف مباشر")</f>
        <v/>
      </c>
      <c r="C917" t="str">
        <f>IF('الصرف المباشر'!C417="","",IF('الصرف المباشر'!E417="","-",'الصرف المباشر'!E417))</f>
        <v/>
      </c>
      <c r="D917" t="str">
        <f>IF('الصرف المباشر'!C417="","",'الصرف المباشر'!C417)</f>
        <v/>
      </c>
      <c r="E917" s="24" t="str">
        <f>IF('الصرف المباشر'!C417="","",-'الصرف المباشر'!D417)</f>
        <v/>
      </c>
      <c r="F917" t="str">
        <f>IF('الصرف المباشر'!C417="","",IF('الصرف المباشر'!F417="","",'الصرف المباشر'!F417))</f>
        <v/>
      </c>
      <c r="G917" t="str">
        <f>IF($B917&lt;&gt;"",SUMPRODUCT(($B$2:$B917&lt;&gt;"")*1),"")</f>
        <v/>
      </c>
    </row>
    <row r="918" spans="1:7">
      <c r="A918" s="23" t="str">
        <f>IF('الصرف المباشر'!C418="","",'الصرف المباشر'!B418)</f>
        <v/>
      </c>
      <c r="B918" t="str">
        <f>IF('الصرف المباشر'!C418="","","صرف مباشر")</f>
        <v/>
      </c>
      <c r="C918" t="str">
        <f>IF('الصرف المباشر'!C418="","",IF('الصرف المباشر'!E418="","-",'الصرف المباشر'!E418))</f>
        <v/>
      </c>
      <c r="D918" t="str">
        <f>IF('الصرف المباشر'!C418="","",'الصرف المباشر'!C418)</f>
        <v/>
      </c>
      <c r="E918" s="24" t="str">
        <f>IF('الصرف المباشر'!C418="","",-'الصرف المباشر'!D418)</f>
        <v/>
      </c>
      <c r="F918" t="str">
        <f>IF('الصرف المباشر'!C418="","",IF('الصرف المباشر'!F418="","",'الصرف المباشر'!F418))</f>
        <v/>
      </c>
      <c r="G918" t="str">
        <f>IF($B918&lt;&gt;"",SUMPRODUCT(($B$2:$B918&lt;&gt;"")*1),"")</f>
        <v/>
      </c>
    </row>
    <row r="919" spans="1:7">
      <c r="A919" s="23" t="str">
        <f>IF('الصرف المباشر'!C419="","",'الصرف المباشر'!B419)</f>
        <v/>
      </c>
      <c r="B919" t="str">
        <f>IF('الصرف المباشر'!C419="","","صرف مباشر")</f>
        <v/>
      </c>
      <c r="C919" t="str">
        <f>IF('الصرف المباشر'!C419="","",IF('الصرف المباشر'!E419="","-",'الصرف المباشر'!E419))</f>
        <v/>
      </c>
      <c r="D919" t="str">
        <f>IF('الصرف المباشر'!C419="","",'الصرف المباشر'!C419)</f>
        <v/>
      </c>
      <c r="E919" s="24" t="str">
        <f>IF('الصرف المباشر'!C419="","",-'الصرف المباشر'!D419)</f>
        <v/>
      </c>
      <c r="F919" t="str">
        <f>IF('الصرف المباشر'!C419="","",IF('الصرف المباشر'!F419="","",'الصرف المباشر'!F419))</f>
        <v/>
      </c>
      <c r="G919" t="str">
        <f>IF($B919&lt;&gt;"",SUMPRODUCT(($B$2:$B919&lt;&gt;"")*1),"")</f>
        <v/>
      </c>
    </row>
    <row r="920" spans="1:7">
      <c r="A920" s="23" t="str">
        <f>IF('الصرف المباشر'!C420="","",'الصرف المباشر'!B420)</f>
        <v/>
      </c>
      <c r="B920" t="str">
        <f>IF('الصرف المباشر'!C420="","","صرف مباشر")</f>
        <v/>
      </c>
      <c r="C920" t="str">
        <f>IF('الصرف المباشر'!C420="","",IF('الصرف المباشر'!E420="","-",'الصرف المباشر'!E420))</f>
        <v/>
      </c>
      <c r="D920" t="str">
        <f>IF('الصرف المباشر'!C420="","",'الصرف المباشر'!C420)</f>
        <v/>
      </c>
      <c r="E920" s="24" t="str">
        <f>IF('الصرف المباشر'!C420="","",-'الصرف المباشر'!D420)</f>
        <v/>
      </c>
      <c r="F920" t="str">
        <f>IF('الصرف المباشر'!C420="","",IF('الصرف المباشر'!F420="","",'الصرف المباشر'!F420))</f>
        <v/>
      </c>
      <c r="G920" t="str">
        <f>IF($B920&lt;&gt;"",SUMPRODUCT(($B$2:$B920&lt;&gt;"")*1),"")</f>
        <v/>
      </c>
    </row>
    <row r="921" spans="1:7">
      <c r="A921" s="23" t="str">
        <f>IF('الصرف المباشر'!C421="","",'الصرف المباشر'!B421)</f>
        <v/>
      </c>
      <c r="B921" t="str">
        <f>IF('الصرف المباشر'!C421="","","صرف مباشر")</f>
        <v/>
      </c>
      <c r="C921" t="str">
        <f>IF('الصرف المباشر'!C421="","",IF('الصرف المباشر'!E421="","-",'الصرف المباشر'!E421))</f>
        <v/>
      </c>
      <c r="D921" t="str">
        <f>IF('الصرف المباشر'!C421="","",'الصرف المباشر'!C421)</f>
        <v/>
      </c>
      <c r="E921" s="24" t="str">
        <f>IF('الصرف المباشر'!C421="","",-'الصرف المباشر'!D421)</f>
        <v/>
      </c>
      <c r="F921" t="str">
        <f>IF('الصرف المباشر'!C421="","",IF('الصرف المباشر'!F421="","",'الصرف المباشر'!F421))</f>
        <v/>
      </c>
      <c r="G921" t="str">
        <f>IF($B921&lt;&gt;"",SUMPRODUCT(($B$2:$B921&lt;&gt;"")*1),"")</f>
        <v/>
      </c>
    </row>
    <row r="922" spans="1:7">
      <c r="A922" s="23" t="str">
        <f>IF('الصرف المباشر'!C422="","",'الصرف المباشر'!B422)</f>
        <v/>
      </c>
      <c r="B922" t="str">
        <f>IF('الصرف المباشر'!C422="","","صرف مباشر")</f>
        <v/>
      </c>
      <c r="C922" t="str">
        <f>IF('الصرف المباشر'!C422="","",IF('الصرف المباشر'!E422="","-",'الصرف المباشر'!E422))</f>
        <v/>
      </c>
      <c r="D922" t="str">
        <f>IF('الصرف المباشر'!C422="","",'الصرف المباشر'!C422)</f>
        <v/>
      </c>
      <c r="E922" s="24" t="str">
        <f>IF('الصرف المباشر'!C422="","",-'الصرف المباشر'!D422)</f>
        <v/>
      </c>
      <c r="F922" t="str">
        <f>IF('الصرف المباشر'!C422="","",IF('الصرف المباشر'!F422="","",'الصرف المباشر'!F422))</f>
        <v/>
      </c>
      <c r="G922" t="str">
        <f>IF($B922&lt;&gt;"",SUMPRODUCT(($B$2:$B922&lt;&gt;"")*1),"")</f>
        <v/>
      </c>
    </row>
    <row r="923" spans="1:7">
      <c r="A923" s="23" t="str">
        <f>IF('الصرف المباشر'!C423="","",'الصرف المباشر'!B423)</f>
        <v/>
      </c>
      <c r="B923" t="str">
        <f>IF('الصرف المباشر'!C423="","","صرف مباشر")</f>
        <v/>
      </c>
      <c r="C923" t="str">
        <f>IF('الصرف المباشر'!C423="","",IF('الصرف المباشر'!E423="","-",'الصرف المباشر'!E423))</f>
        <v/>
      </c>
      <c r="D923" t="str">
        <f>IF('الصرف المباشر'!C423="","",'الصرف المباشر'!C423)</f>
        <v/>
      </c>
      <c r="E923" s="24" t="str">
        <f>IF('الصرف المباشر'!C423="","",-'الصرف المباشر'!D423)</f>
        <v/>
      </c>
      <c r="F923" t="str">
        <f>IF('الصرف المباشر'!C423="","",IF('الصرف المباشر'!F423="","",'الصرف المباشر'!F423))</f>
        <v/>
      </c>
      <c r="G923" t="str">
        <f>IF($B923&lt;&gt;"",SUMPRODUCT(($B$2:$B923&lt;&gt;"")*1),"")</f>
        <v/>
      </c>
    </row>
    <row r="924" spans="1:7">
      <c r="A924" s="23" t="str">
        <f>IF('الصرف المباشر'!C424="","",'الصرف المباشر'!B424)</f>
        <v/>
      </c>
      <c r="B924" t="str">
        <f>IF('الصرف المباشر'!C424="","","صرف مباشر")</f>
        <v/>
      </c>
      <c r="C924" t="str">
        <f>IF('الصرف المباشر'!C424="","",IF('الصرف المباشر'!E424="","-",'الصرف المباشر'!E424))</f>
        <v/>
      </c>
      <c r="D924" t="str">
        <f>IF('الصرف المباشر'!C424="","",'الصرف المباشر'!C424)</f>
        <v/>
      </c>
      <c r="E924" s="24" t="str">
        <f>IF('الصرف المباشر'!C424="","",-'الصرف المباشر'!D424)</f>
        <v/>
      </c>
      <c r="F924" t="str">
        <f>IF('الصرف المباشر'!C424="","",IF('الصرف المباشر'!F424="","",'الصرف المباشر'!F424))</f>
        <v/>
      </c>
      <c r="G924" t="str">
        <f>IF($B924&lt;&gt;"",SUMPRODUCT(($B$2:$B924&lt;&gt;"")*1),"")</f>
        <v/>
      </c>
    </row>
    <row r="925" spans="1:7">
      <c r="A925" s="23" t="str">
        <f>IF('الصرف المباشر'!C425="","",'الصرف المباشر'!B425)</f>
        <v/>
      </c>
      <c r="B925" t="str">
        <f>IF('الصرف المباشر'!C425="","","صرف مباشر")</f>
        <v/>
      </c>
      <c r="C925" t="str">
        <f>IF('الصرف المباشر'!C425="","",IF('الصرف المباشر'!E425="","-",'الصرف المباشر'!E425))</f>
        <v/>
      </c>
      <c r="D925" t="str">
        <f>IF('الصرف المباشر'!C425="","",'الصرف المباشر'!C425)</f>
        <v/>
      </c>
      <c r="E925" s="24" t="str">
        <f>IF('الصرف المباشر'!C425="","",-'الصرف المباشر'!D425)</f>
        <v/>
      </c>
      <c r="F925" t="str">
        <f>IF('الصرف المباشر'!C425="","",IF('الصرف المباشر'!F425="","",'الصرف المباشر'!F425))</f>
        <v/>
      </c>
      <c r="G925" t="str">
        <f>IF($B925&lt;&gt;"",SUMPRODUCT(($B$2:$B925&lt;&gt;"")*1),"")</f>
        <v/>
      </c>
    </row>
    <row r="926" spans="1:7">
      <c r="A926" s="23" t="str">
        <f>IF('الصرف المباشر'!C426="","",'الصرف المباشر'!B426)</f>
        <v/>
      </c>
      <c r="B926" t="str">
        <f>IF('الصرف المباشر'!C426="","","صرف مباشر")</f>
        <v/>
      </c>
      <c r="C926" t="str">
        <f>IF('الصرف المباشر'!C426="","",IF('الصرف المباشر'!E426="","-",'الصرف المباشر'!E426))</f>
        <v/>
      </c>
      <c r="D926" t="str">
        <f>IF('الصرف المباشر'!C426="","",'الصرف المباشر'!C426)</f>
        <v/>
      </c>
      <c r="E926" s="24" t="str">
        <f>IF('الصرف المباشر'!C426="","",-'الصرف المباشر'!D426)</f>
        <v/>
      </c>
      <c r="F926" t="str">
        <f>IF('الصرف المباشر'!C426="","",IF('الصرف المباشر'!F426="","",'الصرف المباشر'!F426))</f>
        <v/>
      </c>
      <c r="G926" t="str">
        <f>IF($B926&lt;&gt;"",SUMPRODUCT(($B$2:$B926&lt;&gt;"")*1),"")</f>
        <v/>
      </c>
    </row>
    <row r="927" spans="1:7">
      <c r="A927" s="23" t="str">
        <f>IF('الصرف المباشر'!C427="","",'الصرف المباشر'!B427)</f>
        <v/>
      </c>
      <c r="B927" t="str">
        <f>IF('الصرف المباشر'!C427="","","صرف مباشر")</f>
        <v/>
      </c>
      <c r="C927" t="str">
        <f>IF('الصرف المباشر'!C427="","",IF('الصرف المباشر'!E427="","-",'الصرف المباشر'!E427))</f>
        <v/>
      </c>
      <c r="D927" t="str">
        <f>IF('الصرف المباشر'!C427="","",'الصرف المباشر'!C427)</f>
        <v/>
      </c>
      <c r="E927" s="24" t="str">
        <f>IF('الصرف المباشر'!C427="","",-'الصرف المباشر'!D427)</f>
        <v/>
      </c>
      <c r="F927" t="str">
        <f>IF('الصرف المباشر'!C427="","",IF('الصرف المباشر'!F427="","",'الصرف المباشر'!F427))</f>
        <v/>
      </c>
      <c r="G927" t="str">
        <f>IF($B927&lt;&gt;"",SUMPRODUCT(($B$2:$B927&lt;&gt;"")*1),"")</f>
        <v/>
      </c>
    </row>
    <row r="928" spans="1:7">
      <c r="A928" s="23" t="str">
        <f>IF('الصرف المباشر'!C428="","",'الصرف المباشر'!B428)</f>
        <v/>
      </c>
      <c r="B928" t="str">
        <f>IF('الصرف المباشر'!C428="","","صرف مباشر")</f>
        <v/>
      </c>
      <c r="C928" t="str">
        <f>IF('الصرف المباشر'!C428="","",IF('الصرف المباشر'!E428="","-",'الصرف المباشر'!E428))</f>
        <v/>
      </c>
      <c r="D928" t="str">
        <f>IF('الصرف المباشر'!C428="","",'الصرف المباشر'!C428)</f>
        <v/>
      </c>
      <c r="E928" s="24" t="str">
        <f>IF('الصرف المباشر'!C428="","",-'الصرف المباشر'!D428)</f>
        <v/>
      </c>
      <c r="F928" t="str">
        <f>IF('الصرف المباشر'!C428="","",IF('الصرف المباشر'!F428="","",'الصرف المباشر'!F428))</f>
        <v/>
      </c>
      <c r="G928" t="str">
        <f>IF($B928&lt;&gt;"",SUMPRODUCT(($B$2:$B928&lt;&gt;"")*1),"")</f>
        <v/>
      </c>
    </row>
    <row r="929" spans="1:7">
      <c r="A929" s="23" t="str">
        <f>IF('الصرف المباشر'!C429="","",'الصرف المباشر'!B429)</f>
        <v/>
      </c>
      <c r="B929" t="str">
        <f>IF('الصرف المباشر'!C429="","","صرف مباشر")</f>
        <v/>
      </c>
      <c r="C929" t="str">
        <f>IF('الصرف المباشر'!C429="","",IF('الصرف المباشر'!E429="","-",'الصرف المباشر'!E429))</f>
        <v/>
      </c>
      <c r="D929" t="str">
        <f>IF('الصرف المباشر'!C429="","",'الصرف المباشر'!C429)</f>
        <v/>
      </c>
      <c r="E929" s="24" t="str">
        <f>IF('الصرف المباشر'!C429="","",-'الصرف المباشر'!D429)</f>
        <v/>
      </c>
      <c r="F929" t="str">
        <f>IF('الصرف المباشر'!C429="","",IF('الصرف المباشر'!F429="","",'الصرف المباشر'!F429))</f>
        <v/>
      </c>
      <c r="G929" t="str">
        <f>IF($B929&lt;&gt;"",SUMPRODUCT(($B$2:$B929&lt;&gt;"")*1),"")</f>
        <v/>
      </c>
    </row>
    <row r="930" spans="1:7">
      <c r="A930" s="23" t="str">
        <f>IF('الصرف المباشر'!C430="","",'الصرف المباشر'!B430)</f>
        <v/>
      </c>
      <c r="B930" t="str">
        <f>IF('الصرف المباشر'!C430="","","صرف مباشر")</f>
        <v/>
      </c>
      <c r="C930" t="str">
        <f>IF('الصرف المباشر'!C430="","",IF('الصرف المباشر'!E430="","-",'الصرف المباشر'!E430))</f>
        <v/>
      </c>
      <c r="D930" t="str">
        <f>IF('الصرف المباشر'!C430="","",'الصرف المباشر'!C430)</f>
        <v/>
      </c>
      <c r="E930" s="24" t="str">
        <f>IF('الصرف المباشر'!C430="","",-'الصرف المباشر'!D430)</f>
        <v/>
      </c>
      <c r="F930" t="str">
        <f>IF('الصرف المباشر'!C430="","",IF('الصرف المباشر'!F430="","",'الصرف المباشر'!F430))</f>
        <v/>
      </c>
      <c r="G930" t="str">
        <f>IF($B930&lt;&gt;"",SUMPRODUCT(($B$2:$B930&lt;&gt;"")*1),"")</f>
        <v/>
      </c>
    </row>
    <row r="931" spans="1:7">
      <c r="A931" s="23" t="str">
        <f>IF('الصرف المباشر'!C431="","",'الصرف المباشر'!B431)</f>
        <v/>
      </c>
      <c r="B931" t="str">
        <f>IF('الصرف المباشر'!C431="","","صرف مباشر")</f>
        <v/>
      </c>
      <c r="C931" t="str">
        <f>IF('الصرف المباشر'!C431="","",IF('الصرف المباشر'!E431="","-",'الصرف المباشر'!E431))</f>
        <v/>
      </c>
      <c r="D931" t="str">
        <f>IF('الصرف المباشر'!C431="","",'الصرف المباشر'!C431)</f>
        <v/>
      </c>
      <c r="E931" s="24" t="str">
        <f>IF('الصرف المباشر'!C431="","",-'الصرف المباشر'!D431)</f>
        <v/>
      </c>
      <c r="F931" t="str">
        <f>IF('الصرف المباشر'!C431="","",IF('الصرف المباشر'!F431="","",'الصرف المباشر'!F431))</f>
        <v/>
      </c>
      <c r="G931" t="str">
        <f>IF($B931&lt;&gt;"",SUMPRODUCT(($B$2:$B931&lt;&gt;"")*1),"")</f>
        <v/>
      </c>
    </row>
    <row r="932" spans="1:7">
      <c r="A932" s="23" t="str">
        <f>IF('الصرف المباشر'!C432="","",'الصرف المباشر'!B432)</f>
        <v/>
      </c>
      <c r="B932" t="str">
        <f>IF('الصرف المباشر'!C432="","","صرف مباشر")</f>
        <v/>
      </c>
      <c r="C932" t="str">
        <f>IF('الصرف المباشر'!C432="","",IF('الصرف المباشر'!E432="","-",'الصرف المباشر'!E432))</f>
        <v/>
      </c>
      <c r="D932" t="str">
        <f>IF('الصرف المباشر'!C432="","",'الصرف المباشر'!C432)</f>
        <v/>
      </c>
      <c r="E932" s="24" t="str">
        <f>IF('الصرف المباشر'!C432="","",-'الصرف المباشر'!D432)</f>
        <v/>
      </c>
      <c r="F932" t="str">
        <f>IF('الصرف المباشر'!C432="","",IF('الصرف المباشر'!F432="","",'الصرف المباشر'!F432))</f>
        <v/>
      </c>
      <c r="G932" t="str">
        <f>IF($B932&lt;&gt;"",SUMPRODUCT(($B$2:$B932&lt;&gt;"")*1),"")</f>
        <v/>
      </c>
    </row>
    <row r="933" spans="1:7">
      <c r="A933" s="23" t="str">
        <f>IF('الصرف المباشر'!C433="","",'الصرف المباشر'!B433)</f>
        <v/>
      </c>
      <c r="B933" t="str">
        <f>IF('الصرف المباشر'!C433="","","صرف مباشر")</f>
        <v/>
      </c>
      <c r="C933" t="str">
        <f>IF('الصرف المباشر'!C433="","",IF('الصرف المباشر'!E433="","-",'الصرف المباشر'!E433))</f>
        <v/>
      </c>
      <c r="D933" t="str">
        <f>IF('الصرف المباشر'!C433="","",'الصرف المباشر'!C433)</f>
        <v/>
      </c>
      <c r="E933" s="24" t="str">
        <f>IF('الصرف المباشر'!C433="","",-'الصرف المباشر'!D433)</f>
        <v/>
      </c>
      <c r="F933" t="str">
        <f>IF('الصرف المباشر'!C433="","",IF('الصرف المباشر'!F433="","",'الصرف المباشر'!F433))</f>
        <v/>
      </c>
      <c r="G933" t="str">
        <f>IF($B933&lt;&gt;"",SUMPRODUCT(($B$2:$B933&lt;&gt;"")*1),"")</f>
        <v/>
      </c>
    </row>
    <row r="934" spans="1:7">
      <c r="A934" s="23" t="str">
        <f>IF('الصرف المباشر'!C434="","",'الصرف المباشر'!B434)</f>
        <v/>
      </c>
      <c r="B934" t="str">
        <f>IF('الصرف المباشر'!C434="","","صرف مباشر")</f>
        <v/>
      </c>
      <c r="C934" t="str">
        <f>IF('الصرف المباشر'!C434="","",IF('الصرف المباشر'!E434="","-",'الصرف المباشر'!E434))</f>
        <v/>
      </c>
      <c r="D934" t="str">
        <f>IF('الصرف المباشر'!C434="","",'الصرف المباشر'!C434)</f>
        <v/>
      </c>
      <c r="E934" s="24" t="str">
        <f>IF('الصرف المباشر'!C434="","",-'الصرف المباشر'!D434)</f>
        <v/>
      </c>
      <c r="F934" t="str">
        <f>IF('الصرف المباشر'!C434="","",IF('الصرف المباشر'!F434="","",'الصرف المباشر'!F434))</f>
        <v/>
      </c>
      <c r="G934" t="str">
        <f>IF($B934&lt;&gt;"",SUMPRODUCT(($B$2:$B934&lt;&gt;"")*1),"")</f>
        <v/>
      </c>
    </row>
    <row r="935" spans="1:7">
      <c r="A935" s="23" t="str">
        <f>IF('الصرف المباشر'!C435="","",'الصرف المباشر'!B435)</f>
        <v/>
      </c>
      <c r="B935" t="str">
        <f>IF('الصرف المباشر'!C435="","","صرف مباشر")</f>
        <v/>
      </c>
      <c r="C935" t="str">
        <f>IF('الصرف المباشر'!C435="","",IF('الصرف المباشر'!E435="","-",'الصرف المباشر'!E435))</f>
        <v/>
      </c>
      <c r="D935" t="str">
        <f>IF('الصرف المباشر'!C435="","",'الصرف المباشر'!C435)</f>
        <v/>
      </c>
      <c r="E935" s="24" t="str">
        <f>IF('الصرف المباشر'!C435="","",-'الصرف المباشر'!D435)</f>
        <v/>
      </c>
      <c r="F935" t="str">
        <f>IF('الصرف المباشر'!C435="","",IF('الصرف المباشر'!F435="","",'الصرف المباشر'!F435))</f>
        <v/>
      </c>
      <c r="G935" t="str">
        <f>IF($B935&lt;&gt;"",SUMPRODUCT(($B$2:$B935&lt;&gt;"")*1),"")</f>
        <v/>
      </c>
    </row>
    <row r="936" spans="1:7">
      <c r="A936" s="23" t="str">
        <f>IF('الصرف المباشر'!C436="","",'الصرف المباشر'!B436)</f>
        <v/>
      </c>
      <c r="B936" t="str">
        <f>IF('الصرف المباشر'!C436="","","صرف مباشر")</f>
        <v/>
      </c>
      <c r="C936" t="str">
        <f>IF('الصرف المباشر'!C436="","",IF('الصرف المباشر'!E436="","-",'الصرف المباشر'!E436))</f>
        <v/>
      </c>
      <c r="D936" t="str">
        <f>IF('الصرف المباشر'!C436="","",'الصرف المباشر'!C436)</f>
        <v/>
      </c>
      <c r="E936" s="24" t="str">
        <f>IF('الصرف المباشر'!C436="","",-'الصرف المباشر'!D436)</f>
        <v/>
      </c>
      <c r="F936" t="str">
        <f>IF('الصرف المباشر'!C436="","",IF('الصرف المباشر'!F436="","",'الصرف المباشر'!F436))</f>
        <v/>
      </c>
      <c r="G936" t="str">
        <f>IF($B936&lt;&gt;"",SUMPRODUCT(($B$2:$B936&lt;&gt;"")*1),"")</f>
        <v/>
      </c>
    </row>
    <row r="937" spans="1:7">
      <c r="A937" s="23" t="str">
        <f>IF('الصرف المباشر'!C437="","",'الصرف المباشر'!B437)</f>
        <v/>
      </c>
      <c r="B937" t="str">
        <f>IF('الصرف المباشر'!C437="","","صرف مباشر")</f>
        <v/>
      </c>
      <c r="C937" t="str">
        <f>IF('الصرف المباشر'!C437="","",IF('الصرف المباشر'!E437="","-",'الصرف المباشر'!E437))</f>
        <v/>
      </c>
      <c r="D937" t="str">
        <f>IF('الصرف المباشر'!C437="","",'الصرف المباشر'!C437)</f>
        <v/>
      </c>
      <c r="E937" s="24" t="str">
        <f>IF('الصرف المباشر'!C437="","",-'الصرف المباشر'!D437)</f>
        <v/>
      </c>
      <c r="F937" t="str">
        <f>IF('الصرف المباشر'!C437="","",IF('الصرف المباشر'!F437="","",'الصرف المباشر'!F437))</f>
        <v/>
      </c>
      <c r="G937" t="str">
        <f>IF($B937&lt;&gt;"",SUMPRODUCT(($B$2:$B937&lt;&gt;"")*1),"")</f>
        <v/>
      </c>
    </row>
    <row r="938" spans="1:7">
      <c r="A938" s="23" t="str">
        <f>IF('الصرف المباشر'!C438="","",'الصرف المباشر'!B438)</f>
        <v/>
      </c>
      <c r="B938" t="str">
        <f>IF('الصرف المباشر'!C438="","","صرف مباشر")</f>
        <v/>
      </c>
      <c r="C938" t="str">
        <f>IF('الصرف المباشر'!C438="","",IF('الصرف المباشر'!E438="","-",'الصرف المباشر'!E438))</f>
        <v/>
      </c>
      <c r="D938" t="str">
        <f>IF('الصرف المباشر'!C438="","",'الصرف المباشر'!C438)</f>
        <v/>
      </c>
      <c r="E938" s="24" t="str">
        <f>IF('الصرف المباشر'!C438="","",-'الصرف المباشر'!D438)</f>
        <v/>
      </c>
      <c r="F938" t="str">
        <f>IF('الصرف المباشر'!C438="","",IF('الصرف المباشر'!F438="","",'الصرف المباشر'!F438))</f>
        <v/>
      </c>
      <c r="G938" t="str">
        <f>IF($B938&lt;&gt;"",SUMPRODUCT(($B$2:$B938&lt;&gt;"")*1),"")</f>
        <v/>
      </c>
    </row>
    <row r="939" spans="1:7">
      <c r="A939" s="23" t="str">
        <f>IF('الصرف المباشر'!C439="","",'الصرف المباشر'!B439)</f>
        <v/>
      </c>
      <c r="B939" t="str">
        <f>IF('الصرف المباشر'!C439="","","صرف مباشر")</f>
        <v/>
      </c>
      <c r="C939" t="str">
        <f>IF('الصرف المباشر'!C439="","",IF('الصرف المباشر'!E439="","-",'الصرف المباشر'!E439))</f>
        <v/>
      </c>
      <c r="D939" t="str">
        <f>IF('الصرف المباشر'!C439="","",'الصرف المباشر'!C439)</f>
        <v/>
      </c>
      <c r="E939" s="24" t="str">
        <f>IF('الصرف المباشر'!C439="","",-'الصرف المباشر'!D439)</f>
        <v/>
      </c>
      <c r="F939" t="str">
        <f>IF('الصرف المباشر'!C439="","",IF('الصرف المباشر'!F439="","",'الصرف المباشر'!F439))</f>
        <v/>
      </c>
      <c r="G939" t="str">
        <f>IF($B939&lt;&gt;"",SUMPRODUCT(($B$2:$B939&lt;&gt;"")*1),"")</f>
        <v/>
      </c>
    </row>
    <row r="940" spans="1:7">
      <c r="A940" s="23" t="str">
        <f>IF('الصرف المباشر'!C440="","",'الصرف المباشر'!B440)</f>
        <v/>
      </c>
      <c r="B940" t="str">
        <f>IF('الصرف المباشر'!C440="","","صرف مباشر")</f>
        <v/>
      </c>
      <c r="C940" t="str">
        <f>IF('الصرف المباشر'!C440="","",IF('الصرف المباشر'!E440="","-",'الصرف المباشر'!E440))</f>
        <v/>
      </c>
      <c r="D940" t="str">
        <f>IF('الصرف المباشر'!C440="","",'الصرف المباشر'!C440)</f>
        <v/>
      </c>
      <c r="E940" s="24" t="str">
        <f>IF('الصرف المباشر'!C440="","",-'الصرف المباشر'!D440)</f>
        <v/>
      </c>
      <c r="F940" t="str">
        <f>IF('الصرف المباشر'!C440="","",IF('الصرف المباشر'!F440="","",'الصرف المباشر'!F440))</f>
        <v/>
      </c>
      <c r="G940" t="str">
        <f>IF($B940&lt;&gt;"",SUMPRODUCT(($B$2:$B940&lt;&gt;"")*1),"")</f>
        <v/>
      </c>
    </row>
    <row r="941" spans="1:7">
      <c r="A941" s="23" t="str">
        <f>IF('الصرف المباشر'!C441="","",'الصرف المباشر'!B441)</f>
        <v/>
      </c>
      <c r="B941" t="str">
        <f>IF('الصرف المباشر'!C441="","","صرف مباشر")</f>
        <v/>
      </c>
      <c r="C941" t="str">
        <f>IF('الصرف المباشر'!C441="","",IF('الصرف المباشر'!E441="","-",'الصرف المباشر'!E441))</f>
        <v/>
      </c>
      <c r="D941" t="str">
        <f>IF('الصرف المباشر'!C441="","",'الصرف المباشر'!C441)</f>
        <v/>
      </c>
      <c r="E941" s="24" t="str">
        <f>IF('الصرف المباشر'!C441="","",-'الصرف المباشر'!D441)</f>
        <v/>
      </c>
      <c r="F941" t="str">
        <f>IF('الصرف المباشر'!C441="","",IF('الصرف المباشر'!F441="","",'الصرف المباشر'!F441))</f>
        <v/>
      </c>
      <c r="G941" t="str">
        <f>IF($B941&lt;&gt;"",SUMPRODUCT(($B$2:$B941&lt;&gt;"")*1),"")</f>
        <v/>
      </c>
    </row>
    <row r="942" spans="1:7">
      <c r="A942" s="23" t="str">
        <f>IF('الصرف المباشر'!C442="","",'الصرف المباشر'!B442)</f>
        <v/>
      </c>
      <c r="B942" t="str">
        <f>IF('الصرف المباشر'!C442="","","صرف مباشر")</f>
        <v/>
      </c>
      <c r="C942" t="str">
        <f>IF('الصرف المباشر'!C442="","",IF('الصرف المباشر'!E442="","-",'الصرف المباشر'!E442))</f>
        <v/>
      </c>
      <c r="D942" t="str">
        <f>IF('الصرف المباشر'!C442="","",'الصرف المباشر'!C442)</f>
        <v/>
      </c>
      <c r="E942" s="24" t="str">
        <f>IF('الصرف المباشر'!C442="","",-'الصرف المباشر'!D442)</f>
        <v/>
      </c>
      <c r="F942" t="str">
        <f>IF('الصرف المباشر'!C442="","",IF('الصرف المباشر'!F442="","",'الصرف المباشر'!F442))</f>
        <v/>
      </c>
      <c r="G942" t="str">
        <f>IF($B942&lt;&gt;"",SUMPRODUCT(($B$2:$B942&lt;&gt;"")*1),"")</f>
        <v/>
      </c>
    </row>
    <row r="943" spans="1:7">
      <c r="A943" s="23" t="str">
        <f>IF('الصرف المباشر'!C443="","",'الصرف المباشر'!B443)</f>
        <v/>
      </c>
      <c r="B943" t="str">
        <f>IF('الصرف المباشر'!C443="","","صرف مباشر")</f>
        <v/>
      </c>
      <c r="C943" t="str">
        <f>IF('الصرف المباشر'!C443="","",IF('الصرف المباشر'!E443="","-",'الصرف المباشر'!E443))</f>
        <v/>
      </c>
      <c r="D943" t="str">
        <f>IF('الصرف المباشر'!C443="","",'الصرف المباشر'!C443)</f>
        <v/>
      </c>
      <c r="E943" s="24" t="str">
        <f>IF('الصرف المباشر'!C443="","",-'الصرف المباشر'!D443)</f>
        <v/>
      </c>
      <c r="F943" t="str">
        <f>IF('الصرف المباشر'!C443="","",IF('الصرف المباشر'!F443="","",'الصرف المباشر'!F443))</f>
        <v/>
      </c>
      <c r="G943" t="str">
        <f>IF($B943&lt;&gt;"",SUMPRODUCT(($B$2:$B943&lt;&gt;"")*1),"")</f>
        <v/>
      </c>
    </row>
    <row r="944" spans="1:7">
      <c r="A944" s="23" t="str">
        <f>IF('الصرف المباشر'!C444="","",'الصرف المباشر'!B444)</f>
        <v/>
      </c>
      <c r="B944" t="str">
        <f>IF('الصرف المباشر'!C444="","","صرف مباشر")</f>
        <v/>
      </c>
      <c r="C944" t="str">
        <f>IF('الصرف المباشر'!C444="","",IF('الصرف المباشر'!E444="","-",'الصرف المباشر'!E444))</f>
        <v/>
      </c>
      <c r="D944" t="str">
        <f>IF('الصرف المباشر'!C444="","",'الصرف المباشر'!C444)</f>
        <v/>
      </c>
      <c r="E944" s="24" t="str">
        <f>IF('الصرف المباشر'!C444="","",-'الصرف المباشر'!D444)</f>
        <v/>
      </c>
      <c r="F944" t="str">
        <f>IF('الصرف المباشر'!C444="","",IF('الصرف المباشر'!F444="","",'الصرف المباشر'!F444))</f>
        <v/>
      </c>
      <c r="G944" t="str">
        <f>IF($B944&lt;&gt;"",SUMPRODUCT(($B$2:$B944&lt;&gt;"")*1),"")</f>
        <v/>
      </c>
    </row>
    <row r="945" spans="1:7">
      <c r="A945" s="23" t="str">
        <f>IF('الصرف المباشر'!C445="","",'الصرف المباشر'!B445)</f>
        <v/>
      </c>
      <c r="B945" t="str">
        <f>IF('الصرف المباشر'!C445="","","صرف مباشر")</f>
        <v/>
      </c>
      <c r="C945" t="str">
        <f>IF('الصرف المباشر'!C445="","",IF('الصرف المباشر'!E445="","-",'الصرف المباشر'!E445))</f>
        <v/>
      </c>
      <c r="D945" t="str">
        <f>IF('الصرف المباشر'!C445="","",'الصرف المباشر'!C445)</f>
        <v/>
      </c>
      <c r="E945" s="24" t="str">
        <f>IF('الصرف المباشر'!C445="","",-'الصرف المباشر'!D445)</f>
        <v/>
      </c>
      <c r="F945" t="str">
        <f>IF('الصرف المباشر'!C445="","",IF('الصرف المباشر'!F445="","",'الصرف المباشر'!F445))</f>
        <v/>
      </c>
      <c r="G945" t="str">
        <f>IF($B945&lt;&gt;"",SUMPRODUCT(($B$2:$B945&lt;&gt;"")*1),"")</f>
        <v/>
      </c>
    </row>
    <row r="946" spans="1:7">
      <c r="A946" s="23" t="str">
        <f>IF('الصرف المباشر'!C446="","",'الصرف المباشر'!B446)</f>
        <v/>
      </c>
      <c r="B946" t="str">
        <f>IF('الصرف المباشر'!C446="","","صرف مباشر")</f>
        <v/>
      </c>
      <c r="C946" t="str">
        <f>IF('الصرف المباشر'!C446="","",IF('الصرف المباشر'!E446="","-",'الصرف المباشر'!E446))</f>
        <v/>
      </c>
      <c r="D946" t="str">
        <f>IF('الصرف المباشر'!C446="","",'الصرف المباشر'!C446)</f>
        <v/>
      </c>
      <c r="E946" s="24" t="str">
        <f>IF('الصرف المباشر'!C446="","",-'الصرف المباشر'!D446)</f>
        <v/>
      </c>
      <c r="F946" t="str">
        <f>IF('الصرف المباشر'!C446="","",IF('الصرف المباشر'!F446="","",'الصرف المباشر'!F446))</f>
        <v/>
      </c>
      <c r="G946" t="str">
        <f>IF($B946&lt;&gt;"",SUMPRODUCT(($B$2:$B946&lt;&gt;"")*1),"")</f>
        <v/>
      </c>
    </row>
    <row r="947" spans="1:7">
      <c r="A947" s="23" t="str">
        <f>IF('الصرف المباشر'!C447="","",'الصرف المباشر'!B447)</f>
        <v/>
      </c>
      <c r="B947" t="str">
        <f>IF('الصرف المباشر'!C447="","","صرف مباشر")</f>
        <v/>
      </c>
      <c r="C947" t="str">
        <f>IF('الصرف المباشر'!C447="","",IF('الصرف المباشر'!E447="","-",'الصرف المباشر'!E447))</f>
        <v/>
      </c>
      <c r="D947" t="str">
        <f>IF('الصرف المباشر'!C447="","",'الصرف المباشر'!C447)</f>
        <v/>
      </c>
      <c r="E947" s="24" t="str">
        <f>IF('الصرف المباشر'!C447="","",-'الصرف المباشر'!D447)</f>
        <v/>
      </c>
      <c r="F947" t="str">
        <f>IF('الصرف المباشر'!C447="","",IF('الصرف المباشر'!F447="","",'الصرف المباشر'!F447))</f>
        <v/>
      </c>
      <c r="G947" t="str">
        <f>IF($B947&lt;&gt;"",SUMPRODUCT(($B$2:$B947&lt;&gt;"")*1),"")</f>
        <v/>
      </c>
    </row>
    <row r="948" spans="1:7">
      <c r="A948" s="23" t="str">
        <f>IF('الصرف المباشر'!C448="","",'الصرف المباشر'!B448)</f>
        <v/>
      </c>
      <c r="B948" t="str">
        <f>IF('الصرف المباشر'!C448="","","صرف مباشر")</f>
        <v/>
      </c>
      <c r="C948" t="str">
        <f>IF('الصرف المباشر'!C448="","",IF('الصرف المباشر'!E448="","-",'الصرف المباشر'!E448))</f>
        <v/>
      </c>
      <c r="D948" t="str">
        <f>IF('الصرف المباشر'!C448="","",'الصرف المباشر'!C448)</f>
        <v/>
      </c>
      <c r="E948" s="24" t="str">
        <f>IF('الصرف المباشر'!C448="","",-'الصرف المباشر'!D448)</f>
        <v/>
      </c>
      <c r="F948" t="str">
        <f>IF('الصرف المباشر'!C448="","",IF('الصرف المباشر'!F448="","",'الصرف المباشر'!F448))</f>
        <v/>
      </c>
      <c r="G948" t="str">
        <f>IF($B948&lt;&gt;"",SUMPRODUCT(($B$2:$B948&lt;&gt;"")*1),"")</f>
        <v/>
      </c>
    </row>
    <row r="949" spans="1:7">
      <c r="A949" s="23" t="str">
        <f>IF('الصرف المباشر'!C449="","",'الصرف المباشر'!B449)</f>
        <v/>
      </c>
      <c r="B949" t="str">
        <f>IF('الصرف المباشر'!C449="","","صرف مباشر")</f>
        <v/>
      </c>
      <c r="C949" t="str">
        <f>IF('الصرف المباشر'!C449="","",IF('الصرف المباشر'!E449="","-",'الصرف المباشر'!E449))</f>
        <v/>
      </c>
      <c r="D949" t="str">
        <f>IF('الصرف المباشر'!C449="","",'الصرف المباشر'!C449)</f>
        <v/>
      </c>
      <c r="E949" s="24" t="str">
        <f>IF('الصرف المباشر'!C449="","",-'الصرف المباشر'!D449)</f>
        <v/>
      </c>
      <c r="F949" t="str">
        <f>IF('الصرف المباشر'!C449="","",IF('الصرف المباشر'!F449="","",'الصرف المباشر'!F449))</f>
        <v/>
      </c>
      <c r="G949" t="str">
        <f>IF($B949&lt;&gt;"",SUMPRODUCT(($B$2:$B949&lt;&gt;"")*1),"")</f>
        <v/>
      </c>
    </row>
    <row r="950" spans="1:7">
      <c r="A950" s="23" t="str">
        <f>IF('الصرف المباشر'!C450="","",'الصرف المباشر'!B450)</f>
        <v/>
      </c>
      <c r="B950" t="str">
        <f>IF('الصرف المباشر'!C450="","","صرف مباشر")</f>
        <v/>
      </c>
      <c r="C950" t="str">
        <f>IF('الصرف المباشر'!C450="","",IF('الصرف المباشر'!E450="","-",'الصرف المباشر'!E450))</f>
        <v/>
      </c>
      <c r="D950" t="str">
        <f>IF('الصرف المباشر'!C450="","",'الصرف المباشر'!C450)</f>
        <v/>
      </c>
      <c r="E950" s="24" t="str">
        <f>IF('الصرف المباشر'!C450="","",-'الصرف المباشر'!D450)</f>
        <v/>
      </c>
      <c r="F950" t="str">
        <f>IF('الصرف المباشر'!C450="","",IF('الصرف المباشر'!F450="","",'الصرف المباشر'!F450))</f>
        <v/>
      </c>
      <c r="G950" t="str">
        <f>IF($B950&lt;&gt;"",SUMPRODUCT(($B$2:$B950&lt;&gt;"")*1),"")</f>
        <v/>
      </c>
    </row>
    <row r="951" spans="1:7">
      <c r="A951" s="23" t="str">
        <f>IF('الصرف المباشر'!C451="","",'الصرف المباشر'!B451)</f>
        <v/>
      </c>
      <c r="B951" t="str">
        <f>IF('الصرف المباشر'!C451="","","صرف مباشر")</f>
        <v/>
      </c>
      <c r="C951" t="str">
        <f>IF('الصرف المباشر'!C451="","",IF('الصرف المباشر'!E451="","-",'الصرف المباشر'!E451))</f>
        <v/>
      </c>
      <c r="D951" t="str">
        <f>IF('الصرف المباشر'!C451="","",'الصرف المباشر'!C451)</f>
        <v/>
      </c>
      <c r="E951" s="24" t="str">
        <f>IF('الصرف المباشر'!C451="","",-'الصرف المباشر'!D451)</f>
        <v/>
      </c>
      <c r="F951" t="str">
        <f>IF('الصرف المباشر'!C451="","",IF('الصرف المباشر'!F451="","",'الصرف المباشر'!F451))</f>
        <v/>
      </c>
      <c r="G951" t="str">
        <f>IF($B951&lt;&gt;"",SUMPRODUCT(($B$2:$B951&lt;&gt;"")*1),"")</f>
        <v/>
      </c>
    </row>
    <row r="952" spans="1:7">
      <c r="A952" s="23" t="str">
        <f>IF('الصرف المباشر'!C452="","",'الصرف المباشر'!B452)</f>
        <v/>
      </c>
      <c r="B952" t="str">
        <f>IF('الصرف المباشر'!C452="","","صرف مباشر")</f>
        <v/>
      </c>
      <c r="C952" t="str">
        <f>IF('الصرف المباشر'!C452="","",IF('الصرف المباشر'!E452="","-",'الصرف المباشر'!E452))</f>
        <v/>
      </c>
      <c r="D952" t="str">
        <f>IF('الصرف المباشر'!C452="","",'الصرف المباشر'!C452)</f>
        <v/>
      </c>
      <c r="E952" s="24" t="str">
        <f>IF('الصرف المباشر'!C452="","",-'الصرف المباشر'!D452)</f>
        <v/>
      </c>
      <c r="F952" t="str">
        <f>IF('الصرف المباشر'!C452="","",IF('الصرف المباشر'!F452="","",'الصرف المباشر'!F452))</f>
        <v/>
      </c>
      <c r="G952" t="str">
        <f>IF($B952&lt;&gt;"",SUMPRODUCT(($B$2:$B952&lt;&gt;"")*1),"")</f>
        <v/>
      </c>
    </row>
    <row r="953" spans="1:7">
      <c r="A953" s="23" t="str">
        <f>IF('الصرف المباشر'!C453="","",'الصرف المباشر'!B453)</f>
        <v/>
      </c>
      <c r="B953" t="str">
        <f>IF('الصرف المباشر'!C453="","","صرف مباشر")</f>
        <v/>
      </c>
      <c r="C953" t="str">
        <f>IF('الصرف المباشر'!C453="","",IF('الصرف المباشر'!E453="","-",'الصرف المباشر'!E453))</f>
        <v/>
      </c>
      <c r="D953" t="str">
        <f>IF('الصرف المباشر'!C453="","",'الصرف المباشر'!C453)</f>
        <v/>
      </c>
      <c r="E953" s="24" t="str">
        <f>IF('الصرف المباشر'!C453="","",-'الصرف المباشر'!D453)</f>
        <v/>
      </c>
      <c r="F953" t="str">
        <f>IF('الصرف المباشر'!C453="","",IF('الصرف المباشر'!F453="","",'الصرف المباشر'!F453))</f>
        <v/>
      </c>
      <c r="G953" t="str">
        <f>IF($B953&lt;&gt;"",SUMPRODUCT(($B$2:$B953&lt;&gt;"")*1),"")</f>
        <v/>
      </c>
    </row>
    <row r="954" spans="1:7">
      <c r="A954" s="23" t="str">
        <f>IF('الصرف المباشر'!C454="","",'الصرف المباشر'!B454)</f>
        <v/>
      </c>
      <c r="B954" t="str">
        <f>IF('الصرف المباشر'!C454="","","صرف مباشر")</f>
        <v/>
      </c>
      <c r="C954" t="str">
        <f>IF('الصرف المباشر'!C454="","",IF('الصرف المباشر'!E454="","-",'الصرف المباشر'!E454))</f>
        <v/>
      </c>
      <c r="D954" t="str">
        <f>IF('الصرف المباشر'!C454="","",'الصرف المباشر'!C454)</f>
        <v/>
      </c>
      <c r="E954" s="24" t="str">
        <f>IF('الصرف المباشر'!C454="","",-'الصرف المباشر'!D454)</f>
        <v/>
      </c>
      <c r="F954" t="str">
        <f>IF('الصرف المباشر'!C454="","",IF('الصرف المباشر'!F454="","",'الصرف المباشر'!F454))</f>
        <v/>
      </c>
      <c r="G954" t="str">
        <f>IF($B954&lt;&gt;"",SUMPRODUCT(($B$2:$B954&lt;&gt;"")*1),"")</f>
        <v/>
      </c>
    </row>
    <row r="955" spans="1:7">
      <c r="A955" s="23" t="str">
        <f>IF('الصرف المباشر'!C455="","",'الصرف المباشر'!B455)</f>
        <v/>
      </c>
      <c r="B955" t="str">
        <f>IF('الصرف المباشر'!C455="","","صرف مباشر")</f>
        <v/>
      </c>
      <c r="C955" t="str">
        <f>IF('الصرف المباشر'!C455="","",IF('الصرف المباشر'!E455="","-",'الصرف المباشر'!E455))</f>
        <v/>
      </c>
      <c r="D955" t="str">
        <f>IF('الصرف المباشر'!C455="","",'الصرف المباشر'!C455)</f>
        <v/>
      </c>
      <c r="E955" s="24" t="str">
        <f>IF('الصرف المباشر'!C455="","",-'الصرف المباشر'!D455)</f>
        <v/>
      </c>
      <c r="F955" t="str">
        <f>IF('الصرف المباشر'!C455="","",IF('الصرف المباشر'!F455="","",'الصرف المباشر'!F455))</f>
        <v/>
      </c>
      <c r="G955" t="str">
        <f>IF($B955&lt;&gt;"",SUMPRODUCT(($B$2:$B955&lt;&gt;"")*1),"")</f>
        <v/>
      </c>
    </row>
    <row r="956" spans="1:7">
      <c r="A956" s="23" t="str">
        <f>IF('الصرف المباشر'!C456="","",'الصرف المباشر'!B456)</f>
        <v/>
      </c>
      <c r="B956" t="str">
        <f>IF('الصرف المباشر'!C456="","","صرف مباشر")</f>
        <v/>
      </c>
      <c r="C956" t="str">
        <f>IF('الصرف المباشر'!C456="","",IF('الصرف المباشر'!E456="","-",'الصرف المباشر'!E456))</f>
        <v/>
      </c>
      <c r="D956" t="str">
        <f>IF('الصرف المباشر'!C456="","",'الصرف المباشر'!C456)</f>
        <v/>
      </c>
      <c r="E956" s="24" t="str">
        <f>IF('الصرف المباشر'!C456="","",-'الصرف المباشر'!D456)</f>
        <v/>
      </c>
      <c r="F956" t="str">
        <f>IF('الصرف المباشر'!C456="","",IF('الصرف المباشر'!F456="","",'الصرف المباشر'!F456))</f>
        <v/>
      </c>
      <c r="G956" t="str">
        <f>IF($B956&lt;&gt;"",SUMPRODUCT(($B$2:$B956&lt;&gt;"")*1),"")</f>
        <v/>
      </c>
    </row>
    <row r="957" spans="1:7">
      <c r="A957" s="23" t="str">
        <f>IF('الصرف المباشر'!C457="","",'الصرف المباشر'!B457)</f>
        <v/>
      </c>
      <c r="B957" t="str">
        <f>IF('الصرف المباشر'!C457="","","صرف مباشر")</f>
        <v/>
      </c>
      <c r="C957" t="str">
        <f>IF('الصرف المباشر'!C457="","",IF('الصرف المباشر'!E457="","-",'الصرف المباشر'!E457))</f>
        <v/>
      </c>
      <c r="D957" t="str">
        <f>IF('الصرف المباشر'!C457="","",'الصرف المباشر'!C457)</f>
        <v/>
      </c>
      <c r="E957" s="24" t="str">
        <f>IF('الصرف المباشر'!C457="","",-'الصرف المباشر'!D457)</f>
        <v/>
      </c>
      <c r="F957" t="str">
        <f>IF('الصرف المباشر'!C457="","",IF('الصرف المباشر'!F457="","",'الصرف المباشر'!F457))</f>
        <v/>
      </c>
      <c r="G957" t="str">
        <f>IF($B957&lt;&gt;"",SUMPRODUCT(($B$2:$B957&lt;&gt;"")*1),"")</f>
        <v/>
      </c>
    </row>
    <row r="958" spans="1:7">
      <c r="A958" s="23" t="str">
        <f>IF('الصرف المباشر'!C458="","",'الصرف المباشر'!B458)</f>
        <v/>
      </c>
      <c r="B958" t="str">
        <f>IF('الصرف المباشر'!C458="","","صرف مباشر")</f>
        <v/>
      </c>
      <c r="C958" t="str">
        <f>IF('الصرف المباشر'!C458="","",IF('الصرف المباشر'!E458="","-",'الصرف المباشر'!E458))</f>
        <v/>
      </c>
      <c r="D958" t="str">
        <f>IF('الصرف المباشر'!C458="","",'الصرف المباشر'!C458)</f>
        <v/>
      </c>
      <c r="E958" s="24" t="str">
        <f>IF('الصرف المباشر'!C458="","",-'الصرف المباشر'!D458)</f>
        <v/>
      </c>
      <c r="F958" t="str">
        <f>IF('الصرف المباشر'!C458="","",IF('الصرف المباشر'!F458="","",'الصرف المباشر'!F458))</f>
        <v/>
      </c>
      <c r="G958" t="str">
        <f>IF($B958&lt;&gt;"",SUMPRODUCT(($B$2:$B958&lt;&gt;"")*1),"")</f>
        <v/>
      </c>
    </row>
    <row r="959" spans="1:7">
      <c r="A959" s="23" t="str">
        <f>IF('الصرف المباشر'!C459="","",'الصرف المباشر'!B459)</f>
        <v/>
      </c>
      <c r="B959" t="str">
        <f>IF('الصرف المباشر'!C459="","","صرف مباشر")</f>
        <v/>
      </c>
      <c r="C959" t="str">
        <f>IF('الصرف المباشر'!C459="","",IF('الصرف المباشر'!E459="","-",'الصرف المباشر'!E459))</f>
        <v/>
      </c>
      <c r="D959" t="str">
        <f>IF('الصرف المباشر'!C459="","",'الصرف المباشر'!C459)</f>
        <v/>
      </c>
      <c r="E959" s="24" t="str">
        <f>IF('الصرف المباشر'!C459="","",-'الصرف المباشر'!D459)</f>
        <v/>
      </c>
      <c r="F959" t="str">
        <f>IF('الصرف المباشر'!C459="","",IF('الصرف المباشر'!F459="","",'الصرف المباشر'!F459))</f>
        <v/>
      </c>
      <c r="G959" t="str">
        <f>IF($B959&lt;&gt;"",SUMPRODUCT(($B$2:$B959&lt;&gt;"")*1),"")</f>
        <v/>
      </c>
    </row>
    <row r="960" spans="1:7">
      <c r="A960" s="23" t="str">
        <f>IF('الصرف المباشر'!C460="","",'الصرف المباشر'!B460)</f>
        <v/>
      </c>
      <c r="B960" t="str">
        <f>IF('الصرف المباشر'!C460="","","صرف مباشر")</f>
        <v/>
      </c>
      <c r="C960" t="str">
        <f>IF('الصرف المباشر'!C460="","",IF('الصرف المباشر'!E460="","-",'الصرف المباشر'!E460))</f>
        <v/>
      </c>
      <c r="D960" t="str">
        <f>IF('الصرف المباشر'!C460="","",'الصرف المباشر'!C460)</f>
        <v/>
      </c>
      <c r="E960" s="24" t="str">
        <f>IF('الصرف المباشر'!C460="","",-'الصرف المباشر'!D460)</f>
        <v/>
      </c>
      <c r="F960" t="str">
        <f>IF('الصرف المباشر'!C460="","",IF('الصرف المباشر'!F460="","",'الصرف المباشر'!F460))</f>
        <v/>
      </c>
      <c r="G960" t="str">
        <f>IF($B960&lt;&gt;"",SUMPRODUCT(($B$2:$B960&lt;&gt;"")*1),"")</f>
        <v/>
      </c>
    </row>
    <row r="961" spans="1:7">
      <c r="A961" s="23" t="str">
        <f>IF('الصرف المباشر'!C461="","",'الصرف المباشر'!B461)</f>
        <v/>
      </c>
      <c r="B961" t="str">
        <f>IF('الصرف المباشر'!C461="","","صرف مباشر")</f>
        <v/>
      </c>
      <c r="C961" t="str">
        <f>IF('الصرف المباشر'!C461="","",IF('الصرف المباشر'!E461="","-",'الصرف المباشر'!E461))</f>
        <v/>
      </c>
      <c r="D961" t="str">
        <f>IF('الصرف المباشر'!C461="","",'الصرف المباشر'!C461)</f>
        <v/>
      </c>
      <c r="E961" s="24" t="str">
        <f>IF('الصرف المباشر'!C461="","",-'الصرف المباشر'!D461)</f>
        <v/>
      </c>
      <c r="F961" t="str">
        <f>IF('الصرف المباشر'!C461="","",IF('الصرف المباشر'!F461="","",'الصرف المباشر'!F461))</f>
        <v/>
      </c>
      <c r="G961" t="str">
        <f>IF($B961&lt;&gt;"",SUMPRODUCT(($B$2:$B961&lt;&gt;"")*1),"")</f>
        <v/>
      </c>
    </row>
    <row r="962" spans="1:7">
      <c r="A962" s="23" t="str">
        <f>IF('الصرف المباشر'!C462="","",'الصرف المباشر'!B462)</f>
        <v/>
      </c>
      <c r="B962" t="str">
        <f>IF('الصرف المباشر'!C462="","","صرف مباشر")</f>
        <v/>
      </c>
      <c r="C962" t="str">
        <f>IF('الصرف المباشر'!C462="","",IF('الصرف المباشر'!E462="","-",'الصرف المباشر'!E462))</f>
        <v/>
      </c>
      <c r="D962" t="str">
        <f>IF('الصرف المباشر'!C462="","",'الصرف المباشر'!C462)</f>
        <v/>
      </c>
      <c r="E962" s="24" t="str">
        <f>IF('الصرف المباشر'!C462="","",-'الصرف المباشر'!D462)</f>
        <v/>
      </c>
      <c r="F962" t="str">
        <f>IF('الصرف المباشر'!C462="","",IF('الصرف المباشر'!F462="","",'الصرف المباشر'!F462))</f>
        <v/>
      </c>
      <c r="G962" t="str">
        <f>IF($B962&lt;&gt;"",SUMPRODUCT(($B$2:$B962&lt;&gt;"")*1),"")</f>
        <v/>
      </c>
    </row>
    <row r="963" spans="1:7">
      <c r="A963" s="23" t="str">
        <f>IF('الصرف المباشر'!C463="","",'الصرف المباشر'!B463)</f>
        <v/>
      </c>
      <c r="B963" t="str">
        <f>IF('الصرف المباشر'!C463="","","صرف مباشر")</f>
        <v/>
      </c>
      <c r="C963" t="str">
        <f>IF('الصرف المباشر'!C463="","",IF('الصرف المباشر'!E463="","-",'الصرف المباشر'!E463))</f>
        <v/>
      </c>
      <c r="D963" t="str">
        <f>IF('الصرف المباشر'!C463="","",'الصرف المباشر'!C463)</f>
        <v/>
      </c>
      <c r="E963" s="24" t="str">
        <f>IF('الصرف المباشر'!C463="","",-'الصرف المباشر'!D463)</f>
        <v/>
      </c>
      <c r="F963" t="str">
        <f>IF('الصرف المباشر'!C463="","",IF('الصرف المباشر'!F463="","",'الصرف المباشر'!F463))</f>
        <v/>
      </c>
      <c r="G963" t="str">
        <f>IF($B963&lt;&gt;"",SUMPRODUCT(($B$2:$B963&lt;&gt;"")*1),"")</f>
        <v/>
      </c>
    </row>
    <row r="964" spans="1:7">
      <c r="A964" s="23" t="str">
        <f>IF('الصرف المباشر'!C464="","",'الصرف المباشر'!B464)</f>
        <v/>
      </c>
      <c r="B964" t="str">
        <f>IF('الصرف المباشر'!C464="","","صرف مباشر")</f>
        <v/>
      </c>
      <c r="C964" t="str">
        <f>IF('الصرف المباشر'!C464="","",IF('الصرف المباشر'!E464="","-",'الصرف المباشر'!E464))</f>
        <v/>
      </c>
      <c r="D964" t="str">
        <f>IF('الصرف المباشر'!C464="","",'الصرف المباشر'!C464)</f>
        <v/>
      </c>
      <c r="E964" s="24" t="str">
        <f>IF('الصرف المباشر'!C464="","",-'الصرف المباشر'!D464)</f>
        <v/>
      </c>
      <c r="F964" t="str">
        <f>IF('الصرف المباشر'!C464="","",IF('الصرف المباشر'!F464="","",'الصرف المباشر'!F464))</f>
        <v/>
      </c>
      <c r="G964" t="str">
        <f>IF($B964&lt;&gt;"",SUMPRODUCT(($B$2:$B964&lt;&gt;"")*1),"")</f>
        <v/>
      </c>
    </row>
    <row r="965" spans="1:7">
      <c r="A965" s="23" t="str">
        <f>IF('الصرف المباشر'!C465="","",'الصرف المباشر'!B465)</f>
        <v/>
      </c>
      <c r="B965" t="str">
        <f>IF('الصرف المباشر'!C465="","","صرف مباشر")</f>
        <v/>
      </c>
      <c r="C965" t="str">
        <f>IF('الصرف المباشر'!C465="","",IF('الصرف المباشر'!E465="","-",'الصرف المباشر'!E465))</f>
        <v/>
      </c>
      <c r="D965" t="str">
        <f>IF('الصرف المباشر'!C465="","",'الصرف المباشر'!C465)</f>
        <v/>
      </c>
      <c r="E965" s="24" t="str">
        <f>IF('الصرف المباشر'!C465="","",-'الصرف المباشر'!D465)</f>
        <v/>
      </c>
      <c r="F965" t="str">
        <f>IF('الصرف المباشر'!C465="","",IF('الصرف المباشر'!F465="","",'الصرف المباشر'!F465))</f>
        <v/>
      </c>
      <c r="G965" t="str">
        <f>IF($B965&lt;&gt;"",SUMPRODUCT(($B$2:$B965&lt;&gt;"")*1),"")</f>
        <v/>
      </c>
    </row>
    <row r="966" spans="1:7">
      <c r="A966" s="23" t="str">
        <f>IF('الصرف المباشر'!C466="","",'الصرف المباشر'!B466)</f>
        <v/>
      </c>
      <c r="B966" t="str">
        <f>IF('الصرف المباشر'!C466="","","صرف مباشر")</f>
        <v/>
      </c>
      <c r="C966" t="str">
        <f>IF('الصرف المباشر'!C466="","",IF('الصرف المباشر'!E466="","-",'الصرف المباشر'!E466))</f>
        <v/>
      </c>
      <c r="D966" t="str">
        <f>IF('الصرف المباشر'!C466="","",'الصرف المباشر'!C466)</f>
        <v/>
      </c>
      <c r="E966" s="24" t="str">
        <f>IF('الصرف المباشر'!C466="","",-'الصرف المباشر'!D466)</f>
        <v/>
      </c>
      <c r="F966" t="str">
        <f>IF('الصرف المباشر'!C466="","",IF('الصرف المباشر'!F466="","",'الصرف المباشر'!F466))</f>
        <v/>
      </c>
      <c r="G966" t="str">
        <f>IF($B966&lt;&gt;"",SUMPRODUCT(($B$2:$B966&lt;&gt;"")*1),"")</f>
        <v/>
      </c>
    </row>
    <row r="967" spans="1:7">
      <c r="A967" s="23" t="str">
        <f>IF('الصرف المباشر'!C467="","",'الصرف المباشر'!B467)</f>
        <v/>
      </c>
      <c r="B967" t="str">
        <f>IF('الصرف المباشر'!C467="","","صرف مباشر")</f>
        <v/>
      </c>
      <c r="C967" t="str">
        <f>IF('الصرف المباشر'!C467="","",IF('الصرف المباشر'!E467="","-",'الصرف المباشر'!E467))</f>
        <v/>
      </c>
      <c r="D967" t="str">
        <f>IF('الصرف المباشر'!C467="","",'الصرف المباشر'!C467)</f>
        <v/>
      </c>
      <c r="E967" s="24" t="str">
        <f>IF('الصرف المباشر'!C467="","",-'الصرف المباشر'!D467)</f>
        <v/>
      </c>
      <c r="F967" t="str">
        <f>IF('الصرف المباشر'!C467="","",IF('الصرف المباشر'!F467="","",'الصرف المباشر'!F467))</f>
        <v/>
      </c>
      <c r="G967" t="str">
        <f>IF($B967&lt;&gt;"",SUMPRODUCT(($B$2:$B967&lt;&gt;"")*1),"")</f>
        <v/>
      </c>
    </row>
    <row r="968" spans="1:7">
      <c r="A968" s="23" t="str">
        <f>IF('الصرف المباشر'!C468="","",'الصرف المباشر'!B468)</f>
        <v/>
      </c>
      <c r="B968" t="str">
        <f>IF('الصرف المباشر'!C468="","","صرف مباشر")</f>
        <v/>
      </c>
      <c r="C968" t="str">
        <f>IF('الصرف المباشر'!C468="","",IF('الصرف المباشر'!E468="","-",'الصرف المباشر'!E468))</f>
        <v/>
      </c>
      <c r="D968" t="str">
        <f>IF('الصرف المباشر'!C468="","",'الصرف المباشر'!C468)</f>
        <v/>
      </c>
      <c r="E968" s="24" t="str">
        <f>IF('الصرف المباشر'!C468="","",-'الصرف المباشر'!D468)</f>
        <v/>
      </c>
      <c r="F968" t="str">
        <f>IF('الصرف المباشر'!C468="","",IF('الصرف المباشر'!F468="","",'الصرف المباشر'!F468))</f>
        <v/>
      </c>
      <c r="G968" t="str">
        <f>IF($B968&lt;&gt;"",SUMPRODUCT(($B$2:$B968&lt;&gt;"")*1),"")</f>
        <v/>
      </c>
    </row>
    <row r="969" spans="1:7">
      <c r="A969" s="23" t="str">
        <f>IF('الصرف المباشر'!C469="","",'الصرف المباشر'!B469)</f>
        <v/>
      </c>
      <c r="B969" t="str">
        <f>IF('الصرف المباشر'!C469="","","صرف مباشر")</f>
        <v/>
      </c>
      <c r="C969" t="str">
        <f>IF('الصرف المباشر'!C469="","",IF('الصرف المباشر'!E469="","-",'الصرف المباشر'!E469))</f>
        <v/>
      </c>
      <c r="D969" t="str">
        <f>IF('الصرف المباشر'!C469="","",'الصرف المباشر'!C469)</f>
        <v/>
      </c>
      <c r="E969" s="24" t="str">
        <f>IF('الصرف المباشر'!C469="","",-'الصرف المباشر'!D469)</f>
        <v/>
      </c>
      <c r="F969" t="str">
        <f>IF('الصرف المباشر'!C469="","",IF('الصرف المباشر'!F469="","",'الصرف المباشر'!F469))</f>
        <v/>
      </c>
      <c r="G969" t="str">
        <f>IF($B969&lt;&gt;"",SUMPRODUCT(($B$2:$B969&lt;&gt;"")*1),"")</f>
        <v/>
      </c>
    </row>
    <row r="970" spans="1:7">
      <c r="A970" s="23" t="str">
        <f>IF('الصرف المباشر'!C470="","",'الصرف المباشر'!B470)</f>
        <v/>
      </c>
      <c r="B970" t="str">
        <f>IF('الصرف المباشر'!C470="","","صرف مباشر")</f>
        <v/>
      </c>
      <c r="C970" t="str">
        <f>IF('الصرف المباشر'!C470="","",IF('الصرف المباشر'!E470="","-",'الصرف المباشر'!E470))</f>
        <v/>
      </c>
      <c r="D970" t="str">
        <f>IF('الصرف المباشر'!C470="","",'الصرف المباشر'!C470)</f>
        <v/>
      </c>
      <c r="E970" s="24" t="str">
        <f>IF('الصرف المباشر'!C470="","",-'الصرف المباشر'!D470)</f>
        <v/>
      </c>
      <c r="F970" t="str">
        <f>IF('الصرف المباشر'!C470="","",IF('الصرف المباشر'!F470="","",'الصرف المباشر'!F470))</f>
        <v/>
      </c>
      <c r="G970" t="str">
        <f>IF($B970&lt;&gt;"",SUMPRODUCT(($B$2:$B970&lt;&gt;"")*1),"")</f>
        <v/>
      </c>
    </row>
    <row r="971" spans="1:7">
      <c r="A971" s="23" t="str">
        <f>IF('الصرف المباشر'!C471="","",'الصرف المباشر'!B471)</f>
        <v/>
      </c>
      <c r="B971" t="str">
        <f>IF('الصرف المباشر'!C471="","","صرف مباشر")</f>
        <v/>
      </c>
      <c r="C971" t="str">
        <f>IF('الصرف المباشر'!C471="","",IF('الصرف المباشر'!E471="","-",'الصرف المباشر'!E471))</f>
        <v/>
      </c>
      <c r="D971" t="str">
        <f>IF('الصرف المباشر'!C471="","",'الصرف المباشر'!C471)</f>
        <v/>
      </c>
      <c r="E971" s="24" t="str">
        <f>IF('الصرف المباشر'!C471="","",-'الصرف المباشر'!D471)</f>
        <v/>
      </c>
      <c r="F971" t="str">
        <f>IF('الصرف المباشر'!C471="","",IF('الصرف المباشر'!F471="","",'الصرف المباشر'!F471))</f>
        <v/>
      </c>
      <c r="G971" t="str">
        <f>IF($B971&lt;&gt;"",SUMPRODUCT(($B$2:$B971&lt;&gt;"")*1),"")</f>
        <v/>
      </c>
    </row>
    <row r="972" spans="1:7">
      <c r="A972" s="23" t="str">
        <f>IF('الصرف المباشر'!C472="","",'الصرف المباشر'!B472)</f>
        <v/>
      </c>
      <c r="B972" t="str">
        <f>IF('الصرف المباشر'!C472="","","صرف مباشر")</f>
        <v/>
      </c>
      <c r="C972" t="str">
        <f>IF('الصرف المباشر'!C472="","",IF('الصرف المباشر'!E472="","-",'الصرف المباشر'!E472))</f>
        <v/>
      </c>
      <c r="D972" t="str">
        <f>IF('الصرف المباشر'!C472="","",'الصرف المباشر'!C472)</f>
        <v/>
      </c>
      <c r="E972" s="24" t="str">
        <f>IF('الصرف المباشر'!C472="","",-'الصرف المباشر'!D472)</f>
        <v/>
      </c>
      <c r="F972" t="str">
        <f>IF('الصرف المباشر'!C472="","",IF('الصرف المباشر'!F472="","",'الصرف المباشر'!F472))</f>
        <v/>
      </c>
      <c r="G972" t="str">
        <f>IF($B972&lt;&gt;"",SUMPRODUCT(($B$2:$B972&lt;&gt;"")*1),"")</f>
        <v/>
      </c>
    </row>
    <row r="973" spans="1:7">
      <c r="A973" s="23" t="str">
        <f>IF('الصرف المباشر'!C473="","",'الصرف المباشر'!B473)</f>
        <v/>
      </c>
      <c r="B973" t="str">
        <f>IF('الصرف المباشر'!C473="","","صرف مباشر")</f>
        <v/>
      </c>
      <c r="C973" t="str">
        <f>IF('الصرف المباشر'!C473="","",IF('الصرف المباشر'!E473="","-",'الصرف المباشر'!E473))</f>
        <v/>
      </c>
      <c r="D973" t="str">
        <f>IF('الصرف المباشر'!C473="","",'الصرف المباشر'!C473)</f>
        <v/>
      </c>
      <c r="E973" s="24" t="str">
        <f>IF('الصرف المباشر'!C473="","",-'الصرف المباشر'!D473)</f>
        <v/>
      </c>
      <c r="F973" t="str">
        <f>IF('الصرف المباشر'!C473="","",IF('الصرف المباشر'!F473="","",'الصرف المباشر'!F473))</f>
        <v/>
      </c>
      <c r="G973" t="str">
        <f>IF($B973&lt;&gt;"",SUMPRODUCT(($B$2:$B973&lt;&gt;"")*1),"")</f>
        <v/>
      </c>
    </row>
    <row r="974" spans="1:7">
      <c r="A974" s="23" t="str">
        <f>IF('الصرف المباشر'!C474="","",'الصرف المباشر'!B474)</f>
        <v/>
      </c>
      <c r="B974" t="str">
        <f>IF('الصرف المباشر'!C474="","","صرف مباشر")</f>
        <v/>
      </c>
      <c r="C974" t="str">
        <f>IF('الصرف المباشر'!C474="","",IF('الصرف المباشر'!E474="","-",'الصرف المباشر'!E474))</f>
        <v/>
      </c>
      <c r="D974" t="str">
        <f>IF('الصرف المباشر'!C474="","",'الصرف المباشر'!C474)</f>
        <v/>
      </c>
      <c r="E974" s="24" t="str">
        <f>IF('الصرف المباشر'!C474="","",-'الصرف المباشر'!D474)</f>
        <v/>
      </c>
      <c r="F974" t="str">
        <f>IF('الصرف المباشر'!C474="","",IF('الصرف المباشر'!F474="","",'الصرف المباشر'!F474))</f>
        <v/>
      </c>
      <c r="G974" t="str">
        <f>IF($B974&lt;&gt;"",SUMPRODUCT(($B$2:$B974&lt;&gt;"")*1),"")</f>
        <v/>
      </c>
    </row>
    <row r="975" spans="1:7">
      <c r="A975" s="23" t="str">
        <f>IF('الصرف المباشر'!C475="","",'الصرف المباشر'!B475)</f>
        <v/>
      </c>
      <c r="B975" t="str">
        <f>IF('الصرف المباشر'!C475="","","صرف مباشر")</f>
        <v/>
      </c>
      <c r="C975" t="str">
        <f>IF('الصرف المباشر'!C475="","",IF('الصرف المباشر'!E475="","-",'الصرف المباشر'!E475))</f>
        <v/>
      </c>
      <c r="D975" t="str">
        <f>IF('الصرف المباشر'!C475="","",'الصرف المباشر'!C475)</f>
        <v/>
      </c>
      <c r="E975" s="24" t="str">
        <f>IF('الصرف المباشر'!C475="","",-'الصرف المباشر'!D475)</f>
        <v/>
      </c>
      <c r="F975" t="str">
        <f>IF('الصرف المباشر'!C475="","",IF('الصرف المباشر'!F475="","",'الصرف المباشر'!F475))</f>
        <v/>
      </c>
      <c r="G975" t="str">
        <f>IF($B975&lt;&gt;"",SUMPRODUCT(($B$2:$B975&lt;&gt;"")*1),"")</f>
        <v/>
      </c>
    </row>
    <row r="976" spans="1:7">
      <c r="A976" s="23" t="str">
        <f>IF('الصرف المباشر'!C476="","",'الصرف المباشر'!B476)</f>
        <v/>
      </c>
      <c r="B976" t="str">
        <f>IF('الصرف المباشر'!C476="","","صرف مباشر")</f>
        <v/>
      </c>
      <c r="C976" t="str">
        <f>IF('الصرف المباشر'!C476="","",IF('الصرف المباشر'!E476="","-",'الصرف المباشر'!E476))</f>
        <v/>
      </c>
      <c r="D976" t="str">
        <f>IF('الصرف المباشر'!C476="","",'الصرف المباشر'!C476)</f>
        <v/>
      </c>
      <c r="E976" s="24" t="str">
        <f>IF('الصرف المباشر'!C476="","",-'الصرف المباشر'!D476)</f>
        <v/>
      </c>
      <c r="F976" t="str">
        <f>IF('الصرف المباشر'!C476="","",IF('الصرف المباشر'!F476="","",'الصرف المباشر'!F476))</f>
        <v/>
      </c>
      <c r="G976" t="str">
        <f>IF($B976&lt;&gt;"",SUMPRODUCT(($B$2:$B976&lt;&gt;"")*1),"")</f>
        <v/>
      </c>
    </row>
    <row r="977" spans="1:7">
      <c r="A977" s="23" t="str">
        <f>IF('الصرف المباشر'!C477="","",'الصرف المباشر'!B477)</f>
        <v/>
      </c>
      <c r="B977" t="str">
        <f>IF('الصرف المباشر'!C477="","","صرف مباشر")</f>
        <v/>
      </c>
      <c r="C977" t="str">
        <f>IF('الصرف المباشر'!C477="","",IF('الصرف المباشر'!E477="","-",'الصرف المباشر'!E477))</f>
        <v/>
      </c>
      <c r="D977" t="str">
        <f>IF('الصرف المباشر'!C477="","",'الصرف المباشر'!C477)</f>
        <v/>
      </c>
      <c r="E977" s="24" t="str">
        <f>IF('الصرف المباشر'!C477="","",-'الصرف المباشر'!D477)</f>
        <v/>
      </c>
      <c r="F977" t="str">
        <f>IF('الصرف المباشر'!C477="","",IF('الصرف المباشر'!F477="","",'الصرف المباشر'!F477))</f>
        <v/>
      </c>
      <c r="G977" t="str">
        <f>IF($B977&lt;&gt;"",SUMPRODUCT(($B$2:$B977&lt;&gt;"")*1),"")</f>
        <v/>
      </c>
    </row>
    <row r="978" spans="1:7">
      <c r="A978" s="23" t="str">
        <f>IF('الصرف المباشر'!C478="","",'الصرف المباشر'!B478)</f>
        <v/>
      </c>
      <c r="B978" t="str">
        <f>IF('الصرف المباشر'!C478="","","صرف مباشر")</f>
        <v/>
      </c>
      <c r="C978" t="str">
        <f>IF('الصرف المباشر'!C478="","",IF('الصرف المباشر'!E478="","-",'الصرف المباشر'!E478))</f>
        <v/>
      </c>
      <c r="D978" t="str">
        <f>IF('الصرف المباشر'!C478="","",'الصرف المباشر'!C478)</f>
        <v/>
      </c>
      <c r="E978" s="24" t="str">
        <f>IF('الصرف المباشر'!C478="","",-'الصرف المباشر'!D478)</f>
        <v/>
      </c>
      <c r="F978" t="str">
        <f>IF('الصرف المباشر'!C478="","",IF('الصرف المباشر'!F478="","",'الصرف المباشر'!F478))</f>
        <v/>
      </c>
      <c r="G978" t="str">
        <f>IF($B978&lt;&gt;"",SUMPRODUCT(($B$2:$B978&lt;&gt;"")*1),"")</f>
        <v/>
      </c>
    </row>
    <row r="979" spans="1:7">
      <c r="A979" s="23" t="str">
        <f>IF('الصرف المباشر'!C479="","",'الصرف المباشر'!B479)</f>
        <v/>
      </c>
      <c r="B979" t="str">
        <f>IF('الصرف المباشر'!C479="","","صرف مباشر")</f>
        <v/>
      </c>
      <c r="C979" t="str">
        <f>IF('الصرف المباشر'!C479="","",IF('الصرف المباشر'!E479="","-",'الصرف المباشر'!E479))</f>
        <v/>
      </c>
      <c r="D979" t="str">
        <f>IF('الصرف المباشر'!C479="","",'الصرف المباشر'!C479)</f>
        <v/>
      </c>
      <c r="E979" s="24" t="str">
        <f>IF('الصرف المباشر'!C479="","",-'الصرف المباشر'!D479)</f>
        <v/>
      </c>
      <c r="F979" t="str">
        <f>IF('الصرف المباشر'!C479="","",IF('الصرف المباشر'!F479="","",'الصرف المباشر'!F479))</f>
        <v/>
      </c>
      <c r="G979" t="str">
        <f>IF($B979&lt;&gt;"",SUMPRODUCT(($B$2:$B979&lt;&gt;"")*1),"")</f>
        <v/>
      </c>
    </row>
    <row r="980" spans="1:7">
      <c r="A980" s="23" t="str">
        <f>IF('الصرف المباشر'!C480="","",'الصرف المباشر'!B480)</f>
        <v/>
      </c>
      <c r="B980" t="str">
        <f>IF('الصرف المباشر'!C480="","","صرف مباشر")</f>
        <v/>
      </c>
      <c r="C980" t="str">
        <f>IF('الصرف المباشر'!C480="","",IF('الصرف المباشر'!E480="","-",'الصرف المباشر'!E480))</f>
        <v/>
      </c>
      <c r="D980" t="str">
        <f>IF('الصرف المباشر'!C480="","",'الصرف المباشر'!C480)</f>
        <v/>
      </c>
      <c r="E980" s="24" t="str">
        <f>IF('الصرف المباشر'!C480="","",-'الصرف المباشر'!D480)</f>
        <v/>
      </c>
      <c r="F980" t="str">
        <f>IF('الصرف المباشر'!C480="","",IF('الصرف المباشر'!F480="","",'الصرف المباشر'!F480))</f>
        <v/>
      </c>
      <c r="G980" t="str">
        <f>IF($B980&lt;&gt;"",SUMPRODUCT(($B$2:$B980&lt;&gt;"")*1),"")</f>
        <v/>
      </c>
    </row>
    <row r="981" spans="1:7">
      <c r="A981" s="23" t="str">
        <f>IF('الصرف المباشر'!C481="","",'الصرف المباشر'!B481)</f>
        <v/>
      </c>
      <c r="B981" t="str">
        <f>IF('الصرف المباشر'!C481="","","صرف مباشر")</f>
        <v/>
      </c>
      <c r="C981" t="str">
        <f>IF('الصرف المباشر'!C481="","",IF('الصرف المباشر'!E481="","-",'الصرف المباشر'!E481))</f>
        <v/>
      </c>
      <c r="D981" t="str">
        <f>IF('الصرف المباشر'!C481="","",'الصرف المباشر'!C481)</f>
        <v/>
      </c>
      <c r="E981" s="24" t="str">
        <f>IF('الصرف المباشر'!C481="","",-'الصرف المباشر'!D481)</f>
        <v/>
      </c>
      <c r="F981" t="str">
        <f>IF('الصرف المباشر'!C481="","",IF('الصرف المباشر'!F481="","",'الصرف المباشر'!F481))</f>
        <v/>
      </c>
      <c r="G981" t="str">
        <f>IF($B981&lt;&gt;"",SUMPRODUCT(($B$2:$B981&lt;&gt;"")*1),"")</f>
        <v/>
      </c>
    </row>
    <row r="982" spans="1:7">
      <c r="A982" s="23" t="str">
        <f>IF('الصرف المباشر'!C482="","",'الصرف المباشر'!B482)</f>
        <v/>
      </c>
      <c r="B982" t="str">
        <f>IF('الصرف المباشر'!C482="","","صرف مباشر")</f>
        <v/>
      </c>
      <c r="C982" t="str">
        <f>IF('الصرف المباشر'!C482="","",IF('الصرف المباشر'!E482="","-",'الصرف المباشر'!E482))</f>
        <v/>
      </c>
      <c r="D982" t="str">
        <f>IF('الصرف المباشر'!C482="","",'الصرف المباشر'!C482)</f>
        <v/>
      </c>
      <c r="E982" s="24" t="str">
        <f>IF('الصرف المباشر'!C482="","",-'الصرف المباشر'!D482)</f>
        <v/>
      </c>
      <c r="F982" t="str">
        <f>IF('الصرف المباشر'!C482="","",IF('الصرف المباشر'!F482="","",'الصرف المباشر'!F482))</f>
        <v/>
      </c>
      <c r="G982" t="str">
        <f>IF($B982&lt;&gt;"",SUMPRODUCT(($B$2:$B982&lt;&gt;"")*1),"")</f>
        <v/>
      </c>
    </row>
    <row r="983" spans="1:7">
      <c r="A983" s="23" t="str">
        <f>IF('الصرف المباشر'!C483="","",'الصرف المباشر'!B483)</f>
        <v/>
      </c>
      <c r="B983" t="str">
        <f>IF('الصرف المباشر'!C483="","","صرف مباشر")</f>
        <v/>
      </c>
      <c r="C983" t="str">
        <f>IF('الصرف المباشر'!C483="","",IF('الصرف المباشر'!E483="","-",'الصرف المباشر'!E483))</f>
        <v/>
      </c>
      <c r="D983" t="str">
        <f>IF('الصرف المباشر'!C483="","",'الصرف المباشر'!C483)</f>
        <v/>
      </c>
      <c r="E983" s="24" t="str">
        <f>IF('الصرف المباشر'!C483="","",-'الصرف المباشر'!D483)</f>
        <v/>
      </c>
      <c r="F983" t="str">
        <f>IF('الصرف المباشر'!C483="","",IF('الصرف المباشر'!F483="","",'الصرف المباشر'!F483))</f>
        <v/>
      </c>
      <c r="G983" t="str">
        <f>IF($B983&lt;&gt;"",SUMPRODUCT(($B$2:$B983&lt;&gt;"")*1),"")</f>
        <v/>
      </c>
    </row>
    <row r="984" spans="1:7">
      <c r="A984" s="23" t="str">
        <f>IF('الصرف المباشر'!C484="","",'الصرف المباشر'!B484)</f>
        <v/>
      </c>
      <c r="B984" t="str">
        <f>IF('الصرف المباشر'!C484="","","صرف مباشر")</f>
        <v/>
      </c>
      <c r="C984" t="str">
        <f>IF('الصرف المباشر'!C484="","",IF('الصرف المباشر'!E484="","-",'الصرف المباشر'!E484))</f>
        <v/>
      </c>
      <c r="D984" t="str">
        <f>IF('الصرف المباشر'!C484="","",'الصرف المباشر'!C484)</f>
        <v/>
      </c>
      <c r="E984" s="24" t="str">
        <f>IF('الصرف المباشر'!C484="","",-'الصرف المباشر'!D484)</f>
        <v/>
      </c>
      <c r="F984" t="str">
        <f>IF('الصرف المباشر'!C484="","",IF('الصرف المباشر'!F484="","",'الصرف المباشر'!F484))</f>
        <v/>
      </c>
      <c r="G984" t="str">
        <f>IF($B984&lt;&gt;"",SUMPRODUCT(($B$2:$B984&lt;&gt;"")*1),"")</f>
        <v/>
      </c>
    </row>
    <row r="985" spans="1:7">
      <c r="A985" s="23" t="str">
        <f>IF('الصرف المباشر'!C485="","",'الصرف المباشر'!B485)</f>
        <v/>
      </c>
      <c r="B985" t="str">
        <f>IF('الصرف المباشر'!C485="","","صرف مباشر")</f>
        <v/>
      </c>
      <c r="C985" t="str">
        <f>IF('الصرف المباشر'!C485="","",IF('الصرف المباشر'!E485="","-",'الصرف المباشر'!E485))</f>
        <v/>
      </c>
      <c r="D985" t="str">
        <f>IF('الصرف المباشر'!C485="","",'الصرف المباشر'!C485)</f>
        <v/>
      </c>
      <c r="E985" s="24" t="str">
        <f>IF('الصرف المباشر'!C485="","",-'الصرف المباشر'!D485)</f>
        <v/>
      </c>
      <c r="F985" t="str">
        <f>IF('الصرف المباشر'!C485="","",IF('الصرف المباشر'!F485="","",'الصرف المباشر'!F485))</f>
        <v/>
      </c>
      <c r="G985" t="str">
        <f>IF($B985&lt;&gt;"",SUMPRODUCT(($B$2:$B985&lt;&gt;"")*1),"")</f>
        <v/>
      </c>
    </row>
    <row r="986" spans="1:7">
      <c r="A986" s="23" t="str">
        <f>IF('الصرف المباشر'!C486="","",'الصرف المباشر'!B486)</f>
        <v/>
      </c>
      <c r="B986" t="str">
        <f>IF('الصرف المباشر'!C486="","","صرف مباشر")</f>
        <v/>
      </c>
      <c r="C986" t="str">
        <f>IF('الصرف المباشر'!C486="","",IF('الصرف المباشر'!E486="","-",'الصرف المباشر'!E486))</f>
        <v/>
      </c>
      <c r="D986" t="str">
        <f>IF('الصرف المباشر'!C486="","",'الصرف المباشر'!C486)</f>
        <v/>
      </c>
      <c r="E986" s="24" t="str">
        <f>IF('الصرف المباشر'!C486="","",-'الصرف المباشر'!D486)</f>
        <v/>
      </c>
      <c r="F986" t="str">
        <f>IF('الصرف المباشر'!C486="","",IF('الصرف المباشر'!F486="","",'الصرف المباشر'!F486))</f>
        <v/>
      </c>
      <c r="G986" t="str">
        <f>IF($B986&lt;&gt;"",SUMPRODUCT(($B$2:$B986&lt;&gt;"")*1),"")</f>
        <v/>
      </c>
    </row>
    <row r="987" spans="1:7">
      <c r="A987" s="23" t="str">
        <f>IF('الصرف المباشر'!C487="","",'الصرف المباشر'!B487)</f>
        <v/>
      </c>
      <c r="B987" t="str">
        <f>IF('الصرف المباشر'!C487="","","صرف مباشر")</f>
        <v/>
      </c>
      <c r="C987" t="str">
        <f>IF('الصرف المباشر'!C487="","",IF('الصرف المباشر'!E487="","-",'الصرف المباشر'!E487))</f>
        <v/>
      </c>
      <c r="D987" t="str">
        <f>IF('الصرف المباشر'!C487="","",'الصرف المباشر'!C487)</f>
        <v/>
      </c>
      <c r="E987" s="24" t="str">
        <f>IF('الصرف المباشر'!C487="","",-'الصرف المباشر'!D487)</f>
        <v/>
      </c>
      <c r="F987" t="str">
        <f>IF('الصرف المباشر'!C487="","",IF('الصرف المباشر'!F487="","",'الصرف المباشر'!F487))</f>
        <v/>
      </c>
      <c r="G987" t="str">
        <f>IF($B987&lt;&gt;"",SUMPRODUCT(($B$2:$B987&lt;&gt;"")*1),"")</f>
        <v/>
      </c>
    </row>
    <row r="988" spans="1:7">
      <c r="A988" s="23" t="str">
        <f>IF('الصرف المباشر'!C488="","",'الصرف المباشر'!B488)</f>
        <v/>
      </c>
      <c r="B988" t="str">
        <f>IF('الصرف المباشر'!C488="","","صرف مباشر")</f>
        <v/>
      </c>
      <c r="C988" t="str">
        <f>IF('الصرف المباشر'!C488="","",IF('الصرف المباشر'!E488="","-",'الصرف المباشر'!E488))</f>
        <v/>
      </c>
      <c r="D988" t="str">
        <f>IF('الصرف المباشر'!C488="","",'الصرف المباشر'!C488)</f>
        <v/>
      </c>
      <c r="E988" s="24" t="str">
        <f>IF('الصرف المباشر'!C488="","",-'الصرف المباشر'!D488)</f>
        <v/>
      </c>
      <c r="F988" t="str">
        <f>IF('الصرف المباشر'!C488="","",IF('الصرف المباشر'!F488="","",'الصرف المباشر'!F488))</f>
        <v/>
      </c>
      <c r="G988" t="str">
        <f>IF($B988&lt;&gt;"",SUMPRODUCT(($B$2:$B988&lt;&gt;"")*1),"")</f>
        <v/>
      </c>
    </row>
    <row r="989" spans="1:7">
      <c r="A989" s="23" t="str">
        <f>IF('الصرف المباشر'!C489="","",'الصرف المباشر'!B489)</f>
        <v/>
      </c>
      <c r="B989" t="str">
        <f>IF('الصرف المباشر'!C489="","","صرف مباشر")</f>
        <v/>
      </c>
      <c r="C989" t="str">
        <f>IF('الصرف المباشر'!C489="","",IF('الصرف المباشر'!E489="","-",'الصرف المباشر'!E489))</f>
        <v/>
      </c>
      <c r="D989" t="str">
        <f>IF('الصرف المباشر'!C489="","",'الصرف المباشر'!C489)</f>
        <v/>
      </c>
      <c r="E989" s="24" t="str">
        <f>IF('الصرف المباشر'!C489="","",-'الصرف المباشر'!D489)</f>
        <v/>
      </c>
      <c r="F989" t="str">
        <f>IF('الصرف المباشر'!C489="","",IF('الصرف المباشر'!F489="","",'الصرف المباشر'!F489))</f>
        <v/>
      </c>
      <c r="G989" t="str">
        <f>IF($B989&lt;&gt;"",SUMPRODUCT(($B$2:$B989&lt;&gt;"")*1),"")</f>
        <v/>
      </c>
    </row>
    <row r="990" spans="1:7">
      <c r="A990" s="23" t="str">
        <f>IF('الصرف المباشر'!C490="","",'الصرف المباشر'!B490)</f>
        <v/>
      </c>
      <c r="B990" t="str">
        <f>IF('الصرف المباشر'!C490="","","صرف مباشر")</f>
        <v/>
      </c>
      <c r="C990" t="str">
        <f>IF('الصرف المباشر'!C490="","",IF('الصرف المباشر'!E490="","-",'الصرف المباشر'!E490))</f>
        <v/>
      </c>
      <c r="D990" t="str">
        <f>IF('الصرف المباشر'!C490="","",'الصرف المباشر'!C490)</f>
        <v/>
      </c>
      <c r="E990" s="24" t="str">
        <f>IF('الصرف المباشر'!C490="","",-'الصرف المباشر'!D490)</f>
        <v/>
      </c>
      <c r="F990" t="str">
        <f>IF('الصرف المباشر'!C490="","",IF('الصرف المباشر'!F490="","",'الصرف المباشر'!F490))</f>
        <v/>
      </c>
      <c r="G990" t="str">
        <f>IF($B990&lt;&gt;"",SUMPRODUCT(($B$2:$B990&lt;&gt;"")*1),"")</f>
        <v/>
      </c>
    </row>
    <row r="991" spans="1:7">
      <c r="A991" s="23" t="str">
        <f>IF('الصرف المباشر'!C491="","",'الصرف المباشر'!B491)</f>
        <v/>
      </c>
      <c r="B991" t="str">
        <f>IF('الصرف المباشر'!C491="","","صرف مباشر")</f>
        <v/>
      </c>
      <c r="C991" t="str">
        <f>IF('الصرف المباشر'!C491="","",IF('الصرف المباشر'!E491="","-",'الصرف المباشر'!E491))</f>
        <v/>
      </c>
      <c r="D991" t="str">
        <f>IF('الصرف المباشر'!C491="","",'الصرف المباشر'!C491)</f>
        <v/>
      </c>
      <c r="E991" s="24" t="str">
        <f>IF('الصرف المباشر'!C491="","",-'الصرف المباشر'!D491)</f>
        <v/>
      </c>
      <c r="F991" t="str">
        <f>IF('الصرف المباشر'!C491="","",IF('الصرف المباشر'!F491="","",'الصرف المباشر'!F491))</f>
        <v/>
      </c>
      <c r="G991" t="str">
        <f>IF($B991&lt;&gt;"",SUMPRODUCT(($B$2:$B991&lt;&gt;"")*1),"")</f>
        <v/>
      </c>
    </row>
    <row r="992" spans="1:7">
      <c r="A992" s="23" t="str">
        <f>IF('الصرف المباشر'!C492="","",'الصرف المباشر'!B492)</f>
        <v/>
      </c>
      <c r="B992" t="str">
        <f>IF('الصرف المباشر'!C492="","","صرف مباشر")</f>
        <v/>
      </c>
      <c r="C992" t="str">
        <f>IF('الصرف المباشر'!C492="","",IF('الصرف المباشر'!E492="","-",'الصرف المباشر'!E492))</f>
        <v/>
      </c>
      <c r="D992" t="str">
        <f>IF('الصرف المباشر'!C492="","",'الصرف المباشر'!C492)</f>
        <v/>
      </c>
      <c r="E992" s="24" t="str">
        <f>IF('الصرف المباشر'!C492="","",-'الصرف المباشر'!D492)</f>
        <v/>
      </c>
      <c r="F992" t="str">
        <f>IF('الصرف المباشر'!C492="","",IF('الصرف المباشر'!F492="","",'الصرف المباشر'!F492))</f>
        <v/>
      </c>
      <c r="G992" t="str">
        <f>IF($B992&lt;&gt;"",SUMPRODUCT(($B$2:$B992&lt;&gt;"")*1),"")</f>
        <v/>
      </c>
    </row>
    <row r="993" spans="1:7">
      <c r="A993" s="23" t="str">
        <f>IF('الصرف المباشر'!C493="","",'الصرف المباشر'!B493)</f>
        <v/>
      </c>
      <c r="B993" t="str">
        <f>IF('الصرف المباشر'!C493="","","صرف مباشر")</f>
        <v/>
      </c>
      <c r="C993" t="str">
        <f>IF('الصرف المباشر'!C493="","",IF('الصرف المباشر'!E493="","-",'الصرف المباشر'!E493))</f>
        <v/>
      </c>
      <c r="D993" t="str">
        <f>IF('الصرف المباشر'!C493="","",'الصرف المباشر'!C493)</f>
        <v/>
      </c>
      <c r="E993" s="24" t="str">
        <f>IF('الصرف المباشر'!C493="","",-'الصرف المباشر'!D493)</f>
        <v/>
      </c>
      <c r="F993" t="str">
        <f>IF('الصرف المباشر'!C493="","",IF('الصرف المباشر'!F493="","",'الصرف المباشر'!F493))</f>
        <v/>
      </c>
      <c r="G993" t="str">
        <f>IF($B993&lt;&gt;"",SUMPRODUCT(($B$2:$B993&lt;&gt;"")*1),"")</f>
        <v/>
      </c>
    </row>
    <row r="994" spans="1:7">
      <c r="A994" s="23" t="str">
        <f>IF('الصرف المباشر'!C494="","",'الصرف المباشر'!B494)</f>
        <v/>
      </c>
      <c r="B994" t="str">
        <f>IF('الصرف المباشر'!C494="","","صرف مباشر")</f>
        <v/>
      </c>
      <c r="C994" t="str">
        <f>IF('الصرف المباشر'!C494="","",IF('الصرف المباشر'!E494="","-",'الصرف المباشر'!E494))</f>
        <v/>
      </c>
      <c r="D994" t="str">
        <f>IF('الصرف المباشر'!C494="","",'الصرف المباشر'!C494)</f>
        <v/>
      </c>
      <c r="E994" s="24" t="str">
        <f>IF('الصرف المباشر'!C494="","",-'الصرف المباشر'!D494)</f>
        <v/>
      </c>
      <c r="F994" t="str">
        <f>IF('الصرف المباشر'!C494="","",IF('الصرف المباشر'!F494="","",'الصرف المباشر'!F494))</f>
        <v/>
      </c>
      <c r="G994" t="str">
        <f>IF($B994&lt;&gt;"",SUMPRODUCT(($B$2:$B994&lt;&gt;"")*1),"")</f>
        <v/>
      </c>
    </row>
    <row r="995" spans="1:7">
      <c r="A995" s="23" t="str">
        <f>IF('الصرف المباشر'!C495="","",'الصرف المباشر'!B495)</f>
        <v/>
      </c>
      <c r="B995" t="str">
        <f>IF('الصرف المباشر'!C495="","","صرف مباشر")</f>
        <v/>
      </c>
      <c r="C995" t="str">
        <f>IF('الصرف المباشر'!C495="","",IF('الصرف المباشر'!E495="","-",'الصرف المباشر'!E495))</f>
        <v/>
      </c>
      <c r="D995" t="str">
        <f>IF('الصرف المباشر'!C495="","",'الصرف المباشر'!C495)</f>
        <v/>
      </c>
      <c r="E995" s="24" t="str">
        <f>IF('الصرف المباشر'!C495="","",-'الصرف المباشر'!D495)</f>
        <v/>
      </c>
      <c r="F995" t="str">
        <f>IF('الصرف المباشر'!C495="","",IF('الصرف المباشر'!F495="","",'الصرف المباشر'!F495))</f>
        <v/>
      </c>
      <c r="G995" t="str">
        <f>IF($B995&lt;&gt;"",SUMPRODUCT(($B$2:$B995&lt;&gt;"")*1),"")</f>
        <v/>
      </c>
    </row>
    <row r="996" spans="1:7">
      <c r="A996" s="23" t="str">
        <f>IF('الصرف المباشر'!C496="","",'الصرف المباشر'!B496)</f>
        <v/>
      </c>
      <c r="B996" t="str">
        <f>IF('الصرف المباشر'!C496="","","صرف مباشر")</f>
        <v/>
      </c>
      <c r="C996" t="str">
        <f>IF('الصرف المباشر'!C496="","",IF('الصرف المباشر'!E496="","-",'الصرف المباشر'!E496))</f>
        <v/>
      </c>
      <c r="D996" t="str">
        <f>IF('الصرف المباشر'!C496="","",'الصرف المباشر'!C496)</f>
        <v/>
      </c>
      <c r="E996" s="24" t="str">
        <f>IF('الصرف المباشر'!C496="","",-'الصرف المباشر'!D496)</f>
        <v/>
      </c>
      <c r="F996" t="str">
        <f>IF('الصرف المباشر'!C496="","",IF('الصرف المباشر'!F496="","",'الصرف المباشر'!F496))</f>
        <v/>
      </c>
      <c r="G996" t="str">
        <f>IF($B996&lt;&gt;"",SUMPRODUCT(($B$2:$B996&lt;&gt;"")*1),"")</f>
        <v/>
      </c>
    </row>
    <row r="997" spans="1:7">
      <c r="A997" s="23" t="str">
        <f>IF('الصرف المباشر'!C497="","",'الصرف المباشر'!B497)</f>
        <v/>
      </c>
      <c r="B997" t="str">
        <f>IF('الصرف المباشر'!C497="","","صرف مباشر")</f>
        <v/>
      </c>
      <c r="C997" t="str">
        <f>IF('الصرف المباشر'!C497="","",IF('الصرف المباشر'!E497="","-",'الصرف المباشر'!E497))</f>
        <v/>
      </c>
      <c r="D997" t="str">
        <f>IF('الصرف المباشر'!C497="","",'الصرف المباشر'!C497)</f>
        <v/>
      </c>
      <c r="E997" s="24" t="str">
        <f>IF('الصرف المباشر'!C497="","",-'الصرف المباشر'!D497)</f>
        <v/>
      </c>
      <c r="F997" t="str">
        <f>IF('الصرف المباشر'!C497="","",IF('الصرف المباشر'!F497="","",'الصرف المباشر'!F497))</f>
        <v/>
      </c>
      <c r="G997" t="str">
        <f>IF($B997&lt;&gt;"",SUMPRODUCT(($B$2:$B997&lt;&gt;"")*1),"")</f>
        <v/>
      </c>
    </row>
    <row r="998" spans="1:7">
      <c r="A998" s="23" t="str">
        <f>IF('الصرف المباشر'!C498="","",'الصرف المباشر'!B498)</f>
        <v/>
      </c>
      <c r="B998" t="str">
        <f>IF('الصرف المباشر'!C498="","","صرف مباشر")</f>
        <v/>
      </c>
      <c r="C998" t="str">
        <f>IF('الصرف المباشر'!C498="","",IF('الصرف المباشر'!E498="","-",'الصرف المباشر'!E498))</f>
        <v/>
      </c>
      <c r="D998" t="str">
        <f>IF('الصرف المباشر'!C498="","",'الصرف المباشر'!C498)</f>
        <v/>
      </c>
      <c r="E998" s="24" t="str">
        <f>IF('الصرف المباشر'!C498="","",-'الصرف المباشر'!D498)</f>
        <v/>
      </c>
      <c r="F998" t="str">
        <f>IF('الصرف المباشر'!C498="","",IF('الصرف المباشر'!F498="","",'الصرف المباشر'!F498))</f>
        <v/>
      </c>
      <c r="G998" t="str">
        <f>IF($B998&lt;&gt;"",SUMPRODUCT(($B$2:$B998&lt;&gt;"")*1),"")</f>
        <v/>
      </c>
    </row>
    <row r="999" spans="1:7">
      <c r="A999" s="23" t="str">
        <f>IF('الصرف المباشر'!C499="","",'الصرف المباشر'!B499)</f>
        <v/>
      </c>
      <c r="B999" t="str">
        <f>IF('الصرف المباشر'!C499="","","صرف مباشر")</f>
        <v/>
      </c>
      <c r="C999" t="str">
        <f>IF('الصرف المباشر'!C499="","",IF('الصرف المباشر'!E499="","-",'الصرف المباشر'!E499))</f>
        <v/>
      </c>
      <c r="D999" t="str">
        <f>IF('الصرف المباشر'!C499="","",'الصرف المباشر'!C499)</f>
        <v/>
      </c>
      <c r="E999" s="24" t="str">
        <f>IF('الصرف المباشر'!C499="","",-'الصرف المباشر'!D499)</f>
        <v/>
      </c>
      <c r="F999" t="str">
        <f>IF('الصرف المباشر'!C499="","",IF('الصرف المباشر'!F499="","",'الصرف المباشر'!F499))</f>
        <v/>
      </c>
      <c r="G999" t="str">
        <f>IF($B999&lt;&gt;"",SUMPRODUCT(($B$2:$B999&lt;&gt;"")*1),"")</f>
        <v/>
      </c>
    </row>
    <row r="1000" spans="1:7">
      <c r="A1000" s="23" t="str">
        <f>IF('الصرف المباشر'!C500="","",'الصرف المباشر'!B500)</f>
        <v/>
      </c>
      <c r="B1000" t="str">
        <f>IF('الصرف المباشر'!C500="","","صرف مباشر")</f>
        <v/>
      </c>
      <c r="C1000" t="str">
        <f>IF('الصرف المباشر'!C500="","",IF('الصرف المباشر'!E500="","-",'الصرف المباشر'!E500))</f>
        <v/>
      </c>
      <c r="D1000" t="str">
        <f>IF('الصرف المباشر'!C500="","",'الصرف المباشر'!C500)</f>
        <v/>
      </c>
      <c r="E1000" s="24" t="str">
        <f>IF('الصرف المباشر'!C500="","",-'الصرف المباشر'!D500)</f>
        <v/>
      </c>
      <c r="F1000" t="str">
        <f>IF('الصرف المباشر'!C500="","",IF('الصرف المباشر'!F500="","",'الصرف المباشر'!F500))</f>
        <v/>
      </c>
      <c r="G1000" t="str">
        <f>IF($B1000&lt;&gt;"",SUMPRODUCT(($B$2:$B1000&lt;&gt;"")*1),"")</f>
        <v/>
      </c>
    </row>
    <row r="1001" spans="1:7">
      <c r="A1001" s="23" t="str">
        <f>IF('الصرف المباشر'!C501="","",'الصرف المباشر'!B501)</f>
        <v/>
      </c>
      <c r="B1001" t="str">
        <f>IF('الصرف المباشر'!C501="","","صرف مباشر")</f>
        <v/>
      </c>
      <c r="C1001" t="str">
        <f>IF('الصرف المباشر'!C501="","",IF('الصرف المباشر'!E501="","-",'الصرف المباشر'!E501))</f>
        <v/>
      </c>
      <c r="D1001" t="str">
        <f>IF('الصرف المباشر'!C501="","",'الصرف المباشر'!C501)</f>
        <v/>
      </c>
      <c r="E1001" s="24" t="str">
        <f>IF('الصرف المباشر'!C501="","",-'الصرف المباشر'!D501)</f>
        <v/>
      </c>
      <c r="F1001" t="str">
        <f>IF('الصرف المباشر'!C501="","",IF('الصرف المباشر'!F501="","",'الصرف المباشر'!F501))</f>
        <v/>
      </c>
      <c r="G1001" t="str">
        <f>IF($B1001&lt;&gt;"",SUMPRODUCT(($B$2:$B1001&lt;&gt;"")*1),"")</f>
        <v/>
      </c>
    </row>
    <row r="1002" spans="1:7">
      <c r="A1002" s="23">
        <f>IF('سجل الإنتاج'!C2="","",'سجل الإنتاج'!B2)</f>
        <v>46211</v>
      </c>
      <c r="B1002" t="str">
        <f>IF('سجل الإنتاج'!C2="","","إنتاج طبخة")</f>
        <v>إنتاج طبخة</v>
      </c>
      <c r="C1002" t="str">
        <f>IF('سجل الإنتاج'!C2="","",'سجل الإنتاج'!C2)</f>
        <v>لودلين سادة رابع</v>
      </c>
      <c r="D1002" t="str">
        <f>IF('سجل الإنتاج'!C2="","","عدة مواد - راجع صفحة الطبخات")</f>
        <v>عدة مواد - راجع صفحة الطبخات</v>
      </c>
      <c r="F1002" t="str">
        <f>IF('سجل الإنتاج'!C2="","",IF('سجل الإنتاج'!D2="","",'سجل الإنتاج'!D2))</f>
        <v>-</v>
      </c>
      <c r="G1002">
        <f>IF($B1002&lt;&gt;"",SUMPRODUCT(($B$2:$B1002&lt;&gt;"")*1),"")</f>
        <v>77</v>
      </c>
    </row>
    <row r="1003" spans="1:7">
      <c r="A1003" s="23" t="str">
        <f>IF('سجل الإنتاج'!C3="","",'سجل الإنتاج'!B3)</f>
        <v/>
      </c>
      <c r="B1003" t="str">
        <f>IF('سجل الإنتاج'!C3="","","إنتاج طبخة")</f>
        <v/>
      </c>
      <c r="C1003" t="str">
        <f>IF('سجل الإنتاج'!C3="","",'سجل الإنتاج'!C3)</f>
        <v/>
      </c>
      <c r="D1003" t="str">
        <f>IF('سجل الإنتاج'!C3="","","عدة مواد - راجع صفحة الطبخات")</f>
        <v/>
      </c>
      <c r="F1003" t="str">
        <f>IF('سجل الإنتاج'!C3="","",IF('سجل الإنتاج'!D3="","",'سجل الإنتاج'!D3))</f>
        <v/>
      </c>
      <c r="G1003" t="str">
        <f>IF($B1003&lt;&gt;"",SUMPRODUCT(($B$2:$B1003&lt;&gt;"")*1),"")</f>
        <v/>
      </c>
    </row>
    <row r="1004" spans="1:7">
      <c r="A1004" s="23" t="str">
        <f>IF('سجل الإنتاج'!C4="","",'سجل الإنتاج'!B4)</f>
        <v/>
      </c>
      <c r="B1004" t="str">
        <f>IF('سجل الإنتاج'!C4="","","إنتاج طبخة")</f>
        <v/>
      </c>
      <c r="C1004" t="str">
        <f>IF('سجل الإنتاج'!C4="","",'سجل الإنتاج'!C4)</f>
        <v/>
      </c>
      <c r="D1004" t="str">
        <f>IF('سجل الإنتاج'!C4="","","عدة مواد - راجع صفحة الطبخات")</f>
        <v/>
      </c>
      <c r="F1004" t="str">
        <f>IF('سجل الإنتاج'!C4="","",IF('سجل الإنتاج'!D4="","",'سجل الإنتاج'!D4))</f>
        <v/>
      </c>
      <c r="G1004" t="str">
        <f>IF($B1004&lt;&gt;"",SUMPRODUCT(($B$2:$B1004&lt;&gt;"")*1),"")</f>
        <v/>
      </c>
    </row>
    <row r="1005" spans="1:7">
      <c r="A1005" s="23" t="str">
        <f>IF('سجل الإنتاج'!C5="","",'سجل الإنتاج'!B5)</f>
        <v/>
      </c>
      <c r="B1005" t="str">
        <f>IF('سجل الإنتاج'!C5="","","إنتاج طبخة")</f>
        <v/>
      </c>
      <c r="C1005" t="str">
        <f>IF('سجل الإنتاج'!C5="","",'سجل الإنتاج'!C5)</f>
        <v/>
      </c>
      <c r="D1005" t="str">
        <f>IF('سجل الإنتاج'!C5="","","عدة مواد - راجع صفحة الطبخات")</f>
        <v/>
      </c>
      <c r="F1005" t="str">
        <f>IF('سجل الإنتاج'!C5="","",IF('سجل الإنتاج'!D5="","",'سجل الإنتاج'!D5))</f>
        <v/>
      </c>
      <c r="G1005" t="str">
        <f>IF($B1005&lt;&gt;"",SUMPRODUCT(($B$2:$B1005&lt;&gt;"")*1),"")</f>
        <v/>
      </c>
    </row>
    <row r="1006" spans="1:7">
      <c r="A1006" s="23" t="str">
        <f>IF('سجل الإنتاج'!C6="","",'سجل الإنتاج'!B6)</f>
        <v/>
      </c>
      <c r="B1006" t="str">
        <f>IF('سجل الإنتاج'!C6="","","إنتاج طبخة")</f>
        <v/>
      </c>
      <c r="C1006" t="str">
        <f>IF('سجل الإنتاج'!C6="","",'سجل الإنتاج'!C6)</f>
        <v/>
      </c>
      <c r="D1006" t="str">
        <f>IF('سجل الإنتاج'!C6="","","عدة مواد - راجع صفحة الطبخات")</f>
        <v/>
      </c>
      <c r="F1006" t="str">
        <f>IF('سجل الإنتاج'!C6="","",IF('سجل الإنتاج'!D6="","",'سجل الإنتاج'!D6))</f>
        <v/>
      </c>
      <c r="G1006" t="str">
        <f>IF($B1006&lt;&gt;"",SUMPRODUCT(($B$2:$B1006&lt;&gt;"")*1),"")</f>
        <v/>
      </c>
    </row>
    <row r="1007" spans="1:7">
      <c r="A1007" s="23" t="str">
        <f>IF('سجل الإنتاج'!C7="","",'سجل الإنتاج'!B7)</f>
        <v/>
      </c>
      <c r="B1007" t="str">
        <f>IF('سجل الإنتاج'!C7="","","إنتاج طبخة")</f>
        <v/>
      </c>
      <c r="C1007" t="str">
        <f>IF('سجل الإنتاج'!C7="","",'سجل الإنتاج'!C7)</f>
        <v/>
      </c>
      <c r="D1007" t="str">
        <f>IF('سجل الإنتاج'!C7="","","عدة مواد - راجع صفحة الطبخات")</f>
        <v/>
      </c>
      <c r="F1007" t="str">
        <f>IF('سجل الإنتاج'!C7="","",IF('سجل الإنتاج'!D7="","",'سجل الإنتاج'!D7))</f>
        <v/>
      </c>
      <c r="G1007" t="str">
        <f>IF($B1007&lt;&gt;"",SUMPRODUCT(($B$2:$B1007&lt;&gt;"")*1),"")</f>
        <v/>
      </c>
    </row>
    <row r="1008" spans="1:7">
      <c r="A1008" s="23" t="str">
        <f>IF('سجل الإنتاج'!C8="","",'سجل الإنتاج'!B8)</f>
        <v/>
      </c>
      <c r="B1008" t="str">
        <f>IF('سجل الإنتاج'!C8="","","إنتاج طبخة")</f>
        <v/>
      </c>
      <c r="C1008" t="str">
        <f>IF('سجل الإنتاج'!C8="","",'سجل الإنتاج'!C8)</f>
        <v/>
      </c>
      <c r="D1008" t="str">
        <f>IF('سجل الإنتاج'!C8="","","عدة مواد - راجع صفحة الطبخات")</f>
        <v/>
      </c>
      <c r="F1008" t="str">
        <f>IF('سجل الإنتاج'!C8="","",IF('سجل الإنتاج'!D8="","",'سجل الإنتاج'!D8))</f>
        <v/>
      </c>
      <c r="G1008" t="str">
        <f>IF($B1008&lt;&gt;"",SUMPRODUCT(($B$2:$B1008&lt;&gt;"")*1),"")</f>
        <v/>
      </c>
    </row>
    <row r="1009" spans="1:7">
      <c r="A1009" s="23" t="str">
        <f>IF('سجل الإنتاج'!C9="","",'سجل الإنتاج'!B9)</f>
        <v/>
      </c>
      <c r="B1009" t="str">
        <f>IF('سجل الإنتاج'!C9="","","إنتاج طبخة")</f>
        <v/>
      </c>
      <c r="C1009" t="str">
        <f>IF('سجل الإنتاج'!C9="","",'سجل الإنتاج'!C9)</f>
        <v/>
      </c>
      <c r="D1009" t="str">
        <f>IF('سجل الإنتاج'!C9="","","عدة مواد - راجع صفحة الطبخات")</f>
        <v/>
      </c>
      <c r="F1009" t="str">
        <f>IF('سجل الإنتاج'!C9="","",IF('سجل الإنتاج'!D9="","",'سجل الإنتاج'!D9))</f>
        <v/>
      </c>
      <c r="G1009" t="str">
        <f>IF($B1009&lt;&gt;"",SUMPRODUCT(($B$2:$B1009&lt;&gt;"")*1),"")</f>
        <v/>
      </c>
    </row>
    <row r="1010" spans="1:7">
      <c r="A1010" s="23" t="str">
        <f>IF('سجل الإنتاج'!C10="","",'سجل الإنتاج'!B10)</f>
        <v/>
      </c>
      <c r="B1010" t="str">
        <f>IF('سجل الإنتاج'!C10="","","إنتاج طبخة")</f>
        <v/>
      </c>
      <c r="C1010" t="str">
        <f>IF('سجل الإنتاج'!C10="","",'سجل الإنتاج'!C10)</f>
        <v/>
      </c>
      <c r="D1010" t="str">
        <f>IF('سجل الإنتاج'!C10="","","عدة مواد - راجع صفحة الطبخات")</f>
        <v/>
      </c>
      <c r="F1010" t="str">
        <f>IF('سجل الإنتاج'!C10="","",IF('سجل الإنتاج'!D10="","",'سجل الإنتاج'!D10))</f>
        <v/>
      </c>
      <c r="G1010" t="str">
        <f>IF($B1010&lt;&gt;"",SUMPRODUCT(($B$2:$B1010&lt;&gt;"")*1),"")</f>
        <v/>
      </c>
    </row>
    <row r="1011" spans="1:7">
      <c r="A1011" s="23" t="str">
        <f>IF('سجل الإنتاج'!C11="","",'سجل الإنتاج'!B11)</f>
        <v/>
      </c>
      <c r="B1011" t="str">
        <f>IF('سجل الإنتاج'!C11="","","إنتاج طبخة")</f>
        <v/>
      </c>
      <c r="C1011" t="str">
        <f>IF('سجل الإنتاج'!C11="","",'سجل الإنتاج'!C11)</f>
        <v/>
      </c>
      <c r="D1011" t="str">
        <f>IF('سجل الإنتاج'!C11="","","عدة مواد - راجع صفحة الطبخات")</f>
        <v/>
      </c>
      <c r="F1011" t="str">
        <f>IF('سجل الإنتاج'!C11="","",IF('سجل الإنتاج'!D11="","",'سجل الإنتاج'!D11))</f>
        <v/>
      </c>
      <c r="G1011" t="str">
        <f>IF($B1011&lt;&gt;"",SUMPRODUCT(($B$2:$B1011&lt;&gt;"")*1),"")</f>
        <v/>
      </c>
    </row>
    <row r="1012" spans="1:7">
      <c r="A1012" s="23" t="str">
        <f>IF('سجل الإنتاج'!C12="","",'سجل الإنتاج'!B12)</f>
        <v/>
      </c>
      <c r="B1012" t="str">
        <f>IF('سجل الإنتاج'!C12="","","إنتاج طبخة")</f>
        <v/>
      </c>
      <c r="C1012" t="str">
        <f>IF('سجل الإنتاج'!C12="","",'سجل الإنتاج'!C12)</f>
        <v/>
      </c>
      <c r="D1012" t="str">
        <f>IF('سجل الإنتاج'!C12="","","عدة مواد - راجع صفحة الطبخات")</f>
        <v/>
      </c>
      <c r="F1012" t="str">
        <f>IF('سجل الإنتاج'!C12="","",IF('سجل الإنتاج'!D12="","",'سجل الإنتاج'!D12))</f>
        <v/>
      </c>
      <c r="G1012" t="str">
        <f>IF($B1012&lt;&gt;"",SUMPRODUCT(($B$2:$B1012&lt;&gt;"")*1),"")</f>
        <v/>
      </c>
    </row>
    <row r="1013" spans="1:7">
      <c r="A1013" s="23" t="str">
        <f>IF('سجل الإنتاج'!C13="","",'سجل الإنتاج'!B13)</f>
        <v/>
      </c>
      <c r="B1013" t="str">
        <f>IF('سجل الإنتاج'!C13="","","إنتاج طبخة")</f>
        <v/>
      </c>
      <c r="C1013" t="str">
        <f>IF('سجل الإنتاج'!C13="","",'سجل الإنتاج'!C13)</f>
        <v/>
      </c>
      <c r="D1013" t="str">
        <f>IF('سجل الإنتاج'!C13="","","عدة مواد - راجع صفحة الطبخات")</f>
        <v/>
      </c>
      <c r="F1013" t="str">
        <f>IF('سجل الإنتاج'!C13="","",IF('سجل الإنتاج'!D13="","",'سجل الإنتاج'!D13))</f>
        <v/>
      </c>
      <c r="G1013" t="str">
        <f>IF($B1013&lt;&gt;"",SUMPRODUCT(($B$2:$B1013&lt;&gt;"")*1),"")</f>
        <v/>
      </c>
    </row>
    <row r="1014" spans="1:7">
      <c r="A1014" s="23" t="str">
        <f>IF('سجل الإنتاج'!C14="","",'سجل الإنتاج'!B14)</f>
        <v/>
      </c>
      <c r="B1014" t="str">
        <f>IF('سجل الإنتاج'!C14="","","إنتاج طبخة")</f>
        <v/>
      </c>
      <c r="C1014" t="str">
        <f>IF('سجل الإنتاج'!C14="","",'سجل الإنتاج'!C14)</f>
        <v/>
      </c>
      <c r="D1014" t="str">
        <f>IF('سجل الإنتاج'!C14="","","عدة مواد - راجع صفحة الطبخات")</f>
        <v/>
      </c>
      <c r="F1014" t="str">
        <f>IF('سجل الإنتاج'!C14="","",IF('سجل الإنتاج'!D14="","",'سجل الإنتاج'!D14))</f>
        <v/>
      </c>
      <c r="G1014" t="str">
        <f>IF($B1014&lt;&gt;"",SUMPRODUCT(($B$2:$B1014&lt;&gt;"")*1),"")</f>
        <v/>
      </c>
    </row>
    <row r="1015" spans="1:7">
      <c r="A1015" s="23" t="str">
        <f>IF('سجل الإنتاج'!C15="","",'سجل الإنتاج'!B15)</f>
        <v/>
      </c>
      <c r="B1015" t="str">
        <f>IF('سجل الإنتاج'!C15="","","إنتاج طبخة")</f>
        <v/>
      </c>
      <c r="C1015" t="str">
        <f>IF('سجل الإنتاج'!C15="","",'سجل الإنتاج'!C15)</f>
        <v/>
      </c>
      <c r="D1015" t="str">
        <f>IF('سجل الإنتاج'!C15="","","عدة مواد - راجع صفحة الطبخات")</f>
        <v/>
      </c>
      <c r="F1015" t="str">
        <f>IF('سجل الإنتاج'!C15="","",IF('سجل الإنتاج'!D15="","",'سجل الإنتاج'!D15))</f>
        <v/>
      </c>
      <c r="G1015" t="str">
        <f>IF($B1015&lt;&gt;"",SUMPRODUCT(($B$2:$B1015&lt;&gt;"")*1),"")</f>
        <v/>
      </c>
    </row>
    <row r="1016" spans="1:7">
      <c r="A1016" s="23" t="str">
        <f>IF('سجل الإنتاج'!C16="","",'سجل الإنتاج'!B16)</f>
        <v/>
      </c>
      <c r="B1016" t="str">
        <f>IF('سجل الإنتاج'!C16="","","إنتاج طبخة")</f>
        <v/>
      </c>
      <c r="C1016" t="str">
        <f>IF('سجل الإنتاج'!C16="","",'سجل الإنتاج'!C16)</f>
        <v/>
      </c>
      <c r="D1016" t="str">
        <f>IF('سجل الإنتاج'!C16="","","عدة مواد - راجع صفحة الطبخات")</f>
        <v/>
      </c>
      <c r="F1016" t="str">
        <f>IF('سجل الإنتاج'!C16="","",IF('سجل الإنتاج'!D16="","",'سجل الإنتاج'!D16))</f>
        <v/>
      </c>
      <c r="G1016" t="str">
        <f>IF($B1016&lt;&gt;"",SUMPRODUCT(($B$2:$B1016&lt;&gt;"")*1),"")</f>
        <v/>
      </c>
    </row>
    <row r="1017" spans="1:7">
      <c r="A1017" s="23" t="str">
        <f>IF('سجل الإنتاج'!C17="","",'سجل الإنتاج'!B17)</f>
        <v/>
      </c>
      <c r="B1017" t="str">
        <f>IF('سجل الإنتاج'!C17="","","إنتاج طبخة")</f>
        <v/>
      </c>
      <c r="C1017" t="str">
        <f>IF('سجل الإنتاج'!C17="","",'سجل الإنتاج'!C17)</f>
        <v/>
      </c>
      <c r="D1017" t="str">
        <f>IF('سجل الإنتاج'!C17="","","عدة مواد - راجع صفحة الطبخات")</f>
        <v/>
      </c>
      <c r="F1017" t="str">
        <f>IF('سجل الإنتاج'!C17="","",IF('سجل الإنتاج'!D17="","",'سجل الإنتاج'!D17))</f>
        <v/>
      </c>
      <c r="G1017" t="str">
        <f>IF($B1017&lt;&gt;"",SUMPRODUCT(($B$2:$B1017&lt;&gt;"")*1),"")</f>
        <v/>
      </c>
    </row>
    <row r="1018" spans="1:7">
      <c r="A1018" s="23" t="str">
        <f>IF('سجل الإنتاج'!C18="","",'سجل الإنتاج'!B18)</f>
        <v/>
      </c>
      <c r="B1018" t="str">
        <f>IF('سجل الإنتاج'!C18="","","إنتاج طبخة")</f>
        <v/>
      </c>
      <c r="C1018" t="str">
        <f>IF('سجل الإنتاج'!C18="","",'سجل الإنتاج'!C18)</f>
        <v/>
      </c>
      <c r="D1018" t="str">
        <f>IF('سجل الإنتاج'!C18="","","عدة مواد - راجع صفحة الطبخات")</f>
        <v/>
      </c>
      <c r="F1018" t="str">
        <f>IF('سجل الإنتاج'!C18="","",IF('سجل الإنتاج'!D18="","",'سجل الإنتاج'!D18))</f>
        <v/>
      </c>
      <c r="G1018" t="str">
        <f>IF($B1018&lt;&gt;"",SUMPRODUCT(($B$2:$B1018&lt;&gt;"")*1),"")</f>
        <v/>
      </c>
    </row>
    <row r="1019" spans="1:7">
      <c r="A1019" s="23" t="str">
        <f>IF('سجل الإنتاج'!C19="","",'سجل الإنتاج'!B19)</f>
        <v/>
      </c>
      <c r="B1019" t="str">
        <f>IF('سجل الإنتاج'!C19="","","إنتاج طبخة")</f>
        <v/>
      </c>
      <c r="C1019" t="str">
        <f>IF('سجل الإنتاج'!C19="","",'سجل الإنتاج'!C19)</f>
        <v/>
      </c>
      <c r="D1019" t="str">
        <f>IF('سجل الإنتاج'!C19="","","عدة مواد - راجع صفحة الطبخات")</f>
        <v/>
      </c>
      <c r="F1019" t="str">
        <f>IF('سجل الإنتاج'!C19="","",IF('سجل الإنتاج'!D19="","",'سجل الإنتاج'!D19))</f>
        <v/>
      </c>
      <c r="G1019" t="str">
        <f>IF($B1019&lt;&gt;"",SUMPRODUCT(($B$2:$B1019&lt;&gt;"")*1),"")</f>
        <v/>
      </c>
    </row>
    <row r="1020" spans="1:7">
      <c r="A1020" s="23" t="str">
        <f>IF('سجل الإنتاج'!C20="","",'سجل الإنتاج'!B20)</f>
        <v/>
      </c>
      <c r="B1020" t="str">
        <f>IF('سجل الإنتاج'!C20="","","إنتاج طبخة")</f>
        <v/>
      </c>
      <c r="C1020" t="str">
        <f>IF('سجل الإنتاج'!C20="","",'سجل الإنتاج'!C20)</f>
        <v/>
      </c>
      <c r="D1020" t="str">
        <f>IF('سجل الإنتاج'!C20="","","عدة مواد - راجع صفحة الطبخات")</f>
        <v/>
      </c>
      <c r="F1020" t="str">
        <f>IF('سجل الإنتاج'!C20="","",IF('سجل الإنتاج'!D20="","",'سجل الإنتاج'!D20))</f>
        <v/>
      </c>
      <c r="G1020" t="str">
        <f>IF($B1020&lt;&gt;"",SUMPRODUCT(($B$2:$B1020&lt;&gt;"")*1),"")</f>
        <v/>
      </c>
    </row>
    <row r="1021" spans="1:7">
      <c r="A1021" s="23" t="str">
        <f>IF('سجل الإنتاج'!C21="","",'سجل الإنتاج'!B21)</f>
        <v/>
      </c>
      <c r="B1021" t="str">
        <f>IF('سجل الإنتاج'!C21="","","إنتاج طبخة")</f>
        <v/>
      </c>
      <c r="C1021" t="str">
        <f>IF('سجل الإنتاج'!C21="","",'سجل الإنتاج'!C21)</f>
        <v/>
      </c>
      <c r="D1021" t="str">
        <f>IF('سجل الإنتاج'!C21="","","عدة مواد - راجع صفحة الطبخات")</f>
        <v/>
      </c>
      <c r="F1021" t="str">
        <f>IF('سجل الإنتاج'!C21="","",IF('سجل الإنتاج'!D21="","",'سجل الإنتاج'!D21))</f>
        <v/>
      </c>
      <c r="G1021" t="str">
        <f>IF($B1021&lt;&gt;"",SUMPRODUCT(($B$2:$B1021&lt;&gt;"")*1),"")</f>
        <v/>
      </c>
    </row>
    <row r="1022" spans="1:7">
      <c r="A1022" s="23" t="str">
        <f>IF('سجل الإنتاج'!C22="","",'سجل الإنتاج'!B22)</f>
        <v/>
      </c>
      <c r="B1022" t="str">
        <f>IF('سجل الإنتاج'!C22="","","إنتاج طبخة")</f>
        <v/>
      </c>
      <c r="C1022" t="str">
        <f>IF('سجل الإنتاج'!C22="","",'سجل الإنتاج'!C22)</f>
        <v/>
      </c>
      <c r="D1022" t="str">
        <f>IF('سجل الإنتاج'!C22="","","عدة مواد - راجع صفحة الطبخات")</f>
        <v/>
      </c>
      <c r="F1022" t="str">
        <f>IF('سجل الإنتاج'!C22="","",IF('سجل الإنتاج'!D22="","",'سجل الإنتاج'!D22))</f>
        <v/>
      </c>
      <c r="G1022" t="str">
        <f>IF($B1022&lt;&gt;"",SUMPRODUCT(($B$2:$B1022&lt;&gt;"")*1),"")</f>
        <v/>
      </c>
    </row>
    <row r="1023" spans="1:7">
      <c r="A1023" s="23" t="str">
        <f>IF('سجل الإنتاج'!C23="","",'سجل الإنتاج'!B23)</f>
        <v/>
      </c>
      <c r="B1023" t="str">
        <f>IF('سجل الإنتاج'!C23="","","إنتاج طبخة")</f>
        <v/>
      </c>
      <c r="C1023" t="str">
        <f>IF('سجل الإنتاج'!C23="","",'سجل الإنتاج'!C23)</f>
        <v/>
      </c>
      <c r="D1023" t="str">
        <f>IF('سجل الإنتاج'!C23="","","عدة مواد - راجع صفحة الطبخات")</f>
        <v/>
      </c>
      <c r="F1023" t="str">
        <f>IF('سجل الإنتاج'!C23="","",IF('سجل الإنتاج'!D23="","",'سجل الإنتاج'!D23))</f>
        <v/>
      </c>
      <c r="G1023" t="str">
        <f>IF($B1023&lt;&gt;"",SUMPRODUCT(($B$2:$B1023&lt;&gt;"")*1),"")</f>
        <v/>
      </c>
    </row>
    <row r="1024" spans="1:7">
      <c r="A1024" s="23" t="str">
        <f>IF('سجل الإنتاج'!C24="","",'سجل الإنتاج'!B24)</f>
        <v/>
      </c>
      <c r="B1024" t="str">
        <f>IF('سجل الإنتاج'!C24="","","إنتاج طبخة")</f>
        <v/>
      </c>
      <c r="C1024" t="str">
        <f>IF('سجل الإنتاج'!C24="","",'سجل الإنتاج'!C24)</f>
        <v/>
      </c>
      <c r="D1024" t="str">
        <f>IF('سجل الإنتاج'!C24="","","عدة مواد - راجع صفحة الطبخات")</f>
        <v/>
      </c>
      <c r="F1024" t="str">
        <f>IF('سجل الإنتاج'!C24="","",IF('سجل الإنتاج'!D24="","",'سجل الإنتاج'!D24))</f>
        <v/>
      </c>
      <c r="G1024" t="str">
        <f>IF($B1024&lt;&gt;"",SUMPRODUCT(($B$2:$B1024&lt;&gt;"")*1),"")</f>
        <v/>
      </c>
    </row>
    <row r="1025" spans="1:7">
      <c r="A1025" s="23" t="str">
        <f>IF('سجل الإنتاج'!C25="","",'سجل الإنتاج'!B25)</f>
        <v/>
      </c>
      <c r="B1025" t="str">
        <f>IF('سجل الإنتاج'!C25="","","إنتاج طبخة")</f>
        <v/>
      </c>
      <c r="C1025" t="str">
        <f>IF('سجل الإنتاج'!C25="","",'سجل الإنتاج'!C25)</f>
        <v/>
      </c>
      <c r="D1025" t="str">
        <f>IF('سجل الإنتاج'!C25="","","عدة مواد - راجع صفحة الطبخات")</f>
        <v/>
      </c>
      <c r="F1025" t="str">
        <f>IF('سجل الإنتاج'!C25="","",IF('سجل الإنتاج'!D25="","",'سجل الإنتاج'!D25))</f>
        <v/>
      </c>
      <c r="G1025" t="str">
        <f>IF($B1025&lt;&gt;"",SUMPRODUCT(($B$2:$B1025&lt;&gt;"")*1),"")</f>
        <v/>
      </c>
    </row>
    <row r="1026" spans="1:7">
      <c r="A1026" s="23" t="str">
        <f>IF('سجل الإنتاج'!C26="","",'سجل الإنتاج'!B26)</f>
        <v/>
      </c>
      <c r="B1026" t="str">
        <f>IF('سجل الإنتاج'!C26="","","إنتاج طبخة")</f>
        <v/>
      </c>
      <c r="C1026" t="str">
        <f>IF('سجل الإنتاج'!C26="","",'سجل الإنتاج'!C26)</f>
        <v/>
      </c>
      <c r="D1026" t="str">
        <f>IF('سجل الإنتاج'!C26="","","عدة مواد - راجع صفحة الطبخات")</f>
        <v/>
      </c>
      <c r="F1026" t="str">
        <f>IF('سجل الإنتاج'!C26="","",IF('سجل الإنتاج'!D26="","",'سجل الإنتاج'!D26))</f>
        <v/>
      </c>
      <c r="G1026" t="str">
        <f>IF($B1026&lt;&gt;"",SUMPRODUCT(($B$2:$B1026&lt;&gt;"")*1),"")</f>
        <v/>
      </c>
    </row>
    <row r="1027" spans="1:7">
      <c r="A1027" s="23" t="str">
        <f>IF('سجل الإنتاج'!C27="","",'سجل الإنتاج'!B27)</f>
        <v/>
      </c>
      <c r="B1027" t="str">
        <f>IF('سجل الإنتاج'!C27="","","إنتاج طبخة")</f>
        <v/>
      </c>
      <c r="C1027" t="str">
        <f>IF('سجل الإنتاج'!C27="","",'سجل الإنتاج'!C27)</f>
        <v/>
      </c>
      <c r="D1027" t="str">
        <f>IF('سجل الإنتاج'!C27="","","عدة مواد - راجع صفحة الطبخات")</f>
        <v/>
      </c>
      <c r="F1027" t="str">
        <f>IF('سجل الإنتاج'!C27="","",IF('سجل الإنتاج'!D27="","",'سجل الإنتاج'!D27))</f>
        <v/>
      </c>
      <c r="G1027" t="str">
        <f>IF($B1027&lt;&gt;"",SUMPRODUCT(($B$2:$B1027&lt;&gt;"")*1),"")</f>
        <v/>
      </c>
    </row>
    <row r="1028" spans="1:7">
      <c r="A1028" s="23" t="str">
        <f>IF('سجل الإنتاج'!C28="","",'سجل الإنتاج'!B28)</f>
        <v/>
      </c>
      <c r="B1028" t="str">
        <f>IF('سجل الإنتاج'!C28="","","إنتاج طبخة")</f>
        <v/>
      </c>
      <c r="C1028" t="str">
        <f>IF('سجل الإنتاج'!C28="","",'سجل الإنتاج'!C28)</f>
        <v/>
      </c>
      <c r="D1028" t="str">
        <f>IF('سجل الإنتاج'!C28="","","عدة مواد - راجع صفحة الطبخات")</f>
        <v/>
      </c>
      <c r="F1028" t="str">
        <f>IF('سجل الإنتاج'!C28="","",IF('سجل الإنتاج'!D28="","",'سجل الإنتاج'!D28))</f>
        <v/>
      </c>
      <c r="G1028" t="str">
        <f>IF($B1028&lt;&gt;"",SUMPRODUCT(($B$2:$B1028&lt;&gt;"")*1),"")</f>
        <v/>
      </c>
    </row>
    <row r="1029" spans="1:7">
      <c r="A1029" s="23" t="str">
        <f>IF('سجل الإنتاج'!C29="","",'سجل الإنتاج'!B29)</f>
        <v/>
      </c>
      <c r="B1029" t="str">
        <f>IF('سجل الإنتاج'!C29="","","إنتاج طبخة")</f>
        <v/>
      </c>
      <c r="C1029" t="str">
        <f>IF('سجل الإنتاج'!C29="","",'سجل الإنتاج'!C29)</f>
        <v/>
      </c>
      <c r="D1029" t="str">
        <f>IF('سجل الإنتاج'!C29="","","عدة مواد - راجع صفحة الطبخات")</f>
        <v/>
      </c>
      <c r="F1029" t="str">
        <f>IF('سجل الإنتاج'!C29="","",IF('سجل الإنتاج'!D29="","",'سجل الإنتاج'!D29))</f>
        <v/>
      </c>
      <c r="G1029" t="str">
        <f>IF($B1029&lt;&gt;"",SUMPRODUCT(($B$2:$B1029&lt;&gt;"")*1),"")</f>
        <v/>
      </c>
    </row>
    <row r="1030" spans="1:7">
      <c r="A1030" s="23" t="str">
        <f>IF('سجل الإنتاج'!C30="","",'سجل الإنتاج'!B30)</f>
        <v/>
      </c>
      <c r="B1030" t="str">
        <f>IF('سجل الإنتاج'!C30="","","إنتاج طبخة")</f>
        <v/>
      </c>
      <c r="C1030" t="str">
        <f>IF('سجل الإنتاج'!C30="","",'سجل الإنتاج'!C30)</f>
        <v/>
      </c>
      <c r="D1030" t="str">
        <f>IF('سجل الإنتاج'!C30="","","عدة مواد - راجع صفحة الطبخات")</f>
        <v/>
      </c>
      <c r="F1030" t="str">
        <f>IF('سجل الإنتاج'!C30="","",IF('سجل الإنتاج'!D30="","",'سجل الإنتاج'!D30))</f>
        <v/>
      </c>
      <c r="G1030" t="str">
        <f>IF($B1030&lt;&gt;"",SUMPRODUCT(($B$2:$B1030&lt;&gt;"")*1),"")</f>
        <v/>
      </c>
    </row>
    <row r="1031" spans="1:7">
      <c r="A1031" s="23" t="str">
        <f>IF('سجل الإنتاج'!C31="","",'سجل الإنتاج'!B31)</f>
        <v/>
      </c>
      <c r="B1031" t="str">
        <f>IF('سجل الإنتاج'!C31="","","إنتاج طبخة")</f>
        <v/>
      </c>
      <c r="C1031" t="str">
        <f>IF('سجل الإنتاج'!C31="","",'سجل الإنتاج'!C31)</f>
        <v/>
      </c>
      <c r="D1031" t="str">
        <f>IF('سجل الإنتاج'!C31="","","عدة مواد - راجع صفحة الطبخات")</f>
        <v/>
      </c>
      <c r="F1031" t="str">
        <f>IF('سجل الإنتاج'!C31="","",IF('سجل الإنتاج'!D31="","",'سجل الإنتاج'!D31))</f>
        <v/>
      </c>
      <c r="G1031" t="str">
        <f>IF($B1031&lt;&gt;"",SUMPRODUCT(($B$2:$B1031&lt;&gt;"")*1),"")</f>
        <v/>
      </c>
    </row>
    <row r="1032" spans="1:7">
      <c r="A1032" s="23" t="str">
        <f>IF('سجل الإنتاج'!C32="","",'سجل الإنتاج'!B32)</f>
        <v/>
      </c>
      <c r="B1032" t="str">
        <f>IF('سجل الإنتاج'!C32="","","إنتاج طبخة")</f>
        <v/>
      </c>
      <c r="C1032" t="str">
        <f>IF('سجل الإنتاج'!C32="","",'سجل الإنتاج'!C32)</f>
        <v/>
      </c>
      <c r="D1032" t="str">
        <f>IF('سجل الإنتاج'!C32="","","عدة مواد - راجع صفحة الطبخات")</f>
        <v/>
      </c>
      <c r="F1032" t="str">
        <f>IF('سجل الإنتاج'!C32="","",IF('سجل الإنتاج'!D32="","",'سجل الإنتاج'!D32))</f>
        <v/>
      </c>
      <c r="G1032" t="str">
        <f>IF($B1032&lt;&gt;"",SUMPRODUCT(($B$2:$B1032&lt;&gt;"")*1),"")</f>
        <v/>
      </c>
    </row>
    <row r="1033" spans="1:7">
      <c r="A1033" s="23" t="str">
        <f>IF('سجل الإنتاج'!C33="","",'سجل الإنتاج'!B33)</f>
        <v/>
      </c>
      <c r="B1033" t="str">
        <f>IF('سجل الإنتاج'!C33="","","إنتاج طبخة")</f>
        <v/>
      </c>
      <c r="C1033" t="str">
        <f>IF('سجل الإنتاج'!C33="","",'سجل الإنتاج'!C33)</f>
        <v/>
      </c>
      <c r="D1033" t="str">
        <f>IF('سجل الإنتاج'!C33="","","عدة مواد - راجع صفحة الطبخات")</f>
        <v/>
      </c>
      <c r="F1033" t="str">
        <f>IF('سجل الإنتاج'!C33="","",IF('سجل الإنتاج'!D33="","",'سجل الإنتاج'!D33))</f>
        <v/>
      </c>
      <c r="G1033" t="str">
        <f>IF($B1033&lt;&gt;"",SUMPRODUCT(($B$2:$B1033&lt;&gt;"")*1),"")</f>
        <v/>
      </c>
    </row>
    <row r="1034" spans="1:7">
      <c r="A1034" s="23" t="str">
        <f>IF('سجل الإنتاج'!C34="","",'سجل الإنتاج'!B34)</f>
        <v/>
      </c>
      <c r="B1034" t="str">
        <f>IF('سجل الإنتاج'!C34="","","إنتاج طبخة")</f>
        <v/>
      </c>
      <c r="C1034" t="str">
        <f>IF('سجل الإنتاج'!C34="","",'سجل الإنتاج'!C34)</f>
        <v/>
      </c>
      <c r="D1034" t="str">
        <f>IF('سجل الإنتاج'!C34="","","عدة مواد - راجع صفحة الطبخات")</f>
        <v/>
      </c>
      <c r="F1034" t="str">
        <f>IF('سجل الإنتاج'!C34="","",IF('سجل الإنتاج'!D34="","",'سجل الإنتاج'!D34))</f>
        <v/>
      </c>
      <c r="G1034" t="str">
        <f>IF($B1034&lt;&gt;"",SUMPRODUCT(($B$2:$B1034&lt;&gt;"")*1),"")</f>
        <v/>
      </c>
    </row>
    <row r="1035" spans="1:7">
      <c r="A1035" s="23" t="str">
        <f>IF('سجل الإنتاج'!C35="","",'سجل الإنتاج'!B35)</f>
        <v/>
      </c>
      <c r="B1035" t="str">
        <f>IF('سجل الإنتاج'!C35="","","إنتاج طبخة")</f>
        <v/>
      </c>
      <c r="C1035" t="str">
        <f>IF('سجل الإنتاج'!C35="","",'سجل الإنتاج'!C35)</f>
        <v/>
      </c>
      <c r="D1035" t="str">
        <f>IF('سجل الإنتاج'!C35="","","عدة مواد - راجع صفحة الطبخات")</f>
        <v/>
      </c>
      <c r="F1035" t="str">
        <f>IF('سجل الإنتاج'!C35="","",IF('سجل الإنتاج'!D35="","",'سجل الإنتاج'!D35))</f>
        <v/>
      </c>
      <c r="G1035" t="str">
        <f>IF($B1035&lt;&gt;"",SUMPRODUCT(($B$2:$B1035&lt;&gt;"")*1),"")</f>
        <v/>
      </c>
    </row>
    <row r="1036" spans="1:7">
      <c r="A1036" s="23" t="str">
        <f>IF('سجل الإنتاج'!C36="","",'سجل الإنتاج'!B36)</f>
        <v/>
      </c>
      <c r="B1036" t="str">
        <f>IF('سجل الإنتاج'!C36="","","إنتاج طبخة")</f>
        <v/>
      </c>
      <c r="C1036" t="str">
        <f>IF('سجل الإنتاج'!C36="","",'سجل الإنتاج'!C36)</f>
        <v/>
      </c>
      <c r="D1036" t="str">
        <f>IF('سجل الإنتاج'!C36="","","عدة مواد - راجع صفحة الطبخات")</f>
        <v/>
      </c>
      <c r="F1036" t="str">
        <f>IF('سجل الإنتاج'!C36="","",IF('سجل الإنتاج'!D36="","",'سجل الإنتاج'!D36))</f>
        <v/>
      </c>
      <c r="G1036" t="str">
        <f>IF($B1036&lt;&gt;"",SUMPRODUCT(($B$2:$B1036&lt;&gt;"")*1),"")</f>
        <v/>
      </c>
    </row>
    <row r="1037" spans="1:7">
      <c r="A1037" s="23" t="str">
        <f>IF('سجل الإنتاج'!C37="","",'سجل الإنتاج'!B37)</f>
        <v/>
      </c>
      <c r="B1037" t="str">
        <f>IF('سجل الإنتاج'!C37="","","إنتاج طبخة")</f>
        <v/>
      </c>
      <c r="C1037" t="str">
        <f>IF('سجل الإنتاج'!C37="","",'سجل الإنتاج'!C37)</f>
        <v/>
      </c>
      <c r="D1037" t="str">
        <f>IF('سجل الإنتاج'!C37="","","عدة مواد - راجع صفحة الطبخات")</f>
        <v/>
      </c>
      <c r="F1037" t="str">
        <f>IF('سجل الإنتاج'!C37="","",IF('سجل الإنتاج'!D37="","",'سجل الإنتاج'!D37))</f>
        <v/>
      </c>
      <c r="G1037" t="str">
        <f>IF($B1037&lt;&gt;"",SUMPRODUCT(($B$2:$B1037&lt;&gt;"")*1),"")</f>
        <v/>
      </c>
    </row>
    <row r="1038" spans="1:7">
      <c r="A1038" s="23" t="str">
        <f>IF('سجل الإنتاج'!C38="","",'سجل الإنتاج'!B38)</f>
        <v/>
      </c>
      <c r="B1038" t="str">
        <f>IF('سجل الإنتاج'!C38="","","إنتاج طبخة")</f>
        <v/>
      </c>
      <c r="C1038" t="str">
        <f>IF('سجل الإنتاج'!C38="","",'سجل الإنتاج'!C38)</f>
        <v/>
      </c>
      <c r="D1038" t="str">
        <f>IF('سجل الإنتاج'!C38="","","عدة مواد - راجع صفحة الطبخات")</f>
        <v/>
      </c>
      <c r="F1038" t="str">
        <f>IF('سجل الإنتاج'!C38="","",IF('سجل الإنتاج'!D38="","",'سجل الإنتاج'!D38))</f>
        <v/>
      </c>
      <c r="G1038" t="str">
        <f>IF($B1038&lt;&gt;"",SUMPRODUCT(($B$2:$B1038&lt;&gt;"")*1),"")</f>
        <v/>
      </c>
    </row>
    <row r="1039" spans="1:7">
      <c r="A1039" s="23" t="str">
        <f>IF('سجل الإنتاج'!C39="","",'سجل الإنتاج'!B39)</f>
        <v/>
      </c>
      <c r="B1039" t="str">
        <f>IF('سجل الإنتاج'!C39="","","إنتاج طبخة")</f>
        <v/>
      </c>
      <c r="C1039" t="str">
        <f>IF('سجل الإنتاج'!C39="","",'سجل الإنتاج'!C39)</f>
        <v/>
      </c>
      <c r="D1039" t="str">
        <f>IF('سجل الإنتاج'!C39="","","عدة مواد - راجع صفحة الطبخات")</f>
        <v/>
      </c>
      <c r="F1039" t="str">
        <f>IF('سجل الإنتاج'!C39="","",IF('سجل الإنتاج'!D39="","",'سجل الإنتاج'!D39))</f>
        <v/>
      </c>
      <c r="G1039" t="str">
        <f>IF($B1039&lt;&gt;"",SUMPRODUCT(($B$2:$B1039&lt;&gt;"")*1),"")</f>
        <v/>
      </c>
    </row>
    <row r="1040" spans="1:7">
      <c r="A1040" s="23" t="str">
        <f>IF('سجل الإنتاج'!C40="","",'سجل الإنتاج'!B40)</f>
        <v/>
      </c>
      <c r="B1040" t="str">
        <f>IF('سجل الإنتاج'!C40="","","إنتاج طبخة")</f>
        <v/>
      </c>
      <c r="C1040" t="str">
        <f>IF('سجل الإنتاج'!C40="","",'سجل الإنتاج'!C40)</f>
        <v/>
      </c>
      <c r="D1040" t="str">
        <f>IF('سجل الإنتاج'!C40="","","عدة مواد - راجع صفحة الطبخات")</f>
        <v/>
      </c>
      <c r="F1040" t="str">
        <f>IF('سجل الإنتاج'!C40="","",IF('سجل الإنتاج'!D40="","",'سجل الإنتاج'!D40))</f>
        <v/>
      </c>
      <c r="G1040" t="str">
        <f>IF($B1040&lt;&gt;"",SUMPRODUCT(($B$2:$B1040&lt;&gt;"")*1),"")</f>
        <v/>
      </c>
    </row>
    <row r="1041" spans="1:7">
      <c r="A1041" s="23" t="str">
        <f>IF('سجل الإنتاج'!C41="","",'سجل الإنتاج'!B41)</f>
        <v/>
      </c>
      <c r="B1041" t="str">
        <f>IF('سجل الإنتاج'!C41="","","إنتاج طبخة")</f>
        <v/>
      </c>
      <c r="C1041" t="str">
        <f>IF('سجل الإنتاج'!C41="","",'سجل الإنتاج'!C41)</f>
        <v/>
      </c>
      <c r="D1041" t="str">
        <f>IF('سجل الإنتاج'!C41="","","عدة مواد - راجع صفحة الطبخات")</f>
        <v/>
      </c>
      <c r="F1041" t="str">
        <f>IF('سجل الإنتاج'!C41="","",IF('سجل الإنتاج'!D41="","",'سجل الإنتاج'!D41))</f>
        <v/>
      </c>
      <c r="G1041" t="str">
        <f>IF($B1041&lt;&gt;"",SUMPRODUCT(($B$2:$B1041&lt;&gt;"")*1),"")</f>
        <v/>
      </c>
    </row>
    <row r="1042" spans="1:7">
      <c r="A1042" s="23" t="str">
        <f>IF('سجل الإنتاج'!C42="","",'سجل الإنتاج'!B42)</f>
        <v/>
      </c>
      <c r="B1042" t="str">
        <f>IF('سجل الإنتاج'!C42="","","إنتاج طبخة")</f>
        <v/>
      </c>
      <c r="C1042" t="str">
        <f>IF('سجل الإنتاج'!C42="","",'سجل الإنتاج'!C42)</f>
        <v/>
      </c>
      <c r="D1042" t="str">
        <f>IF('سجل الإنتاج'!C42="","","عدة مواد - راجع صفحة الطبخات")</f>
        <v/>
      </c>
      <c r="F1042" t="str">
        <f>IF('سجل الإنتاج'!C42="","",IF('سجل الإنتاج'!D42="","",'سجل الإنتاج'!D42))</f>
        <v/>
      </c>
      <c r="G1042" t="str">
        <f>IF($B1042&lt;&gt;"",SUMPRODUCT(($B$2:$B1042&lt;&gt;"")*1),"")</f>
        <v/>
      </c>
    </row>
    <row r="1043" spans="1:7">
      <c r="A1043" s="23" t="str">
        <f>IF('سجل الإنتاج'!C43="","",'سجل الإنتاج'!B43)</f>
        <v/>
      </c>
      <c r="B1043" t="str">
        <f>IF('سجل الإنتاج'!C43="","","إنتاج طبخة")</f>
        <v/>
      </c>
      <c r="C1043" t="str">
        <f>IF('سجل الإنتاج'!C43="","",'سجل الإنتاج'!C43)</f>
        <v/>
      </c>
      <c r="D1043" t="str">
        <f>IF('سجل الإنتاج'!C43="","","عدة مواد - راجع صفحة الطبخات")</f>
        <v/>
      </c>
      <c r="F1043" t="str">
        <f>IF('سجل الإنتاج'!C43="","",IF('سجل الإنتاج'!D43="","",'سجل الإنتاج'!D43))</f>
        <v/>
      </c>
      <c r="G1043" t="str">
        <f>IF($B1043&lt;&gt;"",SUMPRODUCT(($B$2:$B1043&lt;&gt;"")*1),"")</f>
        <v/>
      </c>
    </row>
    <row r="1044" spans="1:7">
      <c r="A1044" s="23" t="str">
        <f>IF('سجل الإنتاج'!C44="","",'سجل الإنتاج'!B44)</f>
        <v/>
      </c>
      <c r="B1044" t="str">
        <f>IF('سجل الإنتاج'!C44="","","إنتاج طبخة")</f>
        <v/>
      </c>
      <c r="C1044" t="str">
        <f>IF('سجل الإنتاج'!C44="","",'سجل الإنتاج'!C44)</f>
        <v/>
      </c>
      <c r="D1044" t="str">
        <f>IF('سجل الإنتاج'!C44="","","عدة مواد - راجع صفحة الطبخات")</f>
        <v/>
      </c>
      <c r="F1044" t="str">
        <f>IF('سجل الإنتاج'!C44="","",IF('سجل الإنتاج'!D44="","",'سجل الإنتاج'!D44))</f>
        <v/>
      </c>
      <c r="G1044" t="str">
        <f>IF($B1044&lt;&gt;"",SUMPRODUCT(($B$2:$B1044&lt;&gt;"")*1),"")</f>
        <v/>
      </c>
    </row>
    <row r="1045" spans="1:7">
      <c r="A1045" s="23" t="str">
        <f>IF('سجل الإنتاج'!C45="","",'سجل الإنتاج'!B45)</f>
        <v/>
      </c>
      <c r="B1045" t="str">
        <f>IF('سجل الإنتاج'!C45="","","إنتاج طبخة")</f>
        <v/>
      </c>
      <c r="C1045" t="str">
        <f>IF('سجل الإنتاج'!C45="","",'سجل الإنتاج'!C45)</f>
        <v/>
      </c>
      <c r="D1045" t="str">
        <f>IF('سجل الإنتاج'!C45="","","عدة مواد - راجع صفحة الطبخات")</f>
        <v/>
      </c>
      <c r="F1045" t="str">
        <f>IF('سجل الإنتاج'!C45="","",IF('سجل الإنتاج'!D45="","",'سجل الإنتاج'!D45))</f>
        <v/>
      </c>
      <c r="G1045" t="str">
        <f>IF($B1045&lt;&gt;"",SUMPRODUCT(($B$2:$B1045&lt;&gt;"")*1),"")</f>
        <v/>
      </c>
    </row>
    <row r="1046" spans="1:7">
      <c r="A1046" s="23" t="str">
        <f>IF('سجل الإنتاج'!C46="","",'سجل الإنتاج'!B46)</f>
        <v/>
      </c>
      <c r="B1046" t="str">
        <f>IF('سجل الإنتاج'!C46="","","إنتاج طبخة")</f>
        <v/>
      </c>
      <c r="C1046" t="str">
        <f>IF('سجل الإنتاج'!C46="","",'سجل الإنتاج'!C46)</f>
        <v/>
      </c>
      <c r="D1046" t="str">
        <f>IF('سجل الإنتاج'!C46="","","عدة مواد - راجع صفحة الطبخات")</f>
        <v/>
      </c>
      <c r="F1046" t="str">
        <f>IF('سجل الإنتاج'!C46="","",IF('سجل الإنتاج'!D46="","",'سجل الإنتاج'!D46))</f>
        <v/>
      </c>
      <c r="G1046" t="str">
        <f>IF($B1046&lt;&gt;"",SUMPRODUCT(($B$2:$B1046&lt;&gt;"")*1),"")</f>
        <v/>
      </c>
    </row>
    <row r="1047" spans="1:7">
      <c r="A1047" s="23" t="str">
        <f>IF('سجل الإنتاج'!C47="","",'سجل الإنتاج'!B47)</f>
        <v/>
      </c>
      <c r="B1047" t="str">
        <f>IF('سجل الإنتاج'!C47="","","إنتاج طبخة")</f>
        <v/>
      </c>
      <c r="C1047" t="str">
        <f>IF('سجل الإنتاج'!C47="","",'سجل الإنتاج'!C47)</f>
        <v/>
      </c>
      <c r="D1047" t="str">
        <f>IF('سجل الإنتاج'!C47="","","عدة مواد - راجع صفحة الطبخات")</f>
        <v/>
      </c>
      <c r="F1047" t="str">
        <f>IF('سجل الإنتاج'!C47="","",IF('سجل الإنتاج'!D47="","",'سجل الإنتاج'!D47))</f>
        <v/>
      </c>
      <c r="G1047" t="str">
        <f>IF($B1047&lt;&gt;"",SUMPRODUCT(($B$2:$B1047&lt;&gt;"")*1),"")</f>
        <v/>
      </c>
    </row>
    <row r="1048" spans="1:7">
      <c r="A1048" s="23" t="str">
        <f>IF('سجل الإنتاج'!C48="","",'سجل الإنتاج'!B48)</f>
        <v/>
      </c>
      <c r="B1048" t="str">
        <f>IF('سجل الإنتاج'!C48="","","إنتاج طبخة")</f>
        <v/>
      </c>
      <c r="C1048" t="str">
        <f>IF('سجل الإنتاج'!C48="","",'سجل الإنتاج'!C48)</f>
        <v/>
      </c>
      <c r="D1048" t="str">
        <f>IF('سجل الإنتاج'!C48="","","عدة مواد - راجع صفحة الطبخات")</f>
        <v/>
      </c>
      <c r="F1048" t="str">
        <f>IF('سجل الإنتاج'!C48="","",IF('سجل الإنتاج'!D48="","",'سجل الإنتاج'!D48))</f>
        <v/>
      </c>
      <c r="G1048" t="str">
        <f>IF($B1048&lt;&gt;"",SUMPRODUCT(($B$2:$B1048&lt;&gt;"")*1),"")</f>
        <v/>
      </c>
    </row>
    <row r="1049" spans="1:7">
      <c r="A1049" s="23" t="str">
        <f>IF('سجل الإنتاج'!C49="","",'سجل الإنتاج'!B49)</f>
        <v/>
      </c>
      <c r="B1049" t="str">
        <f>IF('سجل الإنتاج'!C49="","","إنتاج طبخة")</f>
        <v/>
      </c>
      <c r="C1049" t="str">
        <f>IF('سجل الإنتاج'!C49="","",'سجل الإنتاج'!C49)</f>
        <v/>
      </c>
      <c r="D1049" t="str">
        <f>IF('سجل الإنتاج'!C49="","","عدة مواد - راجع صفحة الطبخات")</f>
        <v/>
      </c>
      <c r="F1049" t="str">
        <f>IF('سجل الإنتاج'!C49="","",IF('سجل الإنتاج'!D49="","",'سجل الإنتاج'!D49))</f>
        <v/>
      </c>
      <c r="G1049" t="str">
        <f>IF($B1049&lt;&gt;"",SUMPRODUCT(($B$2:$B1049&lt;&gt;"")*1),"")</f>
        <v/>
      </c>
    </row>
    <row r="1050" spans="1:7">
      <c r="A1050" s="23" t="str">
        <f>IF('سجل الإنتاج'!C50="","",'سجل الإنتاج'!B50)</f>
        <v/>
      </c>
      <c r="B1050" t="str">
        <f>IF('سجل الإنتاج'!C50="","","إنتاج طبخة")</f>
        <v/>
      </c>
      <c r="C1050" t="str">
        <f>IF('سجل الإنتاج'!C50="","",'سجل الإنتاج'!C50)</f>
        <v/>
      </c>
      <c r="D1050" t="str">
        <f>IF('سجل الإنتاج'!C50="","","عدة مواد - راجع صفحة الطبخات")</f>
        <v/>
      </c>
      <c r="F1050" t="str">
        <f>IF('سجل الإنتاج'!C50="","",IF('سجل الإنتاج'!D50="","",'سجل الإنتاج'!D50))</f>
        <v/>
      </c>
      <c r="G1050" t="str">
        <f>IF($B1050&lt;&gt;"",SUMPRODUCT(($B$2:$B1050&lt;&gt;"")*1),"")</f>
        <v/>
      </c>
    </row>
    <row r="1051" spans="1:7">
      <c r="A1051" s="23" t="str">
        <f>IF('سجل الإنتاج'!C51="","",'سجل الإنتاج'!B51)</f>
        <v/>
      </c>
      <c r="B1051" t="str">
        <f>IF('سجل الإنتاج'!C51="","","إنتاج طبخة")</f>
        <v/>
      </c>
      <c r="C1051" t="str">
        <f>IF('سجل الإنتاج'!C51="","",'سجل الإنتاج'!C51)</f>
        <v/>
      </c>
      <c r="D1051" t="str">
        <f>IF('سجل الإنتاج'!C51="","","عدة مواد - راجع صفحة الطبخات")</f>
        <v/>
      </c>
      <c r="F1051" t="str">
        <f>IF('سجل الإنتاج'!C51="","",IF('سجل الإنتاج'!D51="","",'سجل الإنتاج'!D51))</f>
        <v/>
      </c>
      <c r="G1051" t="str">
        <f>IF($B1051&lt;&gt;"",SUMPRODUCT(($B$2:$B1051&lt;&gt;"")*1),"")</f>
        <v/>
      </c>
    </row>
    <row r="1052" spans="1:7">
      <c r="A1052" s="23" t="str">
        <f>IF('سجل الإنتاج'!C52="","",'سجل الإنتاج'!B52)</f>
        <v/>
      </c>
      <c r="B1052" t="str">
        <f>IF('سجل الإنتاج'!C52="","","إنتاج طبخة")</f>
        <v/>
      </c>
      <c r="C1052" t="str">
        <f>IF('سجل الإنتاج'!C52="","",'سجل الإنتاج'!C52)</f>
        <v/>
      </c>
      <c r="D1052" t="str">
        <f>IF('سجل الإنتاج'!C52="","","عدة مواد - راجع صفحة الطبخات")</f>
        <v/>
      </c>
      <c r="F1052" t="str">
        <f>IF('سجل الإنتاج'!C52="","",IF('سجل الإنتاج'!D52="","",'سجل الإنتاج'!D52))</f>
        <v/>
      </c>
      <c r="G1052" t="str">
        <f>IF($B1052&lt;&gt;"",SUMPRODUCT(($B$2:$B1052&lt;&gt;"")*1),"")</f>
        <v/>
      </c>
    </row>
    <row r="1053" spans="1:7">
      <c r="A1053" s="23" t="str">
        <f>IF('سجل الإنتاج'!C53="","",'سجل الإنتاج'!B53)</f>
        <v/>
      </c>
      <c r="B1053" t="str">
        <f>IF('سجل الإنتاج'!C53="","","إنتاج طبخة")</f>
        <v/>
      </c>
      <c r="C1053" t="str">
        <f>IF('سجل الإنتاج'!C53="","",'سجل الإنتاج'!C53)</f>
        <v/>
      </c>
      <c r="D1053" t="str">
        <f>IF('سجل الإنتاج'!C53="","","عدة مواد - راجع صفحة الطبخات")</f>
        <v/>
      </c>
      <c r="F1053" t="str">
        <f>IF('سجل الإنتاج'!C53="","",IF('سجل الإنتاج'!D53="","",'سجل الإنتاج'!D53))</f>
        <v/>
      </c>
      <c r="G1053" t="str">
        <f>IF($B1053&lt;&gt;"",SUMPRODUCT(($B$2:$B1053&lt;&gt;"")*1),"")</f>
        <v/>
      </c>
    </row>
    <row r="1054" spans="1:7">
      <c r="A1054" s="23" t="str">
        <f>IF('سجل الإنتاج'!C54="","",'سجل الإنتاج'!B54)</f>
        <v/>
      </c>
      <c r="B1054" t="str">
        <f>IF('سجل الإنتاج'!C54="","","إنتاج طبخة")</f>
        <v/>
      </c>
      <c r="C1054" t="str">
        <f>IF('سجل الإنتاج'!C54="","",'سجل الإنتاج'!C54)</f>
        <v/>
      </c>
      <c r="D1054" t="str">
        <f>IF('سجل الإنتاج'!C54="","","عدة مواد - راجع صفحة الطبخات")</f>
        <v/>
      </c>
      <c r="F1054" t="str">
        <f>IF('سجل الإنتاج'!C54="","",IF('سجل الإنتاج'!D54="","",'سجل الإنتاج'!D54))</f>
        <v/>
      </c>
      <c r="G1054" t="str">
        <f>IF($B1054&lt;&gt;"",SUMPRODUCT(($B$2:$B1054&lt;&gt;"")*1),"")</f>
        <v/>
      </c>
    </row>
    <row r="1055" spans="1:7">
      <c r="A1055" s="23" t="str">
        <f>IF('سجل الإنتاج'!C55="","",'سجل الإنتاج'!B55)</f>
        <v/>
      </c>
      <c r="B1055" t="str">
        <f>IF('سجل الإنتاج'!C55="","","إنتاج طبخة")</f>
        <v/>
      </c>
      <c r="C1055" t="str">
        <f>IF('سجل الإنتاج'!C55="","",'سجل الإنتاج'!C55)</f>
        <v/>
      </c>
      <c r="D1055" t="str">
        <f>IF('سجل الإنتاج'!C55="","","عدة مواد - راجع صفحة الطبخات")</f>
        <v/>
      </c>
      <c r="F1055" t="str">
        <f>IF('سجل الإنتاج'!C55="","",IF('سجل الإنتاج'!D55="","",'سجل الإنتاج'!D55))</f>
        <v/>
      </c>
      <c r="G1055" t="str">
        <f>IF($B1055&lt;&gt;"",SUMPRODUCT(($B$2:$B1055&lt;&gt;"")*1),"")</f>
        <v/>
      </c>
    </row>
    <row r="1056" spans="1:7">
      <c r="A1056" s="23" t="str">
        <f>IF('سجل الإنتاج'!C56="","",'سجل الإنتاج'!B56)</f>
        <v/>
      </c>
      <c r="B1056" t="str">
        <f>IF('سجل الإنتاج'!C56="","","إنتاج طبخة")</f>
        <v/>
      </c>
      <c r="C1056" t="str">
        <f>IF('سجل الإنتاج'!C56="","",'سجل الإنتاج'!C56)</f>
        <v/>
      </c>
      <c r="D1056" t="str">
        <f>IF('سجل الإنتاج'!C56="","","عدة مواد - راجع صفحة الطبخات")</f>
        <v/>
      </c>
      <c r="F1056" t="str">
        <f>IF('سجل الإنتاج'!C56="","",IF('سجل الإنتاج'!D56="","",'سجل الإنتاج'!D56))</f>
        <v/>
      </c>
      <c r="G1056" t="str">
        <f>IF($B1056&lt;&gt;"",SUMPRODUCT(($B$2:$B1056&lt;&gt;"")*1),"")</f>
        <v/>
      </c>
    </row>
    <row r="1057" spans="1:7">
      <c r="A1057" s="23" t="str">
        <f>IF('سجل الإنتاج'!C57="","",'سجل الإنتاج'!B57)</f>
        <v/>
      </c>
      <c r="B1057" t="str">
        <f>IF('سجل الإنتاج'!C57="","","إنتاج طبخة")</f>
        <v/>
      </c>
      <c r="C1057" t="str">
        <f>IF('سجل الإنتاج'!C57="","",'سجل الإنتاج'!C57)</f>
        <v/>
      </c>
      <c r="D1057" t="str">
        <f>IF('سجل الإنتاج'!C57="","","عدة مواد - راجع صفحة الطبخات")</f>
        <v/>
      </c>
      <c r="F1057" t="str">
        <f>IF('سجل الإنتاج'!C57="","",IF('سجل الإنتاج'!D57="","",'سجل الإنتاج'!D57))</f>
        <v/>
      </c>
      <c r="G1057" t="str">
        <f>IF($B1057&lt;&gt;"",SUMPRODUCT(($B$2:$B1057&lt;&gt;"")*1),"")</f>
        <v/>
      </c>
    </row>
    <row r="1058" spans="1:7">
      <c r="A1058" s="23" t="str">
        <f>IF('سجل الإنتاج'!C58="","",'سجل الإنتاج'!B58)</f>
        <v/>
      </c>
      <c r="B1058" t="str">
        <f>IF('سجل الإنتاج'!C58="","","إنتاج طبخة")</f>
        <v/>
      </c>
      <c r="C1058" t="str">
        <f>IF('سجل الإنتاج'!C58="","",'سجل الإنتاج'!C58)</f>
        <v/>
      </c>
      <c r="D1058" t="str">
        <f>IF('سجل الإنتاج'!C58="","","عدة مواد - راجع صفحة الطبخات")</f>
        <v/>
      </c>
      <c r="F1058" t="str">
        <f>IF('سجل الإنتاج'!C58="","",IF('سجل الإنتاج'!D58="","",'سجل الإنتاج'!D58))</f>
        <v/>
      </c>
      <c r="G1058" t="str">
        <f>IF($B1058&lt;&gt;"",SUMPRODUCT(($B$2:$B1058&lt;&gt;"")*1),"")</f>
        <v/>
      </c>
    </row>
    <row r="1059" spans="1:7">
      <c r="A1059" s="23" t="str">
        <f>IF('سجل الإنتاج'!C59="","",'سجل الإنتاج'!B59)</f>
        <v/>
      </c>
      <c r="B1059" t="str">
        <f>IF('سجل الإنتاج'!C59="","","إنتاج طبخة")</f>
        <v/>
      </c>
      <c r="C1059" t="str">
        <f>IF('سجل الإنتاج'!C59="","",'سجل الإنتاج'!C59)</f>
        <v/>
      </c>
      <c r="D1059" t="str">
        <f>IF('سجل الإنتاج'!C59="","","عدة مواد - راجع صفحة الطبخات")</f>
        <v/>
      </c>
      <c r="F1059" t="str">
        <f>IF('سجل الإنتاج'!C59="","",IF('سجل الإنتاج'!D59="","",'سجل الإنتاج'!D59))</f>
        <v/>
      </c>
      <c r="G1059" t="str">
        <f>IF($B1059&lt;&gt;"",SUMPRODUCT(($B$2:$B1059&lt;&gt;"")*1),"")</f>
        <v/>
      </c>
    </row>
    <row r="1060" spans="1:7">
      <c r="A1060" s="23" t="str">
        <f>IF('سجل الإنتاج'!C60="","",'سجل الإنتاج'!B60)</f>
        <v/>
      </c>
      <c r="B1060" t="str">
        <f>IF('سجل الإنتاج'!C60="","","إنتاج طبخة")</f>
        <v/>
      </c>
      <c r="C1060" t="str">
        <f>IF('سجل الإنتاج'!C60="","",'سجل الإنتاج'!C60)</f>
        <v/>
      </c>
      <c r="D1060" t="str">
        <f>IF('سجل الإنتاج'!C60="","","عدة مواد - راجع صفحة الطبخات")</f>
        <v/>
      </c>
      <c r="F1060" t="str">
        <f>IF('سجل الإنتاج'!C60="","",IF('سجل الإنتاج'!D60="","",'سجل الإنتاج'!D60))</f>
        <v/>
      </c>
      <c r="G1060" t="str">
        <f>IF($B1060&lt;&gt;"",SUMPRODUCT(($B$2:$B1060&lt;&gt;"")*1),"")</f>
        <v/>
      </c>
    </row>
    <row r="1061" spans="1:7">
      <c r="A1061" s="23" t="str">
        <f>IF('سجل الإنتاج'!C61="","",'سجل الإنتاج'!B61)</f>
        <v/>
      </c>
      <c r="B1061" t="str">
        <f>IF('سجل الإنتاج'!C61="","","إنتاج طبخة")</f>
        <v/>
      </c>
      <c r="C1061" t="str">
        <f>IF('سجل الإنتاج'!C61="","",'سجل الإنتاج'!C61)</f>
        <v/>
      </c>
      <c r="D1061" t="str">
        <f>IF('سجل الإنتاج'!C61="","","عدة مواد - راجع صفحة الطبخات")</f>
        <v/>
      </c>
      <c r="F1061" t="str">
        <f>IF('سجل الإنتاج'!C61="","",IF('سجل الإنتاج'!D61="","",'سجل الإنتاج'!D61))</f>
        <v/>
      </c>
      <c r="G1061" t="str">
        <f>IF($B1061&lt;&gt;"",SUMPRODUCT(($B$2:$B1061&lt;&gt;"")*1),"")</f>
        <v/>
      </c>
    </row>
    <row r="1062" spans="1:7">
      <c r="A1062" s="23" t="str">
        <f>IF('سجل الإنتاج'!C62="","",'سجل الإنتاج'!B62)</f>
        <v/>
      </c>
      <c r="B1062" t="str">
        <f>IF('سجل الإنتاج'!C62="","","إنتاج طبخة")</f>
        <v/>
      </c>
      <c r="C1062" t="str">
        <f>IF('سجل الإنتاج'!C62="","",'سجل الإنتاج'!C62)</f>
        <v/>
      </c>
      <c r="D1062" t="str">
        <f>IF('سجل الإنتاج'!C62="","","عدة مواد - راجع صفحة الطبخات")</f>
        <v/>
      </c>
      <c r="F1062" t="str">
        <f>IF('سجل الإنتاج'!C62="","",IF('سجل الإنتاج'!D62="","",'سجل الإنتاج'!D62))</f>
        <v/>
      </c>
      <c r="G1062" t="str">
        <f>IF($B1062&lt;&gt;"",SUMPRODUCT(($B$2:$B1062&lt;&gt;"")*1),"")</f>
        <v/>
      </c>
    </row>
    <row r="1063" spans="1:7">
      <c r="A1063" s="23" t="str">
        <f>IF('سجل الإنتاج'!C63="","",'سجل الإنتاج'!B63)</f>
        <v/>
      </c>
      <c r="B1063" t="str">
        <f>IF('سجل الإنتاج'!C63="","","إنتاج طبخة")</f>
        <v/>
      </c>
      <c r="C1063" t="str">
        <f>IF('سجل الإنتاج'!C63="","",'سجل الإنتاج'!C63)</f>
        <v/>
      </c>
      <c r="D1063" t="str">
        <f>IF('سجل الإنتاج'!C63="","","عدة مواد - راجع صفحة الطبخات")</f>
        <v/>
      </c>
      <c r="F1063" t="str">
        <f>IF('سجل الإنتاج'!C63="","",IF('سجل الإنتاج'!D63="","",'سجل الإنتاج'!D63))</f>
        <v/>
      </c>
      <c r="G1063" t="str">
        <f>IF($B1063&lt;&gt;"",SUMPRODUCT(($B$2:$B1063&lt;&gt;"")*1),"")</f>
        <v/>
      </c>
    </row>
    <row r="1064" spans="1:7">
      <c r="A1064" s="23" t="str">
        <f>IF('سجل الإنتاج'!C64="","",'سجل الإنتاج'!B64)</f>
        <v/>
      </c>
      <c r="B1064" t="str">
        <f>IF('سجل الإنتاج'!C64="","","إنتاج طبخة")</f>
        <v/>
      </c>
      <c r="C1064" t="str">
        <f>IF('سجل الإنتاج'!C64="","",'سجل الإنتاج'!C64)</f>
        <v/>
      </c>
      <c r="D1064" t="str">
        <f>IF('سجل الإنتاج'!C64="","","عدة مواد - راجع صفحة الطبخات")</f>
        <v/>
      </c>
      <c r="F1064" t="str">
        <f>IF('سجل الإنتاج'!C64="","",IF('سجل الإنتاج'!D64="","",'سجل الإنتاج'!D64))</f>
        <v/>
      </c>
      <c r="G1064" t="str">
        <f>IF($B1064&lt;&gt;"",SUMPRODUCT(($B$2:$B1064&lt;&gt;"")*1),"")</f>
        <v/>
      </c>
    </row>
    <row r="1065" spans="1:7">
      <c r="A1065" s="23" t="str">
        <f>IF('سجل الإنتاج'!C65="","",'سجل الإنتاج'!B65)</f>
        <v/>
      </c>
      <c r="B1065" t="str">
        <f>IF('سجل الإنتاج'!C65="","","إنتاج طبخة")</f>
        <v/>
      </c>
      <c r="C1065" t="str">
        <f>IF('سجل الإنتاج'!C65="","",'سجل الإنتاج'!C65)</f>
        <v/>
      </c>
      <c r="D1065" t="str">
        <f>IF('سجل الإنتاج'!C65="","","عدة مواد - راجع صفحة الطبخات")</f>
        <v/>
      </c>
      <c r="F1065" t="str">
        <f>IF('سجل الإنتاج'!C65="","",IF('سجل الإنتاج'!D65="","",'سجل الإنتاج'!D65))</f>
        <v/>
      </c>
      <c r="G1065" t="str">
        <f>IF($B1065&lt;&gt;"",SUMPRODUCT(($B$2:$B1065&lt;&gt;"")*1),"")</f>
        <v/>
      </c>
    </row>
    <row r="1066" spans="1:7">
      <c r="A1066" s="23" t="str">
        <f>IF('سجل الإنتاج'!C66="","",'سجل الإنتاج'!B66)</f>
        <v/>
      </c>
      <c r="B1066" t="str">
        <f>IF('سجل الإنتاج'!C66="","","إنتاج طبخة")</f>
        <v/>
      </c>
      <c r="C1066" t="str">
        <f>IF('سجل الإنتاج'!C66="","",'سجل الإنتاج'!C66)</f>
        <v/>
      </c>
      <c r="D1066" t="str">
        <f>IF('سجل الإنتاج'!C66="","","عدة مواد - راجع صفحة الطبخات")</f>
        <v/>
      </c>
      <c r="F1066" t="str">
        <f>IF('سجل الإنتاج'!C66="","",IF('سجل الإنتاج'!D66="","",'سجل الإنتاج'!D66))</f>
        <v/>
      </c>
      <c r="G1066" t="str">
        <f>IF($B1066&lt;&gt;"",SUMPRODUCT(($B$2:$B1066&lt;&gt;"")*1),"")</f>
        <v/>
      </c>
    </row>
    <row r="1067" spans="1:7">
      <c r="A1067" s="23" t="str">
        <f>IF('سجل الإنتاج'!C67="","",'سجل الإنتاج'!B67)</f>
        <v/>
      </c>
      <c r="B1067" t="str">
        <f>IF('سجل الإنتاج'!C67="","","إنتاج طبخة")</f>
        <v/>
      </c>
      <c r="C1067" t="str">
        <f>IF('سجل الإنتاج'!C67="","",'سجل الإنتاج'!C67)</f>
        <v/>
      </c>
      <c r="D1067" t="str">
        <f>IF('سجل الإنتاج'!C67="","","عدة مواد - راجع صفحة الطبخات")</f>
        <v/>
      </c>
      <c r="F1067" t="str">
        <f>IF('سجل الإنتاج'!C67="","",IF('سجل الإنتاج'!D67="","",'سجل الإنتاج'!D67))</f>
        <v/>
      </c>
      <c r="G1067" t="str">
        <f>IF($B1067&lt;&gt;"",SUMPRODUCT(($B$2:$B1067&lt;&gt;"")*1),"")</f>
        <v/>
      </c>
    </row>
    <row r="1068" spans="1:7">
      <c r="A1068" s="23" t="str">
        <f>IF('سجل الإنتاج'!C68="","",'سجل الإنتاج'!B68)</f>
        <v/>
      </c>
      <c r="B1068" t="str">
        <f>IF('سجل الإنتاج'!C68="","","إنتاج طبخة")</f>
        <v/>
      </c>
      <c r="C1068" t="str">
        <f>IF('سجل الإنتاج'!C68="","",'سجل الإنتاج'!C68)</f>
        <v/>
      </c>
      <c r="D1068" t="str">
        <f>IF('سجل الإنتاج'!C68="","","عدة مواد - راجع صفحة الطبخات")</f>
        <v/>
      </c>
      <c r="F1068" t="str">
        <f>IF('سجل الإنتاج'!C68="","",IF('سجل الإنتاج'!D68="","",'سجل الإنتاج'!D68))</f>
        <v/>
      </c>
      <c r="G1068" t="str">
        <f>IF($B1068&lt;&gt;"",SUMPRODUCT(($B$2:$B1068&lt;&gt;"")*1),"")</f>
        <v/>
      </c>
    </row>
    <row r="1069" spans="1:7">
      <c r="A1069" s="23" t="str">
        <f>IF('سجل الإنتاج'!C69="","",'سجل الإنتاج'!B69)</f>
        <v/>
      </c>
      <c r="B1069" t="str">
        <f>IF('سجل الإنتاج'!C69="","","إنتاج طبخة")</f>
        <v/>
      </c>
      <c r="C1069" t="str">
        <f>IF('سجل الإنتاج'!C69="","",'سجل الإنتاج'!C69)</f>
        <v/>
      </c>
      <c r="D1069" t="str">
        <f>IF('سجل الإنتاج'!C69="","","عدة مواد - راجع صفحة الطبخات")</f>
        <v/>
      </c>
      <c r="F1069" t="str">
        <f>IF('سجل الإنتاج'!C69="","",IF('سجل الإنتاج'!D69="","",'سجل الإنتاج'!D69))</f>
        <v/>
      </c>
      <c r="G1069" t="str">
        <f>IF($B1069&lt;&gt;"",SUMPRODUCT(($B$2:$B1069&lt;&gt;"")*1),"")</f>
        <v/>
      </c>
    </row>
    <row r="1070" spans="1:7">
      <c r="A1070" s="23" t="str">
        <f>IF('سجل الإنتاج'!C70="","",'سجل الإنتاج'!B70)</f>
        <v/>
      </c>
      <c r="B1070" t="str">
        <f>IF('سجل الإنتاج'!C70="","","إنتاج طبخة")</f>
        <v/>
      </c>
      <c r="C1070" t="str">
        <f>IF('سجل الإنتاج'!C70="","",'سجل الإنتاج'!C70)</f>
        <v/>
      </c>
      <c r="D1070" t="str">
        <f>IF('سجل الإنتاج'!C70="","","عدة مواد - راجع صفحة الطبخات")</f>
        <v/>
      </c>
      <c r="F1070" t="str">
        <f>IF('سجل الإنتاج'!C70="","",IF('سجل الإنتاج'!D70="","",'سجل الإنتاج'!D70))</f>
        <v/>
      </c>
      <c r="G1070" t="str">
        <f>IF($B1070&lt;&gt;"",SUMPRODUCT(($B$2:$B1070&lt;&gt;"")*1),"")</f>
        <v/>
      </c>
    </row>
    <row r="1071" spans="1:7">
      <c r="A1071" s="23" t="str">
        <f>IF('سجل الإنتاج'!C71="","",'سجل الإنتاج'!B71)</f>
        <v/>
      </c>
      <c r="B1071" t="str">
        <f>IF('سجل الإنتاج'!C71="","","إنتاج طبخة")</f>
        <v/>
      </c>
      <c r="C1071" t="str">
        <f>IF('سجل الإنتاج'!C71="","",'سجل الإنتاج'!C71)</f>
        <v/>
      </c>
      <c r="D1071" t="str">
        <f>IF('سجل الإنتاج'!C71="","","عدة مواد - راجع صفحة الطبخات")</f>
        <v/>
      </c>
      <c r="F1071" t="str">
        <f>IF('سجل الإنتاج'!C71="","",IF('سجل الإنتاج'!D71="","",'سجل الإنتاج'!D71))</f>
        <v/>
      </c>
      <c r="G1071" t="str">
        <f>IF($B1071&lt;&gt;"",SUMPRODUCT(($B$2:$B1071&lt;&gt;"")*1),"")</f>
        <v/>
      </c>
    </row>
    <row r="1072" spans="1:7">
      <c r="A1072" s="23" t="str">
        <f>IF('سجل الإنتاج'!C72="","",'سجل الإنتاج'!B72)</f>
        <v/>
      </c>
      <c r="B1072" t="str">
        <f>IF('سجل الإنتاج'!C72="","","إنتاج طبخة")</f>
        <v/>
      </c>
      <c r="C1072" t="str">
        <f>IF('سجل الإنتاج'!C72="","",'سجل الإنتاج'!C72)</f>
        <v/>
      </c>
      <c r="D1072" t="str">
        <f>IF('سجل الإنتاج'!C72="","","عدة مواد - راجع صفحة الطبخات")</f>
        <v/>
      </c>
      <c r="F1072" t="str">
        <f>IF('سجل الإنتاج'!C72="","",IF('سجل الإنتاج'!D72="","",'سجل الإنتاج'!D72))</f>
        <v/>
      </c>
      <c r="G1072" t="str">
        <f>IF($B1072&lt;&gt;"",SUMPRODUCT(($B$2:$B1072&lt;&gt;"")*1),"")</f>
        <v/>
      </c>
    </row>
    <row r="1073" spans="1:7">
      <c r="A1073" s="23" t="str">
        <f>IF('سجل الإنتاج'!C73="","",'سجل الإنتاج'!B73)</f>
        <v/>
      </c>
      <c r="B1073" t="str">
        <f>IF('سجل الإنتاج'!C73="","","إنتاج طبخة")</f>
        <v/>
      </c>
      <c r="C1073" t="str">
        <f>IF('سجل الإنتاج'!C73="","",'سجل الإنتاج'!C73)</f>
        <v/>
      </c>
      <c r="D1073" t="str">
        <f>IF('سجل الإنتاج'!C73="","","عدة مواد - راجع صفحة الطبخات")</f>
        <v/>
      </c>
      <c r="F1073" t="str">
        <f>IF('سجل الإنتاج'!C73="","",IF('سجل الإنتاج'!D73="","",'سجل الإنتاج'!D73))</f>
        <v/>
      </c>
      <c r="G1073" t="str">
        <f>IF($B1073&lt;&gt;"",SUMPRODUCT(($B$2:$B1073&lt;&gt;"")*1),"")</f>
        <v/>
      </c>
    </row>
    <row r="1074" spans="1:7">
      <c r="A1074" s="23" t="str">
        <f>IF('سجل الإنتاج'!C74="","",'سجل الإنتاج'!B74)</f>
        <v/>
      </c>
      <c r="B1074" t="str">
        <f>IF('سجل الإنتاج'!C74="","","إنتاج طبخة")</f>
        <v/>
      </c>
      <c r="C1074" t="str">
        <f>IF('سجل الإنتاج'!C74="","",'سجل الإنتاج'!C74)</f>
        <v/>
      </c>
      <c r="D1074" t="str">
        <f>IF('سجل الإنتاج'!C74="","","عدة مواد - راجع صفحة الطبخات")</f>
        <v/>
      </c>
      <c r="F1074" t="str">
        <f>IF('سجل الإنتاج'!C74="","",IF('سجل الإنتاج'!D74="","",'سجل الإنتاج'!D74))</f>
        <v/>
      </c>
      <c r="G1074" t="str">
        <f>IF($B1074&lt;&gt;"",SUMPRODUCT(($B$2:$B1074&lt;&gt;"")*1),"")</f>
        <v/>
      </c>
    </row>
    <row r="1075" spans="1:7">
      <c r="A1075" s="23" t="str">
        <f>IF('سجل الإنتاج'!C75="","",'سجل الإنتاج'!B75)</f>
        <v/>
      </c>
      <c r="B1075" t="str">
        <f>IF('سجل الإنتاج'!C75="","","إنتاج طبخة")</f>
        <v/>
      </c>
      <c r="C1075" t="str">
        <f>IF('سجل الإنتاج'!C75="","",'سجل الإنتاج'!C75)</f>
        <v/>
      </c>
      <c r="D1075" t="str">
        <f>IF('سجل الإنتاج'!C75="","","عدة مواد - راجع صفحة الطبخات")</f>
        <v/>
      </c>
      <c r="F1075" t="str">
        <f>IF('سجل الإنتاج'!C75="","",IF('سجل الإنتاج'!D75="","",'سجل الإنتاج'!D75))</f>
        <v/>
      </c>
      <c r="G1075" t="str">
        <f>IF($B1075&lt;&gt;"",SUMPRODUCT(($B$2:$B1075&lt;&gt;"")*1),"")</f>
        <v/>
      </c>
    </row>
    <row r="1076" spans="1:7">
      <c r="A1076" s="23" t="str">
        <f>IF('سجل الإنتاج'!C76="","",'سجل الإنتاج'!B76)</f>
        <v/>
      </c>
      <c r="B1076" t="str">
        <f>IF('سجل الإنتاج'!C76="","","إنتاج طبخة")</f>
        <v/>
      </c>
      <c r="C1076" t="str">
        <f>IF('سجل الإنتاج'!C76="","",'سجل الإنتاج'!C76)</f>
        <v/>
      </c>
      <c r="D1076" t="str">
        <f>IF('سجل الإنتاج'!C76="","","عدة مواد - راجع صفحة الطبخات")</f>
        <v/>
      </c>
      <c r="F1076" t="str">
        <f>IF('سجل الإنتاج'!C76="","",IF('سجل الإنتاج'!D76="","",'سجل الإنتاج'!D76))</f>
        <v/>
      </c>
      <c r="G1076" t="str">
        <f>IF($B1076&lt;&gt;"",SUMPRODUCT(($B$2:$B1076&lt;&gt;"")*1),"")</f>
        <v/>
      </c>
    </row>
    <row r="1077" spans="1:7">
      <c r="A1077" s="23" t="str">
        <f>IF('سجل الإنتاج'!C77="","",'سجل الإنتاج'!B77)</f>
        <v/>
      </c>
      <c r="B1077" t="str">
        <f>IF('سجل الإنتاج'!C77="","","إنتاج طبخة")</f>
        <v/>
      </c>
      <c r="C1077" t="str">
        <f>IF('سجل الإنتاج'!C77="","",'سجل الإنتاج'!C77)</f>
        <v/>
      </c>
      <c r="D1077" t="str">
        <f>IF('سجل الإنتاج'!C77="","","عدة مواد - راجع صفحة الطبخات")</f>
        <v/>
      </c>
      <c r="F1077" t="str">
        <f>IF('سجل الإنتاج'!C77="","",IF('سجل الإنتاج'!D77="","",'سجل الإنتاج'!D77))</f>
        <v/>
      </c>
      <c r="G1077" t="str">
        <f>IF($B1077&lt;&gt;"",SUMPRODUCT(($B$2:$B1077&lt;&gt;"")*1),"")</f>
        <v/>
      </c>
    </row>
    <row r="1078" spans="1:7">
      <c r="A1078" s="23" t="str">
        <f>IF('سجل الإنتاج'!C78="","",'سجل الإنتاج'!B78)</f>
        <v/>
      </c>
      <c r="B1078" t="str">
        <f>IF('سجل الإنتاج'!C78="","","إنتاج طبخة")</f>
        <v/>
      </c>
      <c r="C1078" t="str">
        <f>IF('سجل الإنتاج'!C78="","",'سجل الإنتاج'!C78)</f>
        <v/>
      </c>
      <c r="D1078" t="str">
        <f>IF('سجل الإنتاج'!C78="","","عدة مواد - راجع صفحة الطبخات")</f>
        <v/>
      </c>
      <c r="F1078" t="str">
        <f>IF('سجل الإنتاج'!C78="","",IF('سجل الإنتاج'!D78="","",'سجل الإنتاج'!D78))</f>
        <v/>
      </c>
      <c r="G1078" t="str">
        <f>IF($B1078&lt;&gt;"",SUMPRODUCT(($B$2:$B1078&lt;&gt;"")*1),"")</f>
        <v/>
      </c>
    </row>
    <row r="1079" spans="1:7">
      <c r="A1079" s="23" t="str">
        <f>IF('سجل الإنتاج'!C79="","",'سجل الإنتاج'!B79)</f>
        <v/>
      </c>
      <c r="B1079" t="str">
        <f>IF('سجل الإنتاج'!C79="","","إنتاج طبخة")</f>
        <v/>
      </c>
      <c r="C1079" t="str">
        <f>IF('سجل الإنتاج'!C79="","",'سجل الإنتاج'!C79)</f>
        <v/>
      </c>
      <c r="D1079" t="str">
        <f>IF('سجل الإنتاج'!C79="","","عدة مواد - راجع صفحة الطبخات")</f>
        <v/>
      </c>
      <c r="F1079" t="str">
        <f>IF('سجل الإنتاج'!C79="","",IF('سجل الإنتاج'!D79="","",'سجل الإنتاج'!D79))</f>
        <v/>
      </c>
      <c r="G1079" t="str">
        <f>IF($B1079&lt;&gt;"",SUMPRODUCT(($B$2:$B1079&lt;&gt;"")*1),"")</f>
        <v/>
      </c>
    </row>
    <row r="1080" spans="1:7">
      <c r="A1080" s="23" t="str">
        <f>IF('سجل الإنتاج'!C80="","",'سجل الإنتاج'!B80)</f>
        <v/>
      </c>
      <c r="B1080" t="str">
        <f>IF('سجل الإنتاج'!C80="","","إنتاج طبخة")</f>
        <v/>
      </c>
      <c r="C1080" t="str">
        <f>IF('سجل الإنتاج'!C80="","",'سجل الإنتاج'!C80)</f>
        <v/>
      </c>
      <c r="D1080" t="str">
        <f>IF('سجل الإنتاج'!C80="","","عدة مواد - راجع صفحة الطبخات")</f>
        <v/>
      </c>
      <c r="F1080" t="str">
        <f>IF('سجل الإنتاج'!C80="","",IF('سجل الإنتاج'!D80="","",'سجل الإنتاج'!D80))</f>
        <v/>
      </c>
      <c r="G1080" t="str">
        <f>IF($B1080&lt;&gt;"",SUMPRODUCT(($B$2:$B1080&lt;&gt;"")*1),"")</f>
        <v/>
      </c>
    </row>
    <row r="1081" spans="1:7">
      <c r="A1081" s="23" t="str">
        <f>IF('سجل الإنتاج'!C81="","",'سجل الإنتاج'!B81)</f>
        <v/>
      </c>
      <c r="B1081" t="str">
        <f>IF('سجل الإنتاج'!C81="","","إنتاج طبخة")</f>
        <v/>
      </c>
      <c r="C1081" t="str">
        <f>IF('سجل الإنتاج'!C81="","",'سجل الإنتاج'!C81)</f>
        <v/>
      </c>
      <c r="D1081" t="str">
        <f>IF('سجل الإنتاج'!C81="","","عدة مواد - راجع صفحة الطبخات")</f>
        <v/>
      </c>
      <c r="F1081" t="str">
        <f>IF('سجل الإنتاج'!C81="","",IF('سجل الإنتاج'!D81="","",'سجل الإنتاج'!D81))</f>
        <v/>
      </c>
      <c r="G1081" t="str">
        <f>IF($B1081&lt;&gt;"",SUMPRODUCT(($B$2:$B1081&lt;&gt;"")*1),"")</f>
        <v/>
      </c>
    </row>
    <row r="1082" spans="1:7">
      <c r="A1082" s="23" t="str">
        <f>IF('سجل الإنتاج'!C82="","",'سجل الإنتاج'!B82)</f>
        <v/>
      </c>
      <c r="B1082" t="str">
        <f>IF('سجل الإنتاج'!C82="","","إنتاج طبخة")</f>
        <v/>
      </c>
      <c r="C1082" t="str">
        <f>IF('سجل الإنتاج'!C82="","",'سجل الإنتاج'!C82)</f>
        <v/>
      </c>
      <c r="D1082" t="str">
        <f>IF('سجل الإنتاج'!C82="","","عدة مواد - راجع صفحة الطبخات")</f>
        <v/>
      </c>
      <c r="F1082" t="str">
        <f>IF('سجل الإنتاج'!C82="","",IF('سجل الإنتاج'!D82="","",'سجل الإنتاج'!D82))</f>
        <v/>
      </c>
      <c r="G1082" t="str">
        <f>IF($B1082&lt;&gt;"",SUMPRODUCT(($B$2:$B1082&lt;&gt;"")*1),"")</f>
        <v/>
      </c>
    </row>
    <row r="1083" spans="1:7">
      <c r="A1083" s="23" t="str">
        <f>IF('سجل الإنتاج'!C83="","",'سجل الإنتاج'!B83)</f>
        <v/>
      </c>
      <c r="B1083" t="str">
        <f>IF('سجل الإنتاج'!C83="","","إنتاج طبخة")</f>
        <v/>
      </c>
      <c r="C1083" t="str">
        <f>IF('سجل الإنتاج'!C83="","",'سجل الإنتاج'!C83)</f>
        <v/>
      </c>
      <c r="D1083" t="str">
        <f>IF('سجل الإنتاج'!C83="","","عدة مواد - راجع صفحة الطبخات")</f>
        <v/>
      </c>
      <c r="F1083" t="str">
        <f>IF('سجل الإنتاج'!C83="","",IF('سجل الإنتاج'!D83="","",'سجل الإنتاج'!D83))</f>
        <v/>
      </c>
      <c r="G1083" t="str">
        <f>IF($B1083&lt;&gt;"",SUMPRODUCT(($B$2:$B1083&lt;&gt;"")*1),"")</f>
        <v/>
      </c>
    </row>
    <row r="1084" spans="1:7">
      <c r="A1084" s="23" t="str">
        <f>IF('سجل الإنتاج'!C84="","",'سجل الإنتاج'!B84)</f>
        <v/>
      </c>
      <c r="B1084" t="str">
        <f>IF('سجل الإنتاج'!C84="","","إنتاج طبخة")</f>
        <v/>
      </c>
      <c r="C1084" t="str">
        <f>IF('سجل الإنتاج'!C84="","",'سجل الإنتاج'!C84)</f>
        <v/>
      </c>
      <c r="D1084" t="str">
        <f>IF('سجل الإنتاج'!C84="","","عدة مواد - راجع صفحة الطبخات")</f>
        <v/>
      </c>
      <c r="F1084" t="str">
        <f>IF('سجل الإنتاج'!C84="","",IF('سجل الإنتاج'!D84="","",'سجل الإنتاج'!D84))</f>
        <v/>
      </c>
      <c r="G1084" t="str">
        <f>IF($B1084&lt;&gt;"",SUMPRODUCT(($B$2:$B1084&lt;&gt;"")*1),"")</f>
        <v/>
      </c>
    </row>
    <row r="1085" spans="1:7">
      <c r="A1085" s="23" t="str">
        <f>IF('سجل الإنتاج'!C85="","",'سجل الإنتاج'!B85)</f>
        <v/>
      </c>
      <c r="B1085" t="str">
        <f>IF('سجل الإنتاج'!C85="","","إنتاج طبخة")</f>
        <v/>
      </c>
      <c r="C1085" t="str">
        <f>IF('سجل الإنتاج'!C85="","",'سجل الإنتاج'!C85)</f>
        <v/>
      </c>
      <c r="D1085" t="str">
        <f>IF('سجل الإنتاج'!C85="","","عدة مواد - راجع صفحة الطبخات")</f>
        <v/>
      </c>
      <c r="F1085" t="str">
        <f>IF('سجل الإنتاج'!C85="","",IF('سجل الإنتاج'!D85="","",'سجل الإنتاج'!D85))</f>
        <v/>
      </c>
      <c r="G1085" t="str">
        <f>IF($B1085&lt;&gt;"",SUMPRODUCT(($B$2:$B1085&lt;&gt;"")*1),"")</f>
        <v/>
      </c>
    </row>
    <row r="1086" spans="1:7">
      <c r="A1086" s="23" t="str">
        <f>IF('سجل الإنتاج'!C86="","",'سجل الإنتاج'!B86)</f>
        <v/>
      </c>
      <c r="B1086" t="str">
        <f>IF('سجل الإنتاج'!C86="","","إنتاج طبخة")</f>
        <v/>
      </c>
      <c r="C1086" t="str">
        <f>IF('سجل الإنتاج'!C86="","",'سجل الإنتاج'!C86)</f>
        <v/>
      </c>
      <c r="D1086" t="str">
        <f>IF('سجل الإنتاج'!C86="","","عدة مواد - راجع صفحة الطبخات")</f>
        <v/>
      </c>
      <c r="F1086" t="str">
        <f>IF('سجل الإنتاج'!C86="","",IF('سجل الإنتاج'!D86="","",'سجل الإنتاج'!D86))</f>
        <v/>
      </c>
      <c r="G1086" t="str">
        <f>IF($B1086&lt;&gt;"",SUMPRODUCT(($B$2:$B1086&lt;&gt;"")*1),"")</f>
        <v/>
      </c>
    </row>
    <row r="1087" spans="1:7">
      <c r="A1087" s="23" t="str">
        <f>IF('سجل الإنتاج'!C87="","",'سجل الإنتاج'!B87)</f>
        <v/>
      </c>
      <c r="B1087" t="str">
        <f>IF('سجل الإنتاج'!C87="","","إنتاج طبخة")</f>
        <v/>
      </c>
      <c r="C1087" t="str">
        <f>IF('سجل الإنتاج'!C87="","",'سجل الإنتاج'!C87)</f>
        <v/>
      </c>
      <c r="D1087" t="str">
        <f>IF('سجل الإنتاج'!C87="","","عدة مواد - راجع صفحة الطبخات")</f>
        <v/>
      </c>
      <c r="F1087" t="str">
        <f>IF('سجل الإنتاج'!C87="","",IF('سجل الإنتاج'!D87="","",'سجل الإنتاج'!D87))</f>
        <v/>
      </c>
      <c r="G1087" t="str">
        <f>IF($B1087&lt;&gt;"",SUMPRODUCT(($B$2:$B1087&lt;&gt;"")*1),"")</f>
        <v/>
      </c>
    </row>
    <row r="1088" spans="1:7">
      <c r="A1088" s="23" t="str">
        <f>IF('سجل الإنتاج'!C88="","",'سجل الإنتاج'!B88)</f>
        <v/>
      </c>
      <c r="B1088" t="str">
        <f>IF('سجل الإنتاج'!C88="","","إنتاج طبخة")</f>
        <v/>
      </c>
      <c r="C1088" t="str">
        <f>IF('سجل الإنتاج'!C88="","",'سجل الإنتاج'!C88)</f>
        <v/>
      </c>
      <c r="D1088" t="str">
        <f>IF('سجل الإنتاج'!C88="","","عدة مواد - راجع صفحة الطبخات")</f>
        <v/>
      </c>
      <c r="F1088" t="str">
        <f>IF('سجل الإنتاج'!C88="","",IF('سجل الإنتاج'!D88="","",'سجل الإنتاج'!D88))</f>
        <v/>
      </c>
      <c r="G1088" t="str">
        <f>IF($B1088&lt;&gt;"",SUMPRODUCT(($B$2:$B1088&lt;&gt;"")*1),"")</f>
        <v/>
      </c>
    </row>
    <row r="1089" spans="1:7">
      <c r="A1089" s="23" t="str">
        <f>IF('سجل الإنتاج'!C89="","",'سجل الإنتاج'!B89)</f>
        <v/>
      </c>
      <c r="B1089" t="str">
        <f>IF('سجل الإنتاج'!C89="","","إنتاج طبخة")</f>
        <v/>
      </c>
      <c r="C1089" t="str">
        <f>IF('سجل الإنتاج'!C89="","",'سجل الإنتاج'!C89)</f>
        <v/>
      </c>
      <c r="D1089" t="str">
        <f>IF('سجل الإنتاج'!C89="","","عدة مواد - راجع صفحة الطبخات")</f>
        <v/>
      </c>
      <c r="F1089" t="str">
        <f>IF('سجل الإنتاج'!C89="","",IF('سجل الإنتاج'!D89="","",'سجل الإنتاج'!D89))</f>
        <v/>
      </c>
      <c r="G1089" t="str">
        <f>IF($B1089&lt;&gt;"",SUMPRODUCT(($B$2:$B1089&lt;&gt;"")*1),"")</f>
        <v/>
      </c>
    </row>
    <row r="1090" spans="1:7">
      <c r="A1090" s="23" t="str">
        <f>IF('سجل الإنتاج'!C90="","",'سجل الإنتاج'!B90)</f>
        <v/>
      </c>
      <c r="B1090" t="str">
        <f>IF('سجل الإنتاج'!C90="","","إنتاج طبخة")</f>
        <v/>
      </c>
      <c r="C1090" t="str">
        <f>IF('سجل الإنتاج'!C90="","",'سجل الإنتاج'!C90)</f>
        <v/>
      </c>
      <c r="D1090" t="str">
        <f>IF('سجل الإنتاج'!C90="","","عدة مواد - راجع صفحة الطبخات")</f>
        <v/>
      </c>
      <c r="F1090" t="str">
        <f>IF('سجل الإنتاج'!C90="","",IF('سجل الإنتاج'!D90="","",'سجل الإنتاج'!D90))</f>
        <v/>
      </c>
      <c r="G1090" t="str">
        <f>IF($B1090&lt;&gt;"",SUMPRODUCT(($B$2:$B1090&lt;&gt;"")*1),"")</f>
        <v/>
      </c>
    </row>
    <row r="1091" spans="1:7">
      <c r="A1091" s="23" t="str">
        <f>IF('سجل الإنتاج'!C91="","",'سجل الإنتاج'!B91)</f>
        <v/>
      </c>
      <c r="B1091" t="str">
        <f>IF('سجل الإنتاج'!C91="","","إنتاج طبخة")</f>
        <v/>
      </c>
      <c r="C1091" t="str">
        <f>IF('سجل الإنتاج'!C91="","",'سجل الإنتاج'!C91)</f>
        <v/>
      </c>
      <c r="D1091" t="str">
        <f>IF('سجل الإنتاج'!C91="","","عدة مواد - راجع صفحة الطبخات")</f>
        <v/>
      </c>
      <c r="F1091" t="str">
        <f>IF('سجل الإنتاج'!C91="","",IF('سجل الإنتاج'!D91="","",'سجل الإنتاج'!D91))</f>
        <v/>
      </c>
      <c r="G1091" t="str">
        <f>IF($B1091&lt;&gt;"",SUMPRODUCT(($B$2:$B1091&lt;&gt;"")*1),"")</f>
        <v/>
      </c>
    </row>
    <row r="1092" spans="1:7">
      <c r="A1092" s="23" t="str">
        <f>IF('سجل الإنتاج'!C92="","",'سجل الإنتاج'!B92)</f>
        <v/>
      </c>
      <c r="B1092" t="str">
        <f>IF('سجل الإنتاج'!C92="","","إنتاج طبخة")</f>
        <v/>
      </c>
      <c r="C1092" t="str">
        <f>IF('سجل الإنتاج'!C92="","",'سجل الإنتاج'!C92)</f>
        <v/>
      </c>
      <c r="D1092" t="str">
        <f>IF('سجل الإنتاج'!C92="","","عدة مواد - راجع صفحة الطبخات")</f>
        <v/>
      </c>
      <c r="F1092" t="str">
        <f>IF('سجل الإنتاج'!C92="","",IF('سجل الإنتاج'!D92="","",'سجل الإنتاج'!D92))</f>
        <v/>
      </c>
      <c r="G1092" t="str">
        <f>IF($B1092&lt;&gt;"",SUMPRODUCT(($B$2:$B1092&lt;&gt;"")*1),"")</f>
        <v/>
      </c>
    </row>
    <row r="1093" spans="1:7">
      <c r="A1093" s="23" t="str">
        <f>IF('سجل الإنتاج'!C93="","",'سجل الإنتاج'!B93)</f>
        <v/>
      </c>
      <c r="B1093" t="str">
        <f>IF('سجل الإنتاج'!C93="","","إنتاج طبخة")</f>
        <v/>
      </c>
      <c r="C1093" t="str">
        <f>IF('سجل الإنتاج'!C93="","",'سجل الإنتاج'!C93)</f>
        <v/>
      </c>
      <c r="D1093" t="str">
        <f>IF('سجل الإنتاج'!C93="","","عدة مواد - راجع صفحة الطبخات")</f>
        <v/>
      </c>
      <c r="F1093" t="str">
        <f>IF('سجل الإنتاج'!C93="","",IF('سجل الإنتاج'!D93="","",'سجل الإنتاج'!D93))</f>
        <v/>
      </c>
      <c r="G1093" t="str">
        <f>IF($B1093&lt;&gt;"",SUMPRODUCT(($B$2:$B1093&lt;&gt;"")*1),"")</f>
        <v/>
      </c>
    </row>
    <row r="1094" spans="1:7">
      <c r="A1094" s="23" t="str">
        <f>IF('سجل الإنتاج'!C94="","",'سجل الإنتاج'!B94)</f>
        <v/>
      </c>
      <c r="B1094" t="str">
        <f>IF('سجل الإنتاج'!C94="","","إنتاج طبخة")</f>
        <v/>
      </c>
      <c r="C1094" t="str">
        <f>IF('سجل الإنتاج'!C94="","",'سجل الإنتاج'!C94)</f>
        <v/>
      </c>
      <c r="D1094" t="str">
        <f>IF('سجل الإنتاج'!C94="","","عدة مواد - راجع صفحة الطبخات")</f>
        <v/>
      </c>
      <c r="F1094" t="str">
        <f>IF('سجل الإنتاج'!C94="","",IF('سجل الإنتاج'!D94="","",'سجل الإنتاج'!D94))</f>
        <v/>
      </c>
      <c r="G1094" t="str">
        <f>IF($B1094&lt;&gt;"",SUMPRODUCT(($B$2:$B1094&lt;&gt;"")*1),"")</f>
        <v/>
      </c>
    </row>
    <row r="1095" spans="1:7">
      <c r="A1095" s="23" t="str">
        <f>IF('سجل الإنتاج'!C95="","",'سجل الإنتاج'!B95)</f>
        <v/>
      </c>
      <c r="B1095" t="str">
        <f>IF('سجل الإنتاج'!C95="","","إنتاج طبخة")</f>
        <v/>
      </c>
      <c r="C1095" t="str">
        <f>IF('سجل الإنتاج'!C95="","",'سجل الإنتاج'!C95)</f>
        <v/>
      </c>
      <c r="D1095" t="str">
        <f>IF('سجل الإنتاج'!C95="","","عدة مواد - راجع صفحة الطبخات")</f>
        <v/>
      </c>
      <c r="F1095" t="str">
        <f>IF('سجل الإنتاج'!C95="","",IF('سجل الإنتاج'!D95="","",'سجل الإنتاج'!D95))</f>
        <v/>
      </c>
      <c r="G1095" t="str">
        <f>IF($B1095&lt;&gt;"",SUMPRODUCT(($B$2:$B1095&lt;&gt;"")*1),"")</f>
        <v/>
      </c>
    </row>
    <row r="1096" spans="1:7">
      <c r="A1096" s="23" t="str">
        <f>IF('سجل الإنتاج'!C96="","",'سجل الإنتاج'!B96)</f>
        <v/>
      </c>
      <c r="B1096" t="str">
        <f>IF('سجل الإنتاج'!C96="","","إنتاج طبخة")</f>
        <v/>
      </c>
      <c r="C1096" t="str">
        <f>IF('سجل الإنتاج'!C96="","",'سجل الإنتاج'!C96)</f>
        <v/>
      </c>
      <c r="D1096" t="str">
        <f>IF('سجل الإنتاج'!C96="","","عدة مواد - راجع صفحة الطبخات")</f>
        <v/>
      </c>
      <c r="F1096" t="str">
        <f>IF('سجل الإنتاج'!C96="","",IF('سجل الإنتاج'!D96="","",'سجل الإنتاج'!D96))</f>
        <v/>
      </c>
      <c r="G1096" t="str">
        <f>IF($B1096&lt;&gt;"",SUMPRODUCT(($B$2:$B1096&lt;&gt;"")*1),"")</f>
        <v/>
      </c>
    </row>
    <row r="1097" spans="1:7">
      <c r="A1097" s="23" t="str">
        <f>IF('سجل الإنتاج'!C97="","",'سجل الإنتاج'!B97)</f>
        <v/>
      </c>
      <c r="B1097" t="str">
        <f>IF('سجل الإنتاج'!C97="","","إنتاج طبخة")</f>
        <v/>
      </c>
      <c r="C1097" t="str">
        <f>IF('سجل الإنتاج'!C97="","",'سجل الإنتاج'!C97)</f>
        <v/>
      </c>
      <c r="D1097" t="str">
        <f>IF('سجل الإنتاج'!C97="","","عدة مواد - راجع صفحة الطبخات")</f>
        <v/>
      </c>
      <c r="F1097" t="str">
        <f>IF('سجل الإنتاج'!C97="","",IF('سجل الإنتاج'!D97="","",'سجل الإنتاج'!D97))</f>
        <v/>
      </c>
      <c r="G1097" t="str">
        <f>IF($B1097&lt;&gt;"",SUMPRODUCT(($B$2:$B1097&lt;&gt;"")*1),"")</f>
        <v/>
      </c>
    </row>
    <row r="1098" spans="1:7">
      <c r="A1098" s="23" t="str">
        <f>IF('سجل الإنتاج'!C98="","",'سجل الإنتاج'!B98)</f>
        <v/>
      </c>
      <c r="B1098" t="str">
        <f>IF('سجل الإنتاج'!C98="","","إنتاج طبخة")</f>
        <v/>
      </c>
      <c r="C1098" t="str">
        <f>IF('سجل الإنتاج'!C98="","",'سجل الإنتاج'!C98)</f>
        <v/>
      </c>
      <c r="D1098" t="str">
        <f>IF('سجل الإنتاج'!C98="","","عدة مواد - راجع صفحة الطبخات")</f>
        <v/>
      </c>
      <c r="F1098" t="str">
        <f>IF('سجل الإنتاج'!C98="","",IF('سجل الإنتاج'!D98="","",'سجل الإنتاج'!D98))</f>
        <v/>
      </c>
      <c r="G1098" t="str">
        <f>IF($B1098&lt;&gt;"",SUMPRODUCT(($B$2:$B1098&lt;&gt;"")*1),"")</f>
        <v/>
      </c>
    </row>
    <row r="1099" spans="1:7">
      <c r="A1099" s="23" t="str">
        <f>IF('سجل الإنتاج'!C99="","",'سجل الإنتاج'!B99)</f>
        <v/>
      </c>
      <c r="B1099" t="str">
        <f>IF('سجل الإنتاج'!C99="","","إنتاج طبخة")</f>
        <v/>
      </c>
      <c r="C1099" t="str">
        <f>IF('سجل الإنتاج'!C99="","",'سجل الإنتاج'!C99)</f>
        <v/>
      </c>
      <c r="D1099" t="str">
        <f>IF('سجل الإنتاج'!C99="","","عدة مواد - راجع صفحة الطبخات")</f>
        <v/>
      </c>
      <c r="F1099" t="str">
        <f>IF('سجل الإنتاج'!C99="","",IF('سجل الإنتاج'!D99="","",'سجل الإنتاج'!D99))</f>
        <v/>
      </c>
      <c r="G1099" t="str">
        <f>IF($B1099&lt;&gt;"",SUMPRODUCT(($B$2:$B1099&lt;&gt;"")*1),"")</f>
        <v/>
      </c>
    </row>
    <row r="1100" spans="1:7">
      <c r="A1100" s="23" t="str">
        <f>IF('سجل الإنتاج'!C100="","",'سجل الإنتاج'!B100)</f>
        <v/>
      </c>
      <c r="B1100" t="str">
        <f>IF('سجل الإنتاج'!C100="","","إنتاج طبخة")</f>
        <v/>
      </c>
      <c r="C1100" t="str">
        <f>IF('سجل الإنتاج'!C100="","",'سجل الإنتاج'!C100)</f>
        <v/>
      </c>
      <c r="D1100" t="str">
        <f>IF('سجل الإنتاج'!C100="","","عدة مواد - راجع صفحة الطبخات")</f>
        <v/>
      </c>
      <c r="F1100" t="str">
        <f>IF('سجل الإنتاج'!C100="","",IF('سجل الإنتاج'!D100="","",'سجل الإنتاج'!D100))</f>
        <v/>
      </c>
      <c r="G1100" t="str">
        <f>IF($B1100&lt;&gt;"",SUMPRODUCT(($B$2:$B1100&lt;&gt;"")*1),"")</f>
        <v/>
      </c>
    </row>
    <row r="1101" spans="1:7">
      <c r="A1101" s="23" t="str">
        <f>IF('سجل الإنتاج'!C101="","",'سجل الإنتاج'!B101)</f>
        <v/>
      </c>
      <c r="B1101" t="str">
        <f>IF('سجل الإنتاج'!C101="","","إنتاج طبخة")</f>
        <v/>
      </c>
      <c r="C1101" t="str">
        <f>IF('سجل الإنتاج'!C101="","",'سجل الإنتاج'!C101)</f>
        <v/>
      </c>
      <c r="D1101" t="str">
        <f>IF('سجل الإنتاج'!C101="","","عدة مواد - راجع صفحة الطبخات")</f>
        <v/>
      </c>
      <c r="F1101" t="str">
        <f>IF('سجل الإنتاج'!C101="","",IF('سجل الإنتاج'!D101="","",'سجل الإنتاج'!D101))</f>
        <v/>
      </c>
      <c r="G1101" t="str">
        <f>IF($B1101&lt;&gt;"",SUMPRODUCT(($B$2:$B1101&lt;&gt;"")*1),"")</f>
        <v/>
      </c>
    </row>
    <row r="1102" spans="1:7">
      <c r="A1102" s="23" t="str">
        <f>IF('سجل الإنتاج'!C102="","",'سجل الإنتاج'!B102)</f>
        <v/>
      </c>
      <c r="B1102" t="str">
        <f>IF('سجل الإنتاج'!C102="","","إنتاج طبخة")</f>
        <v/>
      </c>
      <c r="C1102" t="str">
        <f>IF('سجل الإنتاج'!C102="","",'سجل الإنتاج'!C102)</f>
        <v/>
      </c>
      <c r="D1102" t="str">
        <f>IF('سجل الإنتاج'!C102="","","عدة مواد - راجع صفحة الطبخات")</f>
        <v/>
      </c>
      <c r="F1102" t="str">
        <f>IF('سجل الإنتاج'!C102="","",IF('سجل الإنتاج'!D102="","",'سجل الإنتاج'!D102))</f>
        <v/>
      </c>
      <c r="G1102" t="str">
        <f>IF($B1102&lt;&gt;"",SUMPRODUCT(($B$2:$B1102&lt;&gt;"")*1),"")</f>
        <v/>
      </c>
    </row>
    <row r="1103" spans="1:7">
      <c r="A1103" s="23" t="str">
        <f>IF('سجل الإنتاج'!C103="","",'سجل الإنتاج'!B103)</f>
        <v/>
      </c>
      <c r="B1103" t="str">
        <f>IF('سجل الإنتاج'!C103="","","إنتاج طبخة")</f>
        <v/>
      </c>
      <c r="C1103" t="str">
        <f>IF('سجل الإنتاج'!C103="","",'سجل الإنتاج'!C103)</f>
        <v/>
      </c>
      <c r="D1103" t="str">
        <f>IF('سجل الإنتاج'!C103="","","عدة مواد - راجع صفحة الطبخات")</f>
        <v/>
      </c>
      <c r="F1103" t="str">
        <f>IF('سجل الإنتاج'!C103="","",IF('سجل الإنتاج'!D103="","",'سجل الإنتاج'!D103))</f>
        <v/>
      </c>
      <c r="G1103" t="str">
        <f>IF($B1103&lt;&gt;"",SUMPRODUCT(($B$2:$B1103&lt;&gt;"")*1),"")</f>
        <v/>
      </c>
    </row>
    <row r="1104" spans="1:7">
      <c r="A1104" s="23" t="str">
        <f>IF('سجل الإنتاج'!C104="","",'سجل الإنتاج'!B104)</f>
        <v/>
      </c>
      <c r="B1104" t="str">
        <f>IF('سجل الإنتاج'!C104="","","إنتاج طبخة")</f>
        <v/>
      </c>
      <c r="C1104" t="str">
        <f>IF('سجل الإنتاج'!C104="","",'سجل الإنتاج'!C104)</f>
        <v/>
      </c>
      <c r="D1104" t="str">
        <f>IF('سجل الإنتاج'!C104="","","عدة مواد - راجع صفحة الطبخات")</f>
        <v/>
      </c>
      <c r="F1104" t="str">
        <f>IF('سجل الإنتاج'!C104="","",IF('سجل الإنتاج'!D104="","",'سجل الإنتاج'!D104))</f>
        <v/>
      </c>
      <c r="G1104" t="str">
        <f>IF($B1104&lt;&gt;"",SUMPRODUCT(($B$2:$B1104&lt;&gt;"")*1),"")</f>
        <v/>
      </c>
    </row>
    <row r="1105" spans="1:7">
      <c r="A1105" s="23" t="str">
        <f>IF('سجل الإنتاج'!C105="","",'سجل الإنتاج'!B105)</f>
        <v/>
      </c>
      <c r="B1105" t="str">
        <f>IF('سجل الإنتاج'!C105="","","إنتاج طبخة")</f>
        <v/>
      </c>
      <c r="C1105" t="str">
        <f>IF('سجل الإنتاج'!C105="","",'سجل الإنتاج'!C105)</f>
        <v/>
      </c>
      <c r="D1105" t="str">
        <f>IF('سجل الإنتاج'!C105="","","عدة مواد - راجع صفحة الطبخات")</f>
        <v/>
      </c>
      <c r="F1105" t="str">
        <f>IF('سجل الإنتاج'!C105="","",IF('سجل الإنتاج'!D105="","",'سجل الإنتاج'!D105))</f>
        <v/>
      </c>
      <c r="G1105" t="str">
        <f>IF($B1105&lt;&gt;"",SUMPRODUCT(($B$2:$B1105&lt;&gt;"")*1),"")</f>
        <v/>
      </c>
    </row>
    <row r="1106" spans="1:7">
      <c r="A1106" s="23" t="str">
        <f>IF('سجل الإنتاج'!C106="","",'سجل الإنتاج'!B106)</f>
        <v/>
      </c>
      <c r="B1106" t="str">
        <f>IF('سجل الإنتاج'!C106="","","إنتاج طبخة")</f>
        <v/>
      </c>
      <c r="C1106" t="str">
        <f>IF('سجل الإنتاج'!C106="","",'سجل الإنتاج'!C106)</f>
        <v/>
      </c>
      <c r="D1106" t="str">
        <f>IF('سجل الإنتاج'!C106="","","عدة مواد - راجع صفحة الطبخات")</f>
        <v/>
      </c>
      <c r="F1106" t="str">
        <f>IF('سجل الإنتاج'!C106="","",IF('سجل الإنتاج'!D106="","",'سجل الإنتاج'!D106))</f>
        <v/>
      </c>
      <c r="G1106" t="str">
        <f>IF($B1106&lt;&gt;"",SUMPRODUCT(($B$2:$B1106&lt;&gt;"")*1),"")</f>
        <v/>
      </c>
    </row>
    <row r="1107" spans="1:7">
      <c r="A1107" s="23" t="str">
        <f>IF('سجل الإنتاج'!C107="","",'سجل الإنتاج'!B107)</f>
        <v/>
      </c>
      <c r="B1107" t="str">
        <f>IF('سجل الإنتاج'!C107="","","إنتاج طبخة")</f>
        <v/>
      </c>
      <c r="C1107" t="str">
        <f>IF('سجل الإنتاج'!C107="","",'سجل الإنتاج'!C107)</f>
        <v/>
      </c>
      <c r="D1107" t="str">
        <f>IF('سجل الإنتاج'!C107="","","عدة مواد - راجع صفحة الطبخات")</f>
        <v/>
      </c>
      <c r="F1107" t="str">
        <f>IF('سجل الإنتاج'!C107="","",IF('سجل الإنتاج'!D107="","",'سجل الإنتاج'!D107))</f>
        <v/>
      </c>
      <c r="G1107" t="str">
        <f>IF($B1107&lt;&gt;"",SUMPRODUCT(($B$2:$B1107&lt;&gt;"")*1),"")</f>
        <v/>
      </c>
    </row>
    <row r="1108" spans="1:7">
      <c r="A1108" s="23" t="str">
        <f>IF('سجل الإنتاج'!C108="","",'سجل الإنتاج'!B108)</f>
        <v/>
      </c>
      <c r="B1108" t="str">
        <f>IF('سجل الإنتاج'!C108="","","إنتاج طبخة")</f>
        <v/>
      </c>
      <c r="C1108" t="str">
        <f>IF('سجل الإنتاج'!C108="","",'سجل الإنتاج'!C108)</f>
        <v/>
      </c>
      <c r="D1108" t="str">
        <f>IF('سجل الإنتاج'!C108="","","عدة مواد - راجع صفحة الطبخات")</f>
        <v/>
      </c>
      <c r="F1108" t="str">
        <f>IF('سجل الإنتاج'!C108="","",IF('سجل الإنتاج'!D108="","",'سجل الإنتاج'!D108))</f>
        <v/>
      </c>
      <c r="G1108" t="str">
        <f>IF($B1108&lt;&gt;"",SUMPRODUCT(($B$2:$B1108&lt;&gt;"")*1),"")</f>
        <v/>
      </c>
    </row>
    <row r="1109" spans="1:7">
      <c r="A1109" s="23" t="str">
        <f>IF('سجل الإنتاج'!C109="","",'سجل الإنتاج'!B109)</f>
        <v/>
      </c>
      <c r="B1109" t="str">
        <f>IF('سجل الإنتاج'!C109="","","إنتاج طبخة")</f>
        <v/>
      </c>
      <c r="C1109" t="str">
        <f>IF('سجل الإنتاج'!C109="","",'سجل الإنتاج'!C109)</f>
        <v/>
      </c>
      <c r="D1109" t="str">
        <f>IF('سجل الإنتاج'!C109="","","عدة مواد - راجع صفحة الطبخات")</f>
        <v/>
      </c>
      <c r="F1109" t="str">
        <f>IF('سجل الإنتاج'!C109="","",IF('سجل الإنتاج'!D109="","",'سجل الإنتاج'!D109))</f>
        <v/>
      </c>
      <c r="G1109" t="str">
        <f>IF($B1109&lt;&gt;"",SUMPRODUCT(($B$2:$B1109&lt;&gt;"")*1),"")</f>
        <v/>
      </c>
    </row>
    <row r="1110" spans="1:7">
      <c r="A1110" s="23" t="str">
        <f>IF('سجل الإنتاج'!C110="","",'سجل الإنتاج'!B110)</f>
        <v/>
      </c>
      <c r="B1110" t="str">
        <f>IF('سجل الإنتاج'!C110="","","إنتاج طبخة")</f>
        <v/>
      </c>
      <c r="C1110" t="str">
        <f>IF('سجل الإنتاج'!C110="","",'سجل الإنتاج'!C110)</f>
        <v/>
      </c>
      <c r="D1110" t="str">
        <f>IF('سجل الإنتاج'!C110="","","عدة مواد - راجع صفحة الطبخات")</f>
        <v/>
      </c>
      <c r="F1110" t="str">
        <f>IF('سجل الإنتاج'!C110="","",IF('سجل الإنتاج'!D110="","",'سجل الإنتاج'!D110))</f>
        <v/>
      </c>
      <c r="G1110" t="str">
        <f>IF($B1110&lt;&gt;"",SUMPRODUCT(($B$2:$B1110&lt;&gt;"")*1),"")</f>
        <v/>
      </c>
    </row>
    <row r="1111" spans="1:7">
      <c r="A1111" s="23" t="str">
        <f>IF('سجل الإنتاج'!C111="","",'سجل الإنتاج'!B111)</f>
        <v/>
      </c>
      <c r="B1111" t="str">
        <f>IF('سجل الإنتاج'!C111="","","إنتاج طبخة")</f>
        <v/>
      </c>
      <c r="C1111" t="str">
        <f>IF('سجل الإنتاج'!C111="","",'سجل الإنتاج'!C111)</f>
        <v/>
      </c>
      <c r="D1111" t="str">
        <f>IF('سجل الإنتاج'!C111="","","عدة مواد - راجع صفحة الطبخات")</f>
        <v/>
      </c>
      <c r="F1111" t="str">
        <f>IF('سجل الإنتاج'!C111="","",IF('سجل الإنتاج'!D111="","",'سجل الإنتاج'!D111))</f>
        <v/>
      </c>
      <c r="G1111" t="str">
        <f>IF($B1111&lt;&gt;"",SUMPRODUCT(($B$2:$B1111&lt;&gt;"")*1),"")</f>
        <v/>
      </c>
    </row>
    <row r="1112" spans="1:7">
      <c r="A1112" s="23" t="str">
        <f>IF('سجل الإنتاج'!C112="","",'سجل الإنتاج'!B112)</f>
        <v/>
      </c>
      <c r="B1112" t="str">
        <f>IF('سجل الإنتاج'!C112="","","إنتاج طبخة")</f>
        <v/>
      </c>
      <c r="C1112" t="str">
        <f>IF('سجل الإنتاج'!C112="","",'سجل الإنتاج'!C112)</f>
        <v/>
      </c>
      <c r="D1112" t="str">
        <f>IF('سجل الإنتاج'!C112="","","عدة مواد - راجع صفحة الطبخات")</f>
        <v/>
      </c>
      <c r="F1112" t="str">
        <f>IF('سجل الإنتاج'!C112="","",IF('سجل الإنتاج'!D112="","",'سجل الإنتاج'!D112))</f>
        <v/>
      </c>
      <c r="G1112" t="str">
        <f>IF($B1112&lt;&gt;"",SUMPRODUCT(($B$2:$B1112&lt;&gt;"")*1),"")</f>
        <v/>
      </c>
    </row>
    <row r="1113" spans="1:7">
      <c r="A1113" s="23" t="str">
        <f>IF('سجل الإنتاج'!C113="","",'سجل الإنتاج'!B113)</f>
        <v/>
      </c>
      <c r="B1113" t="str">
        <f>IF('سجل الإنتاج'!C113="","","إنتاج طبخة")</f>
        <v/>
      </c>
      <c r="C1113" t="str">
        <f>IF('سجل الإنتاج'!C113="","",'سجل الإنتاج'!C113)</f>
        <v/>
      </c>
      <c r="D1113" t="str">
        <f>IF('سجل الإنتاج'!C113="","","عدة مواد - راجع صفحة الطبخات")</f>
        <v/>
      </c>
      <c r="F1113" t="str">
        <f>IF('سجل الإنتاج'!C113="","",IF('سجل الإنتاج'!D113="","",'سجل الإنتاج'!D113))</f>
        <v/>
      </c>
      <c r="G1113" t="str">
        <f>IF($B1113&lt;&gt;"",SUMPRODUCT(($B$2:$B1113&lt;&gt;"")*1),"")</f>
        <v/>
      </c>
    </row>
    <row r="1114" spans="1:7">
      <c r="A1114" s="23" t="str">
        <f>IF('سجل الإنتاج'!C114="","",'سجل الإنتاج'!B114)</f>
        <v/>
      </c>
      <c r="B1114" t="str">
        <f>IF('سجل الإنتاج'!C114="","","إنتاج طبخة")</f>
        <v/>
      </c>
      <c r="C1114" t="str">
        <f>IF('سجل الإنتاج'!C114="","",'سجل الإنتاج'!C114)</f>
        <v/>
      </c>
      <c r="D1114" t="str">
        <f>IF('سجل الإنتاج'!C114="","","عدة مواد - راجع صفحة الطبخات")</f>
        <v/>
      </c>
      <c r="F1114" t="str">
        <f>IF('سجل الإنتاج'!C114="","",IF('سجل الإنتاج'!D114="","",'سجل الإنتاج'!D114))</f>
        <v/>
      </c>
      <c r="G1114" t="str">
        <f>IF($B1114&lt;&gt;"",SUMPRODUCT(($B$2:$B1114&lt;&gt;"")*1),"")</f>
        <v/>
      </c>
    </row>
    <row r="1115" spans="1:7">
      <c r="A1115" s="23" t="str">
        <f>IF('سجل الإنتاج'!C115="","",'سجل الإنتاج'!B115)</f>
        <v/>
      </c>
      <c r="B1115" t="str">
        <f>IF('سجل الإنتاج'!C115="","","إنتاج طبخة")</f>
        <v/>
      </c>
      <c r="C1115" t="str">
        <f>IF('سجل الإنتاج'!C115="","",'سجل الإنتاج'!C115)</f>
        <v/>
      </c>
      <c r="D1115" t="str">
        <f>IF('سجل الإنتاج'!C115="","","عدة مواد - راجع صفحة الطبخات")</f>
        <v/>
      </c>
      <c r="F1115" t="str">
        <f>IF('سجل الإنتاج'!C115="","",IF('سجل الإنتاج'!D115="","",'سجل الإنتاج'!D115))</f>
        <v/>
      </c>
      <c r="G1115" t="str">
        <f>IF($B1115&lt;&gt;"",SUMPRODUCT(($B$2:$B1115&lt;&gt;"")*1),"")</f>
        <v/>
      </c>
    </row>
    <row r="1116" spans="1:7">
      <c r="A1116" s="23" t="str">
        <f>IF('سجل الإنتاج'!C116="","",'سجل الإنتاج'!B116)</f>
        <v/>
      </c>
      <c r="B1116" t="str">
        <f>IF('سجل الإنتاج'!C116="","","إنتاج طبخة")</f>
        <v/>
      </c>
      <c r="C1116" t="str">
        <f>IF('سجل الإنتاج'!C116="","",'سجل الإنتاج'!C116)</f>
        <v/>
      </c>
      <c r="D1116" t="str">
        <f>IF('سجل الإنتاج'!C116="","","عدة مواد - راجع صفحة الطبخات")</f>
        <v/>
      </c>
      <c r="F1116" t="str">
        <f>IF('سجل الإنتاج'!C116="","",IF('سجل الإنتاج'!D116="","",'سجل الإنتاج'!D116))</f>
        <v/>
      </c>
      <c r="G1116" t="str">
        <f>IF($B1116&lt;&gt;"",SUMPRODUCT(($B$2:$B1116&lt;&gt;"")*1),"")</f>
        <v/>
      </c>
    </row>
    <row r="1117" spans="1:7">
      <c r="A1117" s="23" t="str">
        <f>IF('سجل الإنتاج'!C117="","",'سجل الإنتاج'!B117)</f>
        <v/>
      </c>
      <c r="B1117" t="str">
        <f>IF('سجل الإنتاج'!C117="","","إنتاج طبخة")</f>
        <v/>
      </c>
      <c r="C1117" t="str">
        <f>IF('سجل الإنتاج'!C117="","",'سجل الإنتاج'!C117)</f>
        <v/>
      </c>
      <c r="D1117" t="str">
        <f>IF('سجل الإنتاج'!C117="","","عدة مواد - راجع صفحة الطبخات")</f>
        <v/>
      </c>
      <c r="F1117" t="str">
        <f>IF('سجل الإنتاج'!C117="","",IF('سجل الإنتاج'!D117="","",'سجل الإنتاج'!D117))</f>
        <v/>
      </c>
      <c r="G1117" t="str">
        <f>IF($B1117&lt;&gt;"",SUMPRODUCT(($B$2:$B1117&lt;&gt;"")*1),"")</f>
        <v/>
      </c>
    </row>
    <row r="1118" spans="1:7">
      <c r="A1118" s="23" t="str">
        <f>IF('سجل الإنتاج'!C118="","",'سجل الإنتاج'!B118)</f>
        <v/>
      </c>
      <c r="B1118" t="str">
        <f>IF('سجل الإنتاج'!C118="","","إنتاج طبخة")</f>
        <v/>
      </c>
      <c r="C1118" t="str">
        <f>IF('سجل الإنتاج'!C118="","",'سجل الإنتاج'!C118)</f>
        <v/>
      </c>
      <c r="D1118" t="str">
        <f>IF('سجل الإنتاج'!C118="","","عدة مواد - راجع صفحة الطبخات")</f>
        <v/>
      </c>
      <c r="F1118" t="str">
        <f>IF('سجل الإنتاج'!C118="","",IF('سجل الإنتاج'!D118="","",'سجل الإنتاج'!D118))</f>
        <v/>
      </c>
      <c r="G1118" t="str">
        <f>IF($B1118&lt;&gt;"",SUMPRODUCT(($B$2:$B1118&lt;&gt;"")*1),"")</f>
        <v/>
      </c>
    </row>
    <row r="1119" spans="1:7">
      <c r="A1119" s="23" t="str">
        <f>IF('سجل الإنتاج'!C119="","",'سجل الإنتاج'!B119)</f>
        <v/>
      </c>
      <c r="B1119" t="str">
        <f>IF('سجل الإنتاج'!C119="","","إنتاج طبخة")</f>
        <v/>
      </c>
      <c r="C1119" t="str">
        <f>IF('سجل الإنتاج'!C119="","",'سجل الإنتاج'!C119)</f>
        <v/>
      </c>
      <c r="D1119" t="str">
        <f>IF('سجل الإنتاج'!C119="","","عدة مواد - راجع صفحة الطبخات")</f>
        <v/>
      </c>
      <c r="F1119" t="str">
        <f>IF('سجل الإنتاج'!C119="","",IF('سجل الإنتاج'!D119="","",'سجل الإنتاج'!D119))</f>
        <v/>
      </c>
      <c r="G1119" t="str">
        <f>IF($B1119&lt;&gt;"",SUMPRODUCT(($B$2:$B1119&lt;&gt;"")*1),"")</f>
        <v/>
      </c>
    </row>
    <row r="1120" spans="1:7">
      <c r="A1120" s="23" t="str">
        <f>IF('سجل الإنتاج'!C120="","",'سجل الإنتاج'!B120)</f>
        <v/>
      </c>
      <c r="B1120" t="str">
        <f>IF('سجل الإنتاج'!C120="","","إنتاج طبخة")</f>
        <v/>
      </c>
      <c r="C1120" t="str">
        <f>IF('سجل الإنتاج'!C120="","",'سجل الإنتاج'!C120)</f>
        <v/>
      </c>
      <c r="D1120" t="str">
        <f>IF('سجل الإنتاج'!C120="","","عدة مواد - راجع صفحة الطبخات")</f>
        <v/>
      </c>
      <c r="F1120" t="str">
        <f>IF('سجل الإنتاج'!C120="","",IF('سجل الإنتاج'!D120="","",'سجل الإنتاج'!D120))</f>
        <v/>
      </c>
      <c r="G1120" t="str">
        <f>IF($B1120&lt;&gt;"",SUMPRODUCT(($B$2:$B1120&lt;&gt;"")*1),"")</f>
        <v/>
      </c>
    </row>
    <row r="1121" spans="1:7">
      <c r="A1121" s="23" t="str">
        <f>IF('سجل الإنتاج'!C121="","",'سجل الإنتاج'!B121)</f>
        <v/>
      </c>
      <c r="B1121" t="str">
        <f>IF('سجل الإنتاج'!C121="","","إنتاج طبخة")</f>
        <v/>
      </c>
      <c r="C1121" t="str">
        <f>IF('سجل الإنتاج'!C121="","",'سجل الإنتاج'!C121)</f>
        <v/>
      </c>
      <c r="D1121" t="str">
        <f>IF('سجل الإنتاج'!C121="","","عدة مواد - راجع صفحة الطبخات")</f>
        <v/>
      </c>
      <c r="F1121" t="str">
        <f>IF('سجل الإنتاج'!C121="","",IF('سجل الإنتاج'!D121="","",'سجل الإنتاج'!D121))</f>
        <v/>
      </c>
      <c r="G1121" t="str">
        <f>IF($B1121&lt;&gt;"",SUMPRODUCT(($B$2:$B1121&lt;&gt;"")*1),"")</f>
        <v/>
      </c>
    </row>
    <row r="1122" spans="1:7">
      <c r="A1122" s="23" t="str">
        <f>IF('سجل الإنتاج'!C122="","",'سجل الإنتاج'!B122)</f>
        <v/>
      </c>
      <c r="B1122" t="str">
        <f>IF('سجل الإنتاج'!C122="","","إنتاج طبخة")</f>
        <v/>
      </c>
      <c r="C1122" t="str">
        <f>IF('سجل الإنتاج'!C122="","",'سجل الإنتاج'!C122)</f>
        <v/>
      </c>
      <c r="D1122" t="str">
        <f>IF('سجل الإنتاج'!C122="","","عدة مواد - راجع صفحة الطبخات")</f>
        <v/>
      </c>
      <c r="F1122" t="str">
        <f>IF('سجل الإنتاج'!C122="","",IF('سجل الإنتاج'!D122="","",'سجل الإنتاج'!D122))</f>
        <v/>
      </c>
      <c r="G1122" t="str">
        <f>IF($B1122&lt;&gt;"",SUMPRODUCT(($B$2:$B1122&lt;&gt;"")*1),"")</f>
        <v/>
      </c>
    </row>
    <row r="1123" spans="1:7">
      <c r="A1123" s="23" t="str">
        <f>IF('سجل الإنتاج'!C123="","",'سجل الإنتاج'!B123)</f>
        <v/>
      </c>
      <c r="B1123" t="str">
        <f>IF('سجل الإنتاج'!C123="","","إنتاج طبخة")</f>
        <v/>
      </c>
      <c r="C1123" t="str">
        <f>IF('سجل الإنتاج'!C123="","",'سجل الإنتاج'!C123)</f>
        <v/>
      </c>
      <c r="D1123" t="str">
        <f>IF('سجل الإنتاج'!C123="","","عدة مواد - راجع صفحة الطبخات")</f>
        <v/>
      </c>
      <c r="F1123" t="str">
        <f>IF('سجل الإنتاج'!C123="","",IF('سجل الإنتاج'!D123="","",'سجل الإنتاج'!D123))</f>
        <v/>
      </c>
      <c r="G1123" t="str">
        <f>IF($B1123&lt;&gt;"",SUMPRODUCT(($B$2:$B1123&lt;&gt;"")*1),"")</f>
        <v/>
      </c>
    </row>
    <row r="1124" spans="1:7">
      <c r="A1124" s="23" t="str">
        <f>IF('سجل الإنتاج'!C124="","",'سجل الإنتاج'!B124)</f>
        <v/>
      </c>
      <c r="B1124" t="str">
        <f>IF('سجل الإنتاج'!C124="","","إنتاج طبخة")</f>
        <v/>
      </c>
      <c r="C1124" t="str">
        <f>IF('سجل الإنتاج'!C124="","",'سجل الإنتاج'!C124)</f>
        <v/>
      </c>
      <c r="D1124" t="str">
        <f>IF('سجل الإنتاج'!C124="","","عدة مواد - راجع صفحة الطبخات")</f>
        <v/>
      </c>
      <c r="F1124" t="str">
        <f>IF('سجل الإنتاج'!C124="","",IF('سجل الإنتاج'!D124="","",'سجل الإنتاج'!D124))</f>
        <v/>
      </c>
      <c r="G1124" t="str">
        <f>IF($B1124&lt;&gt;"",SUMPRODUCT(($B$2:$B1124&lt;&gt;"")*1),"")</f>
        <v/>
      </c>
    </row>
    <row r="1125" spans="1:7">
      <c r="A1125" s="23" t="str">
        <f>IF('سجل الإنتاج'!C125="","",'سجل الإنتاج'!B125)</f>
        <v/>
      </c>
      <c r="B1125" t="str">
        <f>IF('سجل الإنتاج'!C125="","","إنتاج طبخة")</f>
        <v/>
      </c>
      <c r="C1125" t="str">
        <f>IF('سجل الإنتاج'!C125="","",'سجل الإنتاج'!C125)</f>
        <v/>
      </c>
      <c r="D1125" t="str">
        <f>IF('سجل الإنتاج'!C125="","","عدة مواد - راجع صفحة الطبخات")</f>
        <v/>
      </c>
      <c r="F1125" t="str">
        <f>IF('سجل الإنتاج'!C125="","",IF('سجل الإنتاج'!D125="","",'سجل الإنتاج'!D125))</f>
        <v/>
      </c>
      <c r="G1125" t="str">
        <f>IF($B1125&lt;&gt;"",SUMPRODUCT(($B$2:$B1125&lt;&gt;"")*1),"")</f>
        <v/>
      </c>
    </row>
    <row r="1126" spans="1:7">
      <c r="A1126" s="23" t="str">
        <f>IF('سجل الإنتاج'!C126="","",'سجل الإنتاج'!B126)</f>
        <v/>
      </c>
      <c r="B1126" t="str">
        <f>IF('سجل الإنتاج'!C126="","","إنتاج طبخة")</f>
        <v/>
      </c>
      <c r="C1126" t="str">
        <f>IF('سجل الإنتاج'!C126="","",'سجل الإنتاج'!C126)</f>
        <v/>
      </c>
      <c r="D1126" t="str">
        <f>IF('سجل الإنتاج'!C126="","","عدة مواد - راجع صفحة الطبخات")</f>
        <v/>
      </c>
      <c r="F1126" t="str">
        <f>IF('سجل الإنتاج'!C126="","",IF('سجل الإنتاج'!D126="","",'سجل الإنتاج'!D126))</f>
        <v/>
      </c>
      <c r="G1126" t="str">
        <f>IF($B1126&lt;&gt;"",SUMPRODUCT(($B$2:$B1126&lt;&gt;"")*1),"")</f>
        <v/>
      </c>
    </row>
    <row r="1127" spans="1:7">
      <c r="A1127" s="23" t="str">
        <f>IF('سجل الإنتاج'!C127="","",'سجل الإنتاج'!B127)</f>
        <v/>
      </c>
      <c r="B1127" t="str">
        <f>IF('سجل الإنتاج'!C127="","","إنتاج طبخة")</f>
        <v/>
      </c>
      <c r="C1127" t="str">
        <f>IF('سجل الإنتاج'!C127="","",'سجل الإنتاج'!C127)</f>
        <v/>
      </c>
      <c r="D1127" t="str">
        <f>IF('سجل الإنتاج'!C127="","","عدة مواد - راجع صفحة الطبخات")</f>
        <v/>
      </c>
      <c r="F1127" t="str">
        <f>IF('سجل الإنتاج'!C127="","",IF('سجل الإنتاج'!D127="","",'سجل الإنتاج'!D127))</f>
        <v/>
      </c>
      <c r="G1127" t="str">
        <f>IF($B1127&lt;&gt;"",SUMPRODUCT(($B$2:$B1127&lt;&gt;"")*1),"")</f>
        <v/>
      </c>
    </row>
    <row r="1128" spans="1:7">
      <c r="A1128" s="23" t="str">
        <f>IF('سجل الإنتاج'!C128="","",'سجل الإنتاج'!B128)</f>
        <v/>
      </c>
      <c r="B1128" t="str">
        <f>IF('سجل الإنتاج'!C128="","","إنتاج طبخة")</f>
        <v/>
      </c>
      <c r="C1128" t="str">
        <f>IF('سجل الإنتاج'!C128="","",'سجل الإنتاج'!C128)</f>
        <v/>
      </c>
      <c r="D1128" t="str">
        <f>IF('سجل الإنتاج'!C128="","","عدة مواد - راجع صفحة الطبخات")</f>
        <v/>
      </c>
      <c r="F1128" t="str">
        <f>IF('سجل الإنتاج'!C128="","",IF('سجل الإنتاج'!D128="","",'سجل الإنتاج'!D128))</f>
        <v/>
      </c>
      <c r="G1128" t="str">
        <f>IF($B1128&lt;&gt;"",SUMPRODUCT(($B$2:$B1128&lt;&gt;"")*1),"")</f>
        <v/>
      </c>
    </row>
    <row r="1129" spans="1:7">
      <c r="A1129" s="23" t="str">
        <f>IF('سجل الإنتاج'!C129="","",'سجل الإنتاج'!B129)</f>
        <v/>
      </c>
      <c r="B1129" t="str">
        <f>IF('سجل الإنتاج'!C129="","","إنتاج طبخة")</f>
        <v/>
      </c>
      <c r="C1129" t="str">
        <f>IF('سجل الإنتاج'!C129="","",'سجل الإنتاج'!C129)</f>
        <v/>
      </c>
      <c r="D1129" t="str">
        <f>IF('سجل الإنتاج'!C129="","","عدة مواد - راجع صفحة الطبخات")</f>
        <v/>
      </c>
      <c r="F1129" t="str">
        <f>IF('سجل الإنتاج'!C129="","",IF('سجل الإنتاج'!D129="","",'سجل الإنتاج'!D129))</f>
        <v/>
      </c>
      <c r="G1129" t="str">
        <f>IF($B1129&lt;&gt;"",SUMPRODUCT(($B$2:$B1129&lt;&gt;"")*1),"")</f>
        <v/>
      </c>
    </row>
    <row r="1130" spans="1:7">
      <c r="A1130" s="23" t="str">
        <f>IF('سجل الإنتاج'!C130="","",'سجل الإنتاج'!B130)</f>
        <v/>
      </c>
      <c r="B1130" t="str">
        <f>IF('سجل الإنتاج'!C130="","","إنتاج طبخة")</f>
        <v/>
      </c>
      <c r="C1130" t="str">
        <f>IF('سجل الإنتاج'!C130="","",'سجل الإنتاج'!C130)</f>
        <v/>
      </c>
      <c r="D1130" t="str">
        <f>IF('سجل الإنتاج'!C130="","","عدة مواد - راجع صفحة الطبخات")</f>
        <v/>
      </c>
      <c r="F1130" t="str">
        <f>IF('سجل الإنتاج'!C130="","",IF('سجل الإنتاج'!D130="","",'سجل الإنتاج'!D130))</f>
        <v/>
      </c>
      <c r="G1130" t="str">
        <f>IF($B1130&lt;&gt;"",SUMPRODUCT(($B$2:$B1130&lt;&gt;"")*1),"")</f>
        <v/>
      </c>
    </row>
    <row r="1131" spans="1:7">
      <c r="A1131" s="23" t="str">
        <f>IF('سجل الإنتاج'!C131="","",'سجل الإنتاج'!B131)</f>
        <v/>
      </c>
      <c r="B1131" t="str">
        <f>IF('سجل الإنتاج'!C131="","","إنتاج طبخة")</f>
        <v/>
      </c>
      <c r="C1131" t="str">
        <f>IF('سجل الإنتاج'!C131="","",'سجل الإنتاج'!C131)</f>
        <v/>
      </c>
      <c r="D1131" t="str">
        <f>IF('سجل الإنتاج'!C131="","","عدة مواد - راجع صفحة الطبخات")</f>
        <v/>
      </c>
      <c r="F1131" t="str">
        <f>IF('سجل الإنتاج'!C131="","",IF('سجل الإنتاج'!D131="","",'سجل الإنتاج'!D131))</f>
        <v/>
      </c>
      <c r="G1131" t="str">
        <f>IF($B1131&lt;&gt;"",SUMPRODUCT(($B$2:$B1131&lt;&gt;"")*1),"")</f>
        <v/>
      </c>
    </row>
    <row r="1132" spans="1:7">
      <c r="A1132" s="23" t="str">
        <f>IF('سجل الإنتاج'!C132="","",'سجل الإنتاج'!B132)</f>
        <v/>
      </c>
      <c r="B1132" t="str">
        <f>IF('سجل الإنتاج'!C132="","","إنتاج طبخة")</f>
        <v/>
      </c>
      <c r="C1132" t="str">
        <f>IF('سجل الإنتاج'!C132="","",'سجل الإنتاج'!C132)</f>
        <v/>
      </c>
      <c r="D1132" t="str">
        <f>IF('سجل الإنتاج'!C132="","","عدة مواد - راجع صفحة الطبخات")</f>
        <v/>
      </c>
      <c r="F1132" t="str">
        <f>IF('سجل الإنتاج'!C132="","",IF('سجل الإنتاج'!D132="","",'سجل الإنتاج'!D132))</f>
        <v/>
      </c>
      <c r="G1132" t="str">
        <f>IF($B1132&lt;&gt;"",SUMPRODUCT(($B$2:$B1132&lt;&gt;"")*1),"")</f>
        <v/>
      </c>
    </row>
    <row r="1133" spans="1:7">
      <c r="A1133" s="23" t="str">
        <f>IF('سجل الإنتاج'!C133="","",'سجل الإنتاج'!B133)</f>
        <v/>
      </c>
      <c r="B1133" t="str">
        <f>IF('سجل الإنتاج'!C133="","","إنتاج طبخة")</f>
        <v/>
      </c>
      <c r="C1133" t="str">
        <f>IF('سجل الإنتاج'!C133="","",'سجل الإنتاج'!C133)</f>
        <v/>
      </c>
      <c r="D1133" t="str">
        <f>IF('سجل الإنتاج'!C133="","","عدة مواد - راجع صفحة الطبخات")</f>
        <v/>
      </c>
      <c r="F1133" t="str">
        <f>IF('سجل الإنتاج'!C133="","",IF('سجل الإنتاج'!D133="","",'سجل الإنتاج'!D133))</f>
        <v/>
      </c>
      <c r="G1133" t="str">
        <f>IF($B1133&lt;&gt;"",SUMPRODUCT(($B$2:$B1133&lt;&gt;"")*1),"")</f>
        <v/>
      </c>
    </row>
    <row r="1134" spans="1:7">
      <c r="A1134" s="23" t="str">
        <f>IF('سجل الإنتاج'!C134="","",'سجل الإنتاج'!B134)</f>
        <v/>
      </c>
      <c r="B1134" t="str">
        <f>IF('سجل الإنتاج'!C134="","","إنتاج طبخة")</f>
        <v/>
      </c>
      <c r="C1134" t="str">
        <f>IF('سجل الإنتاج'!C134="","",'سجل الإنتاج'!C134)</f>
        <v/>
      </c>
      <c r="D1134" t="str">
        <f>IF('سجل الإنتاج'!C134="","","عدة مواد - راجع صفحة الطبخات")</f>
        <v/>
      </c>
      <c r="F1134" t="str">
        <f>IF('سجل الإنتاج'!C134="","",IF('سجل الإنتاج'!D134="","",'سجل الإنتاج'!D134))</f>
        <v/>
      </c>
      <c r="G1134" t="str">
        <f>IF($B1134&lt;&gt;"",SUMPRODUCT(($B$2:$B1134&lt;&gt;"")*1),"")</f>
        <v/>
      </c>
    </row>
    <row r="1135" spans="1:7">
      <c r="A1135" s="23" t="str">
        <f>IF('سجل الإنتاج'!C135="","",'سجل الإنتاج'!B135)</f>
        <v/>
      </c>
      <c r="B1135" t="str">
        <f>IF('سجل الإنتاج'!C135="","","إنتاج طبخة")</f>
        <v/>
      </c>
      <c r="C1135" t="str">
        <f>IF('سجل الإنتاج'!C135="","",'سجل الإنتاج'!C135)</f>
        <v/>
      </c>
      <c r="D1135" t="str">
        <f>IF('سجل الإنتاج'!C135="","","عدة مواد - راجع صفحة الطبخات")</f>
        <v/>
      </c>
      <c r="F1135" t="str">
        <f>IF('سجل الإنتاج'!C135="","",IF('سجل الإنتاج'!D135="","",'سجل الإنتاج'!D135))</f>
        <v/>
      </c>
      <c r="G1135" t="str">
        <f>IF($B1135&lt;&gt;"",SUMPRODUCT(($B$2:$B1135&lt;&gt;"")*1),"")</f>
        <v/>
      </c>
    </row>
    <row r="1136" spans="1:7">
      <c r="A1136" s="23" t="str">
        <f>IF('سجل الإنتاج'!C136="","",'سجل الإنتاج'!B136)</f>
        <v/>
      </c>
      <c r="B1136" t="str">
        <f>IF('سجل الإنتاج'!C136="","","إنتاج طبخة")</f>
        <v/>
      </c>
      <c r="C1136" t="str">
        <f>IF('سجل الإنتاج'!C136="","",'سجل الإنتاج'!C136)</f>
        <v/>
      </c>
      <c r="D1136" t="str">
        <f>IF('سجل الإنتاج'!C136="","","عدة مواد - راجع صفحة الطبخات")</f>
        <v/>
      </c>
      <c r="F1136" t="str">
        <f>IF('سجل الإنتاج'!C136="","",IF('سجل الإنتاج'!D136="","",'سجل الإنتاج'!D136))</f>
        <v/>
      </c>
      <c r="G1136" t="str">
        <f>IF($B1136&lt;&gt;"",SUMPRODUCT(($B$2:$B1136&lt;&gt;"")*1),"")</f>
        <v/>
      </c>
    </row>
    <row r="1137" spans="1:7">
      <c r="A1137" s="23" t="str">
        <f>IF('سجل الإنتاج'!C137="","",'سجل الإنتاج'!B137)</f>
        <v/>
      </c>
      <c r="B1137" t="str">
        <f>IF('سجل الإنتاج'!C137="","","إنتاج طبخة")</f>
        <v/>
      </c>
      <c r="C1137" t="str">
        <f>IF('سجل الإنتاج'!C137="","",'سجل الإنتاج'!C137)</f>
        <v/>
      </c>
      <c r="D1137" t="str">
        <f>IF('سجل الإنتاج'!C137="","","عدة مواد - راجع صفحة الطبخات")</f>
        <v/>
      </c>
      <c r="F1137" t="str">
        <f>IF('سجل الإنتاج'!C137="","",IF('سجل الإنتاج'!D137="","",'سجل الإنتاج'!D137))</f>
        <v/>
      </c>
      <c r="G1137" t="str">
        <f>IF($B1137&lt;&gt;"",SUMPRODUCT(($B$2:$B1137&lt;&gt;"")*1),"")</f>
        <v/>
      </c>
    </row>
    <row r="1138" spans="1:7">
      <c r="A1138" s="23" t="str">
        <f>IF('سجل الإنتاج'!C138="","",'سجل الإنتاج'!B138)</f>
        <v/>
      </c>
      <c r="B1138" t="str">
        <f>IF('سجل الإنتاج'!C138="","","إنتاج طبخة")</f>
        <v/>
      </c>
      <c r="C1138" t="str">
        <f>IF('سجل الإنتاج'!C138="","",'سجل الإنتاج'!C138)</f>
        <v/>
      </c>
      <c r="D1138" t="str">
        <f>IF('سجل الإنتاج'!C138="","","عدة مواد - راجع صفحة الطبخات")</f>
        <v/>
      </c>
      <c r="F1138" t="str">
        <f>IF('سجل الإنتاج'!C138="","",IF('سجل الإنتاج'!D138="","",'سجل الإنتاج'!D138))</f>
        <v/>
      </c>
      <c r="G1138" t="str">
        <f>IF($B1138&lt;&gt;"",SUMPRODUCT(($B$2:$B1138&lt;&gt;"")*1),"")</f>
        <v/>
      </c>
    </row>
    <row r="1139" spans="1:7">
      <c r="A1139" s="23" t="str">
        <f>IF('سجل الإنتاج'!C139="","",'سجل الإنتاج'!B139)</f>
        <v/>
      </c>
      <c r="B1139" t="str">
        <f>IF('سجل الإنتاج'!C139="","","إنتاج طبخة")</f>
        <v/>
      </c>
      <c r="C1139" t="str">
        <f>IF('سجل الإنتاج'!C139="","",'سجل الإنتاج'!C139)</f>
        <v/>
      </c>
      <c r="D1139" t="str">
        <f>IF('سجل الإنتاج'!C139="","","عدة مواد - راجع صفحة الطبخات")</f>
        <v/>
      </c>
      <c r="F1139" t="str">
        <f>IF('سجل الإنتاج'!C139="","",IF('سجل الإنتاج'!D139="","",'سجل الإنتاج'!D139))</f>
        <v/>
      </c>
      <c r="G1139" t="str">
        <f>IF($B1139&lt;&gt;"",SUMPRODUCT(($B$2:$B1139&lt;&gt;"")*1),"")</f>
        <v/>
      </c>
    </row>
    <row r="1140" spans="1:7">
      <c r="A1140" s="23" t="str">
        <f>IF('سجل الإنتاج'!C140="","",'سجل الإنتاج'!B140)</f>
        <v/>
      </c>
      <c r="B1140" t="str">
        <f>IF('سجل الإنتاج'!C140="","","إنتاج طبخة")</f>
        <v/>
      </c>
      <c r="C1140" t="str">
        <f>IF('سجل الإنتاج'!C140="","",'سجل الإنتاج'!C140)</f>
        <v/>
      </c>
      <c r="D1140" t="str">
        <f>IF('سجل الإنتاج'!C140="","","عدة مواد - راجع صفحة الطبخات")</f>
        <v/>
      </c>
      <c r="F1140" t="str">
        <f>IF('سجل الإنتاج'!C140="","",IF('سجل الإنتاج'!D140="","",'سجل الإنتاج'!D140))</f>
        <v/>
      </c>
      <c r="G1140" t="str">
        <f>IF($B1140&lt;&gt;"",SUMPRODUCT(($B$2:$B1140&lt;&gt;"")*1),"")</f>
        <v/>
      </c>
    </row>
    <row r="1141" spans="1:7">
      <c r="A1141" s="23" t="str">
        <f>IF('سجل الإنتاج'!C141="","",'سجل الإنتاج'!B141)</f>
        <v/>
      </c>
      <c r="B1141" t="str">
        <f>IF('سجل الإنتاج'!C141="","","إنتاج طبخة")</f>
        <v/>
      </c>
      <c r="C1141" t="str">
        <f>IF('سجل الإنتاج'!C141="","",'سجل الإنتاج'!C141)</f>
        <v/>
      </c>
      <c r="D1141" t="str">
        <f>IF('سجل الإنتاج'!C141="","","عدة مواد - راجع صفحة الطبخات")</f>
        <v/>
      </c>
      <c r="F1141" t="str">
        <f>IF('سجل الإنتاج'!C141="","",IF('سجل الإنتاج'!D141="","",'سجل الإنتاج'!D141))</f>
        <v/>
      </c>
      <c r="G1141" t="str">
        <f>IF($B1141&lt;&gt;"",SUMPRODUCT(($B$2:$B1141&lt;&gt;"")*1),"")</f>
        <v/>
      </c>
    </row>
    <row r="1142" spans="1:7">
      <c r="A1142" s="23" t="str">
        <f>IF('سجل الإنتاج'!C142="","",'سجل الإنتاج'!B142)</f>
        <v/>
      </c>
      <c r="B1142" t="str">
        <f>IF('سجل الإنتاج'!C142="","","إنتاج طبخة")</f>
        <v/>
      </c>
      <c r="C1142" t="str">
        <f>IF('سجل الإنتاج'!C142="","",'سجل الإنتاج'!C142)</f>
        <v/>
      </c>
      <c r="D1142" t="str">
        <f>IF('سجل الإنتاج'!C142="","","عدة مواد - راجع صفحة الطبخات")</f>
        <v/>
      </c>
      <c r="F1142" t="str">
        <f>IF('سجل الإنتاج'!C142="","",IF('سجل الإنتاج'!D142="","",'سجل الإنتاج'!D142))</f>
        <v/>
      </c>
      <c r="G1142" t="str">
        <f>IF($B1142&lt;&gt;"",SUMPRODUCT(($B$2:$B1142&lt;&gt;"")*1),"")</f>
        <v/>
      </c>
    </row>
    <row r="1143" spans="1:7">
      <c r="A1143" s="23" t="str">
        <f>IF('سجل الإنتاج'!C143="","",'سجل الإنتاج'!B143)</f>
        <v/>
      </c>
      <c r="B1143" t="str">
        <f>IF('سجل الإنتاج'!C143="","","إنتاج طبخة")</f>
        <v/>
      </c>
      <c r="C1143" t="str">
        <f>IF('سجل الإنتاج'!C143="","",'سجل الإنتاج'!C143)</f>
        <v/>
      </c>
      <c r="D1143" t="str">
        <f>IF('سجل الإنتاج'!C143="","","عدة مواد - راجع صفحة الطبخات")</f>
        <v/>
      </c>
      <c r="F1143" t="str">
        <f>IF('سجل الإنتاج'!C143="","",IF('سجل الإنتاج'!D143="","",'سجل الإنتاج'!D143))</f>
        <v/>
      </c>
      <c r="G1143" t="str">
        <f>IF($B1143&lt;&gt;"",SUMPRODUCT(($B$2:$B1143&lt;&gt;"")*1),"")</f>
        <v/>
      </c>
    </row>
    <row r="1144" spans="1:7">
      <c r="A1144" s="23" t="str">
        <f>IF('سجل الإنتاج'!C144="","",'سجل الإنتاج'!B144)</f>
        <v/>
      </c>
      <c r="B1144" t="str">
        <f>IF('سجل الإنتاج'!C144="","","إنتاج طبخة")</f>
        <v/>
      </c>
      <c r="C1144" t="str">
        <f>IF('سجل الإنتاج'!C144="","",'سجل الإنتاج'!C144)</f>
        <v/>
      </c>
      <c r="D1144" t="str">
        <f>IF('سجل الإنتاج'!C144="","","عدة مواد - راجع صفحة الطبخات")</f>
        <v/>
      </c>
      <c r="F1144" t="str">
        <f>IF('سجل الإنتاج'!C144="","",IF('سجل الإنتاج'!D144="","",'سجل الإنتاج'!D144))</f>
        <v/>
      </c>
      <c r="G1144" t="str">
        <f>IF($B1144&lt;&gt;"",SUMPRODUCT(($B$2:$B1144&lt;&gt;"")*1),"")</f>
        <v/>
      </c>
    </row>
    <row r="1145" spans="1:7">
      <c r="A1145" s="23" t="str">
        <f>IF('سجل الإنتاج'!C145="","",'سجل الإنتاج'!B145)</f>
        <v/>
      </c>
      <c r="B1145" t="str">
        <f>IF('سجل الإنتاج'!C145="","","إنتاج طبخة")</f>
        <v/>
      </c>
      <c r="C1145" t="str">
        <f>IF('سجل الإنتاج'!C145="","",'سجل الإنتاج'!C145)</f>
        <v/>
      </c>
      <c r="D1145" t="str">
        <f>IF('سجل الإنتاج'!C145="","","عدة مواد - راجع صفحة الطبخات")</f>
        <v/>
      </c>
      <c r="F1145" t="str">
        <f>IF('سجل الإنتاج'!C145="","",IF('سجل الإنتاج'!D145="","",'سجل الإنتاج'!D145))</f>
        <v/>
      </c>
      <c r="G1145" t="str">
        <f>IF($B1145&lt;&gt;"",SUMPRODUCT(($B$2:$B1145&lt;&gt;"")*1),"")</f>
        <v/>
      </c>
    </row>
    <row r="1146" spans="1:7">
      <c r="A1146" s="23" t="str">
        <f>IF('سجل الإنتاج'!C146="","",'سجل الإنتاج'!B146)</f>
        <v/>
      </c>
      <c r="B1146" t="str">
        <f>IF('سجل الإنتاج'!C146="","","إنتاج طبخة")</f>
        <v/>
      </c>
      <c r="C1146" t="str">
        <f>IF('سجل الإنتاج'!C146="","",'سجل الإنتاج'!C146)</f>
        <v/>
      </c>
      <c r="D1146" t="str">
        <f>IF('سجل الإنتاج'!C146="","","عدة مواد - راجع صفحة الطبخات")</f>
        <v/>
      </c>
      <c r="F1146" t="str">
        <f>IF('سجل الإنتاج'!C146="","",IF('سجل الإنتاج'!D146="","",'سجل الإنتاج'!D146))</f>
        <v/>
      </c>
      <c r="G1146" t="str">
        <f>IF($B1146&lt;&gt;"",SUMPRODUCT(($B$2:$B1146&lt;&gt;"")*1),"")</f>
        <v/>
      </c>
    </row>
    <row r="1147" spans="1:7">
      <c r="A1147" s="23" t="str">
        <f>IF('سجل الإنتاج'!C147="","",'سجل الإنتاج'!B147)</f>
        <v/>
      </c>
      <c r="B1147" t="str">
        <f>IF('سجل الإنتاج'!C147="","","إنتاج طبخة")</f>
        <v/>
      </c>
      <c r="C1147" t="str">
        <f>IF('سجل الإنتاج'!C147="","",'سجل الإنتاج'!C147)</f>
        <v/>
      </c>
      <c r="D1147" t="str">
        <f>IF('سجل الإنتاج'!C147="","","عدة مواد - راجع صفحة الطبخات")</f>
        <v/>
      </c>
      <c r="F1147" t="str">
        <f>IF('سجل الإنتاج'!C147="","",IF('سجل الإنتاج'!D147="","",'سجل الإنتاج'!D147))</f>
        <v/>
      </c>
      <c r="G1147" t="str">
        <f>IF($B1147&lt;&gt;"",SUMPRODUCT(($B$2:$B1147&lt;&gt;"")*1),"")</f>
        <v/>
      </c>
    </row>
    <row r="1148" spans="1:7">
      <c r="A1148" s="23" t="str">
        <f>IF('سجل الإنتاج'!C148="","",'سجل الإنتاج'!B148)</f>
        <v/>
      </c>
      <c r="B1148" t="str">
        <f>IF('سجل الإنتاج'!C148="","","إنتاج طبخة")</f>
        <v/>
      </c>
      <c r="C1148" t="str">
        <f>IF('سجل الإنتاج'!C148="","",'سجل الإنتاج'!C148)</f>
        <v/>
      </c>
      <c r="D1148" t="str">
        <f>IF('سجل الإنتاج'!C148="","","عدة مواد - راجع صفحة الطبخات")</f>
        <v/>
      </c>
      <c r="F1148" t="str">
        <f>IF('سجل الإنتاج'!C148="","",IF('سجل الإنتاج'!D148="","",'سجل الإنتاج'!D148))</f>
        <v/>
      </c>
      <c r="G1148" t="str">
        <f>IF($B1148&lt;&gt;"",SUMPRODUCT(($B$2:$B1148&lt;&gt;"")*1),"")</f>
        <v/>
      </c>
    </row>
    <row r="1149" spans="1:7">
      <c r="A1149" s="23" t="str">
        <f>IF('سجل الإنتاج'!C149="","",'سجل الإنتاج'!B149)</f>
        <v/>
      </c>
      <c r="B1149" t="str">
        <f>IF('سجل الإنتاج'!C149="","","إنتاج طبخة")</f>
        <v/>
      </c>
      <c r="C1149" t="str">
        <f>IF('سجل الإنتاج'!C149="","",'سجل الإنتاج'!C149)</f>
        <v/>
      </c>
      <c r="D1149" t="str">
        <f>IF('سجل الإنتاج'!C149="","","عدة مواد - راجع صفحة الطبخات")</f>
        <v/>
      </c>
      <c r="F1149" t="str">
        <f>IF('سجل الإنتاج'!C149="","",IF('سجل الإنتاج'!D149="","",'سجل الإنتاج'!D149))</f>
        <v/>
      </c>
      <c r="G1149" t="str">
        <f>IF($B1149&lt;&gt;"",SUMPRODUCT(($B$2:$B1149&lt;&gt;"")*1),"")</f>
        <v/>
      </c>
    </row>
    <row r="1150" spans="1:7">
      <c r="A1150" s="23" t="str">
        <f>IF('سجل الإنتاج'!C150="","",'سجل الإنتاج'!B150)</f>
        <v/>
      </c>
      <c r="B1150" t="str">
        <f>IF('سجل الإنتاج'!C150="","","إنتاج طبخة")</f>
        <v/>
      </c>
      <c r="C1150" t="str">
        <f>IF('سجل الإنتاج'!C150="","",'سجل الإنتاج'!C150)</f>
        <v/>
      </c>
      <c r="D1150" t="str">
        <f>IF('سجل الإنتاج'!C150="","","عدة مواد - راجع صفحة الطبخات")</f>
        <v/>
      </c>
      <c r="F1150" t="str">
        <f>IF('سجل الإنتاج'!C150="","",IF('سجل الإنتاج'!D150="","",'سجل الإنتاج'!D150))</f>
        <v/>
      </c>
      <c r="G1150" t="str">
        <f>IF($B1150&lt;&gt;"",SUMPRODUCT(($B$2:$B1150&lt;&gt;"")*1),"")</f>
        <v/>
      </c>
    </row>
    <row r="1151" spans="1:7">
      <c r="A1151" s="23" t="str">
        <f>IF('سجل الإنتاج'!C151="","",'سجل الإنتاج'!B151)</f>
        <v/>
      </c>
      <c r="B1151" t="str">
        <f>IF('سجل الإنتاج'!C151="","","إنتاج طبخة")</f>
        <v/>
      </c>
      <c r="C1151" t="str">
        <f>IF('سجل الإنتاج'!C151="","",'سجل الإنتاج'!C151)</f>
        <v/>
      </c>
      <c r="D1151" t="str">
        <f>IF('سجل الإنتاج'!C151="","","عدة مواد - راجع صفحة الطبخات")</f>
        <v/>
      </c>
      <c r="F1151" t="str">
        <f>IF('سجل الإنتاج'!C151="","",IF('سجل الإنتاج'!D151="","",'سجل الإنتاج'!D151))</f>
        <v/>
      </c>
      <c r="G1151" t="str">
        <f>IF($B1151&lt;&gt;"",SUMPRODUCT(($B$2:$B1151&lt;&gt;"")*1),"")</f>
        <v/>
      </c>
    </row>
    <row r="1152" spans="1:7">
      <c r="A1152" s="23" t="str">
        <f>IF('سجل الإنتاج'!C152="","",'سجل الإنتاج'!B152)</f>
        <v/>
      </c>
      <c r="B1152" t="str">
        <f>IF('سجل الإنتاج'!C152="","","إنتاج طبخة")</f>
        <v/>
      </c>
      <c r="C1152" t="str">
        <f>IF('سجل الإنتاج'!C152="","",'سجل الإنتاج'!C152)</f>
        <v/>
      </c>
      <c r="D1152" t="str">
        <f>IF('سجل الإنتاج'!C152="","","عدة مواد - راجع صفحة الطبخات")</f>
        <v/>
      </c>
      <c r="F1152" t="str">
        <f>IF('سجل الإنتاج'!C152="","",IF('سجل الإنتاج'!D152="","",'سجل الإنتاج'!D152))</f>
        <v/>
      </c>
      <c r="G1152" t="str">
        <f>IF($B1152&lt;&gt;"",SUMPRODUCT(($B$2:$B1152&lt;&gt;"")*1),"")</f>
        <v/>
      </c>
    </row>
    <row r="1153" spans="1:7">
      <c r="A1153" s="23" t="str">
        <f>IF('سجل الإنتاج'!C153="","",'سجل الإنتاج'!B153)</f>
        <v/>
      </c>
      <c r="B1153" t="str">
        <f>IF('سجل الإنتاج'!C153="","","إنتاج طبخة")</f>
        <v/>
      </c>
      <c r="C1153" t="str">
        <f>IF('سجل الإنتاج'!C153="","",'سجل الإنتاج'!C153)</f>
        <v/>
      </c>
      <c r="D1153" t="str">
        <f>IF('سجل الإنتاج'!C153="","","عدة مواد - راجع صفحة الطبخات")</f>
        <v/>
      </c>
      <c r="F1153" t="str">
        <f>IF('سجل الإنتاج'!C153="","",IF('سجل الإنتاج'!D153="","",'سجل الإنتاج'!D153))</f>
        <v/>
      </c>
      <c r="G1153" t="str">
        <f>IF($B1153&lt;&gt;"",SUMPRODUCT(($B$2:$B1153&lt;&gt;"")*1),"")</f>
        <v/>
      </c>
    </row>
    <row r="1154" spans="1:7">
      <c r="A1154" s="23" t="str">
        <f>IF('سجل الإنتاج'!C154="","",'سجل الإنتاج'!B154)</f>
        <v/>
      </c>
      <c r="B1154" t="str">
        <f>IF('سجل الإنتاج'!C154="","","إنتاج طبخة")</f>
        <v/>
      </c>
      <c r="C1154" t="str">
        <f>IF('سجل الإنتاج'!C154="","",'سجل الإنتاج'!C154)</f>
        <v/>
      </c>
      <c r="D1154" t="str">
        <f>IF('سجل الإنتاج'!C154="","","عدة مواد - راجع صفحة الطبخات")</f>
        <v/>
      </c>
      <c r="F1154" t="str">
        <f>IF('سجل الإنتاج'!C154="","",IF('سجل الإنتاج'!D154="","",'سجل الإنتاج'!D154))</f>
        <v/>
      </c>
      <c r="G1154" t="str">
        <f>IF($B1154&lt;&gt;"",SUMPRODUCT(($B$2:$B1154&lt;&gt;"")*1),"")</f>
        <v/>
      </c>
    </row>
    <row r="1155" spans="1:7">
      <c r="A1155" s="23" t="str">
        <f>IF('سجل الإنتاج'!C155="","",'سجل الإنتاج'!B155)</f>
        <v/>
      </c>
      <c r="B1155" t="str">
        <f>IF('سجل الإنتاج'!C155="","","إنتاج طبخة")</f>
        <v/>
      </c>
      <c r="C1155" t="str">
        <f>IF('سجل الإنتاج'!C155="","",'سجل الإنتاج'!C155)</f>
        <v/>
      </c>
      <c r="D1155" t="str">
        <f>IF('سجل الإنتاج'!C155="","","عدة مواد - راجع صفحة الطبخات")</f>
        <v/>
      </c>
      <c r="F1155" t="str">
        <f>IF('سجل الإنتاج'!C155="","",IF('سجل الإنتاج'!D155="","",'سجل الإنتاج'!D155))</f>
        <v/>
      </c>
      <c r="G1155" t="str">
        <f>IF($B1155&lt;&gt;"",SUMPRODUCT(($B$2:$B1155&lt;&gt;"")*1),"")</f>
        <v/>
      </c>
    </row>
    <row r="1156" spans="1:7">
      <c r="A1156" s="23" t="str">
        <f>IF('سجل الإنتاج'!C156="","",'سجل الإنتاج'!B156)</f>
        <v/>
      </c>
      <c r="B1156" t="str">
        <f>IF('سجل الإنتاج'!C156="","","إنتاج طبخة")</f>
        <v/>
      </c>
      <c r="C1156" t="str">
        <f>IF('سجل الإنتاج'!C156="","",'سجل الإنتاج'!C156)</f>
        <v/>
      </c>
      <c r="D1156" t="str">
        <f>IF('سجل الإنتاج'!C156="","","عدة مواد - راجع صفحة الطبخات")</f>
        <v/>
      </c>
      <c r="F1156" t="str">
        <f>IF('سجل الإنتاج'!C156="","",IF('سجل الإنتاج'!D156="","",'سجل الإنتاج'!D156))</f>
        <v/>
      </c>
      <c r="G1156" t="str">
        <f>IF($B1156&lt;&gt;"",SUMPRODUCT(($B$2:$B1156&lt;&gt;"")*1),"")</f>
        <v/>
      </c>
    </row>
    <row r="1157" spans="1:7">
      <c r="A1157" s="23" t="str">
        <f>IF('سجل الإنتاج'!C157="","",'سجل الإنتاج'!B157)</f>
        <v/>
      </c>
      <c r="B1157" t="str">
        <f>IF('سجل الإنتاج'!C157="","","إنتاج طبخة")</f>
        <v/>
      </c>
      <c r="C1157" t="str">
        <f>IF('سجل الإنتاج'!C157="","",'سجل الإنتاج'!C157)</f>
        <v/>
      </c>
      <c r="D1157" t="str">
        <f>IF('سجل الإنتاج'!C157="","","عدة مواد - راجع صفحة الطبخات")</f>
        <v/>
      </c>
      <c r="F1157" t="str">
        <f>IF('سجل الإنتاج'!C157="","",IF('سجل الإنتاج'!D157="","",'سجل الإنتاج'!D157))</f>
        <v/>
      </c>
      <c r="G1157" t="str">
        <f>IF($B1157&lt;&gt;"",SUMPRODUCT(($B$2:$B1157&lt;&gt;"")*1),"")</f>
        <v/>
      </c>
    </row>
    <row r="1158" spans="1:7">
      <c r="A1158" s="23" t="str">
        <f>IF('سجل الإنتاج'!C158="","",'سجل الإنتاج'!B158)</f>
        <v/>
      </c>
      <c r="B1158" t="str">
        <f>IF('سجل الإنتاج'!C158="","","إنتاج طبخة")</f>
        <v/>
      </c>
      <c r="C1158" t="str">
        <f>IF('سجل الإنتاج'!C158="","",'سجل الإنتاج'!C158)</f>
        <v/>
      </c>
      <c r="D1158" t="str">
        <f>IF('سجل الإنتاج'!C158="","","عدة مواد - راجع صفحة الطبخات")</f>
        <v/>
      </c>
      <c r="F1158" t="str">
        <f>IF('سجل الإنتاج'!C158="","",IF('سجل الإنتاج'!D158="","",'سجل الإنتاج'!D158))</f>
        <v/>
      </c>
      <c r="G1158" t="str">
        <f>IF($B1158&lt;&gt;"",SUMPRODUCT(($B$2:$B1158&lt;&gt;"")*1),"")</f>
        <v/>
      </c>
    </row>
    <row r="1159" spans="1:7">
      <c r="A1159" s="23" t="str">
        <f>IF('سجل الإنتاج'!C159="","",'سجل الإنتاج'!B159)</f>
        <v/>
      </c>
      <c r="B1159" t="str">
        <f>IF('سجل الإنتاج'!C159="","","إنتاج طبخة")</f>
        <v/>
      </c>
      <c r="C1159" t="str">
        <f>IF('سجل الإنتاج'!C159="","",'سجل الإنتاج'!C159)</f>
        <v/>
      </c>
      <c r="D1159" t="str">
        <f>IF('سجل الإنتاج'!C159="","","عدة مواد - راجع صفحة الطبخات")</f>
        <v/>
      </c>
      <c r="F1159" t="str">
        <f>IF('سجل الإنتاج'!C159="","",IF('سجل الإنتاج'!D159="","",'سجل الإنتاج'!D159))</f>
        <v/>
      </c>
      <c r="G1159" t="str">
        <f>IF($B1159&lt;&gt;"",SUMPRODUCT(($B$2:$B1159&lt;&gt;"")*1),"")</f>
        <v/>
      </c>
    </row>
    <row r="1160" spans="1:7">
      <c r="A1160" s="23" t="str">
        <f>IF('سجل الإنتاج'!C160="","",'سجل الإنتاج'!B160)</f>
        <v/>
      </c>
      <c r="B1160" t="str">
        <f>IF('سجل الإنتاج'!C160="","","إنتاج طبخة")</f>
        <v/>
      </c>
      <c r="C1160" t="str">
        <f>IF('سجل الإنتاج'!C160="","",'سجل الإنتاج'!C160)</f>
        <v/>
      </c>
      <c r="D1160" t="str">
        <f>IF('سجل الإنتاج'!C160="","","عدة مواد - راجع صفحة الطبخات")</f>
        <v/>
      </c>
      <c r="F1160" t="str">
        <f>IF('سجل الإنتاج'!C160="","",IF('سجل الإنتاج'!D160="","",'سجل الإنتاج'!D160))</f>
        <v/>
      </c>
      <c r="G1160" t="str">
        <f>IF($B1160&lt;&gt;"",SUMPRODUCT(($B$2:$B1160&lt;&gt;"")*1),"")</f>
        <v/>
      </c>
    </row>
    <row r="1161" spans="1:7">
      <c r="A1161" s="23" t="str">
        <f>IF('سجل الإنتاج'!C161="","",'سجل الإنتاج'!B161)</f>
        <v/>
      </c>
      <c r="B1161" t="str">
        <f>IF('سجل الإنتاج'!C161="","","إنتاج طبخة")</f>
        <v/>
      </c>
      <c r="C1161" t="str">
        <f>IF('سجل الإنتاج'!C161="","",'سجل الإنتاج'!C161)</f>
        <v/>
      </c>
      <c r="D1161" t="str">
        <f>IF('سجل الإنتاج'!C161="","","عدة مواد - راجع صفحة الطبخات")</f>
        <v/>
      </c>
      <c r="F1161" t="str">
        <f>IF('سجل الإنتاج'!C161="","",IF('سجل الإنتاج'!D161="","",'سجل الإنتاج'!D161))</f>
        <v/>
      </c>
      <c r="G1161" t="str">
        <f>IF($B1161&lt;&gt;"",SUMPRODUCT(($B$2:$B1161&lt;&gt;"")*1),"")</f>
        <v/>
      </c>
    </row>
    <row r="1162" spans="1:7">
      <c r="A1162" s="23" t="str">
        <f>IF('سجل الإنتاج'!C162="","",'سجل الإنتاج'!B162)</f>
        <v/>
      </c>
      <c r="B1162" t="str">
        <f>IF('سجل الإنتاج'!C162="","","إنتاج طبخة")</f>
        <v/>
      </c>
      <c r="C1162" t="str">
        <f>IF('سجل الإنتاج'!C162="","",'سجل الإنتاج'!C162)</f>
        <v/>
      </c>
      <c r="D1162" t="str">
        <f>IF('سجل الإنتاج'!C162="","","عدة مواد - راجع صفحة الطبخات")</f>
        <v/>
      </c>
      <c r="F1162" t="str">
        <f>IF('سجل الإنتاج'!C162="","",IF('سجل الإنتاج'!D162="","",'سجل الإنتاج'!D162))</f>
        <v/>
      </c>
      <c r="G1162" t="str">
        <f>IF($B1162&lt;&gt;"",SUMPRODUCT(($B$2:$B1162&lt;&gt;"")*1),"")</f>
        <v/>
      </c>
    </row>
    <row r="1163" spans="1:7">
      <c r="A1163" s="23" t="str">
        <f>IF('سجل الإنتاج'!C163="","",'سجل الإنتاج'!B163)</f>
        <v/>
      </c>
      <c r="B1163" t="str">
        <f>IF('سجل الإنتاج'!C163="","","إنتاج طبخة")</f>
        <v/>
      </c>
      <c r="C1163" t="str">
        <f>IF('سجل الإنتاج'!C163="","",'سجل الإنتاج'!C163)</f>
        <v/>
      </c>
      <c r="D1163" t="str">
        <f>IF('سجل الإنتاج'!C163="","","عدة مواد - راجع صفحة الطبخات")</f>
        <v/>
      </c>
      <c r="F1163" t="str">
        <f>IF('سجل الإنتاج'!C163="","",IF('سجل الإنتاج'!D163="","",'سجل الإنتاج'!D163))</f>
        <v/>
      </c>
      <c r="G1163" t="str">
        <f>IF($B1163&lt;&gt;"",SUMPRODUCT(($B$2:$B1163&lt;&gt;"")*1),"")</f>
        <v/>
      </c>
    </row>
    <row r="1164" spans="1:7">
      <c r="A1164" s="23" t="str">
        <f>IF('سجل الإنتاج'!C164="","",'سجل الإنتاج'!B164)</f>
        <v/>
      </c>
      <c r="B1164" t="str">
        <f>IF('سجل الإنتاج'!C164="","","إنتاج طبخة")</f>
        <v/>
      </c>
      <c r="C1164" t="str">
        <f>IF('سجل الإنتاج'!C164="","",'سجل الإنتاج'!C164)</f>
        <v/>
      </c>
      <c r="D1164" t="str">
        <f>IF('سجل الإنتاج'!C164="","","عدة مواد - راجع صفحة الطبخات")</f>
        <v/>
      </c>
      <c r="F1164" t="str">
        <f>IF('سجل الإنتاج'!C164="","",IF('سجل الإنتاج'!D164="","",'سجل الإنتاج'!D164))</f>
        <v/>
      </c>
      <c r="G1164" t="str">
        <f>IF($B1164&lt;&gt;"",SUMPRODUCT(($B$2:$B1164&lt;&gt;"")*1),"")</f>
        <v/>
      </c>
    </row>
    <row r="1165" spans="1:7">
      <c r="A1165" s="23" t="str">
        <f>IF('سجل الإنتاج'!C165="","",'سجل الإنتاج'!B165)</f>
        <v/>
      </c>
      <c r="B1165" t="str">
        <f>IF('سجل الإنتاج'!C165="","","إنتاج طبخة")</f>
        <v/>
      </c>
      <c r="C1165" t="str">
        <f>IF('سجل الإنتاج'!C165="","",'سجل الإنتاج'!C165)</f>
        <v/>
      </c>
      <c r="D1165" t="str">
        <f>IF('سجل الإنتاج'!C165="","","عدة مواد - راجع صفحة الطبخات")</f>
        <v/>
      </c>
      <c r="F1165" t="str">
        <f>IF('سجل الإنتاج'!C165="","",IF('سجل الإنتاج'!D165="","",'سجل الإنتاج'!D165))</f>
        <v/>
      </c>
      <c r="G1165" t="str">
        <f>IF($B1165&lt;&gt;"",SUMPRODUCT(($B$2:$B1165&lt;&gt;"")*1),"")</f>
        <v/>
      </c>
    </row>
    <row r="1166" spans="1:7">
      <c r="A1166" s="23" t="str">
        <f>IF('سجل الإنتاج'!C166="","",'سجل الإنتاج'!B166)</f>
        <v/>
      </c>
      <c r="B1166" t="str">
        <f>IF('سجل الإنتاج'!C166="","","إنتاج طبخة")</f>
        <v/>
      </c>
      <c r="C1166" t="str">
        <f>IF('سجل الإنتاج'!C166="","",'سجل الإنتاج'!C166)</f>
        <v/>
      </c>
      <c r="D1166" t="str">
        <f>IF('سجل الإنتاج'!C166="","","عدة مواد - راجع صفحة الطبخات")</f>
        <v/>
      </c>
      <c r="F1166" t="str">
        <f>IF('سجل الإنتاج'!C166="","",IF('سجل الإنتاج'!D166="","",'سجل الإنتاج'!D166))</f>
        <v/>
      </c>
      <c r="G1166" t="str">
        <f>IF($B1166&lt;&gt;"",SUMPRODUCT(($B$2:$B1166&lt;&gt;"")*1),"")</f>
        <v/>
      </c>
    </row>
    <row r="1167" spans="1:7">
      <c r="A1167" s="23" t="str">
        <f>IF('سجل الإنتاج'!C167="","",'سجل الإنتاج'!B167)</f>
        <v/>
      </c>
      <c r="B1167" t="str">
        <f>IF('سجل الإنتاج'!C167="","","إنتاج طبخة")</f>
        <v/>
      </c>
      <c r="C1167" t="str">
        <f>IF('سجل الإنتاج'!C167="","",'سجل الإنتاج'!C167)</f>
        <v/>
      </c>
      <c r="D1167" t="str">
        <f>IF('سجل الإنتاج'!C167="","","عدة مواد - راجع صفحة الطبخات")</f>
        <v/>
      </c>
      <c r="F1167" t="str">
        <f>IF('سجل الإنتاج'!C167="","",IF('سجل الإنتاج'!D167="","",'سجل الإنتاج'!D167))</f>
        <v/>
      </c>
      <c r="G1167" t="str">
        <f>IF($B1167&lt;&gt;"",SUMPRODUCT(($B$2:$B1167&lt;&gt;"")*1),"")</f>
        <v/>
      </c>
    </row>
    <row r="1168" spans="1:7">
      <c r="A1168" s="23" t="str">
        <f>IF('سجل الإنتاج'!C168="","",'سجل الإنتاج'!B168)</f>
        <v/>
      </c>
      <c r="B1168" t="str">
        <f>IF('سجل الإنتاج'!C168="","","إنتاج طبخة")</f>
        <v/>
      </c>
      <c r="C1168" t="str">
        <f>IF('سجل الإنتاج'!C168="","",'سجل الإنتاج'!C168)</f>
        <v/>
      </c>
      <c r="D1168" t="str">
        <f>IF('سجل الإنتاج'!C168="","","عدة مواد - راجع صفحة الطبخات")</f>
        <v/>
      </c>
      <c r="F1168" t="str">
        <f>IF('سجل الإنتاج'!C168="","",IF('سجل الإنتاج'!D168="","",'سجل الإنتاج'!D168))</f>
        <v/>
      </c>
      <c r="G1168" t="str">
        <f>IF($B1168&lt;&gt;"",SUMPRODUCT(($B$2:$B1168&lt;&gt;"")*1),"")</f>
        <v/>
      </c>
    </row>
    <row r="1169" spans="1:7">
      <c r="A1169" s="23" t="str">
        <f>IF('سجل الإنتاج'!C169="","",'سجل الإنتاج'!B169)</f>
        <v/>
      </c>
      <c r="B1169" t="str">
        <f>IF('سجل الإنتاج'!C169="","","إنتاج طبخة")</f>
        <v/>
      </c>
      <c r="C1169" t="str">
        <f>IF('سجل الإنتاج'!C169="","",'سجل الإنتاج'!C169)</f>
        <v/>
      </c>
      <c r="D1169" t="str">
        <f>IF('سجل الإنتاج'!C169="","","عدة مواد - راجع صفحة الطبخات")</f>
        <v/>
      </c>
      <c r="F1169" t="str">
        <f>IF('سجل الإنتاج'!C169="","",IF('سجل الإنتاج'!D169="","",'سجل الإنتاج'!D169))</f>
        <v/>
      </c>
      <c r="G1169" t="str">
        <f>IF($B1169&lt;&gt;"",SUMPRODUCT(($B$2:$B1169&lt;&gt;"")*1),"")</f>
        <v/>
      </c>
    </row>
    <row r="1170" spans="1:7">
      <c r="A1170" s="23" t="str">
        <f>IF('سجل الإنتاج'!C170="","",'سجل الإنتاج'!B170)</f>
        <v/>
      </c>
      <c r="B1170" t="str">
        <f>IF('سجل الإنتاج'!C170="","","إنتاج طبخة")</f>
        <v/>
      </c>
      <c r="C1170" t="str">
        <f>IF('سجل الإنتاج'!C170="","",'سجل الإنتاج'!C170)</f>
        <v/>
      </c>
      <c r="D1170" t="str">
        <f>IF('سجل الإنتاج'!C170="","","عدة مواد - راجع صفحة الطبخات")</f>
        <v/>
      </c>
      <c r="F1170" t="str">
        <f>IF('سجل الإنتاج'!C170="","",IF('سجل الإنتاج'!D170="","",'سجل الإنتاج'!D170))</f>
        <v/>
      </c>
      <c r="G1170" t="str">
        <f>IF($B1170&lt;&gt;"",SUMPRODUCT(($B$2:$B1170&lt;&gt;"")*1),"")</f>
        <v/>
      </c>
    </row>
    <row r="1171" spans="1:7">
      <c r="A1171" s="23" t="str">
        <f>IF('سجل الإنتاج'!C171="","",'سجل الإنتاج'!B171)</f>
        <v/>
      </c>
      <c r="B1171" t="str">
        <f>IF('سجل الإنتاج'!C171="","","إنتاج طبخة")</f>
        <v/>
      </c>
      <c r="C1171" t="str">
        <f>IF('سجل الإنتاج'!C171="","",'سجل الإنتاج'!C171)</f>
        <v/>
      </c>
      <c r="D1171" t="str">
        <f>IF('سجل الإنتاج'!C171="","","عدة مواد - راجع صفحة الطبخات")</f>
        <v/>
      </c>
      <c r="F1171" t="str">
        <f>IF('سجل الإنتاج'!C171="","",IF('سجل الإنتاج'!D171="","",'سجل الإنتاج'!D171))</f>
        <v/>
      </c>
      <c r="G1171" t="str">
        <f>IF($B1171&lt;&gt;"",SUMPRODUCT(($B$2:$B1171&lt;&gt;"")*1),"")</f>
        <v/>
      </c>
    </row>
    <row r="1172" spans="1:7">
      <c r="A1172" s="23" t="str">
        <f>IF('سجل الإنتاج'!C172="","",'سجل الإنتاج'!B172)</f>
        <v/>
      </c>
      <c r="B1172" t="str">
        <f>IF('سجل الإنتاج'!C172="","","إنتاج طبخة")</f>
        <v/>
      </c>
      <c r="C1172" t="str">
        <f>IF('سجل الإنتاج'!C172="","",'سجل الإنتاج'!C172)</f>
        <v/>
      </c>
      <c r="D1172" t="str">
        <f>IF('سجل الإنتاج'!C172="","","عدة مواد - راجع صفحة الطبخات")</f>
        <v/>
      </c>
      <c r="F1172" t="str">
        <f>IF('سجل الإنتاج'!C172="","",IF('سجل الإنتاج'!D172="","",'سجل الإنتاج'!D172))</f>
        <v/>
      </c>
      <c r="G1172" t="str">
        <f>IF($B1172&lt;&gt;"",SUMPRODUCT(($B$2:$B1172&lt;&gt;"")*1),"")</f>
        <v/>
      </c>
    </row>
    <row r="1173" spans="1:7">
      <c r="A1173" s="23" t="str">
        <f>IF('سجل الإنتاج'!C173="","",'سجل الإنتاج'!B173)</f>
        <v/>
      </c>
      <c r="B1173" t="str">
        <f>IF('سجل الإنتاج'!C173="","","إنتاج طبخة")</f>
        <v/>
      </c>
      <c r="C1173" t="str">
        <f>IF('سجل الإنتاج'!C173="","",'سجل الإنتاج'!C173)</f>
        <v/>
      </c>
      <c r="D1173" t="str">
        <f>IF('سجل الإنتاج'!C173="","","عدة مواد - راجع صفحة الطبخات")</f>
        <v/>
      </c>
      <c r="F1173" t="str">
        <f>IF('سجل الإنتاج'!C173="","",IF('سجل الإنتاج'!D173="","",'سجل الإنتاج'!D173))</f>
        <v/>
      </c>
      <c r="G1173" t="str">
        <f>IF($B1173&lt;&gt;"",SUMPRODUCT(($B$2:$B1173&lt;&gt;"")*1),"")</f>
        <v/>
      </c>
    </row>
    <row r="1174" spans="1:7">
      <c r="A1174" s="23" t="str">
        <f>IF('سجل الإنتاج'!C174="","",'سجل الإنتاج'!B174)</f>
        <v/>
      </c>
      <c r="B1174" t="str">
        <f>IF('سجل الإنتاج'!C174="","","إنتاج طبخة")</f>
        <v/>
      </c>
      <c r="C1174" t="str">
        <f>IF('سجل الإنتاج'!C174="","",'سجل الإنتاج'!C174)</f>
        <v/>
      </c>
      <c r="D1174" t="str">
        <f>IF('سجل الإنتاج'!C174="","","عدة مواد - راجع صفحة الطبخات")</f>
        <v/>
      </c>
      <c r="F1174" t="str">
        <f>IF('سجل الإنتاج'!C174="","",IF('سجل الإنتاج'!D174="","",'سجل الإنتاج'!D174))</f>
        <v/>
      </c>
      <c r="G1174" t="str">
        <f>IF($B1174&lt;&gt;"",SUMPRODUCT(($B$2:$B1174&lt;&gt;"")*1),"")</f>
        <v/>
      </c>
    </row>
    <row r="1175" spans="1:7">
      <c r="A1175" s="23" t="str">
        <f>IF('سجل الإنتاج'!C175="","",'سجل الإنتاج'!B175)</f>
        <v/>
      </c>
      <c r="B1175" t="str">
        <f>IF('سجل الإنتاج'!C175="","","إنتاج طبخة")</f>
        <v/>
      </c>
      <c r="C1175" t="str">
        <f>IF('سجل الإنتاج'!C175="","",'سجل الإنتاج'!C175)</f>
        <v/>
      </c>
      <c r="D1175" t="str">
        <f>IF('سجل الإنتاج'!C175="","","عدة مواد - راجع صفحة الطبخات")</f>
        <v/>
      </c>
      <c r="F1175" t="str">
        <f>IF('سجل الإنتاج'!C175="","",IF('سجل الإنتاج'!D175="","",'سجل الإنتاج'!D175))</f>
        <v/>
      </c>
      <c r="G1175" t="str">
        <f>IF($B1175&lt;&gt;"",SUMPRODUCT(($B$2:$B1175&lt;&gt;"")*1),"")</f>
        <v/>
      </c>
    </row>
    <row r="1176" spans="1:7">
      <c r="A1176" s="23" t="str">
        <f>IF('سجل الإنتاج'!C176="","",'سجل الإنتاج'!B176)</f>
        <v/>
      </c>
      <c r="B1176" t="str">
        <f>IF('سجل الإنتاج'!C176="","","إنتاج طبخة")</f>
        <v/>
      </c>
      <c r="C1176" t="str">
        <f>IF('سجل الإنتاج'!C176="","",'سجل الإنتاج'!C176)</f>
        <v/>
      </c>
      <c r="D1176" t="str">
        <f>IF('سجل الإنتاج'!C176="","","عدة مواد - راجع صفحة الطبخات")</f>
        <v/>
      </c>
      <c r="F1176" t="str">
        <f>IF('سجل الإنتاج'!C176="","",IF('سجل الإنتاج'!D176="","",'سجل الإنتاج'!D176))</f>
        <v/>
      </c>
      <c r="G1176" t="str">
        <f>IF($B1176&lt;&gt;"",SUMPRODUCT(($B$2:$B1176&lt;&gt;"")*1),"")</f>
        <v/>
      </c>
    </row>
    <row r="1177" spans="1:7">
      <c r="A1177" s="23" t="str">
        <f>IF('سجل الإنتاج'!C177="","",'سجل الإنتاج'!B177)</f>
        <v/>
      </c>
      <c r="B1177" t="str">
        <f>IF('سجل الإنتاج'!C177="","","إنتاج طبخة")</f>
        <v/>
      </c>
      <c r="C1177" t="str">
        <f>IF('سجل الإنتاج'!C177="","",'سجل الإنتاج'!C177)</f>
        <v/>
      </c>
      <c r="D1177" t="str">
        <f>IF('سجل الإنتاج'!C177="","","عدة مواد - راجع صفحة الطبخات")</f>
        <v/>
      </c>
      <c r="F1177" t="str">
        <f>IF('سجل الإنتاج'!C177="","",IF('سجل الإنتاج'!D177="","",'سجل الإنتاج'!D177))</f>
        <v/>
      </c>
      <c r="G1177" t="str">
        <f>IF($B1177&lt;&gt;"",SUMPRODUCT(($B$2:$B1177&lt;&gt;"")*1),"")</f>
        <v/>
      </c>
    </row>
    <row r="1178" spans="1:7">
      <c r="A1178" s="23" t="str">
        <f>IF('سجل الإنتاج'!C178="","",'سجل الإنتاج'!B178)</f>
        <v/>
      </c>
      <c r="B1178" t="str">
        <f>IF('سجل الإنتاج'!C178="","","إنتاج طبخة")</f>
        <v/>
      </c>
      <c r="C1178" t="str">
        <f>IF('سجل الإنتاج'!C178="","",'سجل الإنتاج'!C178)</f>
        <v/>
      </c>
      <c r="D1178" t="str">
        <f>IF('سجل الإنتاج'!C178="","","عدة مواد - راجع صفحة الطبخات")</f>
        <v/>
      </c>
      <c r="F1178" t="str">
        <f>IF('سجل الإنتاج'!C178="","",IF('سجل الإنتاج'!D178="","",'سجل الإنتاج'!D178))</f>
        <v/>
      </c>
      <c r="G1178" t="str">
        <f>IF($B1178&lt;&gt;"",SUMPRODUCT(($B$2:$B1178&lt;&gt;"")*1),"")</f>
        <v/>
      </c>
    </row>
    <row r="1179" spans="1:7">
      <c r="A1179" s="23" t="str">
        <f>IF('سجل الإنتاج'!C179="","",'سجل الإنتاج'!B179)</f>
        <v/>
      </c>
      <c r="B1179" t="str">
        <f>IF('سجل الإنتاج'!C179="","","إنتاج طبخة")</f>
        <v/>
      </c>
      <c r="C1179" t="str">
        <f>IF('سجل الإنتاج'!C179="","",'سجل الإنتاج'!C179)</f>
        <v/>
      </c>
      <c r="D1179" t="str">
        <f>IF('سجل الإنتاج'!C179="","","عدة مواد - راجع صفحة الطبخات")</f>
        <v/>
      </c>
      <c r="F1179" t="str">
        <f>IF('سجل الإنتاج'!C179="","",IF('سجل الإنتاج'!D179="","",'سجل الإنتاج'!D179))</f>
        <v/>
      </c>
      <c r="G1179" t="str">
        <f>IF($B1179&lt;&gt;"",SUMPRODUCT(($B$2:$B1179&lt;&gt;"")*1),"")</f>
        <v/>
      </c>
    </row>
    <row r="1180" spans="1:7">
      <c r="A1180" s="23" t="str">
        <f>IF('سجل الإنتاج'!C180="","",'سجل الإنتاج'!B180)</f>
        <v/>
      </c>
      <c r="B1180" t="str">
        <f>IF('سجل الإنتاج'!C180="","","إنتاج طبخة")</f>
        <v/>
      </c>
      <c r="C1180" t="str">
        <f>IF('سجل الإنتاج'!C180="","",'سجل الإنتاج'!C180)</f>
        <v/>
      </c>
      <c r="D1180" t="str">
        <f>IF('سجل الإنتاج'!C180="","","عدة مواد - راجع صفحة الطبخات")</f>
        <v/>
      </c>
      <c r="F1180" t="str">
        <f>IF('سجل الإنتاج'!C180="","",IF('سجل الإنتاج'!D180="","",'سجل الإنتاج'!D180))</f>
        <v/>
      </c>
      <c r="G1180" t="str">
        <f>IF($B1180&lt;&gt;"",SUMPRODUCT(($B$2:$B1180&lt;&gt;"")*1),"")</f>
        <v/>
      </c>
    </row>
    <row r="1181" spans="1:7">
      <c r="A1181" s="23" t="str">
        <f>IF('سجل الإنتاج'!C181="","",'سجل الإنتاج'!B181)</f>
        <v/>
      </c>
      <c r="B1181" t="str">
        <f>IF('سجل الإنتاج'!C181="","","إنتاج طبخة")</f>
        <v/>
      </c>
      <c r="C1181" t="str">
        <f>IF('سجل الإنتاج'!C181="","",'سجل الإنتاج'!C181)</f>
        <v/>
      </c>
      <c r="D1181" t="str">
        <f>IF('سجل الإنتاج'!C181="","","عدة مواد - راجع صفحة الطبخات")</f>
        <v/>
      </c>
      <c r="F1181" t="str">
        <f>IF('سجل الإنتاج'!C181="","",IF('سجل الإنتاج'!D181="","",'سجل الإنتاج'!D181))</f>
        <v/>
      </c>
      <c r="G1181" t="str">
        <f>IF($B1181&lt;&gt;"",SUMPRODUCT(($B$2:$B1181&lt;&gt;"")*1),"")</f>
        <v/>
      </c>
    </row>
    <row r="1182" spans="1:7">
      <c r="A1182" s="23" t="str">
        <f>IF('سجل الإنتاج'!C182="","",'سجل الإنتاج'!B182)</f>
        <v/>
      </c>
      <c r="B1182" t="str">
        <f>IF('سجل الإنتاج'!C182="","","إنتاج طبخة")</f>
        <v/>
      </c>
      <c r="C1182" t="str">
        <f>IF('سجل الإنتاج'!C182="","",'سجل الإنتاج'!C182)</f>
        <v/>
      </c>
      <c r="D1182" t="str">
        <f>IF('سجل الإنتاج'!C182="","","عدة مواد - راجع صفحة الطبخات")</f>
        <v/>
      </c>
      <c r="F1182" t="str">
        <f>IF('سجل الإنتاج'!C182="","",IF('سجل الإنتاج'!D182="","",'سجل الإنتاج'!D182))</f>
        <v/>
      </c>
      <c r="G1182" t="str">
        <f>IF($B1182&lt;&gt;"",SUMPRODUCT(($B$2:$B1182&lt;&gt;"")*1),"")</f>
        <v/>
      </c>
    </row>
    <row r="1183" spans="1:7">
      <c r="A1183" s="23" t="str">
        <f>IF('سجل الإنتاج'!C183="","",'سجل الإنتاج'!B183)</f>
        <v/>
      </c>
      <c r="B1183" t="str">
        <f>IF('سجل الإنتاج'!C183="","","إنتاج طبخة")</f>
        <v/>
      </c>
      <c r="C1183" t="str">
        <f>IF('سجل الإنتاج'!C183="","",'سجل الإنتاج'!C183)</f>
        <v/>
      </c>
      <c r="D1183" t="str">
        <f>IF('سجل الإنتاج'!C183="","","عدة مواد - راجع صفحة الطبخات")</f>
        <v/>
      </c>
      <c r="F1183" t="str">
        <f>IF('سجل الإنتاج'!C183="","",IF('سجل الإنتاج'!D183="","",'سجل الإنتاج'!D183))</f>
        <v/>
      </c>
      <c r="G1183" t="str">
        <f>IF($B1183&lt;&gt;"",SUMPRODUCT(($B$2:$B1183&lt;&gt;"")*1),"")</f>
        <v/>
      </c>
    </row>
    <row r="1184" spans="1:7">
      <c r="A1184" s="23" t="str">
        <f>IF('سجل الإنتاج'!C184="","",'سجل الإنتاج'!B184)</f>
        <v/>
      </c>
      <c r="B1184" t="str">
        <f>IF('سجل الإنتاج'!C184="","","إنتاج طبخة")</f>
        <v/>
      </c>
      <c r="C1184" t="str">
        <f>IF('سجل الإنتاج'!C184="","",'سجل الإنتاج'!C184)</f>
        <v/>
      </c>
      <c r="D1184" t="str">
        <f>IF('سجل الإنتاج'!C184="","","عدة مواد - راجع صفحة الطبخات")</f>
        <v/>
      </c>
      <c r="F1184" t="str">
        <f>IF('سجل الإنتاج'!C184="","",IF('سجل الإنتاج'!D184="","",'سجل الإنتاج'!D184))</f>
        <v/>
      </c>
      <c r="G1184" t="str">
        <f>IF($B1184&lt;&gt;"",SUMPRODUCT(($B$2:$B1184&lt;&gt;"")*1),"")</f>
        <v/>
      </c>
    </row>
    <row r="1185" spans="1:7">
      <c r="A1185" s="23" t="str">
        <f>IF('سجل الإنتاج'!C185="","",'سجل الإنتاج'!B185)</f>
        <v/>
      </c>
      <c r="B1185" t="str">
        <f>IF('سجل الإنتاج'!C185="","","إنتاج طبخة")</f>
        <v/>
      </c>
      <c r="C1185" t="str">
        <f>IF('سجل الإنتاج'!C185="","",'سجل الإنتاج'!C185)</f>
        <v/>
      </c>
      <c r="D1185" t="str">
        <f>IF('سجل الإنتاج'!C185="","","عدة مواد - راجع صفحة الطبخات")</f>
        <v/>
      </c>
      <c r="F1185" t="str">
        <f>IF('سجل الإنتاج'!C185="","",IF('سجل الإنتاج'!D185="","",'سجل الإنتاج'!D185))</f>
        <v/>
      </c>
      <c r="G1185" t="str">
        <f>IF($B1185&lt;&gt;"",SUMPRODUCT(($B$2:$B1185&lt;&gt;"")*1),"")</f>
        <v/>
      </c>
    </row>
    <row r="1186" spans="1:7">
      <c r="A1186" s="23" t="str">
        <f>IF('سجل الإنتاج'!C186="","",'سجل الإنتاج'!B186)</f>
        <v/>
      </c>
      <c r="B1186" t="str">
        <f>IF('سجل الإنتاج'!C186="","","إنتاج طبخة")</f>
        <v/>
      </c>
      <c r="C1186" t="str">
        <f>IF('سجل الإنتاج'!C186="","",'سجل الإنتاج'!C186)</f>
        <v/>
      </c>
      <c r="D1186" t="str">
        <f>IF('سجل الإنتاج'!C186="","","عدة مواد - راجع صفحة الطبخات")</f>
        <v/>
      </c>
      <c r="F1186" t="str">
        <f>IF('سجل الإنتاج'!C186="","",IF('سجل الإنتاج'!D186="","",'سجل الإنتاج'!D186))</f>
        <v/>
      </c>
      <c r="G1186" t="str">
        <f>IF($B1186&lt;&gt;"",SUMPRODUCT(($B$2:$B1186&lt;&gt;"")*1),"")</f>
        <v/>
      </c>
    </row>
    <row r="1187" spans="1:7">
      <c r="A1187" s="23" t="str">
        <f>IF('سجل الإنتاج'!C187="","",'سجل الإنتاج'!B187)</f>
        <v/>
      </c>
      <c r="B1187" t="str">
        <f>IF('سجل الإنتاج'!C187="","","إنتاج طبخة")</f>
        <v/>
      </c>
      <c r="C1187" t="str">
        <f>IF('سجل الإنتاج'!C187="","",'سجل الإنتاج'!C187)</f>
        <v/>
      </c>
      <c r="D1187" t="str">
        <f>IF('سجل الإنتاج'!C187="","","عدة مواد - راجع صفحة الطبخات")</f>
        <v/>
      </c>
      <c r="F1187" t="str">
        <f>IF('سجل الإنتاج'!C187="","",IF('سجل الإنتاج'!D187="","",'سجل الإنتاج'!D187))</f>
        <v/>
      </c>
      <c r="G1187" t="str">
        <f>IF($B1187&lt;&gt;"",SUMPRODUCT(($B$2:$B1187&lt;&gt;"")*1),"")</f>
        <v/>
      </c>
    </row>
    <row r="1188" spans="1:7">
      <c r="A1188" s="23" t="str">
        <f>IF('سجل الإنتاج'!C188="","",'سجل الإنتاج'!B188)</f>
        <v/>
      </c>
      <c r="B1188" t="str">
        <f>IF('سجل الإنتاج'!C188="","","إنتاج طبخة")</f>
        <v/>
      </c>
      <c r="C1188" t="str">
        <f>IF('سجل الإنتاج'!C188="","",'سجل الإنتاج'!C188)</f>
        <v/>
      </c>
      <c r="D1188" t="str">
        <f>IF('سجل الإنتاج'!C188="","","عدة مواد - راجع صفحة الطبخات")</f>
        <v/>
      </c>
      <c r="F1188" t="str">
        <f>IF('سجل الإنتاج'!C188="","",IF('سجل الإنتاج'!D188="","",'سجل الإنتاج'!D188))</f>
        <v/>
      </c>
      <c r="G1188" t="str">
        <f>IF($B1188&lt;&gt;"",SUMPRODUCT(($B$2:$B1188&lt;&gt;"")*1),"")</f>
        <v/>
      </c>
    </row>
    <row r="1189" spans="1:7">
      <c r="A1189" s="23" t="str">
        <f>IF('سجل الإنتاج'!C189="","",'سجل الإنتاج'!B189)</f>
        <v/>
      </c>
      <c r="B1189" t="str">
        <f>IF('سجل الإنتاج'!C189="","","إنتاج طبخة")</f>
        <v/>
      </c>
      <c r="C1189" t="str">
        <f>IF('سجل الإنتاج'!C189="","",'سجل الإنتاج'!C189)</f>
        <v/>
      </c>
      <c r="D1189" t="str">
        <f>IF('سجل الإنتاج'!C189="","","عدة مواد - راجع صفحة الطبخات")</f>
        <v/>
      </c>
      <c r="F1189" t="str">
        <f>IF('سجل الإنتاج'!C189="","",IF('سجل الإنتاج'!D189="","",'سجل الإنتاج'!D189))</f>
        <v/>
      </c>
      <c r="G1189" t="str">
        <f>IF($B1189&lt;&gt;"",SUMPRODUCT(($B$2:$B1189&lt;&gt;"")*1),"")</f>
        <v/>
      </c>
    </row>
    <row r="1190" spans="1:7">
      <c r="A1190" s="23" t="str">
        <f>IF('سجل الإنتاج'!C190="","",'سجل الإنتاج'!B190)</f>
        <v/>
      </c>
      <c r="B1190" t="str">
        <f>IF('سجل الإنتاج'!C190="","","إنتاج طبخة")</f>
        <v/>
      </c>
      <c r="C1190" t="str">
        <f>IF('سجل الإنتاج'!C190="","",'سجل الإنتاج'!C190)</f>
        <v/>
      </c>
      <c r="D1190" t="str">
        <f>IF('سجل الإنتاج'!C190="","","عدة مواد - راجع صفحة الطبخات")</f>
        <v/>
      </c>
      <c r="F1190" t="str">
        <f>IF('سجل الإنتاج'!C190="","",IF('سجل الإنتاج'!D190="","",'سجل الإنتاج'!D190))</f>
        <v/>
      </c>
      <c r="G1190" t="str">
        <f>IF($B1190&lt;&gt;"",SUMPRODUCT(($B$2:$B1190&lt;&gt;"")*1),"")</f>
        <v/>
      </c>
    </row>
    <row r="1191" spans="1:7">
      <c r="A1191" s="23" t="str">
        <f>IF('سجل الإنتاج'!C191="","",'سجل الإنتاج'!B191)</f>
        <v/>
      </c>
      <c r="B1191" t="str">
        <f>IF('سجل الإنتاج'!C191="","","إنتاج طبخة")</f>
        <v/>
      </c>
      <c r="C1191" t="str">
        <f>IF('سجل الإنتاج'!C191="","",'سجل الإنتاج'!C191)</f>
        <v/>
      </c>
      <c r="D1191" t="str">
        <f>IF('سجل الإنتاج'!C191="","","عدة مواد - راجع صفحة الطبخات")</f>
        <v/>
      </c>
      <c r="F1191" t="str">
        <f>IF('سجل الإنتاج'!C191="","",IF('سجل الإنتاج'!D191="","",'سجل الإنتاج'!D191))</f>
        <v/>
      </c>
      <c r="G1191" t="str">
        <f>IF($B1191&lt;&gt;"",SUMPRODUCT(($B$2:$B1191&lt;&gt;"")*1),"")</f>
        <v/>
      </c>
    </row>
    <row r="1192" spans="1:7">
      <c r="A1192" s="23" t="str">
        <f>IF('سجل الإنتاج'!C192="","",'سجل الإنتاج'!B192)</f>
        <v/>
      </c>
      <c r="B1192" t="str">
        <f>IF('سجل الإنتاج'!C192="","","إنتاج طبخة")</f>
        <v/>
      </c>
      <c r="C1192" t="str">
        <f>IF('سجل الإنتاج'!C192="","",'سجل الإنتاج'!C192)</f>
        <v/>
      </c>
      <c r="D1192" t="str">
        <f>IF('سجل الإنتاج'!C192="","","عدة مواد - راجع صفحة الطبخات")</f>
        <v/>
      </c>
      <c r="F1192" t="str">
        <f>IF('سجل الإنتاج'!C192="","",IF('سجل الإنتاج'!D192="","",'سجل الإنتاج'!D192))</f>
        <v/>
      </c>
      <c r="G1192" t="str">
        <f>IF($B1192&lt;&gt;"",SUMPRODUCT(($B$2:$B1192&lt;&gt;"")*1),"")</f>
        <v/>
      </c>
    </row>
    <row r="1193" spans="1:7">
      <c r="A1193" s="23" t="str">
        <f>IF('سجل الإنتاج'!C193="","",'سجل الإنتاج'!B193)</f>
        <v/>
      </c>
      <c r="B1193" t="str">
        <f>IF('سجل الإنتاج'!C193="","","إنتاج طبخة")</f>
        <v/>
      </c>
      <c r="C1193" t="str">
        <f>IF('سجل الإنتاج'!C193="","",'سجل الإنتاج'!C193)</f>
        <v/>
      </c>
      <c r="D1193" t="str">
        <f>IF('سجل الإنتاج'!C193="","","عدة مواد - راجع صفحة الطبخات")</f>
        <v/>
      </c>
      <c r="F1193" t="str">
        <f>IF('سجل الإنتاج'!C193="","",IF('سجل الإنتاج'!D193="","",'سجل الإنتاج'!D193))</f>
        <v/>
      </c>
      <c r="G1193" t="str">
        <f>IF($B1193&lt;&gt;"",SUMPRODUCT(($B$2:$B1193&lt;&gt;"")*1),"")</f>
        <v/>
      </c>
    </row>
    <row r="1194" spans="1:7">
      <c r="A1194" s="23" t="str">
        <f>IF('سجل الإنتاج'!C194="","",'سجل الإنتاج'!B194)</f>
        <v/>
      </c>
      <c r="B1194" t="str">
        <f>IF('سجل الإنتاج'!C194="","","إنتاج طبخة")</f>
        <v/>
      </c>
      <c r="C1194" t="str">
        <f>IF('سجل الإنتاج'!C194="","",'سجل الإنتاج'!C194)</f>
        <v/>
      </c>
      <c r="D1194" t="str">
        <f>IF('سجل الإنتاج'!C194="","","عدة مواد - راجع صفحة الطبخات")</f>
        <v/>
      </c>
      <c r="F1194" t="str">
        <f>IF('سجل الإنتاج'!C194="","",IF('سجل الإنتاج'!D194="","",'سجل الإنتاج'!D194))</f>
        <v/>
      </c>
      <c r="G1194" t="str">
        <f>IF($B1194&lt;&gt;"",SUMPRODUCT(($B$2:$B1194&lt;&gt;"")*1),"")</f>
        <v/>
      </c>
    </row>
    <row r="1195" spans="1:7">
      <c r="A1195" s="23" t="str">
        <f>IF('سجل الإنتاج'!C195="","",'سجل الإنتاج'!B195)</f>
        <v/>
      </c>
      <c r="B1195" t="str">
        <f>IF('سجل الإنتاج'!C195="","","إنتاج طبخة")</f>
        <v/>
      </c>
      <c r="C1195" t="str">
        <f>IF('سجل الإنتاج'!C195="","",'سجل الإنتاج'!C195)</f>
        <v/>
      </c>
      <c r="D1195" t="str">
        <f>IF('سجل الإنتاج'!C195="","","عدة مواد - راجع صفحة الطبخات")</f>
        <v/>
      </c>
      <c r="F1195" t="str">
        <f>IF('سجل الإنتاج'!C195="","",IF('سجل الإنتاج'!D195="","",'سجل الإنتاج'!D195))</f>
        <v/>
      </c>
      <c r="G1195" t="str">
        <f>IF($B1195&lt;&gt;"",SUMPRODUCT(($B$2:$B1195&lt;&gt;"")*1),"")</f>
        <v/>
      </c>
    </row>
    <row r="1196" spans="1:7">
      <c r="A1196" s="23" t="str">
        <f>IF('سجل الإنتاج'!C196="","",'سجل الإنتاج'!B196)</f>
        <v/>
      </c>
      <c r="B1196" t="str">
        <f>IF('سجل الإنتاج'!C196="","","إنتاج طبخة")</f>
        <v/>
      </c>
      <c r="C1196" t="str">
        <f>IF('سجل الإنتاج'!C196="","",'سجل الإنتاج'!C196)</f>
        <v/>
      </c>
      <c r="D1196" t="str">
        <f>IF('سجل الإنتاج'!C196="","","عدة مواد - راجع صفحة الطبخات")</f>
        <v/>
      </c>
      <c r="F1196" t="str">
        <f>IF('سجل الإنتاج'!C196="","",IF('سجل الإنتاج'!D196="","",'سجل الإنتاج'!D196))</f>
        <v/>
      </c>
      <c r="G1196" t="str">
        <f>IF($B1196&lt;&gt;"",SUMPRODUCT(($B$2:$B1196&lt;&gt;"")*1),"")</f>
        <v/>
      </c>
    </row>
    <row r="1197" spans="1:7">
      <c r="A1197" s="23" t="str">
        <f>IF('سجل الإنتاج'!C197="","",'سجل الإنتاج'!B197)</f>
        <v/>
      </c>
      <c r="B1197" t="str">
        <f>IF('سجل الإنتاج'!C197="","","إنتاج طبخة")</f>
        <v/>
      </c>
      <c r="C1197" t="str">
        <f>IF('سجل الإنتاج'!C197="","",'سجل الإنتاج'!C197)</f>
        <v/>
      </c>
      <c r="D1197" t="str">
        <f>IF('سجل الإنتاج'!C197="","","عدة مواد - راجع صفحة الطبخات")</f>
        <v/>
      </c>
      <c r="F1197" t="str">
        <f>IF('سجل الإنتاج'!C197="","",IF('سجل الإنتاج'!D197="","",'سجل الإنتاج'!D197))</f>
        <v/>
      </c>
      <c r="G1197" t="str">
        <f>IF($B1197&lt;&gt;"",SUMPRODUCT(($B$2:$B1197&lt;&gt;"")*1),"")</f>
        <v/>
      </c>
    </row>
    <row r="1198" spans="1:7">
      <c r="A1198" s="23" t="str">
        <f>IF('سجل الإنتاج'!C198="","",'سجل الإنتاج'!B198)</f>
        <v/>
      </c>
      <c r="B1198" t="str">
        <f>IF('سجل الإنتاج'!C198="","","إنتاج طبخة")</f>
        <v/>
      </c>
      <c r="C1198" t="str">
        <f>IF('سجل الإنتاج'!C198="","",'سجل الإنتاج'!C198)</f>
        <v/>
      </c>
      <c r="D1198" t="str">
        <f>IF('سجل الإنتاج'!C198="","","عدة مواد - راجع صفحة الطبخات")</f>
        <v/>
      </c>
      <c r="F1198" t="str">
        <f>IF('سجل الإنتاج'!C198="","",IF('سجل الإنتاج'!D198="","",'سجل الإنتاج'!D198))</f>
        <v/>
      </c>
      <c r="G1198" t="str">
        <f>IF($B1198&lt;&gt;"",SUMPRODUCT(($B$2:$B1198&lt;&gt;"")*1),"")</f>
        <v/>
      </c>
    </row>
    <row r="1199" spans="1:7">
      <c r="A1199" s="23" t="str">
        <f>IF('سجل الإنتاج'!C199="","",'سجل الإنتاج'!B199)</f>
        <v/>
      </c>
      <c r="B1199" t="str">
        <f>IF('سجل الإنتاج'!C199="","","إنتاج طبخة")</f>
        <v/>
      </c>
      <c r="C1199" t="str">
        <f>IF('سجل الإنتاج'!C199="","",'سجل الإنتاج'!C199)</f>
        <v/>
      </c>
      <c r="D1199" t="str">
        <f>IF('سجل الإنتاج'!C199="","","عدة مواد - راجع صفحة الطبخات")</f>
        <v/>
      </c>
      <c r="F1199" t="str">
        <f>IF('سجل الإنتاج'!C199="","",IF('سجل الإنتاج'!D199="","",'سجل الإنتاج'!D199))</f>
        <v/>
      </c>
      <c r="G1199" t="str">
        <f>IF($B1199&lt;&gt;"",SUMPRODUCT(($B$2:$B1199&lt;&gt;"")*1),"")</f>
        <v/>
      </c>
    </row>
    <row r="1200" spans="1:7">
      <c r="A1200" s="23" t="str">
        <f>IF('سجل الإنتاج'!C200="","",'سجل الإنتاج'!B200)</f>
        <v/>
      </c>
      <c r="B1200" t="str">
        <f>IF('سجل الإنتاج'!C200="","","إنتاج طبخة")</f>
        <v/>
      </c>
      <c r="C1200" t="str">
        <f>IF('سجل الإنتاج'!C200="","",'سجل الإنتاج'!C200)</f>
        <v/>
      </c>
      <c r="D1200" t="str">
        <f>IF('سجل الإنتاج'!C200="","","عدة مواد - راجع صفحة الطبخات")</f>
        <v/>
      </c>
      <c r="F1200" t="str">
        <f>IF('سجل الإنتاج'!C200="","",IF('سجل الإنتاج'!D200="","",'سجل الإنتاج'!D200))</f>
        <v/>
      </c>
      <c r="G1200" t="str">
        <f>IF($B1200&lt;&gt;"",SUMPRODUCT(($B$2:$B1200&lt;&gt;"")*1),"")</f>
        <v/>
      </c>
    </row>
    <row r="1201" spans="1:7">
      <c r="A1201" s="23" t="str">
        <f>IF('سجل الإنتاج'!C201="","",'سجل الإنتاج'!B201)</f>
        <v/>
      </c>
      <c r="B1201" t="str">
        <f>IF('سجل الإنتاج'!C201="","","إنتاج طبخة")</f>
        <v/>
      </c>
      <c r="C1201" t="str">
        <f>IF('سجل الإنتاج'!C201="","",'سجل الإنتاج'!C201)</f>
        <v/>
      </c>
      <c r="D1201" t="str">
        <f>IF('سجل الإنتاج'!C201="","","عدة مواد - راجع صفحة الطبخات")</f>
        <v/>
      </c>
      <c r="F1201" t="str">
        <f>IF('سجل الإنتاج'!C201="","",IF('سجل الإنتاج'!D201="","",'سجل الإنتاج'!D201))</f>
        <v/>
      </c>
      <c r="G1201" t="str">
        <f>IF($B1201&lt;&gt;"",SUMPRODUCT(($B$2:$B1201&lt;&gt;"")*1),"")</f>
        <v/>
      </c>
    </row>
    <row r="1202" spans="1:7">
      <c r="A1202" s="23" t="str">
        <f>IF('سجل الإنتاج'!C202="","",'سجل الإنتاج'!B202)</f>
        <v/>
      </c>
      <c r="B1202" t="str">
        <f>IF('سجل الإنتاج'!C202="","","إنتاج طبخة")</f>
        <v/>
      </c>
      <c r="C1202" t="str">
        <f>IF('سجل الإنتاج'!C202="","",'سجل الإنتاج'!C202)</f>
        <v/>
      </c>
      <c r="D1202" t="str">
        <f>IF('سجل الإنتاج'!C202="","","عدة مواد - راجع صفحة الطبخات")</f>
        <v/>
      </c>
      <c r="F1202" t="str">
        <f>IF('سجل الإنتاج'!C202="","",IF('سجل الإنتاج'!D202="","",'سجل الإنتاج'!D202))</f>
        <v/>
      </c>
      <c r="G1202" t="str">
        <f>IF($B1202&lt;&gt;"",SUMPRODUCT(($B$2:$B1202&lt;&gt;"")*1),"")</f>
        <v/>
      </c>
    </row>
    <row r="1203" spans="1:7">
      <c r="A1203" s="23" t="str">
        <f>IF('سجل الإنتاج'!C203="","",'سجل الإنتاج'!B203)</f>
        <v/>
      </c>
      <c r="B1203" t="str">
        <f>IF('سجل الإنتاج'!C203="","","إنتاج طبخة")</f>
        <v/>
      </c>
      <c r="C1203" t="str">
        <f>IF('سجل الإنتاج'!C203="","",'سجل الإنتاج'!C203)</f>
        <v/>
      </c>
      <c r="D1203" t="str">
        <f>IF('سجل الإنتاج'!C203="","","عدة مواد - راجع صفحة الطبخات")</f>
        <v/>
      </c>
      <c r="F1203" t="str">
        <f>IF('سجل الإنتاج'!C203="","",IF('سجل الإنتاج'!D203="","",'سجل الإنتاج'!D203))</f>
        <v/>
      </c>
      <c r="G1203" t="str">
        <f>IF($B1203&lt;&gt;"",SUMPRODUCT(($B$2:$B1203&lt;&gt;"")*1),"")</f>
        <v/>
      </c>
    </row>
    <row r="1204" spans="1:7">
      <c r="A1204" s="23" t="str">
        <f>IF('سجل الإنتاج'!C204="","",'سجل الإنتاج'!B204)</f>
        <v/>
      </c>
      <c r="B1204" t="str">
        <f>IF('سجل الإنتاج'!C204="","","إنتاج طبخة")</f>
        <v/>
      </c>
      <c r="C1204" t="str">
        <f>IF('سجل الإنتاج'!C204="","",'سجل الإنتاج'!C204)</f>
        <v/>
      </c>
      <c r="D1204" t="str">
        <f>IF('سجل الإنتاج'!C204="","","عدة مواد - راجع صفحة الطبخات")</f>
        <v/>
      </c>
      <c r="F1204" t="str">
        <f>IF('سجل الإنتاج'!C204="","",IF('سجل الإنتاج'!D204="","",'سجل الإنتاج'!D204))</f>
        <v/>
      </c>
      <c r="G1204" t="str">
        <f>IF($B1204&lt;&gt;"",SUMPRODUCT(($B$2:$B1204&lt;&gt;"")*1),"")</f>
        <v/>
      </c>
    </row>
    <row r="1205" spans="1:7">
      <c r="A1205" s="23" t="str">
        <f>IF('سجل الإنتاج'!C205="","",'سجل الإنتاج'!B205)</f>
        <v/>
      </c>
      <c r="B1205" t="str">
        <f>IF('سجل الإنتاج'!C205="","","إنتاج طبخة")</f>
        <v/>
      </c>
      <c r="C1205" t="str">
        <f>IF('سجل الإنتاج'!C205="","",'سجل الإنتاج'!C205)</f>
        <v/>
      </c>
      <c r="D1205" t="str">
        <f>IF('سجل الإنتاج'!C205="","","عدة مواد - راجع صفحة الطبخات")</f>
        <v/>
      </c>
      <c r="F1205" t="str">
        <f>IF('سجل الإنتاج'!C205="","",IF('سجل الإنتاج'!D205="","",'سجل الإنتاج'!D205))</f>
        <v/>
      </c>
      <c r="G1205" t="str">
        <f>IF($B1205&lt;&gt;"",SUMPRODUCT(($B$2:$B1205&lt;&gt;"")*1),"")</f>
        <v/>
      </c>
    </row>
    <row r="1206" spans="1:7">
      <c r="A1206" s="23" t="str">
        <f>IF('سجل الإنتاج'!C206="","",'سجل الإنتاج'!B206)</f>
        <v/>
      </c>
      <c r="B1206" t="str">
        <f>IF('سجل الإنتاج'!C206="","","إنتاج طبخة")</f>
        <v/>
      </c>
      <c r="C1206" t="str">
        <f>IF('سجل الإنتاج'!C206="","",'سجل الإنتاج'!C206)</f>
        <v/>
      </c>
      <c r="D1206" t="str">
        <f>IF('سجل الإنتاج'!C206="","","عدة مواد - راجع صفحة الطبخات")</f>
        <v/>
      </c>
      <c r="F1206" t="str">
        <f>IF('سجل الإنتاج'!C206="","",IF('سجل الإنتاج'!D206="","",'سجل الإنتاج'!D206))</f>
        <v/>
      </c>
      <c r="G1206" t="str">
        <f>IF($B1206&lt;&gt;"",SUMPRODUCT(($B$2:$B1206&lt;&gt;"")*1),"")</f>
        <v/>
      </c>
    </row>
    <row r="1207" spans="1:7">
      <c r="A1207" s="23" t="str">
        <f>IF('سجل الإنتاج'!C207="","",'سجل الإنتاج'!B207)</f>
        <v/>
      </c>
      <c r="B1207" t="str">
        <f>IF('سجل الإنتاج'!C207="","","إنتاج طبخة")</f>
        <v/>
      </c>
      <c r="C1207" t="str">
        <f>IF('سجل الإنتاج'!C207="","",'سجل الإنتاج'!C207)</f>
        <v/>
      </c>
      <c r="D1207" t="str">
        <f>IF('سجل الإنتاج'!C207="","","عدة مواد - راجع صفحة الطبخات")</f>
        <v/>
      </c>
      <c r="F1207" t="str">
        <f>IF('سجل الإنتاج'!C207="","",IF('سجل الإنتاج'!D207="","",'سجل الإنتاج'!D207))</f>
        <v/>
      </c>
      <c r="G1207" t="str">
        <f>IF($B1207&lt;&gt;"",SUMPRODUCT(($B$2:$B1207&lt;&gt;"")*1),"")</f>
        <v/>
      </c>
    </row>
    <row r="1208" spans="1:7">
      <c r="A1208" s="23" t="str">
        <f>IF('سجل الإنتاج'!C208="","",'سجل الإنتاج'!B208)</f>
        <v/>
      </c>
      <c r="B1208" t="str">
        <f>IF('سجل الإنتاج'!C208="","","إنتاج طبخة")</f>
        <v/>
      </c>
      <c r="C1208" t="str">
        <f>IF('سجل الإنتاج'!C208="","",'سجل الإنتاج'!C208)</f>
        <v/>
      </c>
      <c r="D1208" t="str">
        <f>IF('سجل الإنتاج'!C208="","","عدة مواد - راجع صفحة الطبخات")</f>
        <v/>
      </c>
      <c r="F1208" t="str">
        <f>IF('سجل الإنتاج'!C208="","",IF('سجل الإنتاج'!D208="","",'سجل الإنتاج'!D208))</f>
        <v/>
      </c>
      <c r="G1208" t="str">
        <f>IF($B1208&lt;&gt;"",SUMPRODUCT(($B$2:$B1208&lt;&gt;"")*1),"")</f>
        <v/>
      </c>
    </row>
    <row r="1209" spans="1:7">
      <c r="A1209" s="23" t="str">
        <f>IF('سجل الإنتاج'!C209="","",'سجل الإنتاج'!B209)</f>
        <v/>
      </c>
      <c r="B1209" t="str">
        <f>IF('سجل الإنتاج'!C209="","","إنتاج طبخة")</f>
        <v/>
      </c>
      <c r="C1209" t="str">
        <f>IF('سجل الإنتاج'!C209="","",'سجل الإنتاج'!C209)</f>
        <v/>
      </c>
      <c r="D1209" t="str">
        <f>IF('سجل الإنتاج'!C209="","","عدة مواد - راجع صفحة الطبخات")</f>
        <v/>
      </c>
      <c r="F1209" t="str">
        <f>IF('سجل الإنتاج'!C209="","",IF('سجل الإنتاج'!D209="","",'سجل الإنتاج'!D209))</f>
        <v/>
      </c>
      <c r="G1209" t="str">
        <f>IF($B1209&lt;&gt;"",SUMPRODUCT(($B$2:$B1209&lt;&gt;"")*1),"")</f>
        <v/>
      </c>
    </row>
    <row r="1210" spans="1:7">
      <c r="A1210" s="23" t="str">
        <f>IF('سجل الإنتاج'!C210="","",'سجل الإنتاج'!B210)</f>
        <v/>
      </c>
      <c r="B1210" t="str">
        <f>IF('سجل الإنتاج'!C210="","","إنتاج طبخة")</f>
        <v/>
      </c>
      <c r="C1210" t="str">
        <f>IF('سجل الإنتاج'!C210="","",'سجل الإنتاج'!C210)</f>
        <v/>
      </c>
      <c r="D1210" t="str">
        <f>IF('سجل الإنتاج'!C210="","","عدة مواد - راجع صفحة الطبخات")</f>
        <v/>
      </c>
      <c r="F1210" t="str">
        <f>IF('سجل الإنتاج'!C210="","",IF('سجل الإنتاج'!D210="","",'سجل الإنتاج'!D210))</f>
        <v/>
      </c>
      <c r="G1210" t="str">
        <f>IF($B1210&lt;&gt;"",SUMPRODUCT(($B$2:$B1210&lt;&gt;"")*1),"")</f>
        <v/>
      </c>
    </row>
    <row r="1211" spans="1:7">
      <c r="A1211" s="23" t="str">
        <f>IF('سجل الإنتاج'!C211="","",'سجل الإنتاج'!B211)</f>
        <v/>
      </c>
      <c r="B1211" t="str">
        <f>IF('سجل الإنتاج'!C211="","","إنتاج طبخة")</f>
        <v/>
      </c>
      <c r="C1211" t="str">
        <f>IF('سجل الإنتاج'!C211="","",'سجل الإنتاج'!C211)</f>
        <v/>
      </c>
      <c r="D1211" t="str">
        <f>IF('سجل الإنتاج'!C211="","","عدة مواد - راجع صفحة الطبخات")</f>
        <v/>
      </c>
      <c r="F1211" t="str">
        <f>IF('سجل الإنتاج'!C211="","",IF('سجل الإنتاج'!D211="","",'سجل الإنتاج'!D211))</f>
        <v/>
      </c>
      <c r="G1211" t="str">
        <f>IF($B1211&lt;&gt;"",SUMPRODUCT(($B$2:$B1211&lt;&gt;"")*1),"")</f>
        <v/>
      </c>
    </row>
    <row r="1212" spans="1:7">
      <c r="A1212" s="23" t="str">
        <f>IF('سجل الإنتاج'!C212="","",'سجل الإنتاج'!B212)</f>
        <v/>
      </c>
      <c r="B1212" t="str">
        <f>IF('سجل الإنتاج'!C212="","","إنتاج طبخة")</f>
        <v/>
      </c>
      <c r="C1212" t="str">
        <f>IF('سجل الإنتاج'!C212="","",'سجل الإنتاج'!C212)</f>
        <v/>
      </c>
      <c r="D1212" t="str">
        <f>IF('سجل الإنتاج'!C212="","","عدة مواد - راجع صفحة الطبخات")</f>
        <v/>
      </c>
      <c r="F1212" t="str">
        <f>IF('سجل الإنتاج'!C212="","",IF('سجل الإنتاج'!D212="","",'سجل الإنتاج'!D212))</f>
        <v/>
      </c>
      <c r="G1212" t="str">
        <f>IF($B1212&lt;&gt;"",SUMPRODUCT(($B$2:$B1212&lt;&gt;"")*1),"")</f>
        <v/>
      </c>
    </row>
    <row r="1213" spans="1:7">
      <c r="A1213" s="23" t="str">
        <f>IF('سجل الإنتاج'!C213="","",'سجل الإنتاج'!B213)</f>
        <v/>
      </c>
      <c r="B1213" t="str">
        <f>IF('سجل الإنتاج'!C213="","","إنتاج طبخة")</f>
        <v/>
      </c>
      <c r="C1213" t="str">
        <f>IF('سجل الإنتاج'!C213="","",'سجل الإنتاج'!C213)</f>
        <v/>
      </c>
      <c r="D1213" t="str">
        <f>IF('سجل الإنتاج'!C213="","","عدة مواد - راجع صفحة الطبخات")</f>
        <v/>
      </c>
      <c r="F1213" t="str">
        <f>IF('سجل الإنتاج'!C213="","",IF('سجل الإنتاج'!D213="","",'سجل الإنتاج'!D213))</f>
        <v/>
      </c>
      <c r="G1213" t="str">
        <f>IF($B1213&lt;&gt;"",SUMPRODUCT(($B$2:$B1213&lt;&gt;"")*1),"")</f>
        <v/>
      </c>
    </row>
    <row r="1214" spans="1:7">
      <c r="A1214" s="23" t="str">
        <f>IF('سجل الإنتاج'!C214="","",'سجل الإنتاج'!B214)</f>
        <v/>
      </c>
      <c r="B1214" t="str">
        <f>IF('سجل الإنتاج'!C214="","","إنتاج طبخة")</f>
        <v/>
      </c>
      <c r="C1214" t="str">
        <f>IF('سجل الإنتاج'!C214="","",'سجل الإنتاج'!C214)</f>
        <v/>
      </c>
      <c r="D1214" t="str">
        <f>IF('سجل الإنتاج'!C214="","","عدة مواد - راجع صفحة الطبخات")</f>
        <v/>
      </c>
      <c r="F1214" t="str">
        <f>IF('سجل الإنتاج'!C214="","",IF('سجل الإنتاج'!D214="","",'سجل الإنتاج'!D214))</f>
        <v/>
      </c>
      <c r="G1214" t="str">
        <f>IF($B1214&lt;&gt;"",SUMPRODUCT(($B$2:$B1214&lt;&gt;"")*1),"")</f>
        <v/>
      </c>
    </row>
    <row r="1215" spans="1:7">
      <c r="A1215" s="23" t="str">
        <f>IF('سجل الإنتاج'!C215="","",'سجل الإنتاج'!B215)</f>
        <v/>
      </c>
      <c r="B1215" t="str">
        <f>IF('سجل الإنتاج'!C215="","","إنتاج طبخة")</f>
        <v/>
      </c>
      <c r="C1215" t="str">
        <f>IF('سجل الإنتاج'!C215="","",'سجل الإنتاج'!C215)</f>
        <v/>
      </c>
      <c r="D1215" t="str">
        <f>IF('سجل الإنتاج'!C215="","","عدة مواد - راجع صفحة الطبخات")</f>
        <v/>
      </c>
      <c r="F1215" t="str">
        <f>IF('سجل الإنتاج'!C215="","",IF('سجل الإنتاج'!D215="","",'سجل الإنتاج'!D215))</f>
        <v/>
      </c>
      <c r="G1215" t="str">
        <f>IF($B1215&lt;&gt;"",SUMPRODUCT(($B$2:$B1215&lt;&gt;"")*1),"")</f>
        <v/>
      </c>
    </row>
    <row r="1216" spans="1:7">
      <c r="A1216" s="23" t="str">
        <f>IF('سجل الإنتاج'!C216="","",'سجل الإنتاج'!B216)</f>
        <v/>
      </c>
      <c r="B1216" t="str">
        <f>IF('سجل الإنتاج'!C216="","","إنتاج طبخة")</f>
        <v/>
      </c>
      <c r="C1216" t="str">
        <f>IF('سجل الإنتاج'!C216="","",'سجل الإنتاج'!C216)</f>
        <v/>
      </c>
      <c r="D1216" t="str">
        <f>IF('سجل الإنتاج'!C216="","","عدة مواد - راجع صفحة الطبخات")</f>
        <v/>
      </c>
      <c r="F1216" t="str">
        <f>IF('سجل الإنتاج'!C216="","",IF('سجل الإنتاج'!D216="","",'سجل الإنتاج'!D216))</f>
        <v/>
      </c>
      <c r="G1216" t="str">
        <f>IF($B1216&lt;&gt;"",SUMPRODUCT(($B$2:$B1216&lt;&gt;"")*1),"")</f>
        <v/>
      </c>
    </row>
    <row r="1217" spans="1:7">
      <c r="A1217" s="23" t="str">
        <f>IF('سجل الإنتاج'!C217="","",'سجل الإنتاج'!B217)</f>
        <v/>
      </c>
      <c r="B1217" t="str">
        <f>IF('سجل الإنتاج'!C217="","","إنتاج طبخة")</f>
        <v/>
      </c>
      <c r="C1217" t="str">
        <f>IF('سجل الإنتاج'!C217="","",'سجل الإنتاج'!C217)</f>
        <v/>
      </c>
      <c r="D1217" t="str">
        <f>IF('سجل الإنتاج'!C217="","","عدة مواد - راجع صفحة الطبخات")</f>
        <v/>
      </c>
      <c r="F1217" t="str">
        <f>IF('سجل الإنتاج'!C217="","",IF('سجل الإنتاج'!D217="","",'سجل الإنتاج'!D217))</f>
        <v/>
      </c>
      <c r="G1217" t="str">
        <f>IF($B1217&lt;&gt;"",SUMPRODUCT(($B$2:$B1217&lt;&gt;"")*1),"")</f>
        <v/>
      </c>
    </row>
    <row r="1218" spans="1:7">
      <c r="A1218" s="23" t="str">
        <f>IF('سجل الإنتاج'!C218="","",'سجل الإنتاج'!B218)</f>
        <v/>
      </c>
      <c r="B1218" t="str">
        <f>IF('سجل الإنتاج'!C218="","","إنتاج طبخة")</f>
        <v/>
      </c>
      <c r="C1218" t="str">
        <f>IF('سجل الإنتاج'!C218="","",'سجل الإنتاج'!C218)</f>
        <v/>
      </c>
      <c r="D1218" t="str">
        <f>IF('سجل الإنتاج'!C218="","","عدة مواد - راجع صفحة الطبخات")</f>
        <v/>
      </c>
      <c r="F1218" t="str">
        <f>IF('سجل الإنتاج'!C218="","",IF('سجل الإنتاج'!D218="","",'سجل الإنتاج'!D218))</f>
        <v/>
      </c>
      <c r="G1218" t="str">
        <f>IF($B1218&lt;&gt;"",SUMPRODUCT(($B$2:$B1218&lt;&gt;"")*1),"")</f>
        <v/>
      </c>
    </row>
    <row r="1219" spans="1:7">
      <c r="A1219" s="23" t="str">
        <f>IF('سجل الإنتاج'!C219="","",'سجل الإنتاج'!B219)</f>
        <v/>
      </c>
      <c r="B1219" t="str">
        <f>IF('سجل الإنتاج'!C219="","","إنتاج طبخة")</f>
        <v/>
      </c>
      <c r="C1219" t="str">
        <f>IF('سجل الإنتاج'!C219="","",'سجل الإنتاج'!C219)</f>
        <v/>
      </c>
      <c r="D1219" t="str">
        <f>IF('سجل الإنتاج'!C219="","","عدة مواد - راجع صفحة الطبخات")</f>
        <v/>
      </c>
      <c r="F1219" t="str">
        <f>IF('سجل الإنتاج'!C219="","",IF('سجل الإنتاج'!D219="","",'سجل الإنتاج'!D219))</f>
        <v/>
      </c>
      <c r="G1219" t="str">
        <f>IF($B1219&lt;&gt;"",SUMPRODUCT(($B$2:$B1219&lt;&gt;"")*1),"")</f>
        <v/>
      </c>
    </row>
    <row r="1220" spans="1:7">
      <c r="A1220" s="23" t="str">
        <f>IF('سجل الإنتاج'!C220="","",'سجل الإنتاج'!B220)</f>
        <v/>
      </c>
      <c r="B1220" t="str">
        <f>IF('سجل الإنتاج'!C220="","","إنتاج طبخة")</f>
        <v/>
      </c>
      <c r="C1220" t="str">
        <f>IF('سجل الإنتاج'!C220="","",'سجل الإنتاج'!C220)</f>
        <v/>
      </c>
      <c r="D1220" t="str">
        <f>IF('سجل الإنتاج'!C220="","","عدة مواد - راجع صفحة الطبخات")</f>
        <v/>
      </c>
      <c r="F1220" t="str">
        <f>IF('سجل الإنتاج'!C220="","",IF('سجل الإنتاج'!D220="","",'سجل الإنتاج'!D220))</f>
        <v/>
      </c>
      <c r="G1220" t="str">
        <f>IF($B1220&lt;&gt;"",SUMPRODUCT(($B$2:$B1220&lt;&gt;"")*1),"")</f>
        <v/>
      </c>
    </row>
    <row r="1221" spans="1:7">
      <c r="A1221" s="23" t="str">
        <f>IF('سجل الإنتاج'!C221="","",'سجل الإنتاج'!B221)</f>
        <v/>
      </c>
      <c r="B1221" t="str">
        <f>IF('سجل الإنتاج'!C221="","","إنتاج طبخة")</f>
        <v/>
      </c>
      <c r="C1221" t="str">
        <f>IF('سجل الإنتاج'!C221="","",'سجل الإنتاج'!C221)</f>
        <v/>
      </c>
      <c r="D1221" t="str">
        <f>IF('سجل الإنتاج'!C221="","","عدة مواد - راجع صفحة الطبخات")</f>
        <v/>
      </c>
      <c r="F1221" t="str">
        <f>IF('سجل الإنتاج'!C221="","",IF('سجل الإنتاج'!D221="","",'سجل الإنتاج'!D221))</f>
        <v/>
      </c>
      <c r="G1221" t="str">
        <f>IF($B1221&lt;&gt;"",SUMPRODUCT(($B$2:$B1221&lt;&gt;"")*1),"")</f>
        <v/>
      </c>
    </row>
    <row r="1222" spans="1:7">
      <c r="A1222" s="23" t="str">
        <f>IF('سجل الإنتاج'!C222="","",'سجل الإنتاج'!B222)</f>
        <v/>
      </c>
      <c r="B1222" t="str">
        <f>IF('سجل الإنتاج'!C222="","","إنتاج طبخة")</f>
        <v/>
      </c>
      <c r="C1222" t="str">
        <f>IF('سجل الإنتاج'!C222="","",'سجل الإنتاج'!C222)</f>
        <v/>
      </c>
      <c r="D1222" t="str">
        <f>IF('سجل الإنتاج'!C222="","","عدة مواد - راجع صفحة الطبخات")</f>
        <v/>
      </c>
      <c r="F1222" t="str">
        <f>IF('سجل الإنتاج'!C222="","",IF('سجل الإنتاج'!D222="","",'سجل الإنتاج'!D222))</f>
        <v/>
      </c>
      <c r="G1222" t="str">
        <f>IF($B1222&lt;&gt;"",SUMPRODUCT(($B$2:$B1222&lt;&gt;"")*1),"")</f>
        <v/>
      </c>
    </row>
    <row r="1223" spans="1:7">
      <c r="A1223" s="23" t="str">
        <f>IF('سجل الإنتاج'!C223="","",'سجل الإنتاج'!B223)</f>
        <v/>
      </c>
      <c r="B1223" t="str">
        <f>IF('سجل الإنتاج'!C223="","","إنتاج طبخة")</f>
        <v/>
      </c>
      <c r="C1223" t="str">
        <f>IF('سجل الإنتاج'!C223="","",'سجل الإنتاج'!C223)</f>
        <v/>
      </c>
      <c r="D1223" t="str">
        <f>IF('سجل الإنتاج'!C223="","","عدة مواد - راجع صفحة الطبخات")</f>
        <v/>
      </c>
      <c r="F1223" t="str">
        <f>IF('سجل الإنتاج'!C223="","",IF('سجل الإنتاج'!D223="","",'سجل الإنتاج'!D223))</f>
        <v/>
      </c>
      <c r="G1223" t="str">
        <f>IF($B1223&lt;&gt;"",SUMPRODUCT(($B$2:$B1223&lt;&gt;"")*1),"")</f>
        <v/>
      </c>
    </row>
    <row r="1224" spans="1:7">
      <c r="A1224" s="23" t="str">
        <f>IF('سجل الإنتاج'!C224="","",'سجل الإنتاج'!B224)</f>
        <v/>
      </c>
      <c r="B1224" t="str">
        <f>IF('سجل الإنتاج'!C224="","","إنتاج طبخة")</f>
        <v/>
      </c>
      <c r="C1224" t="str">
        <f>IF('سجل الإنتاج'!C224="","",'سجل الإنتاج'!C224)</f>
        <v/>
      </c>
      <c r="D1224" t="str">
        <f>IF('سجل الإنتاج'!C224="","","عدة مواد - راجع صفحة الطبخات")</f>
        <v/>
      </c>
      <c r="F1224" t="str">
        <f>IF('سجل الإنتاج'!C224="","",IF('سجل الإنتاج'!D224="","",'سجل الإنتاج'!D224))</f>
        <v/>
      </c>
      <c r="G1224" t="str">
        <f>IF($B1224&lt;&gt;"",SUMPRODUCT(($B$2:$B1224&lt;&gt;"")*1),"")</f>
        <v/>
      </c>
    </row>
    <row r="1225" spans="1:7">
      <c r="A1225" s="23" t="str">
        <f>IF('سجل الإنتاج'!C225="","",'سجل الإنتاج'!B225)</f>
        <v/>
      </c>
      <c r="B1225" t="str">
        <f>IF('سجل الإنتاج'!C225="","","إنتاج طبخة")</f>
        <v/>
      </c>
      <c r="C1225" t="str">
        <f>IF('سجل الإنتاج'!C225="","",'سجل الإنتاج'!C225)</f>
        <v/>
      </c>
      <c r="D1225" t="str">
        <f>IF('سجل الإنتاج'!C225="","","عدة مواد - راجع صفحة الطبخات")</f>
        <v/>
      </c>
      <c r="F1225" t="str">
        <f>IF('سجل الإنتاج'!C225="","",IF('سجل الإنتاج'!D225="","",'سجل الإنتاج'!D225))</f>
        <v/>
      </c>
      <c r="G1225" t="str">
        <f>IF($B1225&lt;&gt;"",SUMPRODUCT(($B$2:$B1225&lt;&gt;"")*1),"")</f>
        <v/>
      </c>
    </row>
    <row r="1226" spans="1:7">
      <c r="A1226" s="23" t="str">
        <f>IF('سجل الإنتاج'!C226="","",'سجل الإنتاج'!B226)</f>
        <v/>
      </c>
      <c r="B1226" t="str">
        <f>IF('سجل الإنتاج'!C226="","","إنتاج طبخة")</f>
        <v/>
      </c>
      <c r="C1226" t="str">
        <f>IF('سجل الإنتاج'!C226="","",'سجل الإنتاج'!C226)</f>
        <v/>
      </c>
      <c r="D1226" t="str">
        <f>IF('سجل الإنتاج'!C226="","","عدة مواد - راجع صفحة الطبخات")</f>
        <v/>
      </c>
      <c r="F1226" t="str">
        <f>IF('سجل الإنتاج'!C226="","",IF('سجل الإنتاج'!D226="","",'سجل الإنتاج'!D226))</f>
        <v/>
      </c>
      <c r="G1226" t="str">
        <f>IF($B1226&lt;&gt;"",SUMPRODUCT(($B$2:$B1226&lt;&gt;"")*1),"")</f>
        <v/>
      </c>
    </row>
    <row r="1227" spans="1:7">
      <c r="A1227" s="23" t="str">
        <f>IF('سجل الإنتاج'!C227="","",'سجل الإنتاج'!B227)</f>
        <v/>
      </c>
      <c r="B1227" t="str">
        <f>IF('سجل الإنتاج'!C227="","","إنتاج طبخة")</f>
        <v/>
      </c>
      <c r="C1227" t="str">
        <f>IF('سجل الإنتاج'!C227="","",'سجل الإنتاج'!C227)</f>
        <v/>
      </c>
      <c r="D1227" t="str">
        <f>IF('سجل الإنتاج'!C227="","","عدة مواد - راجع صفحة الطبخات")</f>
        <v/>
      </c>
      <c r="F1227" t="str">
        <f>IF('سجل الإنتاج'!C227="","",IF('سجل الإنتاج'!D227="","",'سجل الإنتاج'!D227))</f>
        <v/>
      </c>
      <c r="G1227" t="str">
        <f>IF($B1227&lt;&gt;"",SUMPRODUCT(($B$2:$B1227&lt;&gt;"")*1),"")</f>
        <v/>
      </c>
    </row>
    <row r="1228" spans="1:7">
      <c r="A1228" s="23" t="str">
        <f>IF('سجل الإنتاج'!C228="","",'سجل الإنتاج'!B228)</f>
        <v/>
      </c>
      <c r="B1228" t="str">
        <f>IF('سجل الإنتاج'!C228="","","إنتاج طبخة")</f>
        <v/>
      </c>
      <c r="C1228" t="str">
        <f>IF('سجل الإنتاج'!C228="","",'سجل الإنتاج'!C228)</f>
        <v/>
      </c>
      <c r="D1228" t="str">
        <f>IF('سجل الإنتاج'!C228="","","عدة مواد - راجع صفحة الطبخات")</f>
        <v/>
      </c>
      <c r="F1228" t="str">
        <f>IF('سجل الإنتاج'!C228="","",IF('سجل الإنتاج'!D228="","",'سجل الإنتاج'!D228))</f>
        <v/>
      </c>
      <c r="G1228" t="str">
        <f>IF($B1228&lt;&gt;"",SUMPRODUCT(($B$2:$B1228&lt;&gt;"")*1),"")</f>
        <v/>
      </c>
    </row>
    <row r="1229" spans="1:7">
      <c r="A1229" s="23" t="str">
        <f>IF('سجل الإنتاج'!C229="","",'سجل الإنتاج'!B229)</f>
        <v/>
      </c>
      <c r="B1229" t="str">
        <f>IF('سجل الإنتاج'!C229="","","إنتاج طبخة")</f>
        <v/>
      </c>
      <c r="C1229" t="str">
        <f>IF('سجل الإنتاج'!C229="","",'سجل الإنتاج'!C229)</f>
        <v/>
      </c>
      <c r="D1229" t="str">
        <f>IF('سجل الإنتاج'!C229="","","عدة مواد - راجع صفحة الطبخات")</f>
        <v/>
      </c>
      <c r="F1229" t="str">
        <f>IF('سجل الإنتاج'!C229="","",IF('سجل الإنتاج'!D229="","",'سجل الإنتاج'!D229))</f>
        <v/>
      </c>
      <c r="G1229" t="str">
        <f>IF($B1229&lt;&gt;"",SUMPRODUCT(($B$2:$B1229&lt;&gt;"")*1),"")</f>
        <v/>
      </c>
    </row>
    <row r="1230" spans="1:7">
      <c r="A1230" s="23" t="str">
        <f>IF('سجل الإنتاج'!C230="","",'سجل الإنتاج'!B230)</f>
        <v/>
      </c>
      <c r="B1230" t="str">
        <f>IF('سجل الإنتاج'!C230="","","إنتاج طبخة")</f>
        <v/>
      </c>
      <c r="C1230" t="str">
        <f>IF('سجل الإنتاج'!C230="","",'سجل الإنتاج'!C230)</f>
        <v/>
      </c>
      <c r="D1230" t="str">
        <f>IF('سجل الإنتاج'!C230="","","عدة مواد - راجع صفحة الطبخات")</f>
        <v/>
      </c>
      <c r="F1230" t="str">
        <f>IF('سجل الإنتاج'!C230="","",IF('سجل الإنتاج'!D230="","",'سجل الإنتاج'!D230))</f>
        <v/>
      </c>
      <c r="G1230" t="str">
        <f>IF($B1230&lt;&gt;"",SUMPRODUCT(($B$2:$B1230&lt;&gt;"")*1),"")</f>
        <v/>
      </c>
    </row>
    <row r="1231" spans="1:7">
      <c r="A1231" s="23" t="str">
        <f>IF('سجل الإنتاج'!C231="","",'سجل الإنتاج'!B231)</f>
        <v/>
      </c>
      <c r="B1231" t="str">
        <f>IF('سجل الإنتاج'!C231="","","إنتاج طبخة")</f>
        <v/>
      </c>
      <c r="C1231" t="str">
        <f>IF('سجل الإنتاج'!C231="","",'سجل الإنتاج'!C231)</f>
        <v/>
      </c>
      <c r="D1231" t="str">
        <f>IF('سجل الإنتاج'!C231="","","عدة مواد - راجع صفحة الطبخات")</f>
        <v/>
      </c>
      <c r="F1231" t="str">
        <f>IF('سجل الإنتاج'!C231="","",IF('سجل الإنتاج'!D231="","",'سجل الإنتاج'!D231))</f>
        <v/>
      </c>
      <c r="G1231" t="str">
        <f>IF($B1231&lt;&gt;"",SUMPRODUCT(($B$2:$B1231&lt;&gt;"")*1),"")</f>
        <v/>
      </c>
    </row>
    <row r="1232" spans="1:7">
      <c r="A1232" s="23" t="str">
        <f>IF('سجل الإنتاج'!C232="","",'سجل الإنتاج'!B232)</f>
        <v/>
      </c>
      <c r="B1232" t="str">
        <f>IF('سجل الإنتاج'!C232="","","إنتاج طبخة")</f>
        <v/>
      </c>
      <c r="C1232" t="str">
        <f>IF('سجل الإنتاج'!C232="","",'سجل الإنتاج'!C232)</f>
        <v/>
      </c>
      <c r="D1232" t="str">
        <f>IF('سجل الإنتاج'!C232="","","عدة مواد - راجع صفحة الطبخات")</f>
        <v/>
      </c>
      <c r="F1232" t="str">
        <f>IF('سجل الإنتاج'!C232="","",IF('سجل الإنتاج'!D232="","",'سجل الإنتاج'!D232))</f>
        <v/>
      </c>
      <c r="G1232" t="str">
        <f>IF($B1232&lt;&gt;"",SUMPRODUCT(($B$2:$B1232&lt;&gt;"")*1),"")</f>
        <v/>
      </c>
    </row>
    <row r="1233" spans="1:7">
      <c r="A1233" s="23" t="str">
        <f>IF('سجل الإنتاج'!C233="","",'سجل الإنتاج'!B233)</f>
        <v/>
      </c>
      <c r="B1233" t="str">
        <f>IF('سجل الإنتاج'!C233="","","إنتاج طبخة")</f>
        <v/>
      </c>
      <c r="C1233" t="str">
        <f>IF('سجل الإنتاج'!C233="","",'سجل الإنتاج'!C233)</f>
        <v/>
      </c>
      <c r="D1233" t="str">
        <f>IF('سجل الإنتاج'!C233="","","عدة مواد - راجع صفحة الطبخات")</f>
        <v/>
      </c>
      <c r="F1233" t="str">
        <f>IF('سجل الإنتاج'!C233="","",IF('سجل الإنتاج'!D233="","",'سجل الإنتاج'!D233))</f>
        <v/>
      </c>
      <c r="G1233" t="str">
        <f>IF($B1233&lt;&gt;"",SUMPRODUCT(($B$2:$B1233&lt;&gt;"")*1),"")</f>
        <v/>
      </c>
    </row>
    <row r="1234" spans="1:7">
      <c r="A1234" s="23" t="str">
        <f>IF('سجل الإنتاج'!C234="","",'سجل الإنتاج'!B234)</f>
        <v/>
      </c>
      <c r="B1234" t="str">
        <f>IF('سجل الإنتاج'!C234="","","إنتاج طبخة")</f>
        <v/>
      </c>
      <c r="C1234" t="str">
        <f>IF('سجل الإنتاج'!C234="","",'سجل الإنتاج'!C234)</f>
        <v/>
      </c>
      <c r="D1234" t="str">
        <f>IF('سجل الإنتاج'!C234="","","عدة مواد - راجع صفحة الطبخات")</f>
        <v/>
      </c>
      <c r="F1234" t="str">
        <f>IF('سجل الإنتاج'!C234="","",IF('سجل الإنتاج'!D234="","",'سجل الإنتاج'!D234))</f>
        <v/>
      </c>
      <c r="G1234" t="str">
        <f>IF($B1234&lt;&gt;"",SUMPRODUCT(($B$2:$B1234&lt;&gt;"")*1),"")</f>
        <v/>
      </c>
    </row>
    <row r="1235" spans="1:7">
      <c r="A1235" s="23" t="str">
        <f>IF('سجل الإنتاج'!C235="","",'سجل الإنتاج'!B235)</f>
        <v/>
      </c>
      <c r="B1235" t="str">
        <f>IF('سجل الإنتاج'!C235="","","إنتاج طبخة")</f>
        <v/>
      </c>
      <c r="C1235" t="str">
        <f>IF('سجل الإنتاج'!C235="","",'سجل الإنتاج'!C235)</f>
        <v/>
      </c>
      <c r="D1235" t="str">
        <f>IF('سجل الإنتاج'!C235="","","عدة مواد - راجع صفحة الطبخات")</f>
        <v/>
      </c>
      <c r="F1235" t="str">
        <f>IF('سجل الإنتاج'!C235="","",IF('سجل الإنتاج'!D235="","",'سجل الإنتاج'!D235))</f>
        <v/>
      </c>
      <c r="G1235" t="str">
        <f>IF($B1235&lt;&gt;"",SUMPRODUCT(($B$2:$B1235&lt;&gt;"")*1),"")</f>
        <v/>
      </c>
    </row>
    <row r="1236" spans="1:7">
      <c r="A1236" s="23" t="str">
        <f>IF('سجل الإنتاج'!C236="","",'سجل الإنتاج'!B236)</f>
        <v/>
      </c>
      <c r="B1236" t="str">
        <f>IF('سجل الإنتاج'!C236="","","إنتاج طبخة")</f>
        <v/>
      </c>
      <c r="C1236" t="str">
        <f>IF('سجل الإنتاج'!C236="","",'سجل الإنتاج'!C236)</f>
        <v/>
      </c>
      <c r="D1236" t="str">
        <f>IF('سجل الإنتاج'!C236="","","عدة مواد - راجع صفحة الطبخات")</f>
        <v/>
      </c>
      <c r="F1236" t="str">
        <f>IF('سجل الإنتاج'!C236="","",IF('سجل الإنتاج'!D236="","",'سجل الإنتاج'!D236))</f>
        <v/>
      </c>
      <c r="G1236" t="str">
        <f>IF($B1236&lt;&gt;"",SUMPRODUCT(($B$2:$B1236&lt;&gt;"")*1),"")</f>
        <v/>
      </c>
    </row>
    <row r="1237" spans="1:7">
      <c r="A1237" s="23" t="str">
        <f>IF('سجل الإنتاج'!C237="","",'سجل الإنتاج'!B237)</f>
        <v/>
      </c>
      <c r="B1237" t="str">
        <f>IF('سجل الإنتاج'!C237="","","إنتاج طبخة")</f>
        <v/>
      </c>
      <c r="C1237" t="str">
        <f>IF('سجل الإنتاج'!C237="","",'سجل الإنتاج'!C237)</f>
        <v/>
      </c>
      <c r="D1237" t="str">
        <f>IF('سجل الإنتاج'!C237="","","عدة مواد - راجع صفحة الطبخات")</f>
        <v/>
      </c>
      <c r="F1237" t="str">
        <f>IF('سجل الإنتاج'!C237="","",IF('سجل الإنتاج'!D237="","",'سجل الإنتاج'!D237))</f>
        <v/>
      </c>
      <c r="G1237" t="str">
        <f>IF($B1237&lt;&gt;"",SUMPRODUCT(($B$2:$B1237&lt;&gt;"")*1),"")</f>
        <v/>
      </c>
    </row>
    <row r="1238" spans="1:7">
      <c r="A1238" s="23" t="str">
        <f>IF('سجل الإنتاج'!C238="","",'سجل الإنتاج'!B238)</f>
        <v/>
      </c>
      <c r="B1238" t="str">
        <f>IF('سجل الإنتاج'!C238="","","إنتاج طبخة")</f>
        <v/>
      </c>
      <c r="C1238" t="str">
        <f>IF('سجل الإنتاج'!C238="","",'سجل الإنتاج'!C238)</f>
        <v/>
      </c>
      <c r="D1238" t="str">
        <f>IF('سجل الإنتاج'!C238="","","عدة مواد - راجع صفحة الطبخات")</f>
        <v/>
      </c>
      <c r="F1238" t="str">
        <f>IF('سجل الإنتاج'!C238="","",IF('سجل الإنتاج'!D238="","",'سجل الإنتاج'!D238))</f>
        <v/>
      </c>
      <c r="G1238" t="str">
        <f>IF($B1238&lt;&gt;"",SUMPRODUCT(($B$2:$B1238&lt;&gt;"")*1),"")</f>
        <v/>
      </c>
    </row>
    <row r="1239" spans="1:7">
      <c r="A1239" s="23" t="str">
        <f>IF('سجل الإنتاج'!C239="","",'سجل الإنتاج'!B239)</f>
        <v/>
      </c>
      <c r="B1239" t="str">
        <f>IF('سجل الإنتاج'!C239="","","إنتاج طبخة")</f>
        <v/>
      </c>
      <c r="C1239" t="str">
        <f>IF('سجل الإنتاج'!C239="","",'سجل الإنتاج'!C239)</f>
        <v/>
      </c>
      <c r="D1239" t="str">
        <f>IF('سجل الإنتاج'!C239="","","عدة مواد - راجع صفحة الطبخات")</f>
        <v/>
      </c>
      <c r="F1239" t="str">
        <f>IF('سجل الإنتاج'!C239="","",IF('سجل الإنتاج'!D239="","",'سجل الإنتاج'!D239))</f>
        <v/>
      </c>
      <c r="G1239" t="str">
        <f>IF($B1239&lt;&gt;"",SUMPRODUCT(($B$2:$B1239&lt;&gt;"")*1),"")</f>
        <v/>
      </c>
    </row>
    <row r="1240" spans="1:7">
      <c r="A1240" s="23" t="str">
        <f>IF('سجل الإنتاج'!C240="","",'سجل الإنتاج'!B240)</f>
        <v/>
      </c>
      <c r="B1240" t="str">
        <f>IF('سجل الإنتاج'!C240="","","إنتاج طبخة")</f>
        <v/>
      </c>
      <c r="C1240" t="str">
        <f>IF('سجل الإنتاج'!C240="","",'سجل الإنتاج'!C240)</f>
        <v/>
      </c>
      <c r="D1240" t="str">
        <f>IF('سجل الإنتاج'!C240="","","عدة مواد - راجع صفحة الطبخات")</f>
        <v/>
      </c>
      <c r="F1240" t="str">
        <f>IF('سجل الإنتاج'!C240="","",IF('سجل الإنتاج'!D240="","",'سجل الإنتاج'!D240))</f>
        <v/>
      </c>
      <c r="G1240" t="str">
        <f>IF($B1240&lt;&gt;"",SUMPRODUCT(($B$2:$B1240&lt;&gt;"")*1),"")</f>
        <v/>
      </c>
    </row>
    <row r="1241" spans="1:7">
      <c r="A1241" s="23" t="str">
        <f>IF('سجل الإنتاج'!C241="","",'سجل الإنتاج'!B241)</f>
        <v/>
      </c>
      <c r="B1241" t="str">
        <f>IF('سجل الإنتاج'!C241="","","إنتاج طبخة")</f>
        <v/>
      </c>
      <c r="C1241" t="str">
        <f>IF('سجل الإنتاج'!C241="","",'سجل الإنتاج'!C241)</f>
        <v/>
      </c>
      <c r="D1241" t="str">
        <f>IF('سجل الإنتاج'!C241="","","عدة مواد - راجع صفحة الطبخات")</f>
        <v/>
      </c>
      <c r="F1241" t="str">
        <f>IF('سجل الإنتاج'!C241="","",IF('سجل الإنتاج'!D241="","",'سجل الإنتاج'!D241))</f>
        <v/>
      </c>
      <c r="G1241" t="str">
        <f>IF($B1241&lt;&gt;"",SUMPRODUCT(($B$2:$B1241&lt;&gt;"")*1),"")</f>
        <v/>
      </c>
    </row>
    <row r="1242" spans="1:7">
      <c r="A1242" s="23" t="str">
        <f>IF('سجل الإنتاج'!C242="","",'سجل الإنتاج'!B242)</f>
        <v/>
      </c>
      <c r="B1242" t="str">
        <f>IF('سجل الإنتاج'!C242="","","إنتاج طبخة")</f>
        <v/>
      </c>
      <c r="C1242" t="str">
        <f>IF('سجل الإنتاج'!C242="","",'سجل الإنتاج'!C242)</f>
        <v/>
      </c>
      <c r="D1242" t="str">
        <f>IF('سجل الإنتاج'!C242="","","عدة مواد - راجع صفحة الطبخات")</f>
        <v/>
      </c>
      <c r="F1242" t="str">
        <f>IF('سجل الإنتاج'!C242="","",IF('سجل الإنتاج'!D242="","",'سجل الإنتاج'!D242))</f>
        <v/>
      </c>
      <c r="G1242" t="str">
        <f>IF($B1242&lt;&gt;"",SUMPRODUCT(($B$2:$B1242&lt;&gt;"")*1),"")</f>
        <v/>
      </c>
    </row>
    <row r="1243" spans="1:7">
      <c r="A1243" s="23" t="str">
        <f>IF('سجل الإنتاج'!C243="","",'سجل الإنتاج'!B243)</f>
        <v/>
      </c>
      <c r="B1243" t="str">
        <f>IF('سجل الإنتاج'!C243="","","إنتاج طبخة")</f>
        <v/>
      </c>
      <c r="C1243" t="str">
        <f>IF('سجل الإنتاج'!C243="","",'سجل الإنتاج'!C243)</f>
        <v/>
      </c>
      <c r="D1243" t="str">
        <f>IF('سجل الإنتاج'!C243="","","عدة مواد - راجع صفحة الطبخات")</f>
        <v/>
      </c>
      <c r="F1243" t="str">
        <f>IF('سجل الإنتاج'!C243="","",IF('سجل الإنتاج'!D243="","",'سجل الإنتاج'!D243))</f>
        <v/>
      </c>
      <c r="G1243" t="str">
        <f>IF($B1243&lt;&gt;"",SUMPRODUCT(($B$2:$B1243&lt;&gt;"")*1),"")</f>
        <v/>
      </c>
    </row>
    <row r="1244" spans="1:7">
      <c r="A1244" s="23" t="str">
        <f>IF('سجل الإنتاج'!C244="","",'سجل الإنتاج'!B244)</f>
        <v/>
      </c>
      <c r="B1244" t="str">
        <f>IF('سجل الإنتاج'!C244="","","إنتاج طبخة")</f>
        <v/>
      </c>
      <c r="C1244" t="str">
        <f>IF('سجل الإنتاج'!C244="","",'سجل الإنتاج'!C244)</f>
        <v/>
      </c>
      <c r="D1244" t="str">
        <f>IF('سجل الإنتاج'!C244="","","عدة مواد - راجع صفحة الطبخات")</f>
        <v/>
      </c>
      <c r="F1244" t="str">
        <f>IF('سجل الإنتاج'!C244="","",IF('سجل الإنتاج'!D244="","",'سجل الإنتاج'!D244))</f>
        <v/>
      </c>
      <c r="G1244" t="str">
        <f>IF($B1244&lt;&gt;"",SUMPRODUCT(($B$2:$B1244&lt;&gt;"")*1),"")</f>
        <v/>
      </c>
    </row>
    <row r="1245" spans="1:7">
      <c r="A1245" s="23" t="str">
        <f>IF('سجل الإنتاج'!C245="","",'سجل الإنتاج'!B245)</f>
        <v/>
      </c>
      <c r="B1245" t="str">
        <f>IF('سجل الإنتاج'!C245="","","إنتاج طبخة")</f>
        <v/>
      </c>
      <c r="C1245" t="str">
        <f>IF('سجل الإنتاج'!C245="","",'سجل الإنتاج'!C245)</f>
        <v/>
      </c>
      <c r="D1245" t="str">
        <f>IF('سجل الإنتاج'!C245="","","عدة مواد - راجع صفحة الطبخات")</f>
        <v/>
      </c>
      <c r="F1245" t="str">
        <f>IF('سجل الإنتاج'!C245="","",IF('سجل الإنتاج'!D245="","",'سجل الإنتاج'!D245))</f>
        <v/>
      </c>
      <c r="G1245" t="str">
        <f>IF($B1245&lt;&gt;"",SUMPRODUCT(($B$2:$B1245&lt;&gt;"")*1),"")</f>
        <v/>
      </c>
    </row>
    <row r="1246" spans="1:7">
      <c r="A1246" s="23" t="str">
        <f>IF('سجل الإنتاج'!C246="","",'سجل الإنتاج'!B246)</f>
        <v/>
      </c>
      <c r="B1246" t="str">
        <f>IF('سجل الإنتاج'!C246="","","إنتاج طبخة")</f>
        <v/>
      </c>
      <c r="C1246" t="str">
        <f>IF('سجل الإنتاج'!C246="","",'سجل الإنتاج'!C246)</f>
        <v/>
      </c>
      <c r="D1246" t="str">
        <f>IF('سجل الإنتاج'!C246="","","عدة مواد - راجع صفحة الطبخات")</f>
        <v/>
      </c>
      <c r="F1246" t="str">
        <f>IF('سجل الإنتاج'!C246="","",IF('سجل الإنتاج'!D246="","",'سجل الإنتاج'!D246))</f>
        <v/>
      </c>
      <c r="G1246" t="str">
        <f>IF($B1246&lt;&gt;"",SUMPRODUCT(($B$2:$B1246&lt;&gt;"")*1),"")</f>
        <v/>
      </c>
    </row>
    <row r="1247" spans="1:7">
      <c r="A1247" s="23" t="str">
        <f>IF('سجل الإنتاج'!C247="","",'سجل الإنتاج'!B247)</f>
        <v/>
      </c>
      <c r="B1247" t="str">
        <f>IF('سجل الإنتاج'!C247="","","إنتاج طبخة")</f>
        <v/>
      </c>
      <c r="C1247" t="str">
        <f>IF('سجل الإنتاج'!C247="","",'سجل الإنتاج'!C247)</f>
        <v/>
      </c>
      <c r="D1247" t="str">
        <f>IF('سجل الإنتاج'!C247="","","عدة مواد - راجع صفحة الطبخات")</f>
        <v/>
      </c>
      <c r="F1247" t="str">
        <f>IF('سجل الإنتاج'!C247="","",IF('سجل الإنتاج'!D247="","",'سجل الإنتاج'!D247))</f>
        <v/>
      </c>
      <c r="G1247" t="str">
        <f>IF($B1247&lt;&gt;"",SUMPRODUCT(($B$2:$B1247&lt;&gt;"")*1),"")</f>
        <v/>
      </c>
    </row>
    <row r="1248" spans="1:7">
      <c r="A1248" s="23" t="str">
        <f>IF('سجل الإنتاج'!C248="","",'سجل الإنتاج'!B248)</f>
        <v/>
      </c>
      <c r="B1248" t="str">
        <f>IF('سجل الإنتاج'!C248="","","إنتاج طبخة")</f>
        <v/>
      </c>
      <c r="C1248" t="str">
        <f>IF('سجل الإنتاج'!C248="","",'سجل الإنتاج'!C248)</f>
        <v/>
      </c>
      <c r="D1248" t="str">
        <f>IF('سجل الإنتاج'!C248="","","عدة مواد - راجع صفحة الطبخات")</f>
        <v/>
      </c>
      <c r="F1248" t="str">
        <f>IF('سجل الإنتاج'!C248="","",IF('سجل الإنتاج'!D248="","",'سجل الإنتاج'!D248))</f>
        <v/>
      </c>
      <c r="G1248" t="str">
        <f>IF($B1248&lt;&gt;"",SUMPRODUCT(($B$2:$B1248&lt;&gt;"")*1),"")</f>
        <v/>
      </c>
    </row>
    <row r="1249" spans="1:7">
      <c r="A1249" s="23" t="str">
        <f>IF('سجل الإنتاج'!C249="","",'سجل الإنتاج'!B249)</f>
        <v/>
      </c>
      <c r="B1249" t="str">
        <f>IF('سجل الإنتاج'!C249="","","إنتاج طبخة")</f>
        <v/>
      </c>
      <c r="C1249" t="str">
        <f>IF('سجل الإنتاج'!C249="","",'سجل الإنتاج'!C249)</f>
        <v/>
      </c>
      <c r="D1249" t="str">
        <f>IF('سجل الإنتاج'!C249="","","عدة مواد - راجع صفحة الطبخات")</f>
        <v/>
      </c>
      <c r="F1249" t="str">
        <f>IF('سجل الإنتاج'!C249="","",IF('سجل الإنتاج'!D249="","",'سجل الإنتاج'!D249))</f>
        <v/>
      </c>
      <c r="G1249" t="str">
        <f>IF($B1249&lt;&gt;"",SUMPRODUCT(($B$2:$B1249&lt;&gt;"")*1),"")</f>
        <v/>
      </c>
    </row>
    <row r="1250" spans="1:7">
      <c r="A1250" s="23" t="str">
        <f>IF('سجل الإنتاج'!C250="","",'سجل الإنتاج'!B250)</f>
        <v/>
      </c>
      <c r="B1250" t="str">
        <f>IF('سجل الإنتاج'!C250="","","إنتاج طبخة")</f>
        <v/>
      </c>
      <c r="C1250" t="str">
        <f>IF('سجل الإنتاج'!C250="","",'سجل الإنتاج'!C250)</f>
        <v/>
      </c>
      <c r="D1250" t="str">
        <f>IF('سجل الإنتاج'!C250="","","عدة مواد - راجع صفحة الطبخات")</f>
        <v/>
      </c>
      <c r="F1250" t="str">
        <f>IF('سجل الإنتاج'!C250="","",IF('سجل الإنتاج'!D250="","",'سجل الإنتاج'!D250))</f>
        <v/>
      </c>
      <c r="G1250" t="str">
        <f>IF($B1250&lt;&gt;"",SUMPRODUCT(($B$2:$B1250&lt;&gt;"")*1),"")</f>
        <v/>
      </c>
    </row>
    <row r="1251" spans="1:7">
      <c r="A1251" s="23" t="str">
        <f>IF('سجل الإنتاج'!C251="","",'سجل الإنتاج'!B251)</f>
        <v/>
      </c>
      <c r="B1251" t="str">
        <f>IF('سجل الإنتاج'!C251="","","إنتاج طبخة")</f>
        <v/>
      </c>
      <c r="C1251" t="str">
        <f>IF('سجل الإنتاج'!C251="","",'سجل الإنتاج'!C251)</f>
        <v/>
      </c>
      <c r="D1251" t="str">
        <f>IF('سجل الإنتاج'!C251="","","عدة مواد - راجع صفحة الطبخات")</f>
        <v/>
      </c>
      <c r="F1251" t="str">
        <f>IF('سجل الإنتاج'!C251="","",IF('سجل الإنتاج'!D251="","",'سجل الإنتاج'!D251))</f>
        <v/>
      </c>
      <c r="G1251" t="str">
        <f>IF($B1251&lt;&gt;"",SUMPRODUCT(($B$2:$B1251&lt;&gt;"")*1),"")</f>
        <v/>
      </c>
    </row>
    <row r="1252" spans="1:7">
      <c r="A1252" s="23" t="str">
        <f>IF('سجل الإنتاج'!C252="","",'سجل الإنتاج'!B252)</f>
        <v/>
      </c>
      <c r="B1252" t="str">
        <f>IF('سجل الإنتاج'!C252="","","إنتاج طبخة")</f>
        <v/>
      </c>
      <c r="C1252" t="str">
        <f>IF('سجل الإنتاج'!C252="","",'سجل الإنتاج'!C252)</f>
        <v/>
      </c>
      <c r="D1252" t="str">
        <f>IF('سجل الإنتاج'!C252="","","عدة مواد - راجع صفحة الطبخات")</f>
        <v/>
      </c>
      <c r="F1252" t="str">
        <f>IF('سجل الإنتاج'!C252="","",IF('سجل الإنتاج'!D252="","",'سجل الإنتاج'!D252))</f>
        <v/>
      </c>
      <c r="G1252" t="str">
        <f>IF($B1252&lt;&gt;"",SUMPRODUCT(($B$2:$B1252&lt;&gt;"")*1),"")</f>
        <v/>
      </c>
    </row>
    <row r="1253" spans="1:7">
      <c r="A1253" s="23" t="str">
        <f>IF('سجل الإنتاج'!C253="","",'سجل الإنتاج'!B253)</f>
        <v/>
      </c>
      <c r="B1253" t="str">
        <f>IF('سجل الإنتاج'!C253="","","إنتاج طبخة")</f>
        <v/>
      </c>
      <c r="C1253" t="str">
        <f>IF('سجل الإنتاج'!C253="","",'سجل الإنتاج'!C253)</f>
        <v/>
      </c>
      <c r="D1253" t="str">
        <f>IF('سجل الإنتاج'!C253="","","عدة مواد - راجع صفحة الطبخات")</f>
        <v/>
      </c>
      <c r="F1253" t="str">
        <f>IF('سجل الإنتاج'!C253="","",IF('سجل الإنتاج'!D253="","",'سجل الإنتاج'!D253))</f>
        <v/>
      </c>
      <c r="G1253" t="str">
        <f>IF($B1253&lt;&gt;"",SUMPRODUCT(($B$2:$B1253&lt;&gt;"")*1),"")</f>
        <v/>
      </c>
    </row>
    <row r="1254" spans="1:7">
      <c r="A1254" s="23" t="str">
        <f>IF('سجل الإنتاج'!C254="","",'سجل الإنتاج'!B254)</f>
        <v/>
      </c>
      <c r="B1254" t="str">
        <f>IF('سجل الإنتاج'!C254="","","إنتاج طبخة")</f>
        <v/>
      </c>
      <c r="C1254" t="str">
        <f>IF('سجل الإنتاج'!C254="","",'سجل الإنتاج'!C254)</f>
        <v/>
      </c>
      <c r="D1254" t="str">
        <f>IF('سجل الإنتاج'!C254="","","عدة مواد - راجع صفحة الطبخات")</f>
        <v/>
      </c>
      <c r="F1254" t="str">
        <f>IF('سجل الإنتاج'!C254="","",IF('سجل الإنتاج'!D254="","",'سجل الإنتاج'!D254))</f>
        <v/>
      </c>
      <c r="G1254" t="str">
        <f>IF($B1254&lt;&gt;"",SUMPRODUCT(($B$2:$B1254&lt;&gt;"")*1),"")</f>
        <v/>
      </c>
    </row>
    <row r="1255" spans="1:7">
      <c r="A1255" s="23" t="str">
        <f>IF('سجل الإنتاج'!C255="","",'سجل الإنتاج'!B255)</f>
        <v/>
      </c>
      <c r="B1255" t="str">
        <f>IF('سجل الإنتاج'!C255="","","إنتاج طبخة")</f>
        <v/>
      </c>
      <c r="C1255" t="str">
        <f>IF('سجل الإنتاج'!C255="","",'سجل الإنتاج'!C255)</f>
        <v/>
      </c>
      <c r="D1255" t="str">
        <f>IF('سجل الإنتاج'!C255="","","عدة مواد - راجع صفحة الطبخات")</f>
        <v/>
      </c>
      <c r="F1255" t="str">
        <f>IF('سجل الإنتاج'!C255="","",IF('سجل الإنتاج'!D255="","",'سجل الإنتاج'!D255))</f>
        <v/>
      </c>
      <c r="G1255" t="str">
        <f>IF($B1255&lt;&gt;"",SUMPRODUCT(($B$2:$B1255&lt;&gt;"")*1),"")</f>
        <v/>
      </c>
    </row>
    <row r="1256" spans="1:7">
      <c r="A1256" s="23" t="str">
        <f>IF('سجل الإنتاج'!C256="","",'سجل الإنتاج'!B256)</f>
        <v/>
      </c>
      <c r="B1256" t="str">
        <f>IF('سجل الإنتاج'!C256="","","إنتاج طبخة")</f>
        <v/>
      </c>
      <c r="C1256" t="str">
        <f>IF('سجل الإنتاج'!C256="","",'سجل الإنتاج'!C256)</f>
        <v/>
      </c>
      <c r="D1256" t="str">
        <f>IF('سجل الإنتاج'!C256="","","عدة مواد - راجع صفحة الطبخات")</f>
        <v/>
      </c>
      <c r="F1256" t="str">
        <f>IF('سجل الإنتاج'!C256="","",IF('سجل الإنتاج'!D256="","",'سجل الإنتاج'!D256))</f>
        <v/>
      </c>
      <c r="G1256" t="str">
        <f>IF($B1256&lt;&gt;"",SUMPRODUCT(($B$2:$B1256&lt;&gt;"")*1),"")</f>
        <v/>
      </c>
    </row>
    <row r="1257" spans="1:7">
      <c r="A1257" s="23" t="str">
        <f>IF('سجل الإنتاج'!C257="","",'سجل الإنتاج'!B257)</f>
        <v/>
      </c>
      <c r="B1257" t="str">
        <f>IF('سجل الإنتاج'!C257="","","إنتاج طبخة")</f>
        <v/>
      </c>
      <c r="C1257" t="str">
        <f>IF('سجل الإنتاج'!C257="","",'سجل الإنتاج'!C257)</f>
        <v/>
      </c>
      <c r="D1257" t="str">
        <f>IF('سجل الإنتاج'!C257="","","عدة مواد - راجع صفحة الطبخات")</f>
        <v/>
      </c>
      <c r="F1257" t="str">
        <f>IF('سجل الإنتاج'!C257="","",IF('سجل الإنتاج'!D257="","",'سجل الإنتاج'!D257))</f>
        <v/>
      </c>
      <c r="G1257" t="str">
        <f>IF($B1257&lt;&gt;"",SUMPRODUCT(($B$2:$B1257&lt;&gt;"")*1),"")</f>
        <v/>
      </c>
    </row>
    <row r="1258" spans="1:7">
      <c r="A1258" s="23" t="str">
        <f>IF('سجل الإنتاج'!C258="","",'سجل الإنتاج'!B258)</f>
        <v/>
      </c>
      <c r="B1258" t="str">
        <f>IF('سجل الإنتاج'!C258="","","إنتاج طبخة")</f>
        <v/>
      </c>
      <c r="C1258" t="str">
        <f>IF('سجل الإنتاج'!C258="","",'سجل الإنتاج'!C258)</f>
        <v/>
      </c>
      <c r="D1258" t="str">
        <f>IF('سجل الإنتاج'!C258="","","عدة مواد - راجع صفحة الطبخات")</f>
        <v/>
      </c>
      <c r="F1258" t="str">
        <f>IF('سجل الإنتاج'!C258="","",IF('سجل الإنتاج'!D258="","",'سجل الإنتاج'!D258))</f>
        <v/>
      </c>
      <c r="G1258" t="str">
        <f>IF($B1258&lt;&gt;"",SUMPRODUCT(($B$2:$B1258&lt;&gt;"")*1),"")</f>
        <v/>
      </c>
    </row>
    <row r="1259" spans="1:7">
      <c r="A1259" s="23" t="str">
        <f>IF('سجل الإنتاج'!C259="","",'سجل الإنتاج'!B259)</f>
        <v/>
      </c>
      <c r="B1259" t="str">
        <f>IF('سجل الإنتاج'!C259="","","إنتاج طبخة")</f>
        <v/>
      </c>
      <c r="C1259" t="str">
        <f>IF('سجل الإنتاج'!C259="","",'سجل الإنتاج'!C259)</f>
        <v/>
      </c>
      <c r="D1259" t="str">
        <f>IF('سجل الإنتاج'!C259="","","عدة مواد - راجع صفحة الطبخات")</f>
        <v/>
      </c>
      <c r="F1259" t="str">
        <f>IF('سجل الإنتاج'!C259="","",IF('سجل الإنتاج'!D259="","",'سجل الإنتاج'!D259))</f>
        <v/>
      </c>
      <c r="G1259" t="str">
        <f>IF($B1259&lt;&gt;"",SUMPRODUCT(($B$2:$B1259&lt;&gt;"")*1),"")</f>
        <v/>
      </c>
    </row>
    <row r="1260" spans="1:7">
      <c r="A1260" s="23" t="str">
        <f>IF('سجل الإنتاج'!C260="","",'سجل الإنتاج'!B260)</f>
        <v/>
      </c>
      <c r="B1260" t="str">
        <f>IF('سجل الإنتاج'!C260="","","إنتاج طبخة")</f>
        <v/>
      </c>
      <c r="C1260" t="str">
        <f>IF('سجل الإنتاج'!C260="","",'سجل الإنتاج'!C260)</f>
        <v/>
      </c>
      <c r="D1260" t="str">
        <f>IF('سجل الإنتاج'!C260="","","عدة مواد - راجع صفحة الطبخات")</f>
        <v/>
      </c>
      <c r="F1260" t="str">
        <f>IF('سجل الإنتاج'!C260="","",IF('سجل الإنتاج'!D260="","",'سجل الإنتاج'!D260))</f>
        <v/>
      </c>
      <c r="G1260" t="str">
        <f>IF($B1260&lt;&gt;"",SUMPRODUCT(($B$2:$B1260&lt;&gt;"")*1),"")</f>
        <v/>
      </c>
    </row>
    <row r="1261" spans="1:7">
      <c r="A1261" s="23" t="str">
        <f>IF('سجل الإنتاج'!C261="","",'سجل الإنتاج'!B261)</f>
        <v/>
      </c>
      <c r="B1261" t="str">
        <f>IF('سجل الإنتاج'!C261="","","إنتاج طبخة")</f>
        <v/>
      </c>
      <c r="C1261" t="str">
        <f>IF('سجل الإنتاج'!C261="","",'سجل الإنتاج'!C261)</f>
        <v/>
      </c>
      <c r="D1261" t="str">
        <f>IF('سجل الإنتاج'!C261="","","عدة مواد - راجع صفحة الطبخات")</f>
        <v/>
      </c>
      <c r="F1261" t="str">
        <f>IF('سجل الإنتاج'!C261="","",IF('سجل الإنتاج'!D261="","",'سجل الإنتاج'!D261))</f>
        <v/>
      </c>
      <c r="G1261" t="str">
        <f>IF($B1261&lt;&gt;"",SUMPRODUCT(($B$2:$B1261&lt;&gt;"")*1),"")</f>
        <v/>
      </c>
    </row>
    <row r="1262" spans="1:7">
      <c r="A1262" s="23" t="str">
        <f>IF('سجل الإنتاج'!C262="","",'سجل الإنتاج'!B262)</f>
        <v/>
      </c>
      <c r="B1262" t="str">
        <f>IF('سجل الإنتاج'!C262="","","إنتاج طبخة")</f>
        <v/>
      </c>
      <c r="C1262" t="str">
        <f>IF('سجل الإنتاج'!C262="","",'سجل الإنتاج'!C262)</f>
        <v/>
      </c>
      <c r="D1262" t="str">
        <f>IF('سجل الإنتاج'!C262="","","عدة مواد - راجع صفحة الطبخات")</f>
        <v/>
      </c>
      <c r="F1262" t="str">
        <f>IF('سجل الإنتاج'!C262="","",IF('سجل الإنتاج'!D262="","",'سجل الإنتاج'!D262))</f>
        <v/>
      </c>
      <c r="G1262" t="str">
        <f>IF($B1262&lt;&gt;"",SUMPRODUCT(($B$2:$B1262&lt;&gt;"")*1),"")</f>
        <v/>
      </c>
    </row>
    <row r="1263" spans="1:7">
      <c r="A1263" s="23" t="str">
        <f>IF('سجل الإنتاج'!C263="","",'سجل الإنتاج'!B263)</f>
        <v/>
      </c>
      <c r="B1263" t="str">
        <f>IF('سجل الإنتاج'!C263="","","إنتاج طبخة")</f>
        <v/>
      </c>
      <c r="C1263" t="str">
        <f>IF('سجل الإنتاج'!C263="","",'سجل الإنتاج'!C263)</f>
        <v/>
      </c>
      <c r="D1263" t="str">
        <f>IF('سجل الإنتاج'!C263="","","عدة مواد - راجع صفحة الطبخات")</f>
        <v/>
      </c>
      <c r="F1263" t="str">
        <f>IF('سجل الإنتاج'!C263="","",IF('سجل الإنتاج'!D263="","",'سجل الإنتاج'!D263))</f>
        <v/>
      </c>
      <c r="G1263" t="str">
        <f>IF($B1263&lt;&gt;"",SUMPRODUCT(($B$2:$B1263&lt;&gt;"")*1),"")</f>
        <v/>
      </c>
    </row>
    <row r="1264" spans="1:7">
      <c r="A1264" s="23" t="str">
        <f>IF('سجل الإنتاج'!C264="","",'سجل الإنتاج'!B264)</f>
        <v/>
      </c>
      <c r="B1264" t="str">
        <f>IF('سجل الإنتاج'!C264="","","إنتاج طبخة")</f>
        <v/>
      </c>
      <c r="C1264" t="str">
        <f>IF('سجل الإنتاج'!C264="","",'سجل الإنتاج'!C264)</f>
        <v/>
      </c>
      <c r="D1264" t="str">
        <f>IF('سجل الإنتاج'!C264="","","عدة مواد - راجع صفحة الطبخات")</f>
        <v/>
      </c>
      <c r="F1264" t="str">
        <f>IF('سجل الإنتاج'!C264="","",IF('سجل الإنتاج'!D264="","",'سجل الإنتاج'!D264))</f>
        <v/>
      </c>
      <c r="G1264" t="str">
        <f>IF($B1264&lt;&gt;"",SUMPRODUCT(($B$2:$B1264&lt;&gt;"")*1),"")</f>
        <v/>
      </c>
    </row>
    <row r="1265" spans="1:7">
      <c r="A1265" s="23" t="str">
        <f>IF('سجل الإنتاج'!C265="","",'سجل الإنتاج'!B265)</f>
        <v/>
      </c>
      <c r="B1265" t="str">
        <f>IF('سجل الإنتاج'!C265="","","إنتاج طبخة")</f>
        <v/>
      </c>
      <c r="C1265" t="str">
        <f>IF('سجل الإنتاج'!C265="","",'سجل الإنتاج'!C265)</f>
        <v/>
      </c>
      <c r="D1265" t="str">
        <f>IF('سجل الإنتاج'!C265="","","عدة مواد - راجع صفحة الطبخات")</f>
        <v/>
      </c>
      <c r="F1265" t="str">
        <f>IF('سجل الإنتاج'!C265="","",IF('سجل الإنتاج'!D265="","",'سجل الإنتاج'!D265))</f>
        <v/>
      </c>
      <c r="G1265" t="str">
        <f>IF($B1265&lt;&gt;"",SUMPRODUCT(($B$2:$B1265&lt;&gt;"")*1),"")</f>
        <v/>
      </c>
    </row>
    <row r="1266" spans="1:7">
      <c r="A1266" s="23" t="str">
        <f>IF('سجل الإنتاج'!C266="","",'سجل الإنتاج'!B266)</f>
        <v/>
      </c>
      <c r="B1266" t="str">
        <f>IF('سجل الإنتاج'!C266="","","إنتاج طبخة")</f>
        <v/>
      </c>
      <c r="C1266" t="str">
        <f>IF('سجل الإنتاج'!C266="","",'سجل الإنتاج'!C266)</f>
        <v/>
      </c>
      <c r="D1266" t="str">
        <f>IF('سجل الإنتاج'!C266="","","عدة مواد - راجع صفحة الطبخات")</f>
        <v/>
      </c>
      <c r="F1266" t="str">
        <f>IF('سجل الإنتاج'!C266="","",IF('سجل الإنتاج'!D266="","",'سجل الإنتاج'!D266))</f>
        <v/>
      </c>
      <c r="G1266" t="str">
        <f>IF($B1266&lt;&gt;"",SUMPRODUCT(($B$2:$B1266&lt;&gt;"")*1),"")</f>
        <v/>
      </c>
    </row>
    <row r="1267" spans="1:7">
      <c r="A1267" s="23" t="str">
        <f>IF('سجل الإنتاج'!C267="","",'سجل الإنتاج'!B267)</f>
        <v/>
      </c>
      <c r="B1267" t="str">
        <f>IF('سجل الإنتاج'!C267="","","إنتاج طبخة")</f>
        <v/>
      </c>
      <c r="C1267" t="str">
        <f>IF('سجل الإنتاج'!C267="","",'سجل الإنتاج'!C267)</f>
        <v/>
      </c>
      <c r="D1267" t="str">
        <f>IF('سجل الإنتاج'!C267="","","عدة مواد - راجع صفحة الطبخات")</f>
        <v/>
      </c>
      <c r="F1267" t="str">
        <f>IF('سجل الإنتاج'!C267="","",IF('سجل الإنتاج'!D267="","",'سجل الإنتاج'!D267))</f>
        <v/>
      </c>
      <c r="G1267" t="str">
        <f>IF($B1267&lt;&gt;"",SUMPRODUCT(($B$2:$B1267&lt;&gt;"")*1),"")</f>
        <v/>
      </c>
    </row>
    <row r="1268" spans="1:7">
      <c r="A1268" s="23" t="str">
        <f>IF('سجل الإنتاج'!C268="","",'سجل الإنتاج'!B268)</f>
        <v/>
      </c>
      <c r="B1268" t="str">
        <f>IF('سجل الإنتاج'!C268="","","إنتاج طبخة")</f>
        <v/>
      </c>
      <c r="C1268" t="str">
        <f>IF('سجل الإنتاج'!C268="","",'سجل الإنتاج'!C268)</f>
        <v/>
      </c>
      <c r="D1268" t="str">
        <f>IF('سجل الإنتاج'!C268="","","عدة مواد - راجع صفحة الطبخات")</f>
        <v/>
      </c>
      <c r="F1268" t="str">
        <f>IF('سجل الإنتاج'!C268="","",IF('سجل الإنتاج'!D268="","",'سجل الإنتاج'!D268))</f>
        <v/>
      </c>
      <c r="G1268" t="str">
        <f>IF($B1268&lt;&gt;"",SUMPRODUCT(($B$2:$B1268&lt;&gt;"")*1),"")</f>
        <v/>
      </c>
    </row>
    <row r="1269" spans="1:7">
      <c r="A1269" s="23" t="str">
        <f>IF('سجل الإنتاج'!C269="","",'سجل الإنتاج'!B269)</f>
        <v/>
      </c>
      <c r="B1269" t="str">
        <f>IF('سجل الإنتاج'!C269="","","إنتاج طبخة")</f>
        <v/>
      </c>
      <c r="C1269" t="str">
        <f>IF('سجل الإنتاج'!C269="","",'سجل الإنتاج'!C269)</f>
        <v/>
      </c>
      <c r="D1269" t="str">
        <f>IF('سجل الإنتاج'!C269="","","عدة مواد - راجع صفحة الطبخات")</f>
        <v/>
      </c>
      <c r="F1269" t="str">
        <f>IF('سجل الإنتاج'!C269="","",IF('سجل الإنتاج'!D269="","",'سجل الإنتاج'!D269))</f>
        <v/>
      </c>
      <c r="G1269" t="str">
        <f>IF($B1269&lt;&gt;"",SUMPRODUCT(($B$2:$B1269&lt;&gt;"")*1),"")</f>
        <v/>
      </c>
    </row>
    <row r="1270" spans="1:7">
      <c r="A1270" s="23" t="str">
        <f>IF('سجل الإنتاج'!C270="","",'سجل الإنتاج'!B270)</f>
        <v/>
      </c>
      <c r="B1270" t="str">
        <f>IF('سجل الإنتاج'!C270="","","إنتاج طبخة")</f>
        <v/>
      </c>
      <c r="C1270" t="str">
        <f>IF('سجل الإنتاج'!C270="","",'سجل الإنتاج'!C270)</f>
        <v/>
      </c>
      <c r="D1270" t="str">
        <f>IF('سجل الإنتاج'!C270="","","عدة مواد - راجع صفحة الطبخات")</f>
        <v/>
      </c>
      <c r="F1270" t="str">
        <f>IF('سجل الإنتاج'!C270="","",IF('سجل الإنتاج'!D270="","",'سجل الإنتاج'!D270))</f>
        <v/>
      </c>
      <c r="G1270" t="str">
        <f>IF($B1270&lt;&gt;"",SUMPRODUCT(($B$2:$B1270&lt;&gt;"")*1),"")</f>
        <v/>
      </c>
    </row>
    <row r="1271" spans="1:7">
      <c r="A1271" s="23" t="str">
        <f>IF('سجل الإنتاج'!C271="","",'سجل الإنتاج'!B271)</f>
        <v/>
      </c>
      <c r="B1271" t="str">
        <f>IF('سجل الإنتاج'!C271="","","إنتاج طبخة")</f>
        <v/>
      </c>
      <c r="C1271" t="str">
        <f>IF('سجل الإنتاج'!C271="","",'سجل الإنتاج'!C271)</f>
        <v/>
      </c>
      <c r="D1271" t="str">
        <f>IF('سجل الإنتاج'!C271="","","عدة مواد - راجع صفحة الطبخات")</f>
        <v/>
      </c>
      <c r="F1271" t="str">
        <f>IF('سجل الإنتاج'!C271="","",IF('سجل الإنتاج'!D271="","",'سجل الإنتاج'!D271))</f>
        <v/>
      </c>
      <c r="G1271" t="str">
        <f>IF($B1271&lt;&gt;"",SUMPRODUCT(($B$2:$B1271&lt;&gt;"")*1),"")</f>
        <v/>
      </c>
    </row>
    <row r="1272" spans="1:7">
      <c r="A1272" s="23" t="str">
        <f>IF('سجل الإنتاج'!C272="","",'سجل الإنتاج'!B272)</f>
        <v/>
      </c>
      <c r="B1272" t="str">
        <f>IF('سجل الإنتاج'!C272="","","إنتاج طبخة")</f>
        <v/>
      </c>
      <c r="C1272" t="str">
        <f>IF('سجل الإنتاج'!C272="","",'سجل الإنتاج'!C272)</f>
        <v/>
      </c>
      <c r="D1272" t="str">
        <f>IF('سجل الإنتاج'!C272="","","عدة مواد - راجع صفحة الطبخات")</f>
        <v/>
      </c>
      <c r="F1272" t="str">
        <f>IF('سجل الإنتاج'!C272="","",IF('سجل الإنتاج'!D272="","",'سجل الإنتاج'!D272))</f>
        <v/>
      </c>
      <c r="G1272" t="str">
        <f>IF($B1272&lt;&gt;"",SUMPRODUCT(($B$2:$B1272&lt;&gt;"")*1),"")</f>
        <v/>
      </c>
    </row>
    <row r="1273" spans="1:7">
      <c r="A1273" s="23" t="str">
        <f>IF('سجل الإنتاج'!C273="","",'سجل الإنتاج'!B273)</f>
        <v/>
      </c>
      <c r="B1273" t="str">
        <f>IF('سجل الإنتاج'!C273="","","إنتاج طبخة")</f>
        <v/>
      </c>
      <c r="C1273" t="str">
        <f>IF('سجل الإنتاج'!C273="","",'سجل الإنتاج'!C273)</f>
        <v/>
      </c>
      <c r="D1273" t="str">
        <f>IF('سجل الإنتاج'!C273="","","عدة مواد - راجع صفحة الطبخات")</f>
        <v/>
      </c>
      <c r="F1273" t="str">
        <f>IF('سجل الإنتاج'!C273="","",IF('سجل الإنتاج'!D273="","",'سجل الإنتاج'!D273))</f>
        <v/>
      </c>
      <c r="G1273" t="str">
        <f>IF($B1273&lt;&gt;"",SUMPRODUCT(($B$2:$B1273&lt;&gt;"")*1),"")</f>
        <v/>
      </c>
    </row>
    <row r="1274" spans="1:7">
      <c r="A1274" s="23" t="str">
        <f>IF('سجل الإنتاج'!C274="","",'سجل الإنتاج'!B274)</f>
        <v/>
      </c>
      <c r="B1274" t="str">
        <f>IF('سجل الإنتاج'!C274="","","إنتاج طبخة")</f>
        <v/>
      </c>
      <c r="C1274" t="str">
        <f>IF('سجل الإنتاج'!C274="","",'سجل الإنتاج'!C274)</f>
        <v/>
      </c>
      <c r="D1274" t="str">
        <f>IF('سجل الإنتاج'!C274="","","عدة مواد - راجع صفحة الطبخات")</f>
        <v/>
      </c>
      <c r="F1274" t="str">
        <f>IF('سجل الإنتاج'!C274="","",IF('سجل الإنتاج'!D274="","",'سجل الإنتاج'!D274))</f>
        <v/>
      </c>
      <c r="G1274" t="str">
        <f>IF($B1274&lt;&gt;"",SUMPRODUCT(($B$2:$B1274&lt;&gt;"")*1),"")</f>
        <v/>
      </c>
    </row>
    <row r="1275" spans="1:7">
      <c r="A1275" s="23" t="str">
        <f>IF('سجل الإنتاج'!C275="","",'سجل الإنتاج'!B275)</f>
        <v/>
      </c>
      <c r="B1275" t="str">
        <f>IF('سجل الإنتاج'!C275="","","إنتاج طبخة")</f>
        <v/>
      </c>
      <c r="C1275" t="str">
        <f>IF('سجل الإنتاج'!C275="","",'سجل الإنتاج'!C275)</f>
        <v/>
      </c>
      <c r="D1275" t="str">
        <f>IF('سجل الإنتاج'!C275="","","عدة مواد - راجع صفحة الطبخات")</f>
        <v/>
      </c>
      <c r="F1275" t="str">
        <f>IF('سجل الإنتاج'!C275="","",IF('سجل الإنتاج'!D275="","",'سجل الإنتاج'!D275))</f>
        <v/>
      </c>
      <c r="G1275" t="str">
        <f>IF($B1275&lt;&gt;"",SUMPRODUCT(($B$2:$B1275&lt;&gt;"")*1),"")</f>
        <v/>
      </c>
    </row>
    <row r="1276" spans="1:7">
      <c r="A1276" s="23" t="str">
        <f>IF('سجل الإنتاج'!C276="","",'سجل الإنتاج'!B276)</f>
        <v/>
      </c>
      <c r="B1276" t="str">
        <f>IF('سجل الإنتاج'!C276="","","إنتاج طبخة")</f>
        <v/>
      </c>
      <c r="C1276" t="str">
        <f>IF('سجل الإنتاج'!C276="","",'سجل الإنتاج'!C276)</f>
        <v/>
      </c>
      <c r="D1276" t="str">
        <f>IF('سجل الإنتاج'!C276="","","عدة مواد - راجع صفحة الطبخات")</f>
        <v/>
      </c>
      <c r="F1276" t="str">
        <f>IF('سجل الإنتاج'!C276="","",IF('سجل الإنتاج'!D276="","",'سجل الإنتاج'!D276))</f>
        <v/>
      </c>
      <c r="G1276" t="str">
        <f>IF($B1276&lt;&gt;"",SUMPRODUCT(($B$2:$B1276&lt;&gt;"")*1),"")</f>
        <v/>
      </c>
    </row>
    <row r="1277" spans="1:7">
      <c r="A1277" s="23" t="str">
        <f>IF('سجل الإنتاج'!C277="","",'سجل الإنتاج'!B277)</f>
        <v/>
      </c>
      <c r="B1277" t="str">
        <f>IF('سجل الإنتاج'!C277="","","إنتاج طبخة")</f>
        <v/>
      </c>
      <c r="C1277" t="str">
        <f>IF('سجل الإنتاج'!C277="","",'سجل الإنتاج'!C277)</f>
        <v/>
      </c>
      <c r="D1277" t="str">
        <f>IF('سجل الإنتاج'!C277="","","عدة مواد - راجع صفحة الطبخات")</f>
        <v/>
      </c>
      <c r="F1277" t="str">
        <f>IF('سجل الإنتاج'!C277="","",IF('سجل الإنتاج'!D277="","",'سجل الإنتاج'!D277))</f>
        <v/>
      </c>
      <c r="G1277" t="str">
        <f>IF($B1277&lt;&gt;"",SUMPRODUCT(($B$2:$B1277&lt;&gt;"")*1),"")</f>
        <v/>
      </c>
    </row>
    <row r="1278" spans="1:7">
      <c r="A1278" s="23" t="str">
        <f>IF('سجل الإنتاج'!C278="","",'سجل الإنتاج'!B278)</f>
        <v/>
      </c>
      <c r="B1278" t="str">
        <f>IF('سجل الإنتاج'!C278="","","إنتاج طبخة")</f>
        <v/>
      </c>
      <c r="C1278" t="str">
        <f>IF('سجل الإنتاج'!C278="","",'سجل الإنتاج'!C278)</f>
        <v/>
      </c>
      <c r="D1278" t="str">
        <f>IF('سجل الإنتاج'!C278="","","عدة مواد - راجع صفحة الطبخات")</f>
        <v/>
      </c>
      <c r="F1278" t="str">
        <f>IF('سجل الإنتاج'!C278="","",IF('سجل الإنتاج'!D278="","",'سجل الإنتاج'!D278))</f>
        <v/>
      </c>
      <c r="G1278" t="str">
        <f>IF($B1278&lt;&gt;"",SUMPRODUCT(($B$2:$B1278&lt;&gt;"")*1),"")</f>
        <v/>
      </c>
    </row>
    <row r="1279" spans="1:7">
      <c r="A1279" s="23" t="str">
        <f>IF('سجل الإنتاج'!C279="","",'سجل الإنتاج'!B279)</f>
        <v/>
      </c>
      <c r="B1279" t="str">
        <f>IF('سجل الإنتاج'!C279="","","إنتاج طبخة")</f>
        <v/>
      </c>
      <c r="C1279" t="str">
        <f>IF('سجل الإنتاج'!C279="","",'سجل الإنتاج'!C279)</f>
        <v/>
      </c>
      <c r="D1279" t="str">
        <f>IF('سجل الإنتاج'!C279="","","عدة مواد - راجع صفحة الطبخات")</f>
        <v/>
      </c>
      <c r="F1279" t="str">
        <f>IF('سجل الإنتاج'!C279="","",IF('سجل الإنتاج'!D279="","",'سجل الإنتاج'!D279))</f>
        <v/>
      </c>
      <c r="G1279" t="str">
        <f>IF($B1279&lt;&gt;"",SUMPRODUCT(($B$2:$B1279&lt;&gt;"")*1),"")</f>
        <v/>
      </c>
    </row>
    <row r="1280" spans="1:7">
      <c r="A1280" s="23" t="str">
        <f>IF('سجل الإنتاج'!C280="","",'سجل الإنتاج'!B280)</f>
        <v/>
      </c>
      <c r="B1280" t="str">
        <f>IF('سجل الإنتاج'!C280="","","إنتاج طبخة")</f>
        <v/>
      </c>
      <c r="C1280" t="str">
        <f>IF('سجل الإنتاج'!C280="","",'سجل الإنتاج'!C280)</f>
        <v/>
      </c>
      <c r="D1280" t="str">
        <f>IF('سجل الإنتاج'!C280="","","عدة مواد - راجع صفحة الطبخات")</f>
        <v/>
      </c>
      <c r="F1280" t="str">
        <f>IF('سجل الإنتاج'!C280="","",IF('سجل الإنتاج'!D280="","",'سجل الإنتاج'!D280))</f>
        <v/>
      </c>
      <c r="G1280" t="str">
        <f>IF($B1280&lt;&gt;"",SUMPRODUCT(($B$2:$B1280&lt;&gt;"")*1),"")</f>
        <v/>
      </c>
    </row>
    <row r="1281" spans="1:7">
      <c r="A1281" s="23" t="str">
        <f>IF('سجل الإنتاج'!C281="","",'سجل الإنتاج'!B281)</f>
        <v/>
      </c>
      <c r="B1281" t="str">
        <f>IF('سجل الإنتاج'!C281="","","إنتاج طبخة")</f>
        <v/>
      </c>
      <c r="C1281" t="str">
        <f>IF('سجل الإنتاج'!C281="","",'سجل الإنتاج'!C281)</f>
        <v/>
      </c>
      <c r="D1281" t="str">
        <f>IF('سجل الإنتاج'!C281="","","عدة مواد - راجع صفحة الطبخات")</f>
        <v/>
      </c>
      <c r="F1281" t="str">
        <f>IF('سجل الإنتاج'!C281="","",IF('سجل الإنتاج'!D281="","",'سجل الإنتاج'!D281))</f>
        <v/>
      </c>
      <c r="G1281" t="str">
        <f>IF($B1281&lt;&gt;"",SUMPRODUCT(($B$2:$B1281&lt;&gt;"")*1),"")</f>
        <v/>
      </c>
    </row>
    <row r="1282" spans="1:7">
      <c r="A1282" s="23" t="str">
        <f>IF('سجل الإنتاج'!C282="","",'سجل الإنتاج'!B282)</f>
        <v/>
      </c>
      <c r="B1282" t="str">
        <f>IF('سجل الإنتاج'!C282="","","إنتاج طبخة")</f>
        <v/>
      </c>
      <c r="C1282" t="str">
        <f>IF('سجل الإنتاج'!C282="","",'سجل الإنتاج'!C282)</f>
        <v/>
      </c>
      <c r="D1282" t="str">
        <f>IF('سجل الإنتاج'!C282="","","عدة مواد - راجع صفحة الطبخات")</f>
        <v/>
      </c>
      <c r="F1282" t="str">
        <f>IF('سجل الإنتاج'!C282="","",IF('سجل الإنتاج'!D282="","",'سجل الإنتاج'!D282))</f>
        <v/>
      </c>
      <c r="G1282" t="str">
        <f>IF($B1282&lt;&gt;"",SUMPRODUCT(($B$2:$B1282&lt;&gt;"")*1),"")</f>
        <v/>
      </c>
    </row>
    <row r="1283" spans="1:7">
      <c r="A1283" s="23" t="str">
        <f>IF('سجل الإنتاج'!C283="","",'سجل الإنتاج'!B283)</f>
        <v/>
      </c>
      <c r="B1283" t="str">
        <f>IF('سجل الإنتاج'!C283="","","إنتاج طبخة")</f>
        <v/>
      </c>
      <c r="C1283" t="str">
        <f>IF('سجل الإنتاج'!C283="","",'سجل الإنتاج'!C283)</f>
        <v/>
      </c>
      <c r="D1283" t="str">
        <f>IF('سجل الإنتاج'!C283="","","عدة مواد - راجع صفحة الطبخات")</f>
        <v/>
      </c>
      <c r="F1283" t="str">
        <f>IF('سجل الإنتاج'!C283="","",IF('سجل الإنتاج'!D283="","",'سجل الإنتاج'!D283))</f>
        <v/>
      </c>
      <c r="G1283" t="str">
        <f>IF($B1283&lt;&gt;"",SUMPRODUCT(($B$2:$B1283&lt;&gt;"")*1),"")</f>
        <v/>
      </c>
    </row>
    <row r="1284" spans="1:7">
      <c r="A1284" s="23" t="str">
        <f>IF('سجل الإنتاج'!C284="","",'سجل الإنتاج'!B284)</f>
        <v/>
      </c>
      <c r="B1284" t="str">
        <f>IF('سجل الإنتاج'!C284="","","إنتاج طبخة")</f>
        <v/>
      </c>
      <c r="C1284" t="str">
        <f>IF('سجل الإنتاج'!C284="","",'سجل الإنتاج'!C284)</f>
        <v/>
      </c>
      <c r="D1284" t="str">
        <f>IF('سجل الإنتاج'!C284="","","عدة مواد - راجع صفحة الطبخات")</f>
        <v/>
      </c>
      <c r="F1284" t="str">
        <f>IF('سجل الإنتاج'!C284="","",IF('سجل الإنتاج'!D284="","",'سجل الإنتاج'!D284))</f>
        <v/>
      </c>
      <c r="G1284" t="str">
        <f>IF($B1284&lt;&gt;"",SUMPRODUCT(($B$2:$B1284&lt;&gt;"")*1),"")</f>
        <v/>
      </c>
    </row>
    <row r="1285" spans="1:7">
      <c r="A1285" s="23" t="str">
        <f>IF('سجل الإنتاج'!C285="","",'سجل الإنتاج'!B285)</f>
        <v/>
      </c>
      <c r="B1285" t="str">
        <f>IF('سجل الإنتاج'!C285="","","إنتاج طبخة")</f>
        <v/>
      </c>
      <c r="C1285" t="str">
        <f>IF('سجل الإنتاج'!C285="","",'سجل الإنتاج'!C285)</f>
        <v/>
      </c>
      <c r="D1285" t="str">
        <f>IF('سجل الإنتاج'!C285="","","عدة مواد - راجع صفحة الطبخات")</f>
        <v/>
      </c>
      <c r="F1285" t="str">
        <f>IF('سجل الإنتاج'!C285="","",IF('سجل الإنتاج'!D285="","",'سجل الإنتاج'!D285))</f>
        <v/>
      </c>
      <c r="G1285" t="str">
        <f>IF($B1285&lt;&gt;"",SUMPRODUCT(($B$2:$B1285&lt;&gt;"")*1),"")</f>
        <v/>
      </c>
    </row>
    <row r="1286" spans="1:7">
      <c r="A1286" s="23" t="str">
        <f>IF('سجل الإنتاج'!C286="","",'سجل الإنتاج'!B286)</f>
        <v/>
      </c>
      <c r="B1286" t="str">
        <f>IF('سجل الإنتاج'!C286="","","إنتاج طبخة")</f>
        <v/>
      </c>
      <c r="C1286" t="str">
        <f>IF('سجل الإنتاج'!C286="","",'سجل الإنتاج'!C286)</f>
        <v/>
      </c>
      <c r="D1286" t="str">
        <f>IF('سجل الإنتاج'!C286="","","عدة مواد - راجع صفحة الطبخات")</f>
        <v/>
      </c>
      <c r="F1286" t="str">
        <f>IF('سجل الإنتاج'!C286="","",IF('سجل الإنتاج'!D286="","",'سجل الإنتاج'!D286))</f>
        <v/>
      </c>
      <c r="G1286" t="str">
        <f>IF($B1286&lt;&gt;"",SUMPRODUCT(($B$2:$B1286&lt;&gt;"")*1),"")</f>
        <v/>
      </c>
    </row>
    <row r="1287" spans="1:7">
      <c r="A1287" s="23" t="str">
        <f>IF('سجل الإنتاج'!C287="","",'سجل الإنتاج'!B287)</f>
        <v/>
      </c>
      <c r="B1287" t="str">
        <f>IF('سجل الإنتاج'!C287="","","إنتاج طبخة")</f>
        <v/>
      </c>
      <c r="C1287" t="str">
        <f>IF('سجل الإنتاج'!C287="","",'سجل الإنتاج'!C287)</f>
        <v/>
      </c>
      <c r="D1287" t="str">
        <f>IF('سجل الإنتاج'!C287="","","عدة مواد - راجع صفحة الطبخات")</f>
        <v/>
      </c>
      <c r="F1287" t="str">
        <f>IF('سجل الإنتاج'!C287="","",IF('سجل الإنتاج'!D287="","",'سجل الإنتاج'!D287))</f>
        <v/>
      </c>
      <c r="G1287" t="str">
        <f>IF($B1287&lt;&gt;"",SUMPRODUCT(($B$2:$B1287&lt;&gt;"")*1),"")</f>
        <v/>
      </c>
    </row>
    <row r="1288" spans="1:7">
      <c r="A1288" s="23" t="str">
        <f>IF('سجل الإنتاج'!C288="","",'سجل الإنتاج'!B288)</f>
        <v/>
      </c>
      <c r="B1288" t="str">
        <f>IF('سجل الإنتاج'!C288="","","إنتاج طبخة")</f>
        <v/>
      </c>
      <c r="C1288" t="str">
        <f>IF('سجل الإنتاج'!C288="","",'سجل الإنتاج'!C288)</f>
        <v/>
      </c>
      <c r="D1288" t="str">
        <f>IF('سجل الإنتاج'!C288="","","عدة مواد - راجع صفحة الطبخات")</f>
        <v/>
      </c>
      <c r="F1288" t="str">
        <f>IF('سجل الإنتاج'!C288="","",IF('سجل الإنتاج'!D288="","",'سجل الإنتاج'!D288))</f>
        <v/>
      </c>
      <c r="G1288" t="str">
        <f>IF($B1288&lt;&gt;"",SUMPRODUCT(($B$2:$B1288&lt;&gt;"")*1),"")</f>
        <v/>
      </c>
    </row>
    <row r="1289" spans="1:7">
      <c r="A1289" s="23" t="str">
        <f>IF('سجل الإنتاج'!C289="","",'سجل الإنتاج'!B289)</f>
        <v/>
      </c>
      <c r="B1289" t="str">
        <f>IF('سجل الإنتاج'!C289="","","إنتاج طبخة")</f>
        <v/>
      </c>
      <c r="C1289" t="str">
        <f>IF('سجل الإنتاج'!C289="","",'سجل الإنتاج'!C289)</f>
        <v/>
      </c>
      <c r="D1289" t="str">
        <f>IF('سجل الإنتاج'!C289="","","عدة مواد - راجع صفحة الطبخات")</f>
        <v/>
      </c>
      <c r="F1289" t="str">
        <f>IF('سجل الإنتاج'!C289="","",IF('سجل الإنتاج'!D289="","",'سجل الإنتاج'!D289))</f>
        <v/>
      </c>
      <c r="G1289" t="str">
        <f>IF($B1289&lt;&gt;"",SUMPRODUCT(($B$2:$B1289&lt;&gt;"")*1),"")</f>
        <v/>
      </c>
    </row>
    <row r="1290" spans="1:7">
      <c r="A1290" s="23" t="str">
        <f>IF('سجل الإنتاج'!C290="","",'سجل الإنتاج'!B290)</f>
        <v/>
      </c>
      <c r="B1290" t="str">
        <f>IF('سجل الإنتاج'!C290="","","إنتاج طبخة")</f>
        <v/>
      </c>
      <c r="C1290" t="str">
        <f>IF('سجل الإنتاج'!C290="","",'سجل الإنتاج'!C290)</f>
        <v/>
      </c>
      <c r="D1290" t="str">
        <f>IF('سجل الإنتاج'!C290="","","عدة مواد - راجع صفحة الطبخات")</f>
        <v/>
      </c>
      <c r="F1290" t="str">
        <f>IF('سجل الإنتاج'!C290="","",IF('سجل الإنتاج'!D290="","",'سجل الإنتاج'!D290))</f>
        <v/>
      </c>
      <c r="G1290" t="str">
        <f>IF($B1290&lt;&gt;"",SUMPRODUCT(($B$2:$B1290&lt;&gt;"")*1),"")</f>
        <v/>
      </c>
    </row>
    <row r="1291" spans="1:7">
      <c r="A1291" s="23" t="str">
        <f>IF('سجل الإنتاج'!C291="","",'سجل الإنتاج'!B291)</f>
        <v/>
      </c>
      <c r="B1291" t="str">
        <f>IF('سجل الإنتاج'!C291="","","إنتاج طبخة")</f>
        <v/>
      </c>
      <c r="C1291" t="str">
        <f>IF('سجل الإنتاج'!C291="","",'سجل الإنتاج'!C291)</f>
        <v/>
      </c>
      <c r="D1291" t="str">
        <f>IF('سجل الإنتاج'!C291="","","عدة مواد - راجع صفحة الطبخات")</f>
        <v/>
      </c>
      <c r="F1291" t="str">
        <f>IF('سجل الإنتاج'!C291="","",IF('سجل الإنتاج'!D291="","",'سجل الإنتاج'!D291))</f>
        <v/>
      </c>
      <c r="G1291" t="str">
        <f>IF($B1291&lt;&gt;"",SUMPRODUCT(($B$2:$B1291&lt;&gt;"")*1),"")</f>
        <v/>
      </c>
    </row>
    <row r="1292" spans="1:7">
      <c r="A1292" s="23" t="str">
        <f>IF('سجل الإنتاج'!C292="","",'سجل الإنتاج'!B292)</f>
        <v/>
      </c>
      <c r="B1292" t="str">
        <f>IF('سجل الإنتاج'!C292="","","إنتاج طبخة")</f>
        <v/>
      </c>
      <c r="C1292" t="str">
        <f>IF('سجل الإنتاج'!C292="","",'سجل الإنتاج'!C292)</f>
        <v/>
      </c>
      <c r="D1292" t="str">
        <f>IF('سجل الإنتاج'!C292="","","عدة مواد - راجع صفحة الطبخات")</f>
        <v/>
      </c>
      <c r="F1292" t="str">
        <f>IF('سجل الإنتاج'!C292="","",IF('سجل الإنتاج'!D292="","",'سجل الإنتاج'!D292))</f>
        <v/>
      </c>
      <c r="G1292" t="str">
        <f>IF($B1292&lt;&gt;"",SUMPRODUCT(($B$2:$B1292&lt;&gt;"")*1),"")</f>
        <v/>
      </c>
    </row>
    <row r="1293" spans="1:7">
      <c r="A1293" s="23" t="str">
        <f>IF('سجل الإنتاج'!C293="","",'سجل الإنتاج'!B293)</f>
        <v/>
      </c>
      <c r="B1293" t="str">
        <f>IF('سجل الإنتاج'!C293="","","إنتاج طبخة")</f>
        <v/>
      </c>
      <c r="C1293" t="str">
        <f>IF('سجل الإنتاج'!C293="","",'سجل الإنتاج'!C293)</f>
        <v/>
      </c>
      <c r="D1293" t="str">
        <f>IF('سجل الإنتاج'!C293="","","عدة مواد - راجع صفحة الطبخات")</f>
        <v/>
      </c>
      <c r="F1293" t="str">
        <f>IF('سجل الإنتاج'!C293="","",IF('سجل الإنتاج'!D293="","",'سجل الإنتاج'!D293))</f>
        <v/>
      </c>
      <c r="G1293" t="str">
        <f>IF($B1293&lt;&gt;"",SUMPRODUCT(($B$2:$B1293&lt;&gt;"")*1),"")</f>
        <v/>
      </c>
    </row>
    <row r="1294" spans="1:7">
      <c r="A1294" s="23" t="str">
        <f>IF('سجل الإنتاج'!C294="","",'سجل الإنتاج'!B294)</f>
        <v/>
      </c>
      <c r="B1294" t="str">
        <f>IF('سجل الإنتاج'!C294="","","إنتاج طبخة")</f>
        <v/>
      </c>
      <c r="C1294" t="str">
        <f>IF('سجل الإنتاج'!C294="","",'سجل الإنتاج'!C294)</f>
        <v/>
      </c>
      <c r="D1294" t="str">
        <f>IF('سجل الإنتاج'!C294="","","عدة مواد - راجع صفحة الطبخات")</f>
        <v/>
      </c>
      <c r="F1294" t="str">
        <f>IF('سجل الإنتاج'!C294="","",IF('سجل الإنتاج'!D294="","",'سجل الإنتاج'!D294))</f>
        <v/>
      </c>
      <c r="G1294" t="str">
        <f>IF($B1294&lt;&gt;"",SUMPRODUCT(($B$2:$B1294&lt;&gt;"")*1),"")</f>
        <v/>
      </c>
    </row>
    <row r="1295" spans="1:7">
      <c r="A1295" s="23" t="str">
        <f>IF('سجل الإنتاج'!C295="","",'سجل الإنتاج'!B295)</f>
        <v/>
      </c>
      <c r="B1295" t="str">
        <f>IF('سجل الإنتاج'!C295="","","إنتاج طبخة")</f>
        <v/>
      </c>
      <c r="C1295" t="str">
        <f>IF('سجل الإنتاج'!C295="","",'سجل الإنتاج'!C295)</f>
        <v/>
      </c>
      <c r="D1295" t="str">
        <f>IF('سجل الإنتاج'!C295="","","عدة مواد - راجع صفحة الطبخات")</f>
        <v/>
      </c>
      <c r="F1295" t="str">
        <f>IF('سجل الإنتاج'!C295="","",IF('سجل الإنتاج'!D295="","",'سجل الإنتاج'!D295))</f>
        <v/>
      </c>
      <c r="G1295" t="str">
        <f>IF($B1295&lt;&gt;"",SUMPRODUCT(($B$2:$B1295&lt;&gt;"")*1),"")</f>
        <v/>
      </c>
    </row>
    <row r="1296" spans="1:7">
      <c r="A1296" s="23" t="str">
        <f>IF('سجل الإنتاج'!C296="","",'سجل الإنتاج'!B296)</f>
        <v/>
      </c>
      <c r="B1296" t="str">
        <f>IF('سجل الإنتاج'!C296="","","إنتاج طبخة")</f>
        <v/>
      </c>
      <c r="C1296" t="str">
        <f>IF('سجل الإنتاج'!C296="","",'سجل الإنتاج'!C296)</f>
        <v/>
      </c>
      <c r="D1296" t="str">
        <f>IF('سجل الإنتاج'!C296="","","عدة مواد - راجع صفحة الطبخات")</f>
        <v/>
      </c>
      <c r="F1296" t="str">
        <f>IF('سجل الإنتاج'!C296="","",IF('سجل الإنتاج'!D296="","",'سجل الإنتاج'!D296))</f>
        <v/>
      </c>
      <c r="G1296" t="str">
        <f>IF($B1296&lt;&gt;"",SUMPRODUCT(($B$2:$B1296&lt;&gt;"")*1),"")</f>
        <v/>
      </c>
    </row>
    <row r="1297" spans="1:7">
      <c r="A1297" s="23" t="str">
        <f>IF('سجل الإنتاج'!C297="","",'سجل الإنتاج'!B297)</f>
        <v/>
      </c>
      <c r="B1297" t="str">
        <f>IF('سجل الإنتاج'!C297="","","إنتاج طبخة")</f>
        <v/>
      </c>
      <c r="C1297" t="str">
        <f>IF('سجل الإنتاج'!C297="","",'سجل الإنتاج'!C297)</f>
        <v/>
      </c>
      <c r="D1297" t="str">
        <f>IF('سجل الإنتاج'!C297="","","عدة مواد - راجع صفحة الطبخات")</f>
        <v/>
      </c>
      <c r="F1297" t="str">
        <f>IF('سجل الإنتاج'!C297="","",IF('سجل الإنتاج'!D297="","",'سجل الإنتاج'!D297))</f>
        <v/>
      </c>
      <c r="G1297" t="str">
        <f>IF($B1297&lt;&gt;"",SUMPRODUCT(($B$2:$B1297&lt;&gt;"")*1),"")</f>
        <v/>
      </c>
    </row>
    <row r="1298" spans="1:7">
      <c r="A1298" s="23" t="str">
        <f>IF('سجل الإنتاج'!C298="","",'سجل الإنتاج'!B298)</f>
        <v/>
      </c>
      <c r="B1298" t="str">
        <f>IF('سجل الإنتاج'!C298="","","إنتاج طبخة")</f>
        <v/>
      </c>
      <c r="C1298" t="str">
        <f>IF('سجل الإنتاج'!C298="","",'سجل الإنتاج'!C298)</f>
        <v/>
      </c>
      <c r="D1298" t="str">
        <f>IF('سجل الإنتاج'!C298="","","عدة مواد - راجع صفحة الطبخات")</f>
        <v/>
      </c>
      <c r="F1298" t="str">
        <f>IF('سجل الإنتاج'!C298="","",IF('سجل الإنتاج'!D298="","",'سجل الإنتاج'!D298))</f>
        <v/>
      </c>
      <c r="G1298" t="str">
        <f>IF($B1298&lt;&gt;"",SUMPRODUCT(($B$2:$B1298&lt;&gt;"")*1),"")</f>
        <v/>
      </c>
    </row>
    <row r="1299" spans="1:7">
      <c r="A1299" s="23" t="str">
        <f>IF('سجل الإنتاج'!C299="","",'سجل الإنتاج'!B299)</f>
        <v/>
      </c>
      <c r="B1299" t="str">
        <f>IF('سجل الإنتاج'!C299="","","إنتاج طبخة")</f>
        <v/>
      </c>
      <c r="C1299" t="str">
        <f>IF('سجل الإنتاج'!C299="","",'سجل الإنتاج'!C299)</f>
        <v/>
      </c>
      <c r="D1299" t="str">
        <f>IF('سجل الإنتاج'!C299="","","عدة مواد - راجع صفحة الطبخات")</f>
        <v/>
      </c>
      <c r="F1299" t="str">
        <f>IF('سجل الإنتاج'!C299="","",IF('سجل الإنتاج'!D299="","",'سجل الإنتاج'!D299))</f>
        <v/>
      </c>
      <c r="G1299" t="str">
        <f>IF($B1299&lt;&gt;"",SUMPRODUCT(($B$2:$B1299&lt;&gt;"")*1),"")</f>
        <v/>
      </c>
    </row>
    <row r="1300" spans="1:7">
      <c r="A1300" s="23" t="str">
        <f>IF('سجل الإنتاج'!C300="","",'سجل الإنتاج'!B300)</f>
        <v/>
      </c>
      <c r="B1300" t="str">
        <f>IF('سجل الإنتاج'!C300="","","إنتاج طبخة")</f>
        <v/>
      </c>
      <c r="C1300" t="str">
        <f>IF('سجل الإنتاج'!C300="","",'سجل الإنتاج'!C300)</f>
        <v/>
      </c>
      <c r="D1300" t="str">
        <f>IF('سجل الإنتاج'!C300="","","عدة مواد - راجع صفحة الطبخات")</f>
        <v/>
      </c>
      <c r="F1300" t="str">
        <f>IF('سجل الإنتاج'!C300="","",IF('سجل الإنتاج'!D300="","",'سجل الإنتاج'!D300))</f>
        <v/>
      </c>
      <c r="G1300" t="str">
        <f>IF($B1300&lt;&gt;"",SUMPRODUCT(($B$2:$B1300&lt;&gt;"")*1),"")</f>
        <v/>
      </c>
    </row>
    <row r="1301" spans="1:7">
      <c r="A1301" s="23" t="str">
        <f>IF('سجل الإنتاج'!C301="","",'سجل الإنتاج'!B301)</f>
        <v/>
      </c>
      <c r="B1301" t="str">
        <f>IF('سجل الإنتاج'!C301="","","إنتاج طبخة")</f>
        <v/>
      </c>
      <c r="C1301" t="str">
        <f>IF('سجل الإنتاج'!C301="","",'سجل الإنتاج'!C301)</f>
        <v/>
      </c>
      <c r="D1301" t="str">
        <f>IF('سجل الإنتاج'!C301="","","عدة مواد - راجع صفحة الطبخات")</f>
        <v/>
      </c>
      <c r="F1301" t="str">
        <f>IF('سجل الإنتاج'!C301="","",IF('سجل الإنتاج'!D301="","",'سجل الإنتاج'!D301))</f>
        <v/>
      </c>
      <c r="G1301" t="str">
        <f>IF($B1301&lt;&gt;"",SUMPRODUCT(($B$2:$B1301&lt;&gt;"")*1),"")</f>
        <v/>
      </c>
    </row>
    <row r="1302" spans="1:7">
      <c r="A1302" s="23" t="str">
        <f>IF('سجل الإنتاج'!C302="","",'سجل الإنتاج'!B302)</f>
        <v/>
      </c>
      <c r="B1302" t="str">
        <f>IF('سجل الإنتاج'!C302="","","إنتاج طبخة")</f>
        <v/>
      </c>
      <c r="C1302" t="str">
        <f>IF('سجل الإنتاج'!C302="","",'سجل الإنتاج'!C302)</f>
        <v/>
      </c>
      <c r="D1302" t="str">
        <f>IF('سجل الإنتاج'!C302="","","عدة مواد - راجع صفحة الطبخات")</f>
        <v/>
      </c>
      <c r="F1302" t="str">
        <f>IF('سجل الإنتاج'!C302="","",IF('سجل الإنتاج'!D302="","",'سجل الإنتاج'!D302))</f>
        <v/>
      </c>
      <c r="G1302" t="str">
        <f>IF($B1302&lt;&gt;"",SUMPRODUCT(($B$2:$B1302&lt;&gt;"")*1),"")</f>
        <v/>
      </c>
    </row>
    <row r="1303" spans="1:7">
      <c r="A1303" s="23" t="str">
        <f>IF('سجل الإنتاج'!C303="","",'سجل الإنتاج'!B303)</f>
        <v/>
      </c>
      <c r="B1303" t="str">
        <f>IF('سجل الإنتاج'!C303="","","إنتاج طبخة")</f>
        <v/>
      </c>
      <c r="C1303" t="str">
        <f>IF('سجل الإنتاج'!C303="","",'سجل الإنتاج'!C303)</f>
        <v/>
      </c>
      <c r="D1303" t="str">
        <f>IF('سجل الإنتاج'!C303="","","عدة مواد - راجع صفحة الطبخات")</f>
        <v/>
      </c>
      <c r="F1303" t="str">
        <f>IF('سجل الإنتاج'!C303="","",IF('سجل الإنتاج'!D303="","",'سجل الإنتاج'!D303))</f>
        <v/>
      </c>
      <c r="G1303" t="str">
        <f>IF($B1303&lt;&gt;"",SUMPRODUCT(($B$2:$B1303&lt;&gt;"")*1),"")</f>
        <v/>
      </c>
    </row>
    <row r="1304" spans="1:7">
      <c r="A1304" s="23" t="str">
        <f>IF('سجل الإنتاج'!C304="","",'سجل الإنتاج'!B304)</f>
        <v/>
      </c>
      <c r="B1304" t="str">
        <f>IF('سجل الإنتاج'!C304="","","إنتاج طبخة")</f>
        <v/>
      </c>
      <c r="C1304" t="str">
        <f>IF('سجل الإنتاج'!C304="","",'سجل الإنتاج'!C304)</f>
        <v/>
      </c>
      <c r="D1304" t="str">
        <f>IF('سجل الإنتاج'!C304="","","عدة مواد - راجع صفحة الطبخات")</f>
        <v/>
      </c>
      <c r="F1304" t="str">
        <f>IF('سجل الإنتاج'!C304="","",IF('سجل الإنتاج'!D304="","",'سجل الإنتاج'!D304))</f>
        <v/>
      </c>
      <c r="G1304" t="str">
        <f>IF($B1304&lt;&gt;"",SUMPRODUCT(($B$2:$B1304&lt;&gt;"")*1),"")</f>
        <v/>
      </c>
    </row>
    <row r="1305" spans="1:7">
      <c r="A1305" s="23" t="str">
        <f>IF('سجل الإنتاج'!C305="","",'سجل الإنتاج'!B305)</f>
        <v/>
      </c>
      <c r="B1305" t="str">
        <f>IF('سجل الإنتاج'!C305="","","إنتاج طبخة")</f>
        <v/>
      </c>
      <c r="C1305" t="str">
        <f>IF('سجل الإنتاج'!C305="","",'سجل الإنتاج'!C305)</f>
        <v/>
      </c>
      <c r="D1305" t="str">
        <f>IF('سجل الإنتاج'!C305="","","عدة مواد - راجع صفحة الطبخات")</f>
        <v/>
      </c>
      <c r="F1305" t="str">
        <f>IF('سجل الإنتاج'!C305="","",IF('سجل الإنتاج'!D305="","",'سجل الإنتاج'!D305))</f>
        <v/>
      </c>
      <c r="G1305" t="str">
        <f>IF($B1305&lt;&gt;"",SUMPRODUCT(($B$2:$B1305&lt;&gt;"")*1),"")</f>
        <v/>
      </c>
    </row>
    <row r="1306" spans="1:7">
      <c r="A1306" s="23" t="str">
        <f>IF('سجل الإنتاج'!C306="","",'سجل الإنتاج'!B306)</f>
        <v/>
      </c>
      <c r="B1306" t="str">
        <f>IF('سجل الإنتاج'!C306="","","إنتاج طبخة")</f>
        <v/>
      </c>
      <c r="C1306" t="str">
        <f>IF('سجل الإنتاج'!C306="","",'سجل الإنتاج'!C306)</f>
        <v/>
      </c>
      <c r="D1306" t="str">
        <f>IF('سجل الإنتاج'!C306="","","عدة مواد - راجع صفحة الطبخات")</f>
        <v/>
      </c>
      <c r="F1306" t="str">
        <f>IF('سجل الإنتاج'!C306="","",IF('سجل الإنتاج'!D306="","",'سجل الإنتاج'!D306))</f>
        <v/>
      </c>
      <c r="G1306" t="str">
        <f>IF($B1306&lt;&gt;"",SUMPRODUCT(($B$2:$B1306&lt;&gt;"")*1),"")</f>
        <v/>
      </c>
    </row>
    <row r="1307" spans="1:7">
      <c r="A1307" s="23" t="str">
        <f>IF('سجل الإنتاج'!C307="","",'سجل الإنتاج'!B307)</f>
        <v/>
      </c>
      <c r="B1307" t="str">
        <f>IF('سجل الإنتاج'!C307="","","إنتاج طبخة")</f>
        <v/>
      </c>
      <c r="C1307" t="str">
        <f>IF('سجل الإنتاج'!C307="","",'سجل الإنتاج'!C307)</f>
        <v/>
      </c>
      <c r="D1307" t="str">
        <f>IF('سجل الإنتاج'!C307="","","عدة مواد - راجع صفحة الطبخات")</f>
        <v/>
      </c>
      <c r="F1307" t="str">
        <f>IF('سجل الإنتاج'!C307="","",IF('سجل الإنتاج'!D307="","",'سجل الإنتاج'!D307))</f>
        <v/>
      </c>
      <c r="G1307" t="str">
        <f>IF($B1307&lt;&gt;"",SUMPRODUCT(($B$2:$B1307&lt;&gt;"")*1),"")</f>
        <v/>
      </c>
    </row>
    <row r="1308" spans="1:7">
      <c r="A1308" s="23" t="str">
        <f>IF('سجل الإنتاج'!C308="","",'سجل الإنتاج'!B308)</f>
        <v/>
      </c>
      <c r="B1308" t="str">
        <f>IF('سجل الإنتاج'!C308="","","إنتاج طبخة")</f>
        <v/>
      </c>
      <c r="C1308" t="str">
        <f>IF('سجل الإنتاج'!C308="","",'سجل الإنتاج'!C308)</f>
        <v/>
      </c>
      <c r="D1308" t="str">
        <f>IF('سجل الإنتاج'!C308="","","عدة مواد - راجع صفحة الطبخات")</f>
        <v/>
      </c>
      <c r="F1308" t="str">
        <f>IF('سجل الإنتاج'!C308="","",IF('سجل الإنتاج'!D308="","",'سجل الإنتاج'!D308))</f>
        <v/>
      </c>
      <c r="G1308" t="str">
        <f>IF($B1308&lt;&gt;"",SUMPRODUCT(($B$2:$B1308&lt;&gt;"")*1),"")</f>
        <v/>
      </c>
    </row>
    <row r="1309" spans="1:7">
      <c r="A1309" s="23" t="str">
        <f>IF('سجل الإنتاج'!C309="","",'سجل الإنتاج'!B309)</f>
        <v/>
      </c>
      <c r="B1309" t="str">
        <f>IF('سجل الإنتاج'!C309="","","إنتاج طبخة")</f>
        <v/>
      </c>
      <c r="C1309" t="str">
        <f>IF('سجل الإنتاج'!C309="","",'سجل الإنتاج'!C309)</f>
        <v/>
      </c>
      <c r="D1309" t="str">
        <f>IF('سجل الإنتاج'!C309="","","عدة مواد - راجع صفحة الطبخات")</f>
        <v/>
      </c>
      <c r="F1309" t="str">
        <f>IF('سجل الإنتاج'!C309="","",IF('سجل الإنتاج'!D309="","",'سجل الإنتاج'!D309))</f>
        <v/>
      </c>
      <c r="G1309" t="str">
        <f>IF($B1309&lt;&gt;"",SUMPRODUCT(($B$2:$B1309&lt;&gt;"")*1),"")</f>
        <v/>
      </c>
    </row>
    <row r="1310" spans="1:7">
      <c r="A1310" s="23" t="str">
        <f>IF('سجل الإنتاج'!C310="","",'سجل الإنتاج'!B310)</f>
        <v/>
      </c>
      <c r="B1310" t="str">
        <f>IF('سجل الإنتاج'!C310="","","إنتاج طبخة")</f>
        <v/>
      </c>
      <c r="C1310" t="str">
        <f>IF('سجل الإنتاج'!C310="","",'سجل الإنتاج'!C310)</f>
        <v/>
      </c>
      <c r="D1310" t="str">
        <f>IF('سجل الإنتاج'!C310="","","عدة مواد - راجع صفحة الطبخات")</f>
        <v/>
      </c>
      <c r="F1310" t="str">
        <f>IF('سجل الإنتاج'!C310="","",IF('سجل الإنتاج'!D310="","",'سجل الإنتاج'!D310))</f>
        <v/>
      </c>
      <c r="G1310" t="str">
        <f>IF($B1310&lt;&gt;"",SUMPRODUCT(($B$2:$B1310&lt;&gt;"")*1),"")</f>
        <v/>
      </c>
    </row>
    <row r="1311" spans="1:7">
      <c r="A1311" s="23" t="str">
        <f>IF('سجل الإنتاج'!C311="","",'سجل الإنتاج'!B311)</f>
        <v/>
      </c>
      <c r="B1311" t="str">
        <f>IF('سجل الإنتاج'!C311="","","إنتاج طبخة")</f>
        <v/>
      </c>
      <c r="C1311" t="str">
        <f>IF('سجل الإنتاج'!C311="","",'سجل الإنتاج'!C311)</f>
        <v/>
      </c>
      <c r="D1311" t="str">
        <f>IF('سجل الإنتاج'!C311="","","عدة مواد - راجع صفحة الطبخات")</f>
        <v/>
      </c>
      <c r="F1311" t="str">
        <f>IF('سجل الإنتاج'!C311="","",IF('سجل الإنتاج'!D311="","",'سجل الإنتاج'!D311))</f>
        <v/>
      </c>
      <c r="G1311" t="str">
        <f>IF($B1311&lt;&gt;"",SUMPRODUCT(($B$2:$B1311&lt;&gt;"")*1),"")</f>
        <v/>
      </c>
    </row>
    <row r="1312" spans="1:7">
      <c r="A1312" s="23" t="str">
        <f>IF('سجل الإنتاج'!C312="","",'سجل الإنتاج'!B312)</f>
        <v/>
      </c>
      <c r="B1312" t="str">
        <f>IF('سجل الإنتاج'!C312="","","إنتاج طبخة")</f>
        <v/>
      </c>
      <c r="C1312" t="str">
        <f>IF('سجل الإنتاج'!C312="","",'سجل الإنتاج'!C312)</f>
        <v/>
      </c>
      <c r="D1312" t="str">
        <f>IF('سجل الإنتاج'!C312="","","عدة مواد - راجع صفحة الطبخات")</f>
        <v/>
      </c>
      <c r="F1312" t="str">
        <f>IF('سجل الإنتاج'!C312="","",IF('سجل الإنتاج'!D312="","",'سجل الإنتاج'!D312))</f>
        <v/>
      </c>
      <c r="G1312" t="str">
        <f>IF($B1312&lt;&gt;"",SUMPRODUCT(($B$2:$B1312&lt;&gt;"")*1),"")</f>
        <v/>
      </c>
    </row>
    <row r="1313" spans="1:7">
      <c r="A1313" s="23" t="str">
        <f>IF('سجل الإنتاج'!C313="","",'سجل الإنتاج'!B313)</f>
        <v/>
      </c>
      <c r="B1313" t="str">
        <f>IF('سجل الإنتاج'!C313="","","إنتاج طبخة")</f>
        <v/>
      </c>
      <c r="C1313" t="str">
        <f>IF('سجل الإنتاج'!C313="","",'سجل الإنتاج'!C313)</f>
        <v/>
      </c>
      <c r="D1313" t="str">
        <f>IF('سجل الإنتاج'!C313="","","عدة مواد - راجع صفحة الطبخات")</f>
        <v/>
      </c>
      <c r="F1313" t="str">
        <f>IF('سجل الإنتاج'!C313="","",IF('سجل الإنتاج'!D313="","",'سجل الإنتاج'!D313))</f>
        <v/>
      </c>
      <c r="G1313" t="str">
        <f>IF($B1313&lt;&gt;"",SUMPRODUCT(($B$2:$B1313&lt;&gt;"")*1),"")</f>
        <v/>
      </c>
    </row>
    <row r="1314" spans="1:7">
      <c r="A1314" s="23" t="str">
        <f>IF('سجل الإنتاج'!C314="","",'سجل الإنتاج'!B314)</f>
        <v/>
      </c>
      <c r="B1314" t="str">
        <f>IF('سجل الإنتاج'!C314="","","إنتاج طبخة")</f>
        <v/>
      </c>
      <c r="C1314" t="str">
        <f>IF('سجل الإنتاج'!C314="","",'سجل الإنتاج'!C314)</f>
        <v/>
      </c>
      <c r="D1314" t="str">
        <f>IF('سجل الإنتاج'!C314="","","عدة مواد - راجع صفحة الطبخات")</f>
        <v/>
      </c>
      <c r="F1314" t="str">
        <f>IF('سجل الإنتاج'!C314="","",IF('سجل الإنتاج'!D314="","",'سجل الإنتاج'!D314))</f>
        <v/>
      </c>
      <c r="G1314" t="str">
        <f>IF($B1314&lt;&gt;"",SUMPRODUCT(($B$2:$B1314&lt;&gt;"")*1),"")</f>
        <v/>
      </c>
    </row>
    <row r="1315" spans="1:7">
      <c r="A1315" s="23" t="str">
        <f>IF('سجل الإنتاج'!C315="","",'سجل الإنتاج'!B315)</f>
        <v/>
      </c>
      <c r="B1315" t="str">
        <f>IF('سجل الإنتاج'!C315="","","إنتاج طبخة")</f>
        <v/>
      </c>
      <c r="C1315" t="str">
        <f>IF('سجل الإنتاج'!C315="","",'سجل الإنتاج'!C315)</f>
        <v/>
      </c>
      <c r="D1315" t="str">
        <f>IF('سجل الإنتاج'!C315="","","عدة مواد - راجع صفحة الطبخات")</f>
        <v/>
      </c>
      <c r="F1315" t="str">
        <f>IF('سجل الإنتاج'!C315="","",IF('سجل الإنتاج'!D315="","",'سجل الإنتاج'!D315))</f>
        <v/>
      </c>
      <c r="G1315" t="str">
        <f>IF($B1315&lt;&gt;"",SUMPRODUCT(($B$2:$B1315&lt;&gt;"")*1),"")</f>
        <v/>
      </c>
    </row>
    <row r="1316" spans="1:7">
      <c r="A1316" s="23" t="str">
        <f>IF('سجل الإنتاج'!C316="","",'سجل الإنتاج'!B316)</f>
        <v/>
      </c>
      <c r="B1316" t="str">
        <f>IF('سجل الإنتاج'!C316="","","إنتاج طبخة")</f>
        <v/>
      </c>
      <c r="C1316" t="str">
        <f>IF('سجل الإنتاج'!C316="","",'سجل الإنتاج'!C316)</f>
        <v/>
      </c>
      <c r="D1316" t="str">
        <f>IF('سجل الإنتاج'!C316="","","عدة مواد - راجع صفحة الطبخات")</f>
        <v/>
      </c>
      <c r="F1316" t="str">
        <f>IF('سجل الإنتاج'!C316="","",IF('سجل الإنتاج'!D316="","",'سجل الإنتاج'!D316))</f>
        <v/>
      </c>
      <c r="G1316" t="str">
        <f>IF($B1316&lt;&gt;"",SUMPRODUCT(($B$2:$B1316&lt;&gt;"")*1),"")</f>
        <v/>
      </c>
    </row>
    <row r="1317" spans="1:7">
      <c r="A1317" s="23" t="str">
        <f>IF('سجل الإنتاج'!C317="","",'سجل الإنتاج'!B317)</f>
        <v/>
      </c>
      <c r="B1317" t="str">
        <f>IF('سجل الإنتاج'!C317="","","إنتاج طبخة")</f>
        <v/>
      </c>
      <c r="C1317" t="str">
        <f>IF('سجل الإنتاج'!C317="","",'سجل الإنتاج'!C317)</f>
        <v/>
      </c>
      <c r="D1317" t="str">
        <f>IF('سجل الإنتاج'!C317="","","عدة مواد - راجع صفحة الطبخات")</f>
        <v/>
      </c>
      <c r="F1317" t="str">
        <f>IF('سجل الإنتاج'!C317="","",IF('سجل الإنتاج'!D317="","",'سجل الإنتاج'!D317))</f>
        <v/>
      </c>
      <c r="G1317" t="str">
        <f>IF($B1317&lt;&gt;"",SUMPRODUCT(($B$2:$B1317&lt;&gt;"")*1),"")</f>
        <v/>
      </c>
    </row>
    <row r="1318" spans="1:7">
      <c r="A1318" s="23" t="str">
        <f>IF('سجل الإنتاج'!C318="","",'سجل الإنتاج'!B318)</f>
        <v/>
      </c>
      <c r="B1318" t="str">
        <f>IF('سجل الإنتاج'!C318="","","إنتاج طبخة")</f>
        <v/>
      </c>
      <c r="C1318" t="str">
        <f>IF('سجل الإنتاج'!C318="","",'سجل الإنتاج'!C318)</f>
        <v/>
      </c>
      <c r="D1318" t="str">
        <f>IF('سجل الإنتاج'!C318="","","عدة مواد - راجع صفحة الطبخات")</f>
        <v/>
      </c>
      <c r="F1318" t="str">
        <f>IF('سجل الإنتاج'!C318="","",IF('سجل الإنتاج'!D318="","",'سجل الإنتاج'!D318))</f>
        <v/>
      </c>
      <c r="G1318" t="str">
        <f>IF($B1318&lt;&gt;"",SUMPRODUCT(($B$2:$B1318&lt;&gt;"")*1),"")</f>
        <v/>
      </c>
    </row>
    <row r="1319" spans="1:7">
      <c r="A1319" s="23" t="str">
        <f>IF('سجل الإنتاج'!C319="","",'سجل الإنتاج'!B319)</f>
        <v/>
      </c>
      <c r="B1319" t="str">
        <f>IF('سجل الإنتاج'!C319="","","إنتاج طبخة")</f>
        <v/>
      </c>
      <c r="C1319" t="str">
        <f>IF('سجل الإنتاج'!C319="","",'سجل الإنتاج'!C319)</f>
        <v/>
      </c>
      <c r="D1319" t="str">
        <f>IF('سجل الإنتاج'!C319="","","عدة مواد - راجع صفحة الطبخات")</f>
        <v/>
      </c>
      <c r="F1319" t="str">
        <f>IF('سجل الإنتاج'!C319="","",IF('سجل الإنتاج'!D319="","",'سجل الإنتاج'!D319))</f>
        <v/>
      </c>
      <c r="G1319" t="str">
        <f>IF($B1319&lt;&gt;"",SUMPRODUCT(($B$2:$B1319&lt;&gt;"")*1),"")</f>
        <v/>
      </c>
    </row>
    <row r="1320" spans="1:7">
      <c r="A1320" s="23" t="str">
        <f>IF('سجل الإنتاج'!C320="","",'سجل الإنتاج'!B320)</f>
        <v/>
      </c>
      <c r="B1320" t="str">
        <f>IF('سجل الإنتاج'!C320="","","إنتاج طبخة")</f>
        <v/>
      </c>
      <c r="C1320" t="str">
        <f>IF('سجل الإنتاج'!C320="","",'سجل الإنتاج'!C320)</f>
        <v/>
      </c>
      <c r="D1320" t="str">
        <f>IF('سجل الإنتاج'!C320="","","عدة مواد - راجع صفحة الطبخات")</f>
        <v/>
      </c>
      <c r="F1320" t="str">
        <f>IF('سجل الإنتاج'!C320="","",IF('سجل الإنتاج'!D320="","",'سجل الإنتاج'!D320))</f>
        <v/>
      </c>
      <c r="G1320" t="str">
        <f>IF($B1320&lt;&gt;"",SUMPRODUCT(($B$2:$B1320&lt;&gt;"")*1),"")</f>
        <v/>
      </c>
    </row>
    <row r="1321" spans="1:7">
      <c r="A1321" s="23" t="str">
        <f>IF('سجل الإنتاج'!C321="","",'سجل الإنتاج'!B321)</f>
        <v/>
      </c>
      <c r="B1321" t="str">
        <f>IF('سجل الإنتاج'!C321="","","إنتاج طبخة")</f>
        <v/>
      </c>
      <c r="C1321" t="str">
        <f>IF('سجل الإنتاج'!C321="","",'سجل الإنتاج'!C321)</f>
        <v/>
      </c>
      <c r="D1321" t="str">
        <f>IF('سجل الإنتاج'!C321="","","عدة مواد - راجع صفحة الطبخات")</f>
        <v/>
      </c>
      <c r="F1321" t="str">
        <f>IF('سجل الإنتاج'!C321="","",IF('سجل الإنتاج'!D321="","",'سجل الإنتاج'!D321))</f>
        <v/>
      </c>
      <c r="G1321" t="str">
        <f>IF($B1321&lt;&gt;"",SUMPRODUCT(($B$2:$B1321&lt;&gt;"")*1),"")</f>
        <v/>
      </c>
    </row>
    <row r="1322" spans="1:7">
      <c r="A1322" s="23" t="str">
        <f>IF('سجل الإنتاج'!C322="","",'سجل الإنتاج'!B322)</f>
        <v/>
      </c>
      <c r="B1322" t="str">
        <f>IF('سجل الإنتاج'!C322="","","إنتاج طبخة")</f>
        <v/>
      </c>
      <c r="C1322" t="str">
        <f>IF('سجل الإنتاج'!C322="","",'سجل الإنتاج'!C322)</f>
        <v/>
      </c>
      <c r="D1322" t="str">
        <f>IF('سجل الإنتاج'!C322="","","عدة مواد - راجع صفحة الطبخات")</f>
        <v/>
      </c>
      <c r="F1322" t="str">
        <f>IF('سجل الإنتاج'!C322="","",IF('سجل الإنتاج'!D322="","",'سجل الإنتاج'!D322))</f>
        <v/>
      </c>
      <c r="G1322" t="str">
        <f>IF($B1322&lt;&gt;"",SUMPRODUCT(($B$2:$B1322&lt;&gt;"")*1),"")</f>
        <v/>
      </c>
    </row>
    <row r="1323" spans="1:7">
      <c r="A1323" s="23" t="str">
        <f>IF('سجل الإنتاج'!C323="","",'سجل الإنتاج'!B323)</f>
        <v/>
      </c>
      <c r="B1323" t="str">
        <f>IF('سجل الإنتاج'!C323="","","إنتاج طبخة")</f>
        <v/>
      </c>
      <c r="C1323" t="str">
        <f>IF('سجل الإنتاج'!C323="","",'سجل الإنتاج'!C323)</f>
        <v/>
      </c>
      <c r="D1323" t="str">
        <f>IF('سجل الإنتاج'!C323="","","عدة مواد - راجع صفحة الطبخات")</f>
        <v/>
      </c>
      <c r="F1323" t="str">
        <f>IF('سجل الإنتاج'!C323="","",IF('سجل الإنتاج'!D323="","",'سجل الإنتاج'!D323))</f>
        <v/>
      </c>
      <c r="G1323" t="str">
        <f>IF($B1323&lt;&gt;"",SUMPRODUCT(($B$2:$B1323&lt;&gt;"")*1),"")</f>
        <v/>
      </c>
    </row>
    <row r="1324" spans="1:7">
      <c r="A1324" s="23" t="str">
        <f>IF('سجل الإنتاج'!C324="","",'سجل الإنتاج'!B324)</f>
        <v/>
      </c>
      <c r="B1324" t="str">
        <f>IF('سجل الإنتاج'!C324="","","إنتاج طبخة")</f>
        <v/>
      </c>
      <c r="C1324" t="str">
        <f>IF('سجل الإنتاج'!C324="","",'سجل الإنتاج'!C324)</f>
        <v/>
      </c>
      <c r="D1324" t="str">
        <f>IF('سجل الإنتاج'!C324="","","عدة مواد - راجع صفحة الطبخات")</f>
        <v/>
      </c>
      <c r="F1324" t="str">
        <f>IF('سجل الإنتاج'!C324="","",IF('سجل الإنتاج'!D324="","",'سجل الإنتاج'!D324))</f>
        <v/>
      </c>
      <c r="G1324" t="str">
        <f>IF($B1324&lt;&gt;"",SUMPRODUCT(($B$2:$B1324&lt;&gt;"")*1),"")</f>
        <v/>
      </c>
    </row>
    <row r="1325" spans="1:7">
      <c r="A1325" s="23" t="str">
        <f>IF('سجل الإنتاج'!C325="","",'سجل الإنتاج'!B325)</f>
        <v/>
      </c>
      <c r="B1325" t="str">
        <f>IF('سجل الإنتاج'!C325="","","إنتاج طبخة")</f>
        <v/>
      </c>
      <c r="C1325" t="str">
        <f>IF('سجل الإنتاج'!C325="","",'سجل الإنتاج'!C325)</f>
        <v/>
      </c>
      <c r="D1325" t="str">
        <f>IF('سجل الإنتاج'!C325="","","عدة مواد - راجع صفحة الطبخات")</f>
        <v/>
      </c>
      <c r="F1325" t="str">
        <f>IF('سجل الإنتاج'!C325="","",IF('سجل الإنتاج'!D325="","",'سجل الإنتاج'!D325))</f>
        <v/>
      </c>
      <c r="G1325" t="str">
        <f>IF($B1325&lt;&gt;"",SUMPRODUCT(($B$2:$B1325&lt;&gt;"")*1),"")</f>
        <v/>
      </c>
    </row>
    <row r="1326" spans="1:7">
      <c r="A1326" s="23" t="str">
        <f>IF('سجل الإنتاج'!C326="","",'سجل الإنتاج'!B326)</f>
        <v/>
      </c>
      <c r="B1326" t="str">
        <f>IF('سجل الإنتاج'!C326="","","إنتاج طبخة")</f>
        <v/>
      </c>
      <c r="C1326" t="str">
        <f>IF('سجل الإنتاج'!C326="","",'سجل الإنتاج'!C326)</f>
        <v/>
      </c>
      <c r="D1326" t="str">
        <f>IF('سجل الإنتاج'!C326="","","عدة مواد - راجع صفحة الطبخات")</f>
        <v/>
      </c>
      <c r="F1326" t="str">
        <f>IF('سجل الإنتاج'!C326="","",IF('سجل الإنتاج'!D326="","",'سجل الإنتاج'!D326))</f>
        <v/>
      </c>
      <c r="G1326" t="str">
        <f>IF($B1326&lt;&gt;"",SUMPRODUCT(($B$2:$B1326&lt;&gt;"")*1),"")</f>
        <v/>
      </c>
    </row>
    <row r="1327" spans="1:7">
      <c r="A1327" s="23" t="str">
        <f>IF('سجل الإنتاج'!C327="","",'سجل الإنتاج'!B327)</f>
        <v/>
      </c>
      <c r="B1327" t="str">
        <f>IF('سجل الإنتاج'!C327="","","إنتاج طبخة")</f>
        <v/>
      </c>
      <c r="C1327" t="str">
        <f>IF('سجل الإنتاج'!C327="","",'سجل الإنتاج'!C327)</f>
        <v/>
      </c>
      <c r="D1327" t="str">
        <f>IF('سجل الإنتاج'!C327="","","عدة مواد - راجع صفحة الطبخات")</f>
        <v/>
      </c>
      <c r="F1327" t="str">
        <f>IF('سجل الإنتاج'!C327="","",IF('سجل الإنتاج'!D327="","",'سجل الإنتاج'!D327))</f>
        <v/>
      </c>
      <c r="G1327" t="str">
        <f>IF($B1327&lt;&gt;"",SUMPRODUCT(($B$2:$B1327&lt;&gt;"")*1),"")</f>
        <v/>
      </c>
    </row>
    <row r="1328" spans="1:7">
      <c r="A1328" s="23" t="str">
        <f>IF('سجل الإنتاج'!C328="","",'سجل الإنتاج'!B328)</f>
        <v/>
      </c>
      <c r="B1328" t="str">
        <f>IF('سجل الإنتاج'!C328="","","إنتاج طبخة")</f>
        <v/>
      </c>
      <c r="C1328" t="str">
        <f>IF('سجل الإنتاج'!C328="","",'سجل الإنتاج'!C328)</f>
        <v/>
      </c>
      <c r="D1328" t="str">
        <f>IF('سجل الإنتاج'!C328="","","عدة مواد - راجع صفحة الطبخات")</f>
        <v/>
      </c>
      <c r="F1328" t="str">
        <f>IF('سجل الإنتاج'!C328="","",IF('سجل الإنتاج'!D328="","",'سجل الإنتاج'!D328))</f>
        <v/>
      </c>
      <c r="G1328" t="str">
        <f>IF($B1328&lt;&gt;"",SUMPRODUCT(($B$2:$B1328&lt;&gt;"")*1),"")</f>
        <v/>
      </c>
    </row>
    <row r="1329" spans="1:7">
      <c r="A1329" s="23" t="str">
        <f>IF('سجل الإنتاج'!C329="","",'سجل الإنتاج'!B329)</f>
        <v/>
      </c>
      <c r="B1329" t="str">
        <f>IF('سجل الإنتاج'!C329="","","إنتاج طبخة")</f>
        <v/>
      </c>
      <c r="C1329" t="str">
        <f>IF('سجل الإنتاج'!C329="","",'سجل الإنتاج'!C329)</f>
        <v/>
      </c>
      <c r="D1329" t="str">
        <f>IF('سجل الإنتاج'!C329="","","عدة مواد - راجع صفحة الطبخات")</f>
        <v/>
      </c>
      <c r="F1329" t="str">
        <f>IF('سجل الإنتاج'!C329="","",IF('سجل الإنتاج'!D329="","",'سجل الإنتاج'!D329))</f>
        <v/>
      </c>
      <c r="G1329" t="str">
        <f>IF($B1329&lt;&gt;"",SUMPRODUCT(($B$2:$B1329&lt;&gt;"")*1),"")</f>
        <v/>
      </c>
    </row>
    <row r="1330" spans="1:7">
      <c r="A1330" s="23" t="str">
        <f>IF('سجل الإنتاج'!C330="","",'سجل الإنتاج'!B330)</f>
        <v/>
      </c>
      <c r="B1330" t="str">
        <f>IF('سجل الإنتاج'!C330="","","إنتاج طبخة")</f>
        <v/>
      </c>
      <c r="C1330" t="str">
        <f>IF('سجل الإنتاج'!C330="","",'سجل الإنتاج'!C330)</f>
        <v/>
      </c>
      <c r="D1330" t="str">
        <f>IF('سجل الإنتاج'!C330="","","عدة مواد - راجع صفحة الطبخات")</f>
        <v/>
      </c>
      <c r="F1330" t="str">
        <f>IF('سجل الإنتاج'!C330="","",IF('سجل الإنتاج'!D330="","",'سجل الإنتاج'!D330))</f>
        <v/>
      </c>
      <c r="G1330" t="str">
        <f>IF($B1330&lt;&gt;"",SUMPRODUCT(($B$2:$B1330&lt;&gt;"")*1),"")</f>
        <v/>
      </c>
    </row>
    <row r="1331" spans="1:7">
      <c r="A1331" s="23" t="str">
        <f>IF('سجل الإنتاج'!C331="","",'سجل الإنتاج'!B331)</f>
        <v/>
      </c>
      <c r="B1331" t="str">
        <f>IF('سجل الإنتاج'!C331="","","إنتاج طبخة")</f>
        <v/>
      </c>
      <c r="C1331" t="str">
        <f>IF('سجل الإنتاج'!C331="","",'سجل الإنتاج'!C331)</f>
        <v/>
      </c>
      <c r="D1331" t="str">
        <f>IF('سجل الإنتاج'!C331="","","عدة مواد - راجع صفحة الطبخات")</f>
        <v/>
      </c>
      <c r="F1331" t="str">
        <f>IF('سجل الإنتاج'!C331="","",IF('سجل الإنتاج'!D331="","",'سجل الإنتاج'!D331))</f>
        <v/>
      </c>
      <c r="G1331" t="str">
        <f>IF($B1331&lt;&gt;"",SUMPRODUCT(($B$2:$B1331&lt;&gt;"")*1),"")</f>
        <v/>
      </c>
    </row>
    <row r="1332" spans="1:7">
      <c r="A1332" s="23" t="str">
        <f>IF('سجل الإنتاج'!C332="","",'سجل الإنتاج'!B332)</f>
        <v/>
      </c>
      <c r="B1332" t="str">
        <f>IF('سجل الإنتاج'!C332="","","إنتاج طبخة")</f>
        <v/>
      </c>
      <c r="C1332" t="str">
        <f>IF('سجل الإنتاج'!C332="","",'سجل الإنتاج'!C332)</f>
        <v/>
      </c>
      <c r="D1332" t="str">
        <f>IF('سجل الإنتاج'!C332="","","عدة مواد - راجع صفحة الطبخات")</f>
        <v/>
      </c>
      <c r="F1332" t="str">
        <f>IF('سجل الإنتاج'!C332="","",IF('سجل الإنتاج'!D332="","",'سجل الإنتاج'!D332))</f>
        <v/>
      </c>
      <c r="G1332" t="str">
        <f>IF($B1332&lt;&gt;"",SUMPRODUCT(($B$2:$B1332&lt;&gt;"")*1),"")</f>
        <v/>
      </c>
    </row>
    <row r="1333" spans="1:7">
      <c r="A1333" s="23" t="str">
        <f>IF('سجل الإنتاج'!C333="","",'سجل الإنتاج'!B333)</f>
        <v/>
      </c>
      <c r="B1333" t="str">
        <f>IF('سجل الإنتاج'!C333="","","إنتاج طبخة")</f>
        <v/>
      </c>
      <c r="C1333" t="str">
        <f>IF('سجل الإنتاج'!C333="","",'سجل الإنتاج'!C333)</f>
        <v/>
      </c>
      <c r="D1333" t="str">
        <f>IF('سجل الإنتاج'!C333="","","عدة مواد - راجع صفحة الطبخات")</f>
        <v/>
      </c>
      <c r="F1333" t="str">
        <f>IF('سجل الإنتاج'!C333="","",IF('سجل الإنتاج'!D333="","",'سجل الإنتاج'!D333))</f>
        <v/>
      </c>
      <c r="G1333" t="str">
        <f>IF($B1333&lt;&gt;"",SUMPRODUCT(($B$2:$B1333&lt;&gt;"")*1),"")</f>
        <v/>
      </c>
    </row>
    <row r="1334" spans="1:7">
      <c r="A1334" s="23" t="str">
        <f>IF('سجل الإنتاج'!C334="","",'سجل الإنتاج'!B334)</f>
        <v/>
      </c>
      <c r="B1334" t="str">
        <f>IF('سجل الإنتاج'!C334="","","إنتاج طبخة")</f>
        <v/>
      </c>
      <c r="C1334" t="str">
        <f>IF('سجل الإنتاج'!C334="","",'سجل الإنتاج'!C334)</f>
        <v/>
      </c>
      <c r="D1334" t="str">
        <f>IF('سجل الإنتاج'!C334="","","عدة مواد - راجع صفحة الطبخات")</f>
        <v/>
      </c>
      <c r="F1334" t="str">
        <f>IF('سجل الإنتاج'!C334="","",IF('سجل الإنتاج'!D334="","",'سجل الإنتاج'!D334))</f>
        <v/>
      </c>
      <c r="G1334" t="str">
        <f>IF($B1334&lt;&gt;"",SUMPRODUCT(($B$2:$B1334&lt;&gt;"")*1),"")</f>
        <v/>
      </c>
    </row>
    <row r="1335" spans="1:7">
      <c r="A1335" s="23" t="str">
        <f>IF('سجل الإنتاج'!C335="","",'سجل الإنتاج'!B335)</f>
        <v/>
      </c>
      <c r="B1335" t="str">
        <f>IF('سجل الإنتاج'!C335="","","إنتاج طبخة")</f>
        <v/>
      </c>
      <c r="C1335" t="str">
        <f>IF('سجل الإنتاج'!C335="","",'سجل الإنتاج'!C335)</f>
        <v/>
      </c>
      <c r="D1335" t="str">
        <f>IF('سجل الإنتاج'!C335="","","عدة مواد - راجع صفحة الطبخات")</f>
        <v/>
      </c>
      <c r="F1335" t="str">
        <f>IF('سجل الإنتاج'!C335="","",IF('سجل الإنتاج'!D335="","",'سجل الإنتاج'!D335))</f>
        <v/>
      </c>
      <c r="G1335" t="str">
        <f>IF($B1335&lt;&gt;"",SUMPRODUCT(($B$2:$B1335&lt;&gt;"")*1),"")</f>
        <v/>
      </c>
    </row>
    <row r="1336" spans="1:7">
      <c r="A1336" s="23" t="str">
        <f>IF('سجل الإنتاج'!C336="","",'سجل الإنتاج'!B336)</f>
        <v/>
      </c>
      <c r="B1336" t="str">
        <f>IF('سجل الإنتاج'!C336="","","إنتاج طبخة")</f>
        <v/>
      </c>
      <c r="C1336" t="str">
        <f>IF('سجل الإنتاج'!C336="","",'سجل الإنتاج'!C336)</f>
        <v/>
      </c>
      <c r="D1336" t="str">
        <f>IF('سجل الإنتاج'!C336="","","عدة مواد - راجع صفحة الطبخات")</f>
        <v/>
      </c>
      <c r="F1336" t="str">
        <f>IF('سجل الإنتاج'!C336="","",IF('سجل الإنتاج'!D336="","",'سجل الإنتاج'!D336))</f>
        <v/>
      </c>
      <c r="G1336" t="str">
        <f>IF($B1336&lt;&gt;"",SUMPRODUCT(($B$2:$B1336&lt;&gt;"")*1),"")</f>
        <v/>
      </c>
    </row>
    <row r="1337" spans="1:7">
      <c r="A1337" s="23" t="str">
        <f>IF('سجل الإنتاج'!C337="","",'سجل الإنتاج'!B337)</f>
        <v/>
      </c>
      <c r="B1337" t="str">
        <f>IF('سجل الإنتاج'!C337="","","إنتاج طبخة")</f>
        <v/>
      </c>
      <c r="C1337" t="str">
        <f>IF('سجل الإنتاج'!C337="","",'سجل الإنتاج'!C337)</f>
        <v/>
      </c>
      <c r="D1337" t="str">
        <f>IF('سجل الإنتاج'!C337="","","عدة مواد - راجع صفحة الطبخات")</f>
        <v/>
      </c>
      <c r="F1337" t="str">
        <f>IF('سجل الإنتاج'!C337="","",IF('سجل الإنتاج'!D337="","",'سجل الإنتاج'!D337))</f>
        <v/>
      </c>
      <c r="G1337" t="str">
        <f>IF($B1337&lt;&gt;"",SUMPRODUCT(($B$2:$B1337&lt;&gt;"")*1),"")</f>
        <v/>
      </c>
    </row>
    <row r="1338" spans="1:7">
      <c r="A1338" s="23" t="str">
        <f>IF('سجل الإنتاج'!C338="","",'سجل الإنتاج'!B338)</f>
        <v/>
      </c>
      <c r="B1338" t="str">
        <f>IF('سجل الإنتاج'!C338="","","إنتاج طبخة")</f>
        <v/>
      </c>
      <c r="C1338" t="str">
        <f>IF('سجل الإنتاج'!C338="","",'سجل الإنتاج'!C338)</f>
        <v/>
      </c>
      <c r="D1338" t="str">
        <f>IF('سجل الإنتاج'!C338="","","عدة مواد - راجع صفحة الطبخات")</f>
        <v/>
      </c>
      <c r="F1338" t="str">
        <f>IF('سجل الإنتاج'!C338="","",IF('سجل الإنتاج'!D338="","",'سجل الإنتاج'!D338))</f>
        <v/>
      </c>
      <c r="G1338" t="str">
        <f>IF($B1338&lt;&gt;"",SUMPRODUCT(($B$2:$B1338&lt;&gt;"")*1),"")</f>
        <v/>
      </c>
    </row>
    <row r="1339" spans="1:7">
      <c r="A1339" s="23" t="str">
        <f>IF('سجل الإنتاج'!C339="","",'سجل الإنتاج'!B339)</f>
        <v/>
      </c>
      <c r="B1339" t="str">
        <f>IF('سجل الإنتاج'!C339="","","إنتاج طبخة")</f>
        <v/>
      </c>
      <c r="C1339" t="str">
        <f>IF('سجل الإنتاج'!C339="","",'سجل الإنتاج'!C339)</f>
        <v/>
      </c>
      <c r="D1339" t="str">
        <f>IF('سجل الإنتاج'!C339="","","عدة مواد - راجع صفحة الطبخات")</f>
        <v/>
      </c>
      <c r="F1339" t="str">
        <f>IF('سجل الإنتاج'!C339="","",IF('سجل الإنتاج'!D339="","",'سجل الإنتاج'!D339))</f>
        <v/>
      </c>
      <c r="G1339" t="str">
        <f>IF($B1339&lt;&gt;"",SUMPRODUCT(($B$2:$B1339&lt;&gt;"")*1),"")</f>
        <v/>
      </c>
    </row>
    <row r="1340" spans="1:7">
      <c r="A1340" s="23" t="str">
        <f>IF('سجل الإنتاج'!C340="","",'سجل الإنتاج'!B340)</f>
        <v/>
      </c>
      <c r="B1340" t="str">
        <f>IF('سجل الإنتاج'!C340="","","إنتاج طبخة")</f>
        <v/>
      </c>
      <c r="C1340" t="str">
        <f>IF('سجل الإنتاج'!C340="","",'سجل الإنتاج'!C340)</f>
        <v/>
      </c>
      <c r="D1340" t="str">
        <f>IF('سجل الإنتاج'!C340="","","عدة مواد - راجع صفحة الطبخات")</f>
        <v/>
      </c>
      <c r="F1340" t="str">
        <f>IF('سجل الإنتاج'!C340="","",IF('سجل الإنتاج'!D340="","",'سجل الإنتاج'!D340))</f>
        <v/>
      </c>
      <c r="G1340" t="str">
        <f>IF($B1340&lt;&gt;"",SUMPRODUCT(($B$2:$B1340&lt;&gt;"")*1),"")</f>
        <v/>
      </c>
    </row>
    <row r="1341" spans="1:7">
      <c r="A1341" s="23" t="str">
        <f>IF('سجل الإنتاج'!C341="","",'سجل الإنتاج'!B341)</f>
        <v/>
      </c>
      <c r="B1341" t="str">
        <f>IF('سجل الإنتاج'!C341="","","إنتاج طبخة")</f>
        <v/>
      </c>
      <c r="C1341" t="str">
        <f>IF('سجل الإنتاج'!C341="","",'سجل الإنتاج'!C341)</f>
        <v/>
      </c>
      <c r="D1341" t="str">
        <f>IF('سجل الإنتاج'!C341="","","عدة مواد - راجع صفحة الطبخات")</f>
        <v/>
      </c>
      <c r="F1341" t="str">
        <f>IF('سجل الإنتاج'!C341="","",IF('سجل الإنتاج'!D341="","",'سجل الإنتاج'!D341))</f>
        <v/>
      </c>
      <c r="G1341" t="str">
        <f>IF($B1341&lt;&gt;"",SUMPRODUCT(($B$2:$B1341&lt;&gt;"")*1),"")</f>
        <v/>
      </c>
    </row>
    <row r="1342" spans="1:7">
      <c r="A1342" s="23" t="str">
        <f>IF('سجل الإنتاج'!C342="","",'سجل الإنتاج'!B342)</f>
        <v/>
      </c>
      <c r="B1342" t="str">
        <f>IF('سجل الإنتاج'!C342="","","إنتاج طبخة")</f>
        <v/>
      </c>
      <c r="C1342" t="str">
        <f>IF('سجل الإنتاج'!C342="","",'سجل الإنتاج'!C342)</f>
        <v/>
      </c>
      <c r="D1342" t="str">
        <f>IF('سجل الإنتاج'!C342="","","عدة مواد - راجع صفحة الطبخات")</f>
        <v/>
      </c>
      <c r="F1342" t="str">
        <f>IF('سجل الإنتاج'!C342="","",IF('سجل الإنتاج'!D342="","",'سجل الإنتاج'!D342))</f>
        <v/>
      </c>
      <c r="G1342" t="str">
        <f>IF($B1342&lt;&gt;"",SUMPRODUCT(($B$2:$B1342&lt;&gt;"")*1),"")</f>
        <v/>
      </c>
    </row>
    <row r="1343" spans="1:7">
      <c r="A1343" s="23" t="str">
        <f>IF('سجل الإنتاج'!C343="","",'سجل الإنتاج'!B343)</f>
        <v/>
      </c>
      <c r="B1343" t="str">
        <f>IF('سجل الإنتاج'!C343="","","إنتاج طبخة")</f>
        <v/>
      </c>
      <c r="C1343" t="str">
        <f>IF('سجل الإنتاج'!C343="","",'سجل الإنتاج'!C343)</f>
        <v/>
      </c>
      <c r="D1343" t="str">
        <f>IF('سجل الإنتاج'!C343="","","عدة مواد - راجع صفحة الطبخات")</f>
        <v/>
      </c>
      <c r="F1343" t="str">
        <f>IF('سجل الإنتاج'!C343="","",IF('سجل الإنتاج'!D343="","",'سجل الإنتاج'!D343))</f>
        <v/>
      </c>
      <c r="G1343" t="str">
        <f>IF($B1343&lt;&gt;"",SUMPRODUCT(($B$2:$B1343&lt;&gt;"")*1),"")</f>
        <v/>
      </c>
    </row>
    <row r="1344" spans="1:7">
      <c r="A1344" s="23" t="str">
        <f>IF('سجل الإنتاج'!C344="","",'سجل الإنتاج'!B344)</f>
        <v/>
      </c>
      <c r="B1344" t="str">
        <f>IF('سجل الإنتاج'!C344="","","إنتاج طبخة")</f>
        <v/>
      </c>
      <c r="C1344" t="str">
        <f>IF('سجل الإنتاج'!C344="","",'سجل الإنتاج'!C344)</f>
        <v/>
      </c>
      <c r="D1344" t="str">
        <f>IF('سجل الإنتاج'!C344="","","عدة مواد - راجع صفحة الطبخات")</f>
        <v/>
      </c>
      <c r="F1344" t="str">
        <f>IF('سجل الإنتاج'!C344="","",IF('سجل الإنتاج'!D344="","",'سجل الإنتاج'!D344))</f>
        <v/>
      </c>
      <c r="G1344" t="str">
        <f>IF($B1344&lt;&gt;"",SUMPRODUCT(($B$2:$B1344&lt;&gt;"")*1),"")</f>
        <v/>
      </c>
    </row>
    <row r="1345" spans="1:7">
      <c r="A1345" s="23" t="str">
        <f>IF('سجل الإنتاج'!C345="","",'سجل الإنتاج'!B345)</f>
        <v/>
      </c>
      <c r="B1345" t="str">
        <f>IF('سجل الإنتاج'!C345="","","إنتاج طبخة")</f>
        <v/>
      </c>
      <c r="C1345" t="str">
        <f>IF('سجل الإنتاج'!C345="","",'سجل الإنتاج'!C345)</f>
        <v/>
      </c>
      <c r="D1345" t="str">
        <f>IF('سجل الإنتاج'!C345="","","عدة مواد - راجع صفحة الطبخات")</f>
        <v/>
      </c>
      <c r="F1345" t="str">
        <f>IF('سجل الإنتاج'!C345="","",IF('سجل الإنتاج'!D345="","",'سجل الإنتاج'!D345))</f>
        <v/>
      </c>
      <c r="G1345" t="str">
        <f>IF($B1345&lt;&gt;"",SUMPRODUCT(($B$2:$B1345&lt;&gt;"")*1),"")</f>
        <v/>
      </c>
    </row>
    <row r="1346" spans="1:7">
      <c r="A1346" s="23" t="str">
        <f>IF('سجل الإنتاج'!C346="","",'سجل الإنتاج'!B346)</f>
        <v/>
      </c>
      <c r="B1346" t="str">
        <f>IF('سجل الإنتاج'!C346="","","إنتاج طبخة")</f>
        <v/>
      </c>
      <c r="C1346" t="str">
        <f>IF('سجل الإنتاج'!C346="","",'سجل الإنتاج'!C346)</f>
        <v/>
      </c>
      <c r="D1346" t="str">
        <f>IF('سجل الإنتاج'!C346="","","عدة مواد - راجع صفحة الطبخات")</f>
        <v/>
      </c>
      <c r="F1346" t="str">
        <f>IF('سجل الإنتاج'!C346="","",IF('سجل الإنتاج'!D346="","",'سجل الإنتاج'!D346))</f>
        <v/>
      </c>
      <c r="G1346" t="str">
        <f>IF($B1346&lt;&gt;"",SUMPRODUCT(($B$2:$B1346&lt;&gt;"")*1),"")</f>
        <v/>
      </c>
    </row>
    <row r="1347" spans="1:7">
      <c r="A1347" s="23" t="str">
        <f>IF('سجل الإنتاج'!C347="","",'سجل الإنتاج'!B347)</f>
        <v/>
      </c>
      <c r="B1347" t="str">
        <f>IF('سجل الإنتاج'!C347="","","إنتاج طبخة")</f>
        <v/>
      </c>
      <c r="C1347" t="str">
        <f>IF('سجل الإنتاج'!C347="","",'سجل الإنتاج'!C347)</f>
        <v/>
      </c>
      <c r="D1347" t="str">
        <f>IF('سجل الإنتاج'!C347="","","عدة مواد - راجع صفحة الطبخات")</f>
        <v/>
      </c>
      <c r="F1347" t="str">
        <f>IF('سجل الإنتاج'!C347="","",IF('سجل الإنتاج'!D347="","",'سجل الإنتاج'!D347))</f>
        <v/>
      </c>
      <c r="G1347" t="str">
        <f>IF($B1347&lt;&gt;"",SUMPRODUCT(($B$2:$B1347&lt;&gt;"")*1),"")</f>
        <v/>
      </c>
    </row>
    <row r="1348" spans="1:7">
      <c r="A1348" s="23" t="str">
        <f>IF('سجل الإنتاج'!C348="","",'سجل الإنتاج'!B348)</f>
        <v/>
      </c>
      <c r="B1348" t="str">
        <f>IF('سجل الإنتاج'!C348="","","إنتاج طبخة")</f>
        <v/>
      </c>
      <c r="C1348" t="str">
        <f>IF('سجل الإنتاج'!C348="","",'سجل الإنتاج'!C348)</f>
        <v/>
      </c>
      <c r="D1348" t="str">
        <f>IF('سجل الإنتاج'!C348="","","عدة مواد - راجع صفحة الطبخات")</f>
        <v/>
      </c>
      <c r="F1348" t="str">
        <f>IF('سجل الإنتاج'!C348="","",IF('سجل الإنتاج'!D348="","",'سجل الإنتاج'!D348))</f>
        <v/>
      </c>
      <c r="G1348" t="str">
        <f>IF($B1348&lt;&gt;"",SUMPRODUCT(($B$2:$B1348&lt;&gt;"")*1),"")</f>
        <v/>
      </c>
    </row>
    <row r="1349" spans="1:7">
      <c r="A1349" s="23" t="str">
        <f>IF('سجل الإنتاج'!C349="","",'سجل الإنتاج'!B349)</f>
        <v/>
      </c>
      <c r="B1349" t="str">
        <f>IF('سجل الإنتاج'!C349="","","إنتاج طبخة")</f>
        <v/>
      </c>
      <c r="C1349" t="str">
        <f>IF('سجل الإنتاج'!C349="","",'سجل الإنتاج'!C349)</f>
        <v/>
      </c>
      <c r="D1349" t="str">
        <f>IF('سجل الإنتاج'!C349="","","عدة مواد - راجع صفحة الطبخات")</f>
        <v/>
      </c>
      <c r="F1349" t="str">
        <f>IF('سجل الإنتاج'!C349="","",IF('سجل الإنتاج'!D349="","",'سجل الإنتاج'!D349))</f>
        <v/>
      </c>
      <c r="G1349" t="str">
        <f>IF($B1349&lt;&gt;"",SUMPRODUCT(($B$2:$B1349&lt;&gt;"")*1),"")</f>
        <v/>
      </c>
    </row>
    <row r="1350" spans="1:7">
      <c r="A1350" s="23" t="str">
        <f>IF('سجل الإنتاج'!C350="","",'سجل الإنتاج'!B350)</f>
        <v/>
      </c>
      <c r="B1350" t="str">
        <f>IF('سجل الإنتاج'!C350="","","إنتاج طبخة")</f>
        <v/>
      </c>
      <c r="C1350" t="str">
        <f>IF('سجل الإنتاج'!C350="","",'سجل الإنتاج'!C350)</f>
        <v/>
      </c>
      <c r="D1350" t="str">
        <f>IF('سجل الإنتاج'!C350="","","عدة مواد - راجع صفحة الطبخات")</f>
        <v/>
      </c>
      <c r="F1350" t="str">
        <f>IF('سجل الإنتاج'!C350="","",IF('سجل الإنتاج'!D350="","",'سجل الإنتاج'!D350))</f>
        <v/>
      </c>
      <c r="G1350" t="str">
        <f>IF($B1350&lt;&gt;"",SUMPRODUCT(($B$2:$B1350&lt;&gt;"")*1),"")</f>
        <v/>
      </c>
    </row>
    <row r="1351" spans="1:7">
      <c r="A1351" s="23" t="str">
        <f>IF('سجل الإنتاج'!C351="","",'سجل الإنتاج'!B351)</f>
        <v/>
      </c>
      <c r="B1351" t="str">
        <f>IF('سجل الإنتاج'!C351="","","إنتاج طبخة")</f>
        <v/>
      </c>
      <c r="C1351" t="str">
        <f>IF('سجل الإنتاج'!C351="","",'سجل الإنتاج'!C351)</f>
        <v/>
      </c>
      <c r="D1351" t="str">
        <f>IF('سجل الإنتاج'!C351="","","عدة مواد - راجع صفحة الطبخات")</f>
        <v/>
      </c>
      <c r="F1351" t="str">
        <f>IF('سجل الإنتاج'!C351="","",IF('سجل الإنتاج'!D351="","",'سجل الإنتاج'!D351))</f>
        <v/>
      </c>
      <c r="G1351" t="str">
        <f>IF($B1351&lt;&gt;"",SUMPRODUCT(($B$2:$B1351&lt;&gt;"")*1),"")</f>
        <v/>
      </c>
    </row>
    <row r="1352" spans="1:7">
      <c r="A1352" s="23" t="str">
        <f>IF('سجل الإنتاج'!C352="","",'سجل الإنتاج'!B352)</f>
        <v/>
      </c>
      <c r="B1352" t="str">
        <f>IF('سجل الإنتاج'!C352="","","إنتاج طبخة")</f>
        <v/>
      </c>
      <c r="C1352" t="str">
        <f>IF('سجل الإنتاج'!C352="","",'سجل الإنتاج'!C352)</f>
        <v/>
      </c>
      <c r="D1352" t="str">
        <f>IF('سجل الإنتاج'!C352="","","عدة مواد - راجع صفحة الطبخات")</f>
        <v/>
      </c>
      <c r="F1352" t="str">
        <f>IF('سجل الإنتاج'!C352="","",IF('سجل الإنتاج'!D352="","",'سجل الإنتاج'!D352))</f>
        <v/>
      </c>
      <c r="G1352" t="str">
        <f>IF($B1352&lt;&gt;"",SUMPRODUCT(($B$2:$B1352&lt;&gt;"")*1),"")</f>
        <v/>
      </c>
    </row>
    <row r="1353" spans="1:7">
      <c r="A1353" s="23" t="str">
        <f>IF('سجل الإنتاج'!C353="","",'سجل الإنتاج'!B353)</f>
        <v/>
      </c>
      <c r="B1353" t="str">
        <f>IF('سجل الإنتاج'!C353="","","إنتاج طبخة")</f>
        <v/>
      </c>
      <c r="C1353" t="str">
        <f>IF('سجل الإنتاج'!C353="","",'سجل الإنتاج'!C353)</f>
        <v/>
      </c>
      <c r="D1353" t="str">
        <f>IF('سجل الإنتاج'!C353="","","عدة مواد - راجع صفحة الطبخات")</f>
        <v/>
      </c>
      <c r="F1353" t="str">
        <f>IF('سجل الإنتاج'!C353="","",IF('سجل الإنتاج'!D353="","",'سجل الإنتاج'!D353))</f>
        <v/>
      </c>
      <c r="G1353" t="str">
        <f>IF($B1353&lt;&gt;"",SUMPRODUCT(($B$2:$B1353&lt;&gt;"")*1),"")</f>
        <v/>
      </c>
    </row>
    <row r="1354" spans="1:7">
      <c r="A1354" s="23" t="str">
        <f>IF('سجل الإنتاج'!C354="","",'سجل الإنتاج'!B354)</f>
        <v/>
      </c>
      <c r="B1354" t="str">
        <f>IF('سجل الإنتاج'!C354="","","إنتاج طبخة")</f>
        <v/>
      </c>
      <c r="C1354" t="str">
        <f>IF('سجل الإنتاج'!C354="","",'سجل الإنتاج'!C354)</f>
        <v/>
      </c>
      <c r="D1354" t="str">
        <f>IF('سجل الإنتاج'!C354="","","عدة مواد - راجع صفحة الطبخات")</f>
        <v/>
      </c>
      <c r="F1354" t="str">
        <f>IF('سجل الإنتاج'!C354="","",IF('سجل الإنتاج'!D354="","",'سجل الإنتاج'!D354))</f>
        <v/>
      </c>
      <c r="G1354" t="str">
        <f>IF($B1354&lt;&gt;"",SUMPRODUCT(($B$2:$B1354&lt;&gt;"")*1),"")</f>
        <v/>
      </c>
    </row>
    <row r="1355" spans="1:7">
      <c r="A1355" s="23" t="str">
        <f>IF('سجل الإنتاج'!C355="","",'سجل الإنتاج'!B355)</f>
        <v/>
      </c>
      <c r="B1355" t="str">
        <f>IF('سجل الإنتاج'!C355="","","إنتاج طبخة")</f>
        <v/>
      </c>
      <c r="C1355" t="str">
        <f>IF('سجل الإنتاج'!C355="","",'سجل الإنتاج'!C355)</f>
        <v/>
      </c>
      <c r="D1355" t="str">
        <f>IF('سجل الإنتاج'!C355="","","عدة مواد - راجع صفحة الطبخات")</f>
        <v/>
      </c>
      <c r="F1355" t="str">
        <f>IF('سجل الإنتاج'!C355="","",IF('سجل الإنتاج'!D355="","",'سجل الإنتاج'!D355))</f>
        <v/>
      </c>
      <c r="G1355" t="str">
        <f>IF($B1355&lt;&gt;"",SUMPRODUCT(($B$2:$B1355&lt;&gt;"")*1),"")</f>
        <v/>
      </c>
    </row>
    <row r="1356" spans="1:7">
      <c r="A1356" s="23" t="str">
        <f>IF('سجل الإنتاج'!C356="","",'سجل الإنتاج'!B356)</f>
        <v/>
      </c>
      <c r="B1356" t="str">
        <f>IF('سجل الإنتاج'!C356="","","إنتاج طبخة")</f>
        <v/>
      </c>
      <c r="C1356" t="str">
        <f>IF('سجل الإنتاج'!C356="","",'سجل الإنتاج'!C356)</f>
        <v/>
      </c>
      <c r="D1356" t="str">
        <f>IF('سجل الإنتاج'!C356="","","عدة مواد - راجع صفحة الطبخات")</f>
        <v/>
      </c>
      <c r="F1356" t="str">
        <f>IF('سجل الإنتاج'!C356="","",IF('سجل الإنتاج'!D356="","",'سجل الإنتاج'!D356))</f>
        <v/>
      </c>
      <c r="G1356" t="str">
        <f>IF($B1356&lt;&gt;"",SUMPRODUCT(($B$2:$B1356&lt;&gt;"")*1),"")</f>
        <v/>
      </c>
    </row>
    <row r="1357" spans="1:7">
      <c r="A1357" s="23" t="str">
        <f>IF('سجل الإنتاج'!C357="","",'سجل الإنتاج'!B357)</f>
        <v/>
      </c>
      <c r="B1357" t="str">
        <f>IF('سجل الإنتاج'!C357="","","إنتاج طبخة")</f>
        <v/>
      </c>
      <c r="C1357" t="str">
        <f>IF('سجل الإنتاج'!C357="","",'سجل الإنتاج'!C357)</f>
        <v/>
      </c>
      <c r="D1357" t="str">
        <f>IF('سجل الإنتاج'!C357="","","عدة مواد - راجع صفحة الطبخات")</f>
        <v/>
      </c>
      <c r="F1357" t="str">
        <f>IF('سجل الإنتاج'!C357="","",IF('سجل الإنتاج'!D357="","",'سجل الإنتاج'!D357))</f>
        <v/>
      </c>
      <c r="G1357" t="str">
        <f>IF($B1357&lt;&gt;"",SUMPRODUCT(($B$2:$B1357&lt;&gt;"")*1),"")</f>
        <v/>
      </c>
    </row>
    <row r="1358" spans="1:7">
      <c r="A1358" s="23" t="str">
        <f>IF('سجل الإنتاج'!C358="","",'سجل الإنتاج'!B358)</f>
        <v/>
      </c>
      <c r="B1358" t="str">
        <f>IF('سجل الإنتاج'!C358="","","إنتاج طبخة")</f>
        <v/>
      </c>
      <c r="C1358" t="str">
        <f>IF('سجل الإنتاج'!C358="","",'سجل الإنتاج'!C358)</f>
        <v/>
      </c>
      <c r="D1358" t="str">
        <f>IF('سجل الإنتاج'!C358="","","عدة مواد - راجع صفحة الطبخات")</f>
        <v/>
      </c>
      <c r="F1358" t="str">
        <f>IF('سجل الإنتاج'!C358="","",IF('سجل الإنتاج'!D358="","",'سجل الإنتاج'!D358))</f>
        <v/>
      </c>
      <c r="G1358" t="str">
        <f>IF($B1358&lt;&gt;"",SUMPRODUCT(($B$2:$B1358&lt;&gt;"")*1),"")</f>
        <v/>
      </c>
    </row>
    <row r="1359" spans="1:7">
      <c r="A1359" s="23" t="str">
        <f>IF('سجل الإنتاج'!C359="","",'سجل الإنتاج'!B359)</f>
        <v/>
      </c>
      <c r="B1359" t="str">
        <f>IF('سجل الإنتاج'!C359="","","إنتاج طبخة")</f>
        <v/>
      </c>
      <c r="C1359" t="str">
        <f>IF('سجل الإنتاج'!C359="","",'سجل الإنتاج'!C359)</f>
        <v/>
      </c>
      <c r="D1359" t="str">
        <f>IF('سجل الإنتاج'!C359="","","عدة مواد - راجع صفحة الطبخات")</f>
        <v/>
      </c>
      <c r="F1359" t="str">
        <f>IF('سجل الإنتاج'!C359="","",IF('سجل الإنتاج'!D359="","",'سجل الإنتاج'!D359))</f>
        <v/>
      </c>
      <c r="G1359" t="str">
        <f>IF($B1359&lt;&gt;"",SUMPRODUCT(($B$2:$B1359&lt;&gt;"")*1),"")</f>
        <v/>
      </c>
    </row>
    <row r="1360" spans="1:7">
      <c r="A1360" s="23" t="str">
        <f>IF('سجل الإنتاج'!C360="","",'سجل الإنتاج'!B360)</f>
        <v/>
      </c>
      <c r="B1360" t="str">
        <f>IF('سجل الإنتاج'!C360="","","إنتاج طبخة")</f>
        <v/>
      </c>
      <c r="C1360" t="str">
        <f>IF('سجل الإنتاج'!C360="","",'سجل الإنتاج'!C360)</f>
        <v/>
      </c>
      <c r="D1360" t="str">
        <f>IF('سجل الإنتاج'!C360="","","عدة مواد - راجع صفحة الطبخات")</f>
        <v/>
      </c>
      <c r="F1360" t="str">
        <f>IF('سجل الإنتاج'!C360="","",IF('سجل الإنتاج'!D360="","",'سجل الإنتاج'!D360))</f>
        <v/>
      </c>
      <c r="G1360" t="str">
        <f>IF($B1360&lt;&gt;"",SUMPRODUCT(($B$2:$B1360&lt;&gt;"")*1),"")</f>
        <v/>
      </c>
    </row>
    <row r="1361" spans="1:7">
      <c r="A1361" s="23" t="str">
        <f>IF('سجل الإنتاج'!C361="","",'سجل الإنتاج'!B361)</f>
        <v/>
      </c>
      <c r="B1361" t="str">
        <f>IF('سجل الإنتاج'!C361="","","إنتاج طبخة")</f>
        <v/>
      </c>
      <c r="C1361" t="str">
        <f>IF('سجل الإنتاج'!C361="","",'سجل الإنتاج'!C361)</f>
        <v/>
      </c>
      <c r="D1361" t="str">
        <f>IF('سجل الإنتاج'!C361="","","عدة مواد - راجع صفحة الطبخات")</f>
        <v/>
      </c>
      <c r="F1361" t="str">
        <f>IF('سجل الإنتاج'!C361="","",IF('سجل الإنتاج'!D361="","",'سجل الإنتاج'!D361))</f>
        <v/>
      </c>
      <c r="G1361" t="str">
        <f>IF($B1361&lt;&gt;"",SUMPRODUCT(($B$2:$B1361&lt;&gt;"")*1),"")</f>
        <v/>
      </c>
    </row>
    <row r="1362" spans="1:7">
      <c r="A1362" s="23" t="str">
        <f>IF('سجل الإنتاج'!C362="","",'سجل الإنتاج'!B362)</f>
        <v/>
      </c>
      <c r="B1362" t="str">
        <f>IF('سجل الإنتاج'!C362="","","إنتاج طبخة")</f>
        <v/>
      </c>
      <c r="C1362" t="str">
        <f>IF('سجل الإنتاج'!C362="","",'سجل الإنتاج'!C362)</f>
        <v/>
      </c>
      <c r="D1362" t="str">
        <f>IF('سجل الإنتاج'!C362="","","عدة مواد - راجع صفحة الطبخات")</f>
        <v/>
      </c>
      <c r="F1362" t="str">
        <f>IF('سجل الإنتاج'!C362="","",IF('سجل الإنتاج'!D362="","",'سجل الإنتاج'!D362))</f>
        <v/>
      </c>
      <c r="G1362" t="str">
        <f>IF($B1362&lt;&gt;"",SUMPRODUCT(($B$2:$B1362&lt;&gt;"")*1),"")</f>
        <v/>
      </c>
    </row>
    <row r="1363" spans="1:7">
      <c r="A1363" s="23" t="str">
        <f>IF('سجل الإنتاج'!C363="","",'سجل الإنتاج'!B363)</f>
        <v/>
      </c>
      <c r="B1363" t="str">
        <f>IF('سجل الإنتاج'!C363="","","إنتاج طبخة")</f>
        <v/>
      </c>
      <c r="C1363" t="str">
        <f>IF('سجل الإنتاج'!C363="","",'سجل الإنتاج'!C363)</f>
        <v/>
      </c>
      <c r="D1363" t="str">
        <f>IF('سجل الإنتاج'!C363="","","عدة مواد - راجع صفحة الطبخات")</f>
        <v/>
      </c>
      <c r="F1363" t="str">
        <f>IF('سجل الإنتاج'!C363="","",IF('سجل الإنتاج'!D363="","",'سجل الإنتاج'!D363))</f>
        <v/>
      </c>
      <c r="G1363" t="str">
        <f>IF($B1363&lt;&gt;"",SUMPRODUCT(($B$2:$B1363&lt;&gt;"")*1),"")</f>
        <v/>
      </c>
    </row>
    <row r="1364" spans="1:7">
      <c r="A1364" s="23" t="str">
        <f>IF('سجل الإنتاج'!C364="","",'سجل الإنتاج'!B364)</f>
        <v/>
      </c>
      <c r="B1364" t="str">
        <f>IF('سجل الإنتاج'!C364="","","إنتاج طبخة")</f>
        <v/>
      </c>
      <c r="C1364" t="str">
        <f>IF('سجل الإنتاج'!C364="","",'سجل الإنتاج'!C364)</f>
        <v/>
      </c>
      <c r="D1364" t="str">
        <f>IF('سجل الإنتاج'!C364="","","عدة مواد - راجع صفحة الطبخات")</f>
        <v/>
      </c>
      <c r="F1364" t="str">
        <f>IF('سجل الإنتاج'!C364="","",IF('سجل الإنتاج'!D364="","",'سجل الإنتاج'!D364))</f>
        <v/>
      </c>
      <c r="G1364" t="str">
        <f>IF($B1364&lt;&gt;"",SUMPRODUCT(($B$2:$B1364&lt;&gt;"")*1),"")</f>
        <v/>
      </c>
    </row>
    <row r="1365" spans="1:7">
      <c r="A1365" s="23" t="str">
        <f>IF('سجل الإنتاج'!C365="","",'سجل الإنتاج'!B365)</f>
        <v/>
      </c>
      <c r="B1365" t="str">
        <f>IF('سجل الإنتاج'!C365="","","إنتاج طبخة")</f>
        <v/>
      </c>
      <c r="C1365" t="str">
        <f>IF('سجل الإنتاج'!C365="","",'سجل الإنتاج'!C365)</f>
        <v/>
      </c>
      <c r="D1365" t="str">
        <f>IF('سجل الإنتاج'!C365="","","عدة مواد - راجع صفحة الطبخات")</f>
        <v/>
      </c>
      <c r="F1365" t="str">
        <f>IF('سجل الإنتاج'!C365="","",IF('سجل الإنتاج'!D365="","",'سجل الإنتاج'!D365))</f>
        <v/>
      </c>
      <c r="G1365" t="str">
        <f>IF($B1365&lt;&gt;"",SUMPRODUCT(($B$2:$B1365&lt;&gt;"")*1),"")</f>
        <v/>
      </c>
    </row>
    <row r="1366" spans="1:7">
      <c r="A1366" s="23" t="str">
        <f>IF('سجل الإنتاج'!C366="","",'سجل الإنتاج'!B366)</f>
        <v/>
      </c>
      <c r="B1366" t="str">
        <f>IF('سجل الإنتاج'!C366="","","إنتاج طبخة")</f>
        <v/>
      </c>
      <c r="C1366" t="str">
        <f>IF('سجل الإنتاج'!C366="","",'سجل الإنتاج'!C366)</f>
        <v/>
      </c>
      <c r="D1366" t="str">
        <f>IF('سجل الإنتاج'!C366="","","عدة مواد - راجع صفحة الطبخات")</f>
        <v/>
      </c>
      <c r="F1366" t="str">
        <f>IF('سجل الإنتاج'!C366="","",IF('سجل الإنتاج'!D366="","",'سجل الإنتاج'!D366))</f>
        <v/>
      </c>
      <c r="G1366" t="str">
        <f>IF($B1366&lt;&gt;"",SUMPRODUCT(($B$2:$B1366&lt;&gt;"")*1),"")</f>
        <v/>
      </c>
    </row>
    <row r="1367" spans="1:7">
      <c r="A1367" s="23" t="str">
        <f>IF('سجل الإنتاج'!C367="","",'سجل الإنتاج'!B367)</f>
        <v/>
      </c>
      <c r="B1367" t="str">
        <f>IF('سجل الإنتاج'!C367="","","إنتاج طبخة")</f>
        <v/>
      </c>
      <c r="C1367" t="str">
        <f>IF('سجل الإنتاج'!C367="","",'سجل الإنتاج'!C367)</f>
        <v/>
      </c>
      <c r="D1367" t="str">
        <f>IF('سجل الإنتاج'!C367="","","عدة مواد - راجع صفحة الطبخات")</f>
        <v/>
      </c>
      <c r="F1367" t="str">
        <f>IF('سجل الإنتاج'!C367="","",IF('سجل الإنتاج'!D367="","",'سجل الإنتاج'!D367))</f>
        <v/>
      </c>
      <c r="G1367" t="str">
        <f>IF($B1367&lt;&gt;"",SUMPRODUCT(($B$2:$B1367&lt;&gt;"")*1),"")</f>
        <v/>
      </c>
    </row>
    <row r="1368" spans="1:7">
      <c r="A1368" s="23" t="str">
        <f>IF('سجل الإنتاج'!C368="","",'سجل الإنتاج'!B368)</f>
        <v/>
      </c>
      <c r="B1368" t="str">
        <f>IF('سجل الإنتاج'!C368="","","إنتاج طبخة")</f>
        <v/>
      </c>
      <c r="C1368" t="str">
        <f>IF('سجل الإنتاج'!C368="","",'سجل الإنتاج'!C368)</f>
        <v/>
      </c>
      <c r="D1368" t="str">
        <f>IF('سجل الإنتاج'!C368="","","عدة مواد - راجع صفحة الطبخات")</f>
        <v/>
      </c>
      <c r="F1368" t="str">
        <f>IF('سجل الإنتاج'!C368="","",IF('سجل الإنتاج'!D368="","",'سجل الإنتاج'!D368))</f>
        <v/>
      </c>
      <c r="G1368" t="str">
        <f>IF($B1368&lt;&gt;"",SUMPRODUCT(($B$2:$B1368&lt;&gt;"")*1),"")</f>
        <v/>
      </c>
    </row>
    <row r="1369" spans="1:7">
      <c r="A1369" s="23" t="str">
        <f>IF('سجل الإنتاج'!C369="","",'سجل الإنتاج'!B369)</f>
        <v/>
      </c>
      <c r="B1369" t="str">
        <f>IF('سجل الإنتاج'!C369="","","إنتاج طبخة")</f>
        <v/>
      </c>
      <c r="C1369" t="str">
        <f>IF('سجل الإنتاج'!C369="","",'سجل الإنتاج'!C369)</f>
        <v/>
      </c>
      <c r="D1369" t="str">
        <f>IF('سجل الإنتاج'!C369="","","عدة مواد - راجع صفحة الطبخات")</f>
        <v/>
      </c>
      <c r="F1369" t="str">
        <f>IF('سجل الإنتاج'!C369="","",IF('سجل الإنتاج'!D369="","",'سجل الإنتاج'!D369))</f>
        <v/>
      </c>
      <c r="G1369" t="str">
        <f>IF($B1369&lt;&gt;"",SUMPRODUCT(($B$2:$B1369&lt;&gt;"")*1),"")</f>
        <v/>
      </c>
    </row>
    <row r="1370" spans="1:7">
      <c r="A1370" s="23" t="str">
        <f>IF('سجل الإنتاج'!C370="","",'سجل الإنتاج'!B370)</f>
        <v/>
      </c>
      <c r="B1370" t="str">
        <f>IF('سجل الإنتاج'!C370="","","إنتاج طبخة")</f>
        <v/>
      </c>
      <c r="C1370" t="str">
        <f>IF('سجل الإنتاج'!C370="","",'سجل الإنتاج'!C370)</f>
        <v/>
      </c>
      <c r="D1370" t="str">
        <f>IF('سجل الإنتاج'!C370="","","عدة مواد - راجع صفحة الطبخات")</f>
        <v/>
      </c>
      <c r="F1370" t="str">
        <f>IF('سجل الإنتاج'!C370="","",IF('سجل الإنتاج'!D370="","",'سجل الإنتاج'!D370))</f>
        <v/>
      </c>
      <c r="G1370" t="str">
        <f>IF($B1370&lt;&gt;"",SUMPRODUCT(($B$2:$B1370&lt;&gt;"")*1),"")</f>
        <v/>
      </c>
    </row>
    <row r="1371" spans="1:7">
      <c r="A1371" s="23" t="str">
        <f>IF('سجل الإنتاج'!C371="","",'سجل الإنتاج'!B371)</f>
        <v/>
      </c>
      <c r="B1371" t="str">
        <f>IF('سجل الإنتاج'!C371="","","إنتاج طبخة")</f>
        <v/>
      </c>
      <c r="C1371" t="str">
        <f>IF('سجل الإنتاج'!C371="","",'سجل الإنتاج'!C371)</f>
        <v/>
      </c>
      <c r="D1371" t="str">
        <f>IF('سجل الإنتاج'!C371="","","عدة مواد - راجع صفحة الطبخات")</f>
        <v/>
      </c>
      <c r="F1371" t="str">
        <f>IF('سجل الإنتاج'!C371="","",IF('سجل الإنتاج'!D371="","",'سجل الإنتاج'!D371))</f>
        <v/>
      </c>
      <c r="G1371" t="str">
        <f>IF($B1371&lt;&gt;"",SUMPRODUCT(($B$2:$B1371&lt;&gt;"")*1),"")</f>
        <v/>
      </c>
    </row>
    <row r="1372" spans="1:7">
      <c r="A1372" s="23" t="str">
        <f>IF('سجل الإنتاج'!C372="","",'سجل الإنتاج'!B372)</f>
        <v/>
      </c>
      <c r="B1372" t="str">
        <f>IF('سجل الإنتاج'!C372="","","إنتاج طبخة")</f>
        <v/>
      </c>
      <c r="C1372" t="str">
        <f>IF('سجل الإنتاج'!C372="","",'سجل الإنتاج'!C372)</f>
        <v/>
      </c>
      <c r="D1372" t="str">
        <f>IF('سجل الإنتاج'!C372="","","عدة مواد - راجع صفحة الطبخات")</f>
        <v/>
      </c>
      <c r="F1372" t="str">
        <f>IF('سجل الإنتاج'!C372="","",IF('سجل الإنتاج'!D372="","",'سجل الإنتاج'!D372))</f>
        <v/>
      </c>
      <c r="G1372" t="str">
        <f>IF($B1372&lt;&gt;"",SUMPRODUCT(($B$2:$B1372&lt;&gt;"")*1),"")</f>
        <v/>
      </c>
    </row>
    <row r="1373" spans="1:7">
      <c r="A1373" s="23" t="str">
        <f>IF('سجل الإنتاج'!C373="","",'سجل الإنتاج'!B373)</f>
        <v/>
      </c>
      <c r="B1373" t="str">
        <f>IF('سجل الإنتاج'!C373="","","إنتاج طبخة")</f>
        <v/>
      </c>
      <c r="C1373" t="str">
        <f>IF('سجل الإنتاج'!C373="","",'سجل الإنتاج'!C373)</f>
        <v/>
      </c>
      <c r="D1373" t="str">
        <f>IF('سجل الإنتاج'!C373="","","عدة مواد - راجع صفحة الطبخات")</f>
        <v/>
      </c>
      <c r="F1373" t="str">
        <f>IF('سجل الإنتاج'!C373="","",IF('سجل الإنتاج'!D373="","",'سجل الإنتاج'!D373))</f>
        <v/>
      </c>
      <c r="G1373" t="str">
        <f>IF($B1373&lt;&gt;"",SUMPRODUCT(($B$2:$B1373&lt;&gt;"")*1),"")</f>
        <v/>
      </c>
    </row>
    <row r="1374" spans="1:7">
      <c r="A1374" s="23" t="str">
        <f>IF('سجل الإنتاج'!C374="","",'سجل الإنتاج'!B374)</f>
        <v/>
      </c>
      <c r="B1374" t="str">
        <f>IF('سجل الإنتاج'!C374="","","إنتاج طبخة")</f>
        <v/>
      </c>
      <c r="C1374" t="str">
        <f>IF('سجل الإنتاج'!C374="","",'سجل الإنتاج'!C374)</f>
        <v/>
      </c>
      <c r="D1374" t="str">
        <f>IF('سجل الإنتاج'!C374="","","عدة مواد - راجع صفحة الطبخات")</f>
        <v/>
      </c>
      <c r="F1374" t="str">
        <f>IF('سجل الإنتاج'!C374="","",IF('سجل الإنتاج'!D374="","",'سجل الإنتاج'!D374))</f>
        <v/>
      </c>
      <c r="G1374" t="str">
        <f>IF($B1374&lt;&gt;"",SUMPRODUCT(($B$2:$B1374&lt;&gt;"")*1),"")</f>
        <v/>
      </c>
    </row>
    <row r="1375" spans="1:7">
      <c r="A1375" s="23" t="str">
        <f>IF('سجل الإنتاج'!C375="","",'سجل الإنتاج'!B375)</f>
        <v/>
      </c>
      <c r="B1375" t="str">
        <f>IF('سجل الإنتاج'!C375="","","إنتاج طبخة")</f>
        <v/>
      </c>
      <c r="C1375" t="str">
        <f>IF('سجل الإنتاج'!C375="","",'سجل الإنتاج'!C375)</f>
        <v/>
      </c>
      <c r="D1375" t="str">
        <f>IF('سجل الإنتاج'!C375="","","عدة مواد - راجع صفحة الطبخات")</f>
        <v/>
      </c>
      <c r="F1375" t="str">
        <f>IF('سجل الإنتاج'!C375="","",IF('سجل الإنتاج'!D375="","",'سجل الإنتاج'!D375))</f>
        <v/>
      </c>
      <c r="G1375" t="str">
        <f>IF($B1375&lt;&gt;"",SUMPRODUCT(($B$2:$B1375&lt;&gt;"")*1),"")</f>
        <v/>
      </c>
    </row>
    <row r="1376" spans="1:7">
      <c r="A1376" s="23" t="str">
        <f>IF('سجل الإنتاج'!C376="","",'سجل الإنتاج'!B376)</f>
        <v/>
      </c>
      <c r="B1376" t="str">
        <f>IF('سجل الإنتاج'!C376="","","إنتاج طبخة")</f>
        <v/>
      </c>
      <c r="C1376" t="str">
        <f>IF('سجل الإنتاج'!C376="","",'سجل الإنتاج'!C376)</f>
        <v/>
      </c>
      <c r="D1376" t="str">
        <f>IF('سجل الإنتاج'!C376="","","عدة مواد - راجع صفحة الطبخات")</f>
        <v/>
      </c>
      <c r="F1376" t="str">
        <f>IF('سجل الإنتاج'!C376="","",IF('سجل الإنتاج'!D376="","",'سجل الإنتاج'!D376))</f>
        <v/>
      </c>
      <c r="G1376" t="str">
        <f>IF($B1376&lt;&gt;"",SUMPRODUCT(($B$2:$B1376&lt;&gt;"")*1),"")</f>
        <v/>
      </c>
    </row>
    <row r="1377" spans="1:7">
      <c r="A1377" s="23" t="str">
        <f>IF('سجل الإنتاج'!C377="","",'سجل الإنتاج'!B377)</f>
        <v/>
      </c>
      <c r="B1377" t="str">
        <f>IF('سجل الإنتاج'!C377="","","إنتاج طبخة")</f>
        <v/>
      </c>
      <c r="C1377" t="str">
        <f>IF('سجل الإنتاج'!C377="","",'سجل الإنتاج'!C377)</f>
        <v/>
      </c>
      <c r="D1377" t="str">
        <f>IF('سجل الإنتاج'!C377="","","عدة مواد - راجع صفحة الطبخات")</f>
        <v/>
      </c>
      <c r="F1377" t="str">
        <f>IF('سجل الإنتاج'!C377="","",IF('سجل الإنتاج'!D377="","",'سجل الإنتاج'!D377))</f>
        <v/>
      </c>
      <c r="G1377" t="str">
        <f>IF($B1377&lt;&gt;"",SUMPRODUCT(($B$2:$B1377&lt;&gt;"")*1),"")</f>
        <v/>
      </c>
    </row>
    <row r="1378" spans="1:7">
      <c r="A1378" s="23" t="str">
        <f>IF('سجل الإنتاج'!C378="","",'سجل الإنتاج'!B378)</f>
        <v/>
      </c>
      <c r="B1378" t="str">
        <f>IF('سجل الإنتاج'!C378="","","إنتاج طبخة")</f>
        <v/>
      </c>
      <c r="C1378" t="str">
        <f>IF('سجل الإنتاج'!C378="","",'سجل الإنتاج'!C378)</f>
        <v/>
      </c>
      <c r="D1378" t="str">
        <f>IF('سجل الإنتاج'!C378="","","عدة مواد - راجع صفحة الطبخات")</f>
        <v/>
      </c>
      <c r="F1378" t="str">
        <f>IF('سجل الإنتاج'!C378="","",IF('سجل الإنتاج'!D378="","",'سجل الإنتاج'!D378))</f>
        <v/>
      </c>
      <c r="G1378" t="str">
        <f>IF($B1378&lt;&gt;"",SUMPRODUCT(($B$2:$B1378&lt;&gt;"")*1),"")</f>
        <v/>
      </c>
    </row>
    <row r="1379" spans="1:7">
      <c r="A1379" s="23" t="str">
        <f>IF('سجل الإنتاج'!C379="","",'سجل الإنتاج'!B379)</f>
        <v/>
      </c>
      <c r="B1379" t="str">
        <f>IF('سجل الإنتاج'!C379="","","إنتاج طبخة")</f>
        <v/>
      </c>
      <c r="C1379" t="str">
        <f>IF('سجل الإنتاج'!C379="","",'سجل الإنتاج'!C379)</f>
        <v/>
      </c>
      <c r="D1379" t="str">
        <f>IF('سجل الإنتاج'!C379="","","عدة مواد - راجع صفحة الطبخات")</f>
        <v/>
      </c>
      <c r="F1379" t="str">
        <f>IF('سجل الإنتاج'!C379="","",IF('سجل الإنتاج'!D379="","",'سجل الإنتاج'!D379))</f>
        <v/>
      </c>
      <c r="G1379" t="str">
        <f>IF($B1379&lt;&gt;"",SUMPRODUCT(($B$2:$B1379&lt;&gt;"")*1),"")</f>
        <v/>
      </c>
    </row>
    <row r="1380" spans="1:7">
      <c r="A1380" s="23" t="str">
        <f>IF('سجل الإنتاج'!C380="","",'سجل الإنتاج'!B380)</f>
        <v/>
      </c>
      <c r="B1380" t="str">
        <f>IF('سجل الإنتاج'!C380="","","إنتاج طبخة")</f>
        <v/>
      </c>
      <c r="C1380" t="str">
        <f>IF('سجل الإنتاج'!C380="","",'سجل الإنتاج'!C380)</f>
        <v/>
      </c>
      <c r="D1380" t="str">
        <f>IF('سجل الإنتاج'!C380="","","عدة مواد - راجع صفحة الطبخات")</f>
        <v/>
      </c>
      <c r="F1380" t="str">
        <f>IF('سجل الإنتاج'!C380="","",IF('سجل الإنتاج'!D380="","",'سجل الإنتاج'!D380))</f>
        <v/>
      </c>
      <c r="G1380" t="str">
        <f>IF($B1380&lt;&gt;"",SUMPRODUCT(($B$2:$B1380&lt;&gt;"")*1),"")</f>
        <v/>
      </c>
    </row>
    <row r="1381" spans="1:7">
      <c r="A1381" s="23" t="str">
        <f>IF('سجل الإنتاج'!C381="","",'سجل الإنتاج'!B381)</f>
        <v/>
      </c>
      <c r="B1381" t="str">
        <f>IF('سجل الإنتاج'!C381="","","إنتاج طبخة")</f>
        <v/>
      </c>
      <c r="C1381" t="str">
        <f>IF('سجل الإنتاج'!C381="","",'سجل الإنتاج'!C381)</f>
        <v/>
      </c>
      <c r="D1381" t="str">
        <f>IF('سجل الإنتاج'!C381="","","عدة مواد - راجع صفحة الطبخات")</f>
        <v/>
      </c>
      <c r="F1381" t="str">
        <f>IF('سجل الإنتاج'!C381="","",IF('سجل الإنتاج'!D381="","",'سجل الإنتاج'!D381))</f>
        <v/>
      </c>
      <c r="G1381" t="str">
        <f>IF($B1381&lt;&gt;"",SUMPRODUCT(($B$2:$B1381&lt;&gt;"")*1),"")</f>
        <v/>
      </c>
    </row>
    <row r="1382" spans="1:7">
      <c r="A1382" s="23" t="str">
        <f>IF('سجل الإنتاج'!C382="","",'سجل الإنتاج'!B382)</f>
        <v/>
      </c>
      <c r="B1382" t="str">
        <f>IF('سجل الإنتاج'!C382="","","إنتاج طبخة")</f>
        <v/>
      </c>
      <c r="C1382" t="str">
        <f>IF('سجل الإنتاج'!C382="","",'سجل الإنتاج'!C382)</f>
        <v/>
      </c>
      <c r="D1382" t="str">
        <f>IF('سجل الإنتاج'!C382="","","عدة مواد - راجع صفحة الطبخات")</f>
        <v/>
      </c>
      <c r="F1382" t="str">
        <f>IF('سجل الإنتاج'!C382="","",IF('سجل الإنتاج'!D382="","",'سجل الإنتاج'!D382))</f>
        <v/>
      </c>
      <c r="G1382" t="str">
        <f>IF($B1382&lt;&gt;"",SUMPRODUCT(($B$2:$B1382&lt;&gt;"")*1),"")</f>
        <v/>
      </c>
    </row>
    <row r="1383" spans="1:7">
      <c r="A1383" s="23" t="str">
        <f>IF('سجل الإنتاج'!C383="","",'سجل الإنتاج'!B383)</f>
        <v/>
      </c>
      <c r="B1383" t="str">
        <f>IF('سجل الإنتاج'!C383="","","إنتاج طبخة")</f>
        <v/>
      </c>
      <c r="C1383" t="str">
        <f>IF('سجل الإنتاج'!C383="","",'سجل الإنتاج'!C383)</f>
        <v/>
      </c>
      <c r="D1383" t="str">
        <f>IF('سجل الإنتاج'!C383="","","عدة مواد - راجع صفحة الطبخات")</f>
        <v/>
      </c>
      <c r="F1383" t="str">
        <f>IF('سجل الإنتاج'!C383="","",IF('سجل الإنتاج'!D383="","",'سجل الإنتاج'!D383))</f>
        <v/>
      </c>
      <c r="G1383" t="str">
        <f>IF($B1383&lt;&gt;"",SUMPRODUCT(($B$2:$B1383&lt;&gt;"")*1),"")</f>
        <v/>
      </c>
    </row>
    <row r="1384" spans="1:7">
      <c r="A1384" s="23" t="str">
        <f>IF('سجل الإنتاج'!C384="","",'سجل الإنتاج'!B384)</f>
        <v/>
      </c>
      <c r="B1384" t="str">
        <f>IF('سجل الإنتاج'!C384="","","إنتاج طبخة")</f>
        <v/>
      </c>
      <c r="C1384" t="str">
        <f>IF('سجل الإنتاج'!C384="","",'سجل الإنتاج'!C384)</f>
        <v/>
      </c>
      <c r="D1384" t="str">
        <f>IF('سجل الإنتاج'!C384="","","عدة مواد - راجع صفحة الطبخات")</f>
        <v/>
      </c>
      <c r="F1384" t="str">
        <f>IF('سجل الإنتاج'!C384="","",IF('سجل الإنتاج'!D384="","",'سجل الإنتاج'!D384))</f>
        <v/>
      </c>
      <c r="G1384" t="str">
        <f>IF($B1384&lt;&gt;"",SUMPRODUCT(($B$2:$B1384&lt;&gt;"")*1),"")</f>
        <v/>
      </c>
    </row>
    <row r="1385" spans="1:7">
      <c r="A1385" s="23" t="str">
        <f>IF('سجل الإنتاج'!C385="","",'سجل الإنتاج'!B385)</f>
        <v/>
      </c>
      <c r="B1385" t="str">
        <f>IF('سجل الإنتاج'!C385="","","إنتاج طبخة")</f>
        <v/>
      </c>
      <c r="C1385" t="str">
        <f>IF('سجل الإنتاج'!C385="","",'سجل الإنتاج'!C385)</f>
        <v/>
      </c>
      <c r="D1385" t="str">
        <f>IF('سجل الإنتاج'!C385="","","عدة مواد - راجع صفحة الطبخات")</f>
        <v/>
      </c>
      <c r="F1385" t="str">
        <f>IF('سجل الإنتاج'!C385="","",IF('سجل الإنتاج'!D385="","",'سجل الإنتاج'!D385))</f>
        <v/>
      </c>
      <c r="G1385" t="str">
        <f>IF($B1385&lt;&gt;"",SUMPRODUCT(($B$2:$B1385&lt;&gt;"")*1),"")</f>
        <v/>
      </c>
    </row>
    <row r="1386" spans="1:7">
      <c r="A1386" s="23" t="str">
        <f>IF('سجل الإنتاج'!C386="","",'سجل الإنتاج'!B386)</f>
        <v/>
      </c>
      <c r="B1386" t="str">
        <f>IF('سجل الإنتاج'!C386="","","إنتاج طبخة")</f>
        <v/>
      </c>
      <c r="C1386" t="str">
        <f>IF('سجل الإنتاج'!C386="","",'سجل الإنتاج'!C386)</f>
        <v/>
      </c>
      <c r="D1386" t="str">
        <f>IF('سجل الإنتاج'!C386="","","عدة مواد - راجع صفحة الطبخات")</f>
        <v/>
      </c>
      <c r="F1386" t="str">
        <f>IF('سجل الإنتاج'!C386="","",IF('سجل الإنتاج'!D386="","",'سجل الإنتاج'!D386))</f>
        <v/>
      </c>
      <c r="G1386" t="str">
        <f>IF($B1386&lt;&gt;"",SUMPRODUCT(($B$2:$B1386&lt;&gt;"")*1),"")</f>
        <v/>
      </c>
    </row>
    <row r="1387" spans="1:7">
      <c r="A1387" s="23" t="str">
        <f>IF('سجل الإنتاج'!C387="","",'سجل الإنتاج'!B387)</f>
        <v/>
      </c>
      <c r="B1387" t="str">
        <f>IF('سجل الإنتاج'!C387="","","إنتاج طبخة")</f>
        <v/>
      </c>
      <c r="C1387" t="str">
        <f>IF('سجل الإنتاج'!C387="","",'سجل الإنتاج'!C387)</f>
        <v/>
      </c>
      <c r="D1387" t="str">
        <f>IF('سجل الإنتاج'!C387="","","عدة مواد - راجع صفحة الطبخات")</f>
        <v/>
      </c>
      <c r="F1387" t="str">
        <f>IF('سجل الإنتاج'!C387="","",IF('سجل الإنتاج'!D387="","",'سجل الإنتاج'!D387))</f>
        <v/>
      </c>
      <c r="G1387" t="str">
        <f>IF($B1387&lt;&gt;"",SUMPRODUCT(($B$2:$B1387&lt;&gt;"")*1),"")</f>
        <v/>
      </c>
    </row>
    <row r="1388" spans="1:7">
      <c r="A1388" s="23" t="str">
        <f>IF('سجل الإنتاج'!C388="","",'سجل الإنتاج'!B388)</f>
        <v/>
      </c>
      <c r="B1388" t="str">
        <f>IF('سجل الإنتاج'!C388="","","إنتاج طبخة")</f>
        <v/>
      </c>
      <c r="C1388" t="str">
        <f>IF('سجل الإنتاج'!C388="","",'سجل الإنتاج'!C388)</f>
        <v/>
      </c>
      <c r="D1388" t="str">
        <f>IF('سجل الإنتاج'!C388="","","عدة مواد - راجع صفحة الطبخات")</f>
        <v/>
      </c>
      <c r="F1388" t="str">
        <f>IF('سجل الإنتاج'!C388="","",IF('سجل الإنتاج'!D388="","",'سجل الإنتاج'!D388))</f>
        <v/>
      </c>
      <c r="G1388" t="str">
        <f>IF($B1388&lt;&gt;"",SUMPRODUCT(($B$2:$B1388&lt;&gt;"")*1),"")</f>
        <v/>
      </c>
    </row>
    <row r="1389" spans="1:7">
      <c r="A1389" s="23" t="str">
        <f>IF('سجل الإنتاج'!C389="","",'سجل الإنتاج'!B389)</f>
        <v/>
      </c>
      <c r="B1389" t="str">
        <f>IF('سجل الإنتاج'!C389="","","إنتاج طبخة")</f>
        <v/>
      </c>
      <c r="C1389" t="str">
        <f>IF('سجل الإنتاج'!C389="","",'سجل الإنتاج'!C389)</f>
        <v/>
      </c>
      <c r="D1389" t="str">
        <f>IF('سجل الإنتاج'!C389="","","عدة مواد - راجع صفحة الطبخات")</f>
        <v/>
      </c>
      <c r="F1389" t="str">
        <f>IF('سجل الإنتاج'!C389="","",IF('سجل الإنتاج'!D389="","",'سجل الإنتاج'!D389))</f>
        <v/>
      </c>
      <c r="G1389" t="str">
        <f>IF($B1389&lt;&gt;"",SUMPRODUCT(($B$2:$B1389&lt;&gt;"")*1),"")</f>
        <v/>
      </c>
    </row>
    <row r="1390" spans="1:7">
      <c r="A1390" s="23" t="str">
        <f>IF('سجل الإنتاج'!C390="","",'سجل الإنتاج'!B390)</f>
        <v/>
      </c>
      <c r="B1390" t="str">
        <f>IF('سجل الإنتاج'!C390="","","إنتاج طبخة")</f>
        <v/>
      </c>
      <c r="C1390" t="str">
        <f>IF('سجل الإنتاج'!C390="","",'سجل الإنتاج'!C390)</f>
        <v/>
      </c>
      <c r="D1390" t="str">
        <f>IF('سجل الإنتاج'!C390="","","عدة مواد - راجع صفحة الطبخات")</f>
        <v/>
      </c>
      <c r="F1390" t="str">
        <f>IF('سجل الإنتاج'!C390="","",IF('سجل الإنتاج'!D390="","",'سجل الإنتاج'!D390))</f>
        <v/>
      </c>
      <c r="G1390" t="str">
        <f>IF($B1390&lt;&gt;"",SUMPRODUCT(($B$2:$B1390&lt;&gt;"")*1),"")</f>
        <v/>
      </c>
    </row>
    <row r="1391" spans="1:7">
      <c r="A1391" s="23" t="str">
        <f>IF('سجل الإنتاج'!C391="","",'سجل الإنتاج'!B391)</f>
        <v/>
      </c>
      <c r="B1391" t="str">
        <f>IF('سجل الإنتاج'!C391="","","إنتاج طبخة")</f>
        <v/>
      </c>
      <c r="C1391" t="str">
        <f>IF('سجل الإنتاج'!C391="","",'سجل الإنتاج'!C391)</f>
        <v/>
      </c>
      <c r="D1391" t="str">
        <f>IF('سجل الإنتاج'!C391="","","عدة مواد - راجع صفحة الطبخات")</f>
        <v/>
      </c>
      <c r="F1391" t="str">
        <f>IF('سجل الإنتاج'!C391="","",IF('سجل الإنتاج'!D391="","",'سجل الإنتاج'!D391))</f>
        <v/>
      </c>
      <c r="G1391" t="str">
        <f>IF($B1391&lt;&gt;"",SUMPRODUCT(($B$2:$B1391&lt;&gt;"")*1),"")</f>
        <v/>
      </c>
    </row>
    <row r="1392" spans="1:7">
      <c r="A1392" s="23" t="str">
        <f>IF('سجل الإنتاج'!C392="","",'سجل الإنتاج'!B392)</f>
        <v/>
      </c>
      <c r="B1392" t="str">
        <f>IF('سجل الإنتاج'!C392="","","إنتاج طبخة")</f>
        <v/>
      </c>
      <c r="C1392" t="str">
        <f>IF('سجل الإنتاج'!C392="","",'سجل الإنتاج'!C392)</f>
        <v/>
      </c>
      <c r="D1392" t="str">
        <f>IF('سجل الإنتاج'!C392="","","عدة مواد - راجع صفحة الطبخات")</f>
        <v/>
      </c>
      <c r="F1392" t="str">
        <f>IF('سجل الإنتاج'!C392="","",IF('سجل الإنتاج'!D392="","",'سجل الإنتاج'!D392))</f>
        <v/>
      </c>
      <c r="G1392" t="str">
        <f>IF($B1392&lt;&gt;"",SUMPRODUCT(($B$2:$B1392&lt;&gt;"")*1),"")</f>
        <v/>
      </c>
    </row>
    <row r="1393" spans="1:7">
      <c r="A1393" s="23" t="str">
        <f>IF('سجل الإنتاج'!C393="","",'سجل الإنتاج'!B393)</f>
        <v/>
      </c>
      <c r="B1393" t="str">
        <f>IF('سجل الإنتاج'!C393="","","إنتاج طبخة")</f>
        <v/>
      </c>
      <c r="C1393" t="str">
        <f>IF('سجل الإنتاج'!C393="","",'سجل الإنتاج'!C393)</f>
        <v/>
      </c>
      <c r="D1393" t="str">
        <f>IF('سجل الإنتاج'!C393="","","عدة مواد - راجع صفحة الطبخات")</f>
        <v/>
      </c>
      <c r="F1393" t="str">
        <f>IF('سجل الإنتاج'!C393="","",IF('سجل الإنتاج'!D393="","",'سجل الإنتاج'!D393))</f>
        <v/>
      </c>
      <c r="G1393" t="str">
        <f>IF($B1393&lt;&gt;"",SUMPRODUCT(($B$2:$B1393&lt;&gt;"")*1),"")</f>
        <v/>
      </c>
    </row>
    <row r="1394" spans="1:7">
      <c r="A1394" s="23" t="str">
        <f>IF('سجل الإنتاج'!C394="","",'سجل الإنتاج'!B394)</f>
        <v/>
      </c>
      <c r="B1394" t="str">
        <f>IF('سجل الإنتاج'!C394="","","إنتاج طبخة")</f>
        <v/>
      </c>
      <c r="C1394" t="str">
        <f>IF('سجل الإنتاج'!C394="","",'سجل الإنتاج'!C394)</f>
        <v/>
      </c>
      <c r="D1394" t="str">
        <f>IF('سجل الإنتاج'!C394="","","عدة مواد - راجع صفحة الطبخات")</f>
        <v/>
      </c>
      <c r="F1394" t="str">
        <f>IF('سجل الإنتاج'!C394="","",IF('سجل الإنتاج'!D394="","",'سجل الإنتاج'!D394))</f>
        <v/>
      </c>
      <c r="G1394" t="str">
        <f>IF($B1394&lt;&gt;"",SUMPRODUCT(($B$2:$B1394&lt;&gt;"")*1),"")</f>
        <v/>
      </c>
    </row>
    <row r="1395" spans="1:7">
      <c r="A1395" s="23" t="str">
        <f>IF('سجل الإنتاج'!C395="","",'سجل الإنتاج'!B395)</f>
        <v/>
      </c>
      <c r="B1395" t="str">
        <f>IF('سجل الإنتاج'!C395="","","إنتاج طبخة")</f>
        <v/>
      </c>
      <c r="C1395" t="str">
        <f>IF('سجل الإنتاج'!C395="","",'سجل الإنتاج'!C395)</f>
        <v/>
      </c>
      <c r="D1395" t="str">
        <f>IF('سجل الإنتاج'!C395="","","عدة مواد - راجع صفحة الطبخات")</f>
        <v/>
      </c>
      <c r="F1395" t="str">
        <f>IF('سجل الإنتاج'!C395="","",IF('سجل الإنتاج'!D395="","",'سجل الإنتاج'!D395))</f>
        <v/>
      </c>
      <c r="G1395" t="str">
        <f>IF($B1395&lt;&gt;"",SUMPRODUCT(($B$2:$B1395&lt;&gt;"")*1),"")</f>
        <v/>
      </c>
    </row>
    <row r="1396" spans="1:7">
      <c r="A1396" s="23" t="str">
        <f>IF('سجل الإنتاج'!C396="","",'سجل الإنتاج'!B396)</f>
        <v/>
      </c>
      <c r="B1396" t="str">
        <f>IF('سجل الإنتاج'!C396="","","إنتاج طبخة")</f>
        <v/>
      </c>
      <c r="C1396" t="str">
        <f>IF('سجل الإنتاج'!C396="","",'سجل الإنتاج'!C396)</f>
        <v/>
      </c>
      <c r="D1396" t="str">
        <f>IF('سجل الإنتاج'!C396="","","عدة مواد - راجع صفحة الطبخات")</f>
        <v/>
      </c>
      <c r="F1396" t="str">
        <f>IF('سجل الإنتاج'!C396="","",IF('سجل الإنتاج'!D396="","",'سجل الإنتاج'!D396))</f>
        <v/>
      </c>
      <c r="G1396" t="str">
        <f>IF($B1396&lt;&gt;"",SUMPRODUCT(($B$2:$B1396&lt;&gt;"")*1),"")</f>
        <v/>
      </c>
    </row>
    <row r="1397" spans="1:7">
      <c r="A1397" s="23" t="str">
        <f>IF('سجل الإنتاج'!C397="","",'سجل الإنتاج'!B397)</f>
        <v/>
      </c>
      <c r="B1397" t="str">
        <f>IF('سجل الإنتاج'!C397="","","إنتاج طبخة")</f>
        <v/>
      </c>
      <c r="C1397" t="str">
        <f>IF('سجل الإنتاج'!C397="","",'سجل الإنتاج'!C397)</f>
        <v/>
      </c>
      <c r="D1397" t="str">
        <f>IF('سجل الإنتاج'!C397="","","عدة مواد - راجع صفحة الطبخات")</f>
        <v/>
      </c>
      <c r="F1397" t="str">
        <f>IF('سجل الإنتاج'!C397="","",IF('سجل الإنتاج'!D397="","",'سجل الإنتاج'!D397))</f>
        <v/>
      </c>
      <c r="G1397" t="str">
        <f>IF($B1397&lt;&gt;"",SUMPRODUCT(($B$2:$B1397&lt;&gt;"")*1),"")</f>
        <v/>
      </c>
    </row>
    <row r="1398" spans="1:7">
      <c r="A1398" s="23" t="str">
        <f>IF('سجل الإنتاج'!C398="","",'سجل الإنتاج'!B398)</f>
        <v/>
      </c>
      <c r="B1398" t="str">
        <f>IF('سجل الإنتاج'!C398="","","إنتاج طبخة")</f>
        <v/>
      </c>
      <c r="C1398" t="str">
        <f>IF('سجل الإنتاج'!C398="","",'سجل الإنتاج'!C398)</f>
        <v/>
      </c>
      <c r="D1398" t="str">
        <f>IF('سجل الإنتاج'!C398="","","عدة مواد - راجع صفحة الطبخات")</f>
        <v/>
      </c>
      <c r="F1398" t="str">
        <f>IF('سجل الإنتاج'!C398="","",IF('سجل الإنتاج'!D398="","",'سجل الإنتاج'!D398))</f>
        <v/>
      </c>
      <c r="G1398" t="str">
        <f>IF($B1398&lt;&gt;"",SUMPRODUCT(($B$2:$B1398&lt;&gt;"")*1),"")</f>
        <v/>
      </c>
    </row>
    <row r="1399" spans="1:7">
      <c r="A1399" s="23" t="str">
        <f>IF('سجل الإنتاج'!C399="","",'سجل الإنتاج'!B399)</f>
        <v/>
      </c>
      <c r="B1399" t="str">
        <f>IF('سجل الإنتاج'!C399="","","إنتاج طبخة")</f>
        <v/>
      </c>
      <c r="C1399" t="str">
        <f>IF('سجل الإنتاج'!C399="","",'سجل الإنتاج'!C399)</f>
        <v/>
      </c>
      <c r="D1399" t="str">
        <f>IF('سجل الإنتاج'!C399="","","عدة مواد - راجع صفحة الطبخات")</f>
        <v/>
      </c>
      <c r="F1399" t="str">
        <f>IF('سجل الإنتاج'!C399="","",IF('سجل الإنتاج'!D399="","",'سجل الإنتاج'!D399))</f>
        <v/>
      </c>
      <c r="G1399" t="str">
        <f>IF($B1399&lt;&gt;"",SUMPRODUCT(($B$2:$B1399&lt;&gt;"")*1),"")</f>
        <v/>
      </c>
    </row>
    <row r="1400" spans="1:7">
      <c r="A1400" s="23" t="str">
        <f>IF('سجل الإنتاج'!C400="","",'سجل الإنتاج'!B400)</f>
        <v/>
      </c>
      <c r="B1400" t="str">
        <f>IF('سجل الإنتاج'!C400="","","إنتاج طبخة")</f>
        <v/>
      </c>
      <c r="C1400" t="str">
        <f>IF('سجل الإنتاج'!C400="","",'سجل الإنتاج'!C400)</f>
        <v/>
      </c>
      <c r="D1400" t="str">
        <f>IF('سجل الإنتاج'!C400="","","عدة مواد - راجع صفحة الطبخات")</f>
        <v/>
      </c>
      <c r="F1400" t="str">
        <f>IF('سجل الإنتاج'!C400="","",IF('سجل الإنتاج'!D400="","",'سجل الإنتاج'!D400))</f>
        <v/>
      </c>
      <c r="G1400" t="str">
        <f>IF($B1400&lt;&gt;"",SUMPRODUCT(($B$2:$B1400&lt;&gt;"")*1),"")</f>
        <v/>
      </c>
    </row>
    <row r="1401" spans="1:7">
      <c r="A1401" s="23" t="str">
        <f>IF('سجل الإنتاج'!C401="","",'سجل الإنتاج'!B401)</f>
        <v/>
      </c>
      <c r="B1401" t="str">
        <f>IF('سجل الإنتاج'!C401="","","إنتاج طبخة")</f>
        <v/>
      </c>
      <c r="C1401" t="str">
        <f>IF('سجل الإنتاج'!C401="","",'سجل الإنتاج'!C401)</f>
        <v/>
      </c>
      <c r="D1401" t="str">
        <f>IF('سجل الإنتاج'!C401="","","عدة مواد - راجع صفحة الطبخات")</f>
        <v/>
      </c>
      <c r="F1401" t="str">
        <f>IF('سجل الإنتاج'!C401="","",IF('سجل الإنتاج'!D401="","",'سجل الإنتاج'!D401))</f>
        <v/>
      </c>
      <c r="G1401" t="str">
        <f>IF($B1401&lt;&gt;"",SUMPRODUCT(($B$2:$B1401&lt;&gt;"")*1),"")</f>
        <v/>
      </c>
    </row>
    <row r="1402" spans="1:7">
      <c r="A1402" s="23" t="str">
        <f>IF('سجل الإنتاج'!C402="","",'سجل الإنتاج'!B402)</f>
        <v/>
      </c>
      <c r="B1402" t="str">
        <f>IF('سجل الإنتاج'!C402="","","إنتاج طبخة")</f>
        <v/>
      </c>
      <c r="C1402" t="str">
        <f>IF('سجل الإنتاج'!C402="","",'سجل الإنتاج'!C402)</f>
        <v/>
      </c>
      <c r="D1402" t="str">
        <f>IF('سجل الإنتاج'!C402="","","عدة مواد - راجع صفحة الطبخات")</f>
        <v/>
      </c>
      <c r="F1402" t="str">
        <f>IF('سجل الإنتاج'!C402="","",IF('سجل الإنتاج'!D402="","",'سجل الإنتاج'!D402))</f>
        <v/>
      </c>
      <c r="G1402" t="str">
        <f>IF($B1402&lt;&gt;"",SUMPRODUCT(($B$2:$B1402&lt;&gt;"")*1),"")</f>
        <v/>
      </c>
    </row>
    <row r="1403" spans="1:7">
      <c r="A1403" s="23" t="str">
        <f>IF('سجل الإنتاج'!C403="","",'سجل الإنتاج'!B403)</f>
        <v/>
      </c>
      <c r="B1403" t="str">
        <f>IF('سجل الإنتاج'!C403="","","إنتاج طبخة")</f>
        <v/>
      </c>
      <c r="C1403" t="str">
        <f>IF('سجل الإنتاج'!C403="","",'سجل الإنتاج'!C403)</f>
        <v/>
      </c>
      <c r="D1403" t="str">
        <f>IF('سجل الإنتاج'!C403="","","عدة مواد - راجع صفحة الطبخات")</f>
        <v/>
      </c>
      <c r="F1403" t="str">
        <f>IF('سجل الإنتاج'!C403="","",IF('سجل الإنتاج'!D403="","",'سجل الإنتاج'!D403))</f>
        <v/>
      </c>
      <c r="G1403" t="str">
        <f>IF($B1403&lt;&gt;"",SUMPRODUCT(($B$2:$B1403&lt;&gt;"")*1),"")</f>
        <v/>
      </c>
    </row>
    <row r="1404" spans="1:7">
      <c r="A1404" s="23" t="str">
        <f>IF('سجل الإنتاج'!C404="","",'سجل الإنتاج'!B404)</f>
        <v/>
      </c>
      <c r="B1404" t="str">
        <f>IF('سجل الإنتاج'!C404="","","إنتاج طبخة")</f>
        <v/>
      </c>
      <c r="C1404" t="str">
        <f>IF('سجل الإنتاج'!C404="","",'سجل الإنتاج'!C404)</f>
        <v/>
      </c>
      <c r="D1404" t="str">
        <f>IF('سجل الإنتاج'!C404="","","عدة مواد - راجع صفحة الطبخات")</f>
        <v/>
      </c>
      <c r="F1404" t="str">
        <f>IF('سجل الإنتاج'!C404="","",IF('سجل الإنتاج'!D404="","",'سجل الإنتاج'!D404))</f>
        <v/>
      </c>
      <c r="G1404" t="str">
        <f>IF($B1404&lt;&gt;"",SUMPRODUCT(($B$2:$B1404&lt;&gt;"")*1),"")</f>
        <v/>
      </c>
    </row>
    <row r="1405" spans="1:7">
      <c r="A1405" s="23" t="str">
        <f>IF('سجل الإنتاج'!C405="","",'سجل الإنتاج'!B405)</f>
        <v/>
      </c>
      <c r="B1405" t="str">
        <f>IF('سجل الإنتاج'!C405="","","إنتاج طبخة")</f>
        <v/>
      </c>
      <c r="C1405" t="str">
        <f>IF('سجل الإنتاج'!C405="","",'سجل الإنتاج'!C405)</f>
        <v/>
      </c>
      <c r="D1405" t="str">
        <f>IF('سجل الإنتاج'!C405="","","عدة مواد - راجع صفحة الطبخات")</f>
        <v/>
      </c>
      <c r="F1405" t="str">
        <f>IF('سجل الإنتاج'!C405="","",IF('سجل الإنتاج'!D405="","",'سجل الإنتاج'!D405))</f>
        <v/>
      </c>
      <c r="G1405" t="str">
        <f>IF($B1405&lt;&gt;"",SUMPRODUCT(($B$2:$B1405&lt;&gt;"")*1),"")</f>
        <v/>
      </c>
    </row>
    <row r="1406" spans="1:7">
      <c r="A1406" s="23" t="str">
        <f>IF('سجل الإنتاج'!C406="","",'سجل الإنتاج'!B406)</f>
        <v/>
      </c>
      <c r="B1406" t="str">
        <f>IF('سجل الإنتاج'!C406="","","إنتاج طبخة")</f>
        <v/>
      </c>
      <c r="C1406" t="str">
        <f>IF('سجل الإنتاج'!C406="","",'سجل الإنتاج'!C406)</f>
        <v/>
      </c>
      <c r="D1406" t="str">
        <f>IF('سجل الإنتاج'!C406="","","عدة مواد - راجع صفحة الطبخات")</f>
        <v/>
      </c>
      <c r="F1406" t="str">
        <f>IF('سجل الإنتاج'!C406="","",IF('سجل الإنتاج'!D406="","",'سجل الإنتاج'!D406))</f>
        <v/>
      </c>
      <c r="G1406" t="str">
        <f>IF($B1406&lt;&gt;"",SUMPRODUCT(($B$2:$B1406&lt;&gt;"")*1),"")</f>
        <v/>
      </c>
    </row>
    <row r="1407" spans="1:7">
      <c r="A1407" s="23" t="str">
        <f>IF('سجل الإنتاج'!C407="","",'سجل الإنتاج'!B407)</f>
        <v/>
      </c>
      <c r="B1407" t="str">
        <f>IF('سجل الإنتاج'!C407="","","إنتاج طبخة")</f>
        <v/>
      </c>
      <c r="C1407" t="str">
        <f>IF('سجل الإنتاج'!C407="","",'سجل الإنتاج'!C407)</f>
        <v/>
      </c>
      <c r="D1407" t="str">
        <f>IF('سجل الإنتاج'!C407="","","عدة مواد - راجع صفحة الطبخات")</f>
        <v/>
      </c>
      <c r="F1407" t="str">
        <f>IF('سجل الإنتاج'!C407="","",IF('سجل الإنتاج'!D407="","",'سجل الإنتاج'!D407))</f>
        <v/>
      </c>
      <c r="G1407" t="str">
        <f>IF($B1407&lt;&gt;"",SUMPRODUCT(($B$2:$B1407&lt;&gt;"")*1),"")</f>
        <v/>
      </c>
    </row>
    <row r="1408" spans="1:7">
      <c r="A1408" s="23" t="str">
        <f>IF('سجل الإنتاج'!C408="","",'سجل الإنتاج'!B408)</f>
        <v/>
      </c>
      <c r="B1408" t="str">
        <f>IF('سجل الإنتاج'!C408="","","إنتاج طبخة")</f>
        <v/>
      </c>
      <c r="C1408" t="str">
        <f>IF('سجل الإنتاج'!C408="","",'سجل الإنتاج'!C408)</f>
        <v/>
      </c>
      <c r="D1408" t="str">
        <f>IF('سجل الإنتاج'!C408="","","عدة مواد - راجع صفحة الطبخات")</f>
        <v/>
      </c>
      <c r="F1408" t="str">
        <f>IF('سجل الإنتاج'!C408="","",IF('سجل الإنتاج'!D408="","",'سجل الإنتاج'!D408))</f>
        <v/>
      </c>
      <c r="G1408" t="str">
        <f>IF($B1408&lt;&gt;"",SUMPRODUCT(($B$2:$B1408&lt;&gt;"")*1),"")</f>
        <v/>
      </c>
    </row>
    <row r="1409" spans="1:7">
      <c r="A1409" s="23" t="str">
        <f>IF('سجل الإنتاج'!C409="","",'سجل الإنتاج'!B409)</f>
        <v/>
      </c>
      <c r="B1409" t="str">
        <f>IF('سجل الإنتاج'!C409="","","إنتاج طبخة")</f>
        <v/>
      </c>
      <c r="C1409" t="str">
        <f>IF('سجل الإنتاج'!C409="","",'سجل الإنتاج'!C409)</f>
        <v/>
      </c>
      <c r="D1409" t="str">
        <f>IF('سجل الإنتاج'!C409="","","عدة مواد - راجع صفحة الطبخات")</f>
        <v/>
      </c>
      <c r="F1409" t="str">
        <f>IF('سجل الإنتاج'!C409="","",IF('سجل الإنتاج'!D409="","",'سجل الإنتاج'!D409))</f>
        <v/>
      </c>
      <c r="G1409" t="str">
        <f>IF($B1409&lt;&gt;"",SUMPRODUCT(($B$2:$B1409&lt;&gt;"")*1),"")</f>
        <v/>
      </c>
    </row>
    <row r="1410" spans="1:7">
      <c r="A1410" s="23" t="str">
        <f>IF('سجل الإنتاج'!C410="","",'سجل الإنتاج'!B410)</f>
        <v/>
      </c>
      <c r="B1410" t="str">
        <f>IF('سجل الإنتاج'!C410="","","إنتاج طبخة")</f>
        <v/>
      </c>
      <c r="C1410" t="str">
        <f>IF('سجل الإنتاج'!C410="","",'سجل الإنتاج'!C410)</f>
        <v/>
      </c>
      <c r="D1410" t="str">
        <f>IF('سجل الإنتاج'!C410="","","عدة مواد - راجع صفحة الطبخات")</f>
        <v/>
      </c>
      <c r="F1410" t="str">
        <f>IF('سجل الإنتاج'!C410="","",IF('سجل الإنتاج'!D410="","",'سجل الإنتاج'!D410))</f>
        <v/>
      </c>
      <c r="G1410" t="str">
        <f>IF($B1410&lt;&gt;"",SUMPRODUCT(($B$2:$B1410&lt;&gt;"")*1),"")</f>
        <v/>
      </c>
    </row>
    <row r="1411" spans="1:7">
      <c r="A1411" s="23" t="str">
        <f>IF('سجل الإنتاج'!C411="","",'سجل الإنتاج'!B411)</f>
        <v/>
      </c>
      <c r="B1411" t="str">
        <f>IF('سجل الإنتاج'!C411="","","إنتاج طبخة")</f>
        <v/>
      </c>
      <c r="C1411" t="str">
        <f>IF('سجل الإنتاج'!C411="","",'سجل الإنتاج'!C411)</f>
        <v/>
      </c>
      <c r="D1411" t="str">
        <f>IF('سجل الإنتاج'!C411="","","عدة مواد - راجع صفحة الطبخات")</f>
        <v/>
      </c>
      <c r="F1411" t="str">
        <f>IF('سجل الإنتاج'!C411="","",IF('سجل الإنتاج'!D411="","",'سجل الإنتاج'!D411))</f>
        <v/>
      </c>
      <c r="G1411" t="str">
        <f>IF($B1411&lt;&gt;"",SUMPRODUCT(($B$2:$B1411&lt;&gt;"")*1),"")</f>
        <v/>
      </c>
    </row>
    <row r="1412" spans="1:7">
      <c r="A1412" s="23" t="str">
        <f>IF('سجل الإنتاج'!C412="","",'سجل الإنتاج'!B412)</f>
        <v/>
      </c>
      <c r="B1412" t="str">
        <f>IF('سجل الإنتاج'!C412="","","إنتاج طبخة")</f>
        <v/>
      </c>
      <c r="C1412" t="str">
        <f>IF('سجل الإنتاج'!C412="","",'سجل الإنتاج'!C412)</f>
        <v/>
      </c>
      <c r="D1412" t="str">
        <f>IF('سجل الإنتاج'!C412="","","عدة مواد - راجع صفحة الطبخات")</f>
        <v/>
      </c>
      <c r="F1412" t="str">
        <f>IF('سجل الإنتاج'!C412="","",IF('سجل الإنتاج'!D412="","",'سجل الإنتاج'!D412))</f>
        <v/>
      </c>
      <c r="G1412" t="str">
        <f>IF($B1412&lt;&gt;"",SUMPRODUCT(($B$2:$B1412&lt;&gt;"")*1),"")</f>
        <v/>
      </c>
    </row>
    <row r="1413" spans="1:7">
      <c r="A1413" s="23" t="str">
        <f>IF('سجل الإنتاج'!C413="","",'سجل الإنتاج'!B413)</f>
        <v/>
      </c>
      <c r="B1413" t="str">
        <f>IF('سجل الإنتاج'!C413="","","إنتاج طبخة")</f>
        <v/>
      </c>
      <c r="C1413" t="str">
        <f>IF('سجل الإنتاج'!C413="","",'سجل الإنتاج'!C413)</f>
        <v/>
      </c>
      <c r="D1413" t="str">
        <f>IF('سجل الإنتاج'!C413="","","عدة مواد - راجع صفحة الطبخات")</f>
        <v/>
      </c>
      <c r="F1413" t="str">
        <f>IF('سجل الإنتاج'!C413="","",IF('سجل الإنتاج'!D413="","",'سجل الإنتاج'!D413))</f>
        <v/>
      </c>
      <c r="G1413" t="str">
        <f>IF($B1413&lt;&gt;"",SUMPRODUCT(($B$2:$B1413&lt;&gt;"")*1),"")</f>
        <v/>
      </c>
    </row>
    <row r="1414" spans="1:7">
      <c r="A1414" s="23" t="str">
        <f>IF('سجل الإنتاج'!C414="","",'سجل الإنتاج'!B414)</f>
        <v/>
      </c>
      <c r="B1414" t="str">
        <f>IF('سجل الإنتاج'!C414="","","إنتاج طبخة")</f>
        <v/>
      </c>
      <c r="C1414" t="str">
        <f>IF('سجل الإنتاج'!C414="","",'سجل الإنتاج'!C414)</f>
        <v/>
      </c>
      <c r="D1414" t="str">
        <f>IF('سجل الإنتاج'!C414="","","عدة مواد - راجع صفحة الطبخات")</f>
        <v/>
      </c>
      <c r="F1414" t="str">
        <f>IF('سجل الإنتاج'!C414="","",IF('سجل الإنتاج'!D414="","",'سجل الإنتاج'!D414))</f>
        <v/>
      </c>
      <c r="G1414" t="str">
        <f>IF($B1414&lt;&gt;"",SUMPRODUCT(($B$2:$B1414&lt;&gt;"")*1),"")</f>
        <v/>
      </c>
    </row>
    <row r="1415" spans="1:7">
      <c r="A1415" s="23" t="str">
        <f>IF('سجل الإنتاج'!C415="","",'سجل الإنتاج'!B415)</f>
        <v/>
      </c>
      <c r="B1415" t="str">
        <f>IF('سجل الإنتاج'!C415="","","إنتاج طبخة")</f>
        <v/>
      </c>
      <c r="C1415" t="str">
        <f>IF('سجل الإنتاج'!C415="","",'سجل الإنتاج'!C415)</f>
        <v/>
      </c>
      <c r="D1415" t="str">
        <f>IF('سجل الإنتاج'!C415="","","عدة مواد - راجع صفحة الطبخات")</f>
        <v/>
      </c>
      <c r="F1415" t="str">
        <f>IF('سجل الإنتاج'!C415="","",IF('سجل الإنتاج'!D415="","",'سجل الإنتاج'!D415))</f>
        <v/>
      </c>
      <c r="G1415" t="str">
        <f>IF($B1415&lt;&gt;"",SUMPRODUCT(($B$2:$B1415&lt;&gt;"")*1),"")</f>
        <v/>
      </c>
    </row>
    <row r="1416" spans="1:7">
      <c r="A1416" s="23" t="str">
        <f>IF('سجل الإنتاج'!C416="","",'سجل الإنتاج'!B416)</f>
        <v/>
      </c>
      <c r="B1416" t="str">
        <f>IF('سجل الإنتاج'!C416="","","إنتاج طبخة")</f>
        <v/>
      </c>
      <c r="C1416" t="str">
        <f>IF('سجل الإنتاج'!C416="","",'سجل الإنتاج'!C416)</f>
        <v/>
      </c>
      <c r="D1416" t="str">
        <f>IF('سجل الإنتاج'!C416="","","عدة مواد - راجع صفحة الطبخات")</f>
        <v/>
      </c>
      <c r="F1416" t="str">
        <f>IF('سجل الإنتاج'!C416="","",IF('سجل الإنتاج'!D416="","",'سجل الإنتاج'!D416))</f>
        <v/>
      </c>
      <c r="G1416" t="str">
        <f>IF($B1416&lt;&gt;"",SUMPRODUCT(($B$2:$B1416&lt;&gt;"")*1),"")</f>
        <v/>
      </c>
    </row>
    <row r="1417" spans="1:7">
      <c r="A1417" s="23" t="str">
        <f>IF('سجل الإنتاج'!C417="","",'سجل الإنتاج'!B417)</f>
        <v/>
      </c>
      <c r="B1417" t="str">
        <f>IF('سجل الإنتاج'!C417="","","إنتاج طبخة")</f>
        <v/>
      </c>
      <c r="C1417" t="str">
        <f>IF('سجل الإنتاج'!C417="","",'سجل الإنتاج'!C417)</f>
        <v/>
      </c>
      <c r="D1417" t="str">
        <f>IF('سجل الإنتاج'!C417="","","عدة مواد - راجع صفحة الطبخات")</f>
        <v/>
      </c>
      <c r="F1417" t="str">
        <f>IF('سجل الإنتاج'!C417="","",IF('سجل الإنتاج'!D417="","",'سجل الإنتاج'!D417))</f>
        <v/>
      </c>
      <c r="G1417" t="str">
        <f>IF($B1417&lt;&gt;"",SUMPRODUCT(($B$2:$B1417&lt;&gt;"")*1),"")</f>
        <v/>
      </c>
    </row>
    <row r="1418" spans="1:7">
      <c r="A1418" s="23" t="str">
        <f>IF('سجل الإنتاج'!C418="","",'سجل الإنتاج'!B418)</f>
        <v/>
      </c>
      <c r="B1418" t="str">
        <f>IF('سجل الإنتاج'!C418="","","إنتاج طبخة")</f>
        <v/>
      </c>
      <c r="C1418" t="str">
        <f>IF('سجل الإنتاج'!C418="","",'سجل الإنتاج'!C418)</f>
        <v/>
      </c>
      <c r="D1418" t="str">
        <f>IF('سجل الإنتاج'!C418="","","عدة مواد - راجع صفحة الطبخات")</f>
        <v/>
      </c>
      <c r="F1418" t="str">
        <f>IF('سجل الإنتاج'!C418="","",IF('سجل الإنتاج'!D418="","",'سجل الإنتاج'!D418))</f>
        <v/>
      </c>
      <c r="G1418" t="str">
        <f>IF($B1418&lt;&gt;"",SUMPRODUCT(($B$2:$B1418&lt;&gt;"")*1),"")</f>
        <v/>
      </c>
    </row>
    <row r="1419" spans="1:7">
      <c r="A1419" s="23" t="str">
        <f>IF('سجل الإنتاج'!C419="","",'سجل الإنتاج'!B419)</f>
        <v/>
      </c>
      <c r="B1419" t="str">
        <f>IF('سجل الإنتاج'!C419="","","إنتاج طبخة")</f>
        <v/>
      </c>
      <c r="C1419" t="str">
        <f>IF('سجل الإنتاج'!C419="","",'سجل الإنتاج'!C419)</f>
        <v/>
      </c>
      <c r="D1419" t="str">
        <f>IF('سجل الإنتاج'!C419="","","عدة مواد - راجع صفحة الطبخات")</f>
        <v/>
      </c>
      <c r="F1419" t="str">
        <f>IF('سجل الإنتاج'!C419="","",IF('سجل الإنتاج'!D419="","",'سجل الإنتاج'!D419))</f>
        <v/>
      </c>
      <c r="G1419" t="str">
        <f>IF($B1419&lt;&gt;"",SUMPRODUCT(($B$2:$B1419&lt;&gt;"")*1),"")</f>
        <v/>
      </c>
    </row>
    <row r="1420" spans="1:7">
      <c r="A1420" s="23" t="str">
        <f>IF('سجل الإنتاج'!C420="","",'سجل الإنتاج'!B420)</f>
        <v/>
      </c>
      <c r="B1420" t="str">
        <f>IF('سجل الإنتاج'!C420="","","إنتاج طبخة")</f>
        <v/>
      </c>
      <c r="C1420" t="str">
        <f>IF('سجل الإنتاج'!C420="","",'سجل الإنتاج'!C420)</f>
        <v/>
      </c>
      <c r="D1420" t="str">
        <f>IF('سجل الإنتاج'!C420="","","عدة مواد - راجع صفحة الطبخات")</f>
        <v/>
      </c>
      <c r="F1420" t="str">
        <f>IF('سجل الإنتاج'!C420="","",IF('سجل الإنتاج'!D420="","",'سجل الإنتاج'!D420))</f>
        <v/>
      </c>
      <c r="G1420" t="str">
        <f>IF($B1420&lt;&gt;"",SUMPRODUCT(($B$2:$B1420&lt;&gt;"")*1),"")</f>
        <v/>
      </c>
    </row>
    <row r="1421" spans="1:7">
      <c r="A1421" s="23" t="str">
        <f>IF('سجل الإنتاج'!C421="","",'سجل الإنتاج'!B421)</f>
        <v/>
      </c>
      <c r="B1421" t="str">
        <f>IF('سجل الإنتاج'!C421="","","إنتاج طبخة")</f>
        <v/>
      </c>
      <c r="C1421" t="str">
        <f>IF('سجل الإنتاج'!C421="","",'سجل الإنتاج'!C421)</f>
        <v/>
      </c>
      <c r="D1421" t="str">
        <f>IF('سجل الإنتاج'!C421="","","عدة مواد - راجع صفحة الطبخات")</f>
        <v/>
      </c>
      <c r="F1421" t="str">
        <f>IF('سجل الإنتاج'!C421="","",IF('سجل الإنتاج'!D421="","",'سجل الإنتاج'!D421))</f>
        <v/>
      </c>
      <c r="G1421" t="str">
        <f>IF($B1421&lt;&gt;"",SUMPRODUCT(($B$2:$B1421&lt;&gt;"")*1),"")</f>
        <v/>
      </c>
    </row>
    <row r="1422" spans="1:7">
      <c r="A1422" s="23" t="str">
        <f>IF('سجل الإنتاج'!C422="","",'سجل الإنتاج'!B422)</f>
        <v/>
      </c>
      <c r="B1422" t="str">
        <f>IF('سجل الإنتاج'!C422="","","إنتاج طبخة")</f>
        <v/>
      </c>
      <c r="C1422" t="str">
        <f>IF('سجل الإنتاج'!C422="","",'سجل الإنتاج'!C422)</f>
        <v/>
      </c>
      <c r="D1422" t="str">
        <f>IF('سجل الإنتاج'!C422="","","عدة مواد - راجع صفحة الطبخات")</f>
        <v/>
      </c>
      <c r="F1422" t="str">
        <f>IF('سجل الإنتاج'!C422="","",IF('سجل الإنتاج'!D422="","",'سجل الإنتاج'!D422))</f>
        <v/>
      </c>
      <c r="G1422" t="str">
        <f>IF($B1422&lt;&gt;"",SUMPRODUCT(($B$2:$B1422&lt;&gt;"")*1),"")</f>
        <v/>
      </c>
    </row>
    <row r="1423" spans="1:7">
      <c r="A1423" s="23" t="str">
        <f>IF('سجل الإنتاج'!C423="","",'سجل الإنتاج'!B423)</f>
        <v/>
      </c>
      <c r="B1423" t="str">
        <f>IF('سجل الإنتاج'!C423="","","إنتاج طبخة")</f>
        <v/>
      </c>
      <c r="C1423" t="str">
        <f>IF('سجل الإنتاج'!C423="","",'سجل الإنتاج'!C423)</f>
        <v/>
      </c>
      <c r="D1423" t="str">
        <f>IF('سجل الإنتاج'!C423="","","عدة مواد - راجع صفحة الطبخات")</f>
        <v/>
      </c>
      <c r="F1423" t="str">
        <f>IF('سجل الإنتاج'!C423="","",IF('سجل الإنتاج'!D423="","",'سجل الإنتاج'!D423))</f>
        <v/>
      </c>
      <c r="G1423" t="str">
        <f>IF($B1423&lt;&gt;"",SUMPRODUCT(($B$2:$B1423&lt;&gt;"")*1),"")</f>
        <v/>
      </c>
    </row>
    <row r="1424" spans="1:7">
      <c r="A1424" s="23" t="str">
        <f>IF('سجل الإنتاج'!C424="","",'سجل الإنتاج'!B424)</f>
        <v/>
      </c>
      <c r="B1424" t="str">
        <f>IF('سجل الإنتاج'!C424="","","إنتاج طبخة")</f>
        <v/>
      </c>
      <c r="C1424" t="str">
        <f>IF('سجل الإنتاج'!C424="","",'سجل الإنتاج'!C424)</f>
        <v/>
      </c>
      <c r="D1424" t="str">
        <f>IF('سجل الإنتاج'!C424="","","عدة مواد - راجع صفحة الطبخات")</f>
        <v/>
      </c>
      <c r="F1424" t="str">
        <f>IF('سجل الإنتاج'!C424="","",IF('سجل الإنتاج'!D424="","",'سجل الإنتاج'!D424))</f>
        <v/>
      </c>
      <c r="G1424" t="str">
        <f>IF($B1424&lt;&gt;"",SUMPRODUCT(($B$2:$B1424&lt;&gt;"")*1),"")</f>
        <v/>
      </c>
    </row>
    <row r="1425" spans="1:7">
      <c r="A1425" s="23" t="str">
        <f>IF('سجل الإنتاج'!C425="","",'سجل الإنتاج'!B425)</f>
        <v/>
      </c>
      <c r="B1425" t="str">
        <f>IF('سجل الإنتاج'!C425="","","إنتاج طبخة")</f>
        <v/>
      </c>
      <c r="C1425" t="str">
        <f>IF('سجل الإنتاج'!C425="","",'سجل الإنتاج'!C425)</f>
        <v/>
      </c>
      <c r="D1425" t="str">
        <f>IF('سجل الإنتاج'!C425="","","عدة مواد - راجع صفحة الطبخات")</f>
        <v/>
      </c>
      <c r="F1425" t="str">
        <f>IF('سجل الإنتاج'!C425="","",IF('سجل الإنتاج'!D425="","",'سجل الإنتاج'!D425))</f>
        <v/>
      </c>
      <c r="G1425" t="str">
        <f>IF($B1425&lt;&gt;"",SUMPRODUCT(($B$2:$B1425&lt;&gt;"")*1),"")</f>
        <v/>
      </c>
    </row>
    <row r="1426" spans="1:7">
      <c r="A1426" s="23" t="str">
        <f>IF('سجل الإنتاج'!C426="","",'سجل الإنتاج'!B426)</f>
        <v/>
      </c>
      <c r="B1426" t="str">
        <f>IF('سجل الإنتاج'!C426="","","إنتاج طبخة")</f>
        <v/>
      </c>
      <c r="C1426" t="str">
        <f>IF('سجل الإنتاج'!C426="","",'سجل الإنتاج'!C426)</f>
        <v/>
      </c>
      <c r="D1426" t="str">
        <f>IF('سجل الإنتاج'!C426="","","عدة مواد - راجع صفحة الطبخات")</f>
        <v/>
      </c>
      <c r="F1426" t="str">
        <f>IF('سجل الإنتاج'!C426="","",IF('سجل الإنتاج'!D426="","",'سجل الإنتاج'!D426))</f>
        <v/>
      </c>
      <c r="G1426" t="str">
        <f>IF($B1426&lt;&gt;"",SUMPRODUCT(($B$2:$B1426&lt;&gt;"")*1),"")</f>
        <v/>
      </c>
    </row>
    <row r="1427" spans="1:7">
      <c r="A1427" s="23" t="str">
        <f>IF('سجل الإنتاج'!C427="","",'سجل الإنتاج'!B427)</f>
        <v/>
      </c>
      <c r="B1427" t="str">
        <f>IF('سجل الإنتاج'!C427="","","إنتاج طبخة")</f>
        <v/>
      </c>
      <c r="C1427" t="str">
        <f>IF('سجل الإنتاج'!C427="","",'سجل الإنتاج'!C427)</f>
        <v/>
      </c>
      <c r="D1427" t="str">
        <f>IF('سجل الإنتاج'!C427="","","عدة مواد - راجع صفحة الطبخات")</f>
        <v/>
      </c>
      <c r="F1427" t="str">
        <f>IF('سجل الإنتاج'!C427="","",IF('سجل الإنتاج'!D427="","",'سجل الإنتاج'!D427))</f>
        <v/>
      </c>
      <c r="G1427" t="str">
        <f>IF($B1427&lt;&gt;"",SUMPRODUCT(($B$2:$B1427&lt;&gt;"")*1),"")</f>
        <v/>
      </c>
    </row>
    <row r="1428" spans="1:7">
      <c r="A1428" s="23" t="str">
        <f>IF('سجل الإنتاج'!C428="","",'سجل الإنتاج'!B428)</f>
        <v/>
      </c>
      <c r="B1428" t="str">
        <f>IF('سجل الإنتاج'!C428="","","إنتاج طبخة")</f>
        <v/>
      </c>
      <c r="C1428" t="str">
        <f>IF('سجل الإنتاج'!C428="","",'سجل الإنتاج'!C428)</f>
        <v/>
      </c>
      <c r="D1428" t="str">
        <f>IF('سجل الإنتاج'!C428="","","عدة مواد - راجع صفحة الطبخات")</f>
        <v/>
      </c>
      <c r="F1428" t="str">
        <f>IF('سجل الإنتاج'!C428="","",IF('سجل الإنتاج'!D428="","",'سجل الإنتاج'!D428))</f>
        <v/>
      </c>
      <c r="G1428" t="str">
        <f>IF($B1428&lt;&gt;"",SUMPRODUCT(($B$2:$B1428&lt;&gt;"")*1),"")</f>
        <v/>
      </c>
    </row>
    <row r="1429" spans="1:7">
      <c r="A1429" s="23" t="str">
        <f>IF('سجل الإنتاج'!C429="","",'سجل الإنتاج'!B429)</f>
        <v/>
      </c>
      <c r="B1429" t="str">
        <f>IF('سجل الإنتاج'!C429="","","إنتاج طبخة")</f>
        <v/>
      </c>
      <c r="C1429" t="str">
        <f>IF('سجل الإنتاج'!C429="","",'سجل الإنتاج'!C429)</f>
        <v/>
      </c>
      <c r="D1429" t="str">
        <f>IF('سجل الإنتاج'!C429="","","عدة مواد - راجع صفحة الطبخات")</f>
        <v/>
      </c>
      <c r="F1429" t="str">
        <f>IF('سجل الإنتاج'!C429="","",IF('سجل الإنتاج'!D429="","",'سجل الإنتاج'!D429))</f>
        <v/>
      </c>
      <c r="G1429" t="str">
        <f>IF($B1429&lt;&gt;"",SUMPRODUCT(($B$2:$B1429&lt;&gt;"")*1),"")</f>
        <v/>
      </c>
    </row>
    <row r="1430" spans="1:7">
      <c r="A1430" s="23" t="str">
        <f>IF('سجل الإنتاج'!C430="","",'سجل الإنتاج'!B430)</f>
        <v/>
      </c>
      <c r="B1430" t="str">
        <f>IF('سجل الإنتاج'!C430="","","إنتاج طبخة")</f>
        <v/>
      </c>
      <c r="C1430" t="str">
        <f>IF('سجل الإنتاج'!C430="","",'سجل الإنتاج'!C430)</f>
        <v/>
      </c>
      <c r="D1430" t="str">
        <f>IF('سجل الإنتاج'!C430="","","عدة مواد - راجع صفحة الطبخات")</f>
        <v/>
      </c>
      <c r="F1430" t="str">
        <f>IF('سجل الإنتاج'!C430="","",IF('سجل الإنتاج'!D430="","",'سجل الإنتاج'!D430))</f>
        <v/>
      </c>
      <c r="G1430" t="str">
        <f>IF($B1430&lt;&gt;"",SUMPRODUCT(($B$2:$B1430&lt;&gt;"")*1),"")</f>
        <v/>
      </c>
    </row>
    <row r="1431" spans="1:7">
      <c r="A1431" s="23" t="str">
        <f>IF('سجل الإنتاج'!C431="","",'سجل الإنتاج'!B431)</f>
        <v/>
      </c>
      <c r="B1431" t="str">
        <f>IF('سجل الإنتاج'!C431="","","إنتاج طبخة")</f>
        <v/>
      </c>
      <c r="C1431" t="str">
        <f>IF('سجل الإنتاج'!C431="","",'سجل الإنتاج'!C431)</f>
        <v/>
      </c>
      <c r="D1431" t="str">
        <f>IF('سجل الإنتاج'!C431="","","عدة مواد - راجع صفحة الطبخات")</f>
        <v/>
      </c>
      <c r="F1431" t="str">
        <f>IF('سجل الإنتاج'!C431="","",IF('سجل الإنتاج'!D431="","",'سجل الإنتاج'!D431))</f>
        <v/>
      </c>
      <c r="G1431" t="str">
        <f>IF($B1431&lt;&gt;"",SUMPRODUCT(($B$2:$B1431&lt;&gt;"")*1),"")</f>
        <v/>
      </c>
    </row>
    <row r="1432" spans="1:7">
      <c r="A1432" s="23" t="str">
        <f>IF('سجل الإنتاج'!C432="","",'سجل الإنتاج'!B432)</f>
        <v/>
      </c>
      <c r="B1432" t="str">
        <f>IF('سجل الإنتاج'!C432="","","إنتاج طبخة")</f>
        <v/>
      </c>
      <c r="C1432" t="str">
        <f>IF('سجل الإنتاج'!C432="","",'سجل الإنتاج'!C432)</f>
        <v/>
      </c>
      <c r="D1432" t="str">
        <f>IF('سجل الإنتاج'!C432="","","عدة مواد - راجع صفحة الطبخات")</f>
        <v/>
      </c>
      <c r="F1432" t="str">
        <f>IF('سجل الإنتاج'!C432="","",IF('سجل الإنتاج'!D432="","",'سجل الإنتاج'!D432))</f>
        <v/>
      </c>
      <c r="G1432" t="str">
        <f>IF($B1432&lt;&gt;"",SUMPRODUCT(($B$2:$B1432&lt;&gt;"")*1),"")</f>
        <v/>
      </c>
    </row>
    <row r="1433" spans="1:7">
      <c r="A1433" s="23" t="str">
        <f>IF('سجل الإنتاج'!C433="","",'سجل الإنتاج'!B433)</f>
        <v/>
      </c>
      <c r="B1433" t="str">
        <f>IF('سجل الإنتاج'!C433="","","إنتاج طبخة")</f>
        <v/>
      </c>
      <c r="C1433" t="str">
        <f>IF('سجل الإنتاج'!C433="","",'سجل الإنتاج'!C433)</f>
        <v/>
      </c>
      <c r="D1433" t="str">
        <f>IF('سجل الإنتاج'!C433="","","عدة مواد - راجع صفحة الطبخات")</f>
        <v/>
      </c>
      <c r="F1433" t="str">
        <f>IF('سجل الإنتاج'!C433="","",IF('سجل الإنتاج'!D433="","",'سجل الإنتاج'!D433))</f>
        <v/>
      </c>
      <c r="G1433" t="str">
        <f>IF($B1433&lt;&gt;"",SUMPRODUCT(($B$2:$B1433&lt;&gt;"")*1),"")</f>
        <v/>
      </c>
    </row>
    <row r="1434" spans="1:7">
      <c r="A1434" s="23" t="str">
        <f>IF('سجل الإنتاج'!C434="","",'سجل الإنتاج'!B434)</f>
        <v/>
      </c>
      <c r="B1434" t="str">
        <f>IF('سجل الإنتاج'!C434="","","إنتاج طبخة")</f>
        <v/>
      </c>
      <c r="C1434" t="str">
        <f>IF('سجل الإنتاج'!C434="","",'سجل الإنتاج'!C434)</f>
        <v/>
      </c>
      <c r="D1434" t="str">
        <f>IF('سجل الإنتاج'!C434="","","عدة مواد - راجع صفحة الطبخات")</f>
        <v/>
      </c>
      <c r="F1434" t="str">
        <f>IF('سجل الإنتاج'!C434="","",IF('سجل الإنتاج'!D434="","",'سجل الإنتاج'!D434))</f>
        <v/>
      </c>
      <c r="G1434" t="str">
        <f>IF($B1434&lt;&gt;"",SUMPRODUCT(($B$2:$B1434&lt;&gt;"")*1),"")</f>
        <v/>
      </c>
    </row>
    <row r="1435" spans="1:7">
      <c r="A1435" s="23" t="str">
        <f>IF('سجل الإنتاج'!C435="","",'سجل الإنتاج'!B435)</f>
        <v/>
      </c>
      <c r="B1435" t="str">
        <f>IF('سجل الإنتاج'!C435="","","إنتاج طبخة")</f>
        <v/>
      </c>
      <c r="C1435" t="str">
        <f>IF('سجل الإنتاج'!C435="","",'سجل الإنتاج'!C435)</f>
        <v/>
      </c>
      <c r="D1435" t="str">
        <f>IF('سجل الإنتاج'!C435="","","عدة مواد - راجع صفحة الطبخات")</f>
        <v/>
      </c>
      <c r="F1435" t="str">
        <f>IF('سجل الإنتاج'!C435="","",IF('سجل الإنتاج'!D435="","",'سجل الإنتاج'!D435))</f>
        <v/>
      </c>
      <c r="G1435" t="str">
        <f>IF($B1435&lt;&gt;"",SUMPRODUCT(($B$2:$B1435&lt;&gt;"")*1),"")</f>
        <v/>
      </c>
    </row>
    <row r="1436" spans="1:7">
      <c r="A1436" s="23" t="str">
        <f>IF('سجل الإنتاج'!C436="","",'سجل الإنتاج'!B436)</f>
        <v/>
      </c>
      <c r="B1436" t="str">
        <f>IF('سجل الإنتاج'!C436="","","إنتاج طبخة")</f>
        <v/>
      </c>
      <c r="C1436" t="str">
        <f>IF('سجل الإنتاج'!C436="","",'سجل الإنتاج'!C436)</f>
        <v/>
      </c>
      <c r="D1436" t="str">
        <f>IF('سجل الإنتاج'!C436="","","عدة مواد - راجع صفحة الطبخات")</f>
        <v/>
      </c>
      <c r="F1436" t="str">
        <f>IF('سجل الإنتاج'!C436="","",IF('سجل الإنتاج'!D436="","",'سجل الإنتاج'!D436))</f>
        <v/>
      </c>
      <c r="G1436" t="str">
        <f>IF($B1436&lt;&gt;"",SUMPRODUCT(($B$2:$B1436&lt;&gt;"")*1),"")</f>
        <v/>
      </c>
    </row>
    <row r="1437" spans="1:7">
      <c r="A1437" s="23" t="str">
        <f>IF('سجل الإنتاج'!C437="","",'سجل الإنتاج'!B437)</f>
        <v/>
      </c>
      <c r="B1437" t="str">
        <f>IF('سجل الإنتاج'!C437="","","إنتاج طبخة")</f>
        <v/>
      </c>
      <c r="C1437" t="str">
        <f>IF('سجل الإنتاج'!C437="","",'سجل الإنتاج'!C437)</f>
        <v/>
      </c>
      <c r="D1437" t="str">
        <f>IF('سجل الإنتاج'!C437="","","عدة مواد - راجع صفحة الطبخات")</f>
        <v/>
      </c>
      <c r="F1437" t="str">
        <f>IF('سجل الإنتاج'!C437="","",IF('سجل الإنتاج'!D437="","",'سجل الإنتاج'!D437))</f>
        <v/>
      </c>
      <c r="G1437" t="str">
        <f>IF($B1437&lt;&gt;"",SUMPRODUCT(($B$2:$B1437&lt;&gt;"")*1),"")</f>
        <v/>
      </c>
    </row>
    <row r="1438" spans="1:7">
      <c r="A1438" s="23" t="str">
        <f>IF('سجل الإنتاج'!C438="","",'سجل الإنتاج'!B438)</f>
        <v/>
      </c>
      <c r="B1438" t="str">
        <f>IF('سجل الإنتاج'!C438="","","إنتاج طبخة")</f>
        <v/>
      </c>
      <c r="C1438" t="str">
        <f>IF('سجل الإنتاج'!C438="","",'سجل الإنتاج'!C438)</f>
        <v/>
      </c>
      <c r="D1438" t="str">
        <f>IF('سجل الإنتاج'!C438="","","عدة مواد - راجع صفحة الطبخات")</f>
        <v/>
      </c>
      <c r="F1438" t="str">
        <f>IF('سجل الإنتاج'!C438="","",IF('سجل الإنتاج'!D438="","",'سجل الإنتاج'!D438))</f>
        <v/>
      </c>
      <c r="G1438" t="str">
        <f>IF($B1438&lt;&gt;"",SUMPRODUCT(($B$2:$B1438&lt;&gt;"")*1),"")</f>
        <v/>
      </c>
    </row>
    <row r="1439" spans="1:7">
      <c r="A1439" s="23" t="str">
        <f>IF('سجل الإنتاج'!C439="","",'سجل الإنتاج'!B439)</f>
        <v/>
      </c>
      <c r="B1439" t="str">
        <f>IF('سجل الإنتاج'!C439="","","إنتاج طبخة")</f>
        <v/>
      </c>
      <c r="C1439" t="str">
        <f>IF('سجل الإنتاج'!C439="","",'سجل الإنتاج'!C439)</f>
        <v/>
      </c>
      <c r="D1439" t="str">
        <f>IF('سجل الإنتاج'!C439="","","عدة مواد - راجع صفحة الطبخات")</f>
        <v/>
      </c>
      <c r="F1439" t="str">
        <f>IF('سجل الإنتاج'!C439="","",IF('سجل الإنتاج'!D439="","",'سجل الإنتاج'!D439))</f>
        <v/>
      </c>
      <c r="G1439" t="str">
        <f>IF($B1439&lt;&gt;"",SUMPRODUCT(($B$2:$B1439&lt;&gt;"")*1),"")</f>
        <v/>
      </c>
    </row>
    <row r="1440" spans="1:7">
      <c r="A1440" s="23" t="str">
        <f>IF('سجل الإنتاج'!C440="","",'سجل الإنتاج'!B440)</f>
        <v/>
      </c>
      <c r="B1440" t="str">
        <f>IF('سجل الإنتاج'!C440="","","إنتاج طبخة")</f>
        <v/>
      </c>
      <c r="C1440" t="str">
        <f>IF('سجل الإنتاج'!C440="","",'سجل الإنتاج'!C440)</f>
        <v/>
      </c>
      <c r="D1440" t="str">
        <f>IF('سجل الإنتاج'!C440="","","عدة مواد - راجع صفحة الطبخات")</f>
        <v/>
      </c>
      <c r="F1440" t="str">
        <f>IF('سجل الإنتاج'!C440="","",IF('سجل الإنتاج'!D440="","",'سجل الإنتاج'!D440))</f>
        <v/>
      </c>
      <c r="G1440" t="str">
        <f>IF($B1440&lt;&gt;"",SUMPRODUCT(($B$2:$B1440&lt;&gt;"")*1),"")</f>
        <v/>
      </c>
    </row>
    <row r="1441" spans="1:7">
      <c r="A1441" s="23" t="str">
        <f>IF('سجل الإنتاج'!C441="","",'سجل الإنتاج'!B441)</f>
        <v/>
      </c>
      <c r="B1441" t="str">
        <f>IF('سجل الإنتاج'!C441="","","إنتاج طبخة")</f>
        <v/>
      </c>
      <c r="C1441" t="str">
        <f>IF('سجل الإنتاج'!C441="","",'سجل الإنتاج'!C441)</f>
        <v/>
      </c>
      <c r="D1441" t="str">
        <f>IF('سجل الإنتاج'!C441="","","عدة مواد - راجع صفحة الطبخات")</f>
        <v/>
      </c>
      <c r="F1441" t="str">
        <f>IF('سجل الإنتاج'!C441="","",IF('سجل الإنتاج'!D441="","",'سجل الإنتاج'!D441))</f>
        <v/>
      </c>
      <c r="G1441" t="str">
        <f>IF($B1441&lt;&gt;"",SUMPRODUCT(($B$2:$B1441&lt;&gt;"")*1),"")</f>
        <v/>
      </c>
    </row>
    <row r="1442" spans="1:7">
      <c r="A1442" s="23" t="str">
        <f>IF('سجل الإنتاج'!C442="","",'سجل الإنتاج'!B442)</f>
        <v/>
      </c>
      <c r="B1442" t="str">
        <f>IF('سجل الإنتاج'!C442="","","إنتاج طبخة")</f>
        <v/>
      </c>
      <c r="C1442" t="str">
        <f>IF('سجل الإنتاج'!C442="","",'سجل الإنتاج'!C442)</f>
        <v/>
      </c>
      <c r="D1442" t="str">
        <f>IF('سجل الإنتاج'!C442="","","عدة مواد - راجع صفحة الطبخات")</f>
        <v/>
      </c>
      <c r="F1442" t="str">
        <f>IF('سجل الإنتاج'!C442="","",IF('سجل الإنتاج'!D442="","",'سجل الإنتاج'!D442))</f>
        <v/>
      </c>
      <c r="G1442" t="str">
        <f>IF($B1442&lt;&gt;"",SUMPRODUCT(($B$2:$B1442&lt;&gt;"")*1),"")</f>
        <v/>
      </c>
    </row>
    <row r="1443" spans="1:7">
      <c r="A1443" s="23" t="str">
        <f>IF('سجل الإنتاج'!C443="","",'سجل الإنتاج'!B443)</f>
        <v/>
      </c>
      <c r="B1443" t="str">
        <f>IF('سجل الإنتاج'!C443="","","إنتاج طبخة")</f>
        <v/>
      </c>
      <c r="C1443" t="str">
        <f>IF('سجل الإنتاج'!C443="","",'سجل الإنتاج'!C443)</f>
        <v/>
      </c>
      <c r="D1443" t="str">
        <f>IF('سجل الإنتاج'!C443="","","عدة مواد - راجع صفحة الطبخات")</f>
        <v/>
      </c>
      <c r="F1443" t="str">
        <f>IF('سجل الإنتاج'!C443="","",IF('سجل الإنتاج'!D443="","",'سجل الإنتاج'!D443))</f>
        <v/>
      </c>
      <c r="G1443" t="str">
        <f>IF($B1443&lt;&gt;"",SUMPRODUCT(($B$2:$B1443&lt;&gt;"")*1),"")</f>
        <v/>
      </c>
    </row>
    <row r="1444" spans="1:7">
      <c r="A1444" s="23" t="str">
        <f>IF('سجل الإنتاج'!C444="","",'سجل الإنتاج'!B444)</f>
        <v/>
      </c>
      <c r="B1444" t="str">
        <f>IF('سجل الإنتاج'!C444="","","إنتاج طبخة")</f>
        <v/>
      </c>
      <c r="C1444" t="str">
        <f>IF('سجل الإنتاج'!C444="","",'سجل الإنتاج'!C444)</f>
        <v/>
      </c>
      <c r="D1444" t="str">
        <f>IF('سجل الإنتاج'!C444="","","عدة مواد - راجع صفحة الطبخات")</f>
        <v/>
      </c>
      <c r="F1444" t="str">
        <f>IF('سجل الإنتاج'!C444="","",IF('سجل الإنتاج'!D444="","",'سجل الإنتاج'!D444))</f>
        <v/>
      </c>
      <c r="G1444" t="str">
        <f>IF($B1444&lt;&gt;"",SUMPRODUCT(($B$2:$B1444&lt;&gt;"")*1),"")</f>
        <v/>
      </c>
    </row>
    <row r="1445" spans="1:7">
      <c r="A1445" s="23" t="str">
        <f>IF('سجل الإنتاج'!C445="","",'سجل الإنتاج'!B445)</f>
        <v/>
      </c>
      <c r="B1445" t="str">
        <f>IF('سجل الإنتاج'!C445="","","إنتاج طبخة")</f>
        <v/>
      </c>
      <c r="C1445" t="str">
        <f>IF('سجل الإنتاج'!C445="","",'سجل الإنتاج'!C445)</f>
        <v/>
      </c>
      <c r="D1445" t="str">
        <f>IF('سجل الإنتاج'!C445="","","عدة مواد - راجع صفحة الطبخات")</f>
        <v/>
      </c>
      <c r="F1445" t="str">
        <f>IF('سجل الإنتاج'!C445="","",IF('سجل الإنتاج'!D445="","",'سجل الإنتاج'!D445))</f>
        <v/>
      </c>
      <c r="G1445" t="str">
        <f>IF($B1445&lt;&gt;"",SUMPRODUCT(($B$2:$B1445&lt;&gt;"")*1),"")</f>
        <v/>
      </c>
    </row>
    <row r="1446" spans="1:7">
      <c r="A1446" s="23" t="str">
        <f>IF('سجل الإنتاج'!C446="","",'سجل الإنتاج'!B446)</f>
        <v/>
      </c>
      <c r="B1446" t="str">
        <f>IF('سجل الإنتاج'!C446="","","إنتاج طبخة")</f>
        <v/>
      </c>
      <c r="C1446" t="str">
        <f>IF('سجل الإنتاج'!C446="","",'سجل الإنتاج'!C446)</f>
        <v/>
      </c>
      <c r="D1446" t="str">
        <f>IF('سجل الإنتاج'!C446="","","عدة مواد - راجع صفحة الطبخات")</f>
        <v/>
      </c>
      <c r="F1446" t="str">
        <f>IF('سجل الإنتاج'!C446="","",IF('سجل الإنتاج'!D446="","",'سجل الإنتاج'!D446))</f>
        <v/>
      </c>
      <c r="G1446" t="str">
        <f>IF($B1446&lt;&gt;"",SUMPRODUCT(($B$2:$B1446&lt;&gt;"")*1),"")</f>
        <v/>
      </c>
    </row>
    <row r="1447" spans="1:7">
      <c r="A1447" s="23" t="str">
        <f>IF('سجل الإنتاج'!C447="","",'سجل الإنتاج'!B447)</f>
        <v/>
      </c>
      <c r="B1447" t="str">
        <f>IF('سجل الإنتاج'!C447="","","إنتاج طبخة")</f>
        <v/>
      </c>
      <c r="C1447" t="str">
        <f>IF('سجل الإنتاج'!C447="","",'سجل الإنتاج'!C447)</f>
        <v/>
      </c>
      <c r="D1447" t="str">
        <f>IF('سجل الإنتاج'!C447="","","عدة مواد - راجع صفحة الطبخات")</f>
        <v/>
      </c>
      <c r="F1447" t="str">
        <f>IF('سجل الإنتاج'!C447="","",IF('سجل الإنتاج'!D447="","",'سجل الإنتاج'!D447))</f>
        <v/>
      </c>
      <c r="G1447" t="str">
        <f>IF($B1447&lt;&gt;"",SUMPRODUCT(($B$2:$B1447&lt;&gt;"")*1),"")</f>
        <v/>
      </c>
    </row>
    <row r="1448" spans="1:7">
      <c r="A1448" s="23" t="str">
        <f>IF('سجل الإنتاج'!C448="","",'سجل الإنتاج'!B448)</f>
        <v/>
      </c>
      <c r="B1448" t="str">
        <f>IF('سجل الإنتاج'!C448="","","إنتاج طبخة")</f>
        <v/>
      </c>
      <c r="C1448" t="str">
        <f>IF('سجل الإنتاج'!C448="","",'سجل الإنتاج'!C448)</f>
        <v/>
      </c>
      <c r="D1448" t="str">
        <f>IF('سجل الإنتاج'!C448="","","عدة مواد - راجع صفحة الطبخات")</f>
        <v/>
      </c>
      <c r="F1448" t="str">
        <f>IF('سجل الإنتاج'!C448="","",IF('سجل الإنتاج'!D448="","",'سجل الإنتاج'!D448))</f>
        <v/>
      </c>
      <c r="G1448" t="str">
        <f>IF($B1448&lt;&gt;"",SUMPRODUCT(($B$2:$B1448&lt;&gt;"")*1),"")</f>
        <v/>
      </c>
    </row>
    <row r="1449" spans="1:7">
      <c r="A1449" s="23" t="str">
        <f>IF('سجل الإنتاج'!C449="","",'سجل الإنتاج'!B449)</f>
        <v/>
      </c>
      <c r="B1449" t="str">
        <f>IF('سجل الإنتاج'!C449="","","إنتاج طبخة")</f>
        <v/>
      </c>
      <c r="C1449" t="str">
        <f>IF('سجل الإنتاج'!C449="","",'سجل الإنتاج'!C449)</f>
        <v/>
      </c>
      <c r="D1449" t="str">
        <f>IF('سجل الإنتاج'!C449="","","عدة مواد - راجع صفحة الطبخات")</f>
        <v/>
      </c>
      <c r="F1449" t="str">
        <f>IF('سجل الإنتاج'!C449="","",IF('سجل الإنتاج'!D449="","",'سجل الإنتاج'!D449))</f>
        <v/>
      </c>
      <c r="G1449" t="str">
        <f>IF($B1449&lt;&gt;"",SUMPRODUCT(($B$2:$B1449&lt;&gt;"")*1),"")</f>
        <v/>
      </c>
    </row>
    <row r="1450" spans="1:7">
      <c r="A1450" s="23" t="str">
        <f>IF('سجل الإنتاج'!C450="","",'سجل الإنتاج'!B450)</f>
        <v/>
      </c>
      <c r="B1450" t="str">
        <f>IF('سجل الإنتاج'!C450="","","إنتاج طبخة")</f>
        <v/>
      </c>
      <c r="C1450" t="str">
        <f>IF('سجل الإنتاج'!C450="","",'سجل الإنتاج'!C450)</f>
        <v/>
      </c>
      <c r="D1450" t="str">
        <f>IF('سجل الإنتاج'!C450="","","عدة مواد - راجع صفحة الطبخات")</f>
        <v/>
      </c>
      <c r="F1450" t="str">
        <f>IF('سجل الإنتاج'!C450="","",IF('سجل الإنتاج'!D450="","",'سجل الإنتاج'!D450))</f>
        <v/>
      </c>
      <c r="G1450" t="str">
        <f>IF($B1450&lt;&gt;"",SUMPRODUCT(($B$2:$B1450&lt;&gt;"")*1),"")</f>
        <v/>
      </c>
    </row>
    <row r="1451" spans="1:7">
      <c r="A1451" s="23" t="str">
        <f>IF('سجل الإنتاج'!C451="","",'سجل الإنتاج'!B451)</f>
        <v/>
      </c>
      <c r="B1451" t="str">
        <f>IF('سجل الإنتاج'!C451="","","إنتاج طبخة")</f>
        <v/>
      </c>
      <c r="C1451" t="str">
        <f>IF('سجل الإنتاج'!C451="","",'سجل الإنتاج'!C451)</f>
        <v/>
      </c>
      <c r="D1451" t="str">
        <f>IF('سجل الإنتاج'!C451="","","عدة مواد - راجع صفحة الطبخات")</f>
        <v/>
      </c>
      <c r="F1451" t="str">
        <f>IF('سجل الإنتاج'!C451="","",IF('سجل الإنتاج'!D451="","",'سجل الإنتاج'!D451))</f>
        <v/>
      </c>
      <c r="G1451" t="str">
        <f>IF($B1451&lt;&gt;"",SUMPRODUCT(($B$2:$B1451&lt;&gt;"")*1),"")</f>
        <v/>
      </c>
    </row>
    <row r="1452" spans="1:7">
      <c r="A1452" s="23" t="str">
        <f>IF('سجل الإنتاج'!C452="","",'سجل الإنتاج'!B452)</f>
        <v/>
      </c>
      <c r="B1452" t="str">
        <f>IF('سجل الإنتاج'!C452="","","إنتاج طبخة")</f>
        <v/>
      </c>
      <c r="C1452" t="str">
        <f>IF('سجل الإنتاج'!C452="","",'سجل الإنتاج'!C452)</f>
        <v/>
      </c>
      <c r="D1452" t="str">
        <f>IF('سجل الإنتاج'!C452="","","عدة مواد - راجع صفحة الطبخات")</f>
        <v/>
      </c>
      <c r="F1452" t="str">
        <f>IF('سجل الإنتاج'!C452="","",IF('سجل الإنتاج'!D452="","",'سجل الإنتاج'!D452))</f>
        <v/>
      </c>
      <c r="G1452" t="str">
        <f>IF($B1452&lt;&gt;"",SUMPRODUCT(($B$2:$B1452&lt;&gt;"")*1),"")</f>
        <v/>
      </c>
    </row>
    <row r="1453" spans="1:7">
      <c r="A1453" s="23" t="str">
        <f>IF('سجل الإنتاج'!C453="","",'سجل الإنتاج'!B453)</f>
        <v/>
      </c>
      <c r="B1453" t="str">
        <f>IF('سجل الإنتاج'!C453="","","إنتاج طبخة")</f>
        <v/>
      </c>
      <c r="C1453" t="str">
        <f>IF('سجل الإنتاج'!C453="","",'سجل الإنتاج'!C453)</f>
        <v/>
      </c>
      <c r="D1453" t="str">
        <f>IF('سجل الإنتاج'!C453="","","عدة مواد - راجع صفحة الطبخات")</f>
        <v/>
      </c>
      <c r="F1453" t="str">
        <f>IF('سجل الإنتاج'!C453="","",IF('سجل الإنتاج'!D453="","",'سجل الإنتاج'!D453))</f>
        <v/>
      </c>
      <c r="G1453" t="str">
        <f>IF($B1453&lt;&gt;"",SUMPRODUCT(($B$2:$B1453&lt;&gt;"")*1),"")</f>
        <v/>
      </c>
    </row>
    <row r="1454" spans="1:7">
      <c r="A1454" s="23" t="str">
        <f>IF('سجل الإنتاج'!C454="","",'سجل الإنتاج'!B454)</f>
        <v/>
      </c>
      <c r="B1454" t="str">
        <f>IF('سجل الإنتاج'!C454="","","إنتاج طبخة")</f>
        <v/>
      </c>
      <c r="C1454" t="str">
        <f>IF('سجل الإنتاج'!C454="","",'سجل الإنتاج'!C454)</f>
        <v/>
      </c>
      <c r="D1454" t="str">
        <f>IF('سجل الإنتاج'!C454="","","عدة مواد - راجع صفحة الطبخات")</f>
        <v/>
      </c>
      <c r="F1454" t="str">
        <f>IF('سجل الإنتاج'!C454="","",IF('سجل الإنتاج'!D454="","",'سجل الإنتاج'!D454))</f>
        <v/>
      </c>
      <c r="G1454" t="str">
        <f>IF($B1454&lt;&gt;"",SUMPRODUCT(($B$2:$B1454&lt;&gt;"")*1),"")</f>
        <v/>
      </c>
    </row>
    <row r="1455" spans="1:7">
      <c r="A1455" s="23" t="str">
        <f>IF('سجل الإنتاج'!C455="","",'سجل الإنتاج'!B455)</f>
        <v/>
      </c>
      <c r="B1455" t="str">
        <f>IF('سجل الإنتاج'!C455="","","إنتاج طبخة")</f>
        <v/>
      </c>
      <c r="C1455" t="str">
        <f>IF('سجل الإنتاج'!C455="","",'سجل الإنتاج'!C455)</f>
        <v/>
      </c>
      <c r="D1455" t="str">
        <f>IF('سجل الإنتاج'!C455="","","عدة مواد - راجع صفحة الطبخات")</f>
        <v/>
      </c>
      <c r="F1455" t="str">
        <f>IF('سجل الإنتاج'!C455="","",IF('سجل الإنتاج'!D455="","",'سجل الإنتاج'!D455))</f>
        <v/>
      </c>
      <c r="G1455" t="str">
        <f>IF($B1455&lt;&gt;"",SUMPRODUCT(($B$2:$B1455&lt;&gt;"")*1),"")</f>
        <v/>
      </c>
    </row>
    <row r="1456" spans="1:7">
      <c r="A1456" s="23" t="str">
        <f>IF('سجل الإنتاج'!C456="","",'سجل الإنتاج'!B456)</f>
        <v/>
      </c>
      <c r="B1456" t="str">
        <f>IF('سجل الإنتاج'!C456="","","إنتاج طبخة")</f>
        <v/>
      </c>
      <c r="C1456" t="str">
        <f>IF('سجل الإنتاج'!C456="","",'سجل الإنتاج'!C456)</f>
        <v/>
      </c>
      <c r="D1456" t="str">
        <f>IF('سجل الإنتاج'!C456="","","عدة مواد - راجع صفحة الطبخات")</f>
        <v/>
      </c>
      <c r="F1456" t="str">
        <f>IF('سجل الإنتاج'!C456="","",IF('سجل الإنتاج'!D456="","",'سجل الإنتاج'!D456))</f>
        <v/>
      </c>
      <c r="G1456" t="str">
        <f>IF($B1456&lt;&gt;"",SUMPRODUCT(($B$2:$B1456&lt;&gt;"")*1),"")</f>
        <v/>
      </c>
    </row>
    <row r="1457" spans="1:7">
      <c r="A1457" s="23" t="str">
        <f>IF('سجل الإنتاج'!C457="","",'سجل الإنتاج'!B457)</f>
        <v/>
      </c>
      <c r="B1457" t="str">
        <f>IF('سجل الإنتاج'!C457="","","إنتاج طبخة")</f>
        <v/>
      </c>
      <c r="C1457" t="str">
        <f>IF('سجل الإنتاج'!C457="","",'سجل الإنتاج'!C457)</f>
        <v/>
      </c>
      <c r="D1457" t="str">
        <f>IF('سجل الإنتاج'!C457="","","عدة مواد - راجع صفحة الطبخات")</f>
        <v/>
      </c>
      <c r="F1457" t="str">
        <f>IF('سجل الإنتاج'!C457="","",IF('سجل الإنتاج'!D457="","",'سجل الإنتاج'!D457))</f>
        <v/>
      </c>
      <c r="G1457" t="str">
        <f>IF($B1457&lt;&gt;"",SUMPRODUCT(($B$2:$B1457&lt;&gt;"")*1),"")</f>
        <v/>
      </c>
    </row>
    <row r="1458" spans="1:7">
      <c r="A1458" s="23" t="str">
        <f>IF('سجل الإنتاج'!C458="","",'سجل الإنتاج'!B458)</f>
        <v/>
      </c>
      <c r="B1458" t="str">
        <f>IF('سجل الإنتاج'!C458="","","إنتاج طبخة")</f>
        <v/>
      </c>
      <c r="C1458" t="str">
        <f>IF('سجل الإنتاج'!C458="","",'سجل الإنتاج'!C458)</f>
        <v/>
      </c>
      <c r="D1458" t="str">
        <f>IF('سجل الإنتاج'!C458="","","عدة مواد - راجع صفحة الطبخات")</f>
        <v/>
      </c>
      <c r="F1458" t="str">
        <f>IF('سجل الإنتاج'!C458="","",IF('سجل الإنتاج'!D458="","",'سجل الإنتاج'!D458))</f>
        <v/>
      </c>
      <c r="G1458" t="str">
        <f>IF($B1458&lt;&gt;"",SUMPRODUCT(($B$2:$B1458&lt;&gt;"")*1),"")</f>
        <v/>
      </c>
    </row>
    <row r="1459" spans="1:7">
      <c r="A1459" s="23" t="str">
        <f>IF('سجل الإنتاج'!C459="","",'سجل الإنتاج'!B459)</f>
        <v/>
      </c>
      <c r="B1459" t="str">
        <f>IF('سجل الإنتاج'!C459="","","إنتاج طبخة")</f>
        <v/>
      </c>
      <c r="C1459" t="str">
        <f>IF('سجل الإنتاج'!C459="","",'سجل الإنتاج'!C459)</f>
        <v/>
      </c>
      <c r="D1459" t="str">
        <f>IF('سجل الإنتاج'!C459="","","عدة مواد - راجع صفحة الطبخات")</f>
        <v/>
      </c>
      <c r="F1459" t="str">
        <f>IF('سجل الإنتاج'!C459="","",IF('سجل الإنتاج'!D459="","",'سجل الإنتاج'!D459))</f>
        <v/>
      </c>
      <c r="G1459" t="str">
        <f>IF($B1459&lt;&gt;"",SUMPRODUCT(($B$2:$B1459&lt;&gt;"")*1),"")</f>
        <v/>
      </c>
    </row>
    <row r="1460" spans="1:7">
      <c r="A1460" s="23" t="str">
        <f>IF('سجل الإنتاج'!C460="","",'سجل الإنتاج'!B460)</f>
        <v/>
      </c>
      <c r="B1460" t="str">
        <f>IF('سجل الإنتاج'!C460="","","إنتاج طبخة")</f>
        <v/>
      </c>
      <c r="C1460" t="str">
        <f>IF('سجل الإنتاج'!C460="","",'سجل الإنتاج'!C460)</f>
        <v/>
      </c>
      <c r="D1460" t="str">
        <f>IF('سجل الإنتاج'!C460="","","عدة مواد - راجع صفحة الطبخات")</f>
        <v/>
      </c>
      <c r="F1460" t="str">
        <f>IF('سجل الإنتاج'!C460="","",IF('سجل الإنتاج'!D460="","",'سجل الإنتاج'!D460))</f>
        <v/>
      </c>
      <c r="G1460" t="str">
        <f>IF($B1460&lt;&gt;"",SUMPRODUCT(($B$2:$B1460&lt;&gt;"")*1),"")</f>
        <v/>
      </c>
    </row>
    <row r="1461" spans="1:7">
      <c r="A1461" s="23" t="str">
        <f>IF('سجل الإنتاج'!C461="","",'سجل الإنتاج'!B461)</f>
        <v/>
      </c>
      <c r="B1461" t="str">
        <f>IF('سجل الإنتاج'!C461="","","إنتاج طبخة")</f>
        <v/>
      </c>
      <c r="C1461" t="str">
        <f>IF('سجل الإنتاج'!C461="","",'سجل الإنتاج'!C461)</f>
        <v/>
      </c>
      <c r="D1461" t="str">
        <f>IF('سجل الإنتاج'!C461="","","عدة مواد - راجع صفحة الطبخات")</f>
        <v/>
      </c>
      <c r="F1461" t="str">
        <f>IF('سجل الإنتاج'!C461="","",IF('سجل الإنتاج'!D461="","",'سجل الإنتاج'!D461))</f>
        <v/>
      </c>
      <c r="G1461" t="str">
        <f>IF($B1461&lt;&gt;"",SUMPRODUCT(($B$2:$B1461&lt;&gt;"")*1),"")</f>
        <v/>
      </c>
    </row>
    <row r="1462" spans="1:7">
      <c r="A1462" s="23" t="str">
        <f>IF('سجل الإنتاج'!C462="","",'سجل الإنتاج'!B462)</f>
        <v/>
      </c>
      <c r="B1462" t="str">
        <f>IF('سجل الإنتاج'!C462="","","إنتاج طبخة")</f>
        <v/>
      </c>
      <c r="C1462" t="str">
        <f>IF('سجل الإنتاج'!C462="","",'سجل الإنتاج'!C462)</f>
        <v/>
      </c>
      <c r="D1462" t="str">
        <f>IF('سجل الإنتاج'!C462="","","عدة مواد - راجع صفحة الطبخات")</f>
        <v/>
      </c>
      <c r="F1462" t="str">
        <f>IF('سجل الإنتاج'!C462="","",IF('سجل الإنتاج'!D462="","",'سجل الإنتاج'!D462))</f>
        <v/>
      </c>
      <c r="G1462" t="str">
        <f>IF($B1462&lt;&gt;"",SUMPRODUCT(($B$2:$B1462&lt;&gt;"")*1),"")</f>
        <v/>
      </c>
    </row>
    <row r="1463" spans="1:7">
      <c r="A1463" s="23" t="str">
        <f>IF('سجل الإنتاج'!C463="","",'سجل الإنتاج'!B463)</f>
        <v/>
      </c>
      <c r="B1463" t="str">
        <f>IF('سجل الإنتاج'!C463="","","إنتاج طبخة")</f>
        <v/>
      </c>
      <c r="C1463" t="str">
        <f>IF('سجل الإنتاج'!C463="","",'سجل الإنتاج'!C463)</f>
        <v/>
      </c>
      <c r="D1463" t="str">
        <f>IF('سجل الإنتاج'!C463="","","عدة مواد - راجع صفحة الطبخات")</f>
        <v/>
      </c>
      <c r="F1463" t="str">
        <f>IF('سجل الإنتاج'!C463="","",IF('سجل الإنتاج'!D463="","",'سجل الإنتاج'!D463))</f>
        <v/>
      </c>
      <c r="G1463" t="str">
        <f>IF($B1463&lt;&gt;"",SUMPRODUCT(($B$2:$B1463&lt;&gt;"")*1),"")</f>
        <v/>
      </c>
    </row>
    <row r="1464" spans="1:7">
      <c r="A1464" s="23" t="str">
        <f>IF('سجل الإنتاج'!C464="","",'سجل الإنتاج'!B464)</f>
        <v/>
      </c>
      <c r="B1464" t="str">
        <f>IF('سجل الإنتاج'!C464="","","إنتاج طبخة")</f>
        <v/>
      </c>
      <c r="C1464" t="str">
        <f>IF('سجل الإنتاج'!C464="","",'سجل الإنتاج'!C464)</f>
        <v/>
      </c>
      <c r="D1464" t="str">
        <f>IF('سجل الإنتاج'!C464="","","عدة مواد - راجع صفحة الطبخات")</f>
        <v/>
      </c>
      <c r="F1464" t="str">
        <f>IF('سجل الإنتاج'!C464="","",IF('سجل الإنتاج'!D464="","",'سجل الإنتاج'!D464))</f>
        <v/>
      </c>
      <c r="G1464" t="str">
        <f>IF($B1464&lt;&gt;"",SUMPRODUCT(($B$2:$B1464&lt;&gt;"")*1),"")</f>
        <v/>
      </c>
    </row>
    <row r="1465" spans="1:7">
      <c r="A1465" s="23" t="str">
        <f>IF('سجل الإنتاج'!C465="","",'سجل الإنتاج'!B465)</f>
        <v/>
      </c>
      <c r="B1465" t="str">
        <f>IF('سجل الإنتاج'!C465="","","إنتاج طبخة")</f>
        <v/>
      </c>
      <c r="C1465" t="str">
        <f>IF('سجل الإنتاج'!C465="","",'سجل الإنتاج'!C465)</f>
        <v/>
      </c>
      <c r="D1465" t="str">
        <f>IF('سجل الإنتاج'!C465="","","عدة مواد - راجع صفحة الطبخات")</f>
        <v/>
      </c>
      <c r="F1465" t="str">
        <f>IF('سجل الإنتاج'!C465="","",IF('سجل الإنتاج'!D465="","",'سجل الإنتاج'!D465))</f>
        <v/>
      </c>
      <c r="G1465" t="str">
        <f>IF($B1465&lt;&gt;"",SUMPRODUCT(($B$2:$B1465&lt;&gt;"")*1),"")</f>
        <v/>
      </c>
    </row>
    <row r="1466" spans="1:7">
      <c r="A1466" s="23" t="str">
        <f>IF('سجل الإنتاج'!C466="","",'سجل الإنتاج'!B466)</f>
        <v/>
      </c>
      <c r="B1466" t="str">
        <f>IF('سجل الإنتاج'!C466="","","إنتاج طبخة")</f>
        <v/>
      </c>
      <c r="C1466" t="str">
        <f>IF('سجل الإنتاج'!C466="","",'سجل الإنتاج'!C466)</f>
        <v/>
      </c>
      <c r="D1466" t="str">
        <f>IF('سجل الإنتاج'!C466="","","عدة مواد - راجع صفحة الطبخات")</f>
        <v/>
      </c>
      <c r="F1466" t="str">
        <f>IF('سجل الإنتاج'!C466="","",IF('سجل الإنتاج'!D466="","",'سجل الإنتاج'!D466))</f>
        <v/>
      </c>
      <c r="G1466" t="str">
        <f>IF($B1466&lt;&gt;"",SUMPRODUCT(($B$2:$B1466&lt;&gt;"")*1),"")</f>
        <v/>
      </c>
    </row>
    <row r="1467" spans="1:7">
      <c r="A1467" s="23" t="str">
        <f>IF('سجل الإنتاج'!C467="","",'سجل الإنتاج'!B467)</f>
        <v/>
      </c>
      <c r="B1467" t="str">
        <f>IF('سجل الإنتاج'!C467="","","إنتاج طبخة")</f>
        <v/>
      </c>
      <c r="C1467" t="str">
        <f>IF('سجل الإنتاج'!C467="","",'سجل الإنتاج'!C467)</f>
        <v/>
      </c>
      <c r="D1467" t="str">
        <f>IF('سجل الإنتاج'!C467="","","عدة مواد - راجع صفحة الطبخات")</f>
        <v/>
      </c>
      <c r="F1467" t="str">
        <f>IF('سجل الإنتاج'!C467="","",IF('سجل الإنتاج'!D467="","",'سجل الإنتاج'!D467))</f>
        <v/>
      </c>
      <c r="G1467" t="str">
        <f>IF($B1467&lt;&gt;"",SUMPRODUCT(($B$2:$B1467&lt;&gt;"")*1),"")</f>
        <v/>
      </c>
    </row>
    <row r="1468" spans="1:7">
      <c r="A1468" s="23" t="str">
        <f>IF('سجل الإنتاج'!C468="","",'سجل الإنتاج'!B468)</f>
        <v/>
      </c>
      <c r="B1468" t="str">
        <f>IF('سجل الإنتاج'!C468="","","إنتاج طبخة")</f>
        <v/>
      </c>
      <c r="C1468" t="str">
        <f>IF('سجل الإنتاج'!C468="","",'سجل الإنتاج'!C468)</f>
        <v/>
      </c>
      <c r="D1468" t="str">
        <f>IF('سجل الإنتاج'!C468="","","عدة مواد - راجع صفحة الطبخات")</f>
        <v/>
      </c>
      <c r="F1468" t="str">
        <f>IF('سجل الإنتاج'!C468="","",IF('سجل الإنتاج'!D468="","",'سجل الإنتاج'!D468))</f>
        <v/>
      </c>
      <c r="G1468" t="str">
        <f>IF($B1468&lt;&gt;"",SUMPRODUCT(($B$2:$B1468&lt;&gt;"")*1),"")</f>
        <v/>
      </c>
    </row>
    <row r="1469" spans="1:7">
      <c r="A1469" s="23" t="str">
        <f>IF('سجل الإنتاج'!C469="","",'سجل الإنتاج'!B469)</f>
        <v/>
      </c>
      <c r="B1469" t="str">
        <f>IF('سجل الإنتاج'!C469="","","إنتاج طبخة")</f>
        <v/>
      </c>
      <c r="C1469" t="str">
        <f>IF('سجل الإنتاج'!C469="","",'سجل الإنتاج'!C469)</f>
        <v/>
      </c>
      <c r="D1469" t="str">
        <f>IF('سجل الإنتاج'!C469="","","عدة مواد - راجع صفحة الطبخات")</f>
        <v/>
      </c>
      <c r="F1469" t="str">
        <f>IF('سجل الإنتاج'!C469="","",IF('سجل الإنتاج'!D469="","",'سجل الإنتاج'!D469))</f>
        <v/>
      </c>
      <c r="G1469" t="str">
        <f>IF($B1469&lt;&gt;"",SUMPRODUCT(($B$2:$B1469&lt;&gt;"")*1),"")</f>
        <v/>
      </c>
    </row>
    <row r="1470" spans="1:7">
      <c r="A1470" s="23" t="str">
        <f>IF('سجل الإنتاج'!C470="","",'سجل الإنتاج'!B470)</f>
        <v/>
      </c>
      <c r="B1470" t="str">
        <f>IF('سجل الإنتاج'!C470="","","إنتاج طبخة")</f>
        <v/>
      </c>
      <c r="C1470" t="str">
        <f>IF('سجل الإنتاج'!C470="","",'سجل الإنتاج'!C470)</f>
        <v/>
      </c>
      <c r="D1470" t="str">
        <f>IF('سجل الإنتاج'!C470="","","عدة مواد - راجع صفحة الطبخات")</f>
        <v/>
      </c>
      <c r="F1470" t="str">
        <f>IF('سجل الإنتاج'!C470="","",IF('سجل الإنتاج'!D470="","",'سجل الإنتاج'!D470))</f>
        <v/>
      </c>
      <c r="G1470" t="str">
        <f>IF($B1470&lt;&gt;"",SUMPRODUCT(($B$2:$B1470&lt;&gt;"")*1),"")</f>
        <v/>
      </c>
    </row>
    <row r="1471" spans="1:7">
      <c r="A1471" s="23" t="str">
        <f>IF('سجل الإنتاج'!C471="","",'سجل الإنتاج'!B471)</f>
        <v/>
      </c>
      <c r="B1471" t="str">
        <f>IF('سجل الإنتاج'!C471="","","إنتاج طبخة")</f>
        <v/>
      </c>
      <c r="C1471" t="str">
        <f>IF('سجل الإنتاج'!C471="","",'سجل الإنتاج'!C471)</f>
        <v/>
      </c>
      <c r="D1471" t="str">
        <f>IF('سجل الإنتاج'!C471="","","عدة مواد - راجع صفحة الطبخات")</f>
        <v/>
      </c>
      <c r="F1471" t="str">
        <f>IF('سجل الإنتاج'!C471="","",IF('سجل الإنتاج'!D471="","",'سجل الإنتاج'!D471))</f>
        <v/>
      </c>
      <c r="G1471" t="str">
        <f>IF($B1471&lt;&gt;"",SUMPRODUCT(($B$2:$B1471&lt;&gt;"")*1),"")</f>
        <v/>
      </c>
    </row>
    <row r="1472" spans="1:7">
      <c r="A1472" s="23" t="str">
        <f>IF('سجل الإنتاج'!C472="","",'سجل الإنتاج'!B472)</f>
        <v/>
      </c>
      <c r="B1472" t="str">
        <f>IF('سجل الإنتاج'!C472="","","إنتاج طبخة")</f>
        <v/>
      </c>
      <c r="C1472" t="str">
        <f>IF('سجل الإنتاج'!C472="","",'سجل الإنتاج'!C472)</f>
        <v/>
      </c>
      <c r="D1472" t="str">
        <f>IF('سجل الإنتاج'!C472="","","عدة مواد - راجع صفحة الطبخات")</f>
        <v/>
      </c>
      <c r="F1472" t="str">
        <f>IF('سجل الإنتاج'!C472="","",IF('سجل الإنتاج'!D472="","",'سجل الإنتاج'!D472))</f>
        <v/>
      </c>
      <c r="G1472" t="str">
        <f>IF($B1472&lt;&gt;"",SUMPRODUCT(($B$2:$B1472&lt;&gt;"")*1),"")</f>
        <v/>
      </c>
    </row>
    <row r="1473" spans="1:7">
      <c r="A1473" s="23" t="str">
        <f>IF('سجل الإنتاج'!C473="","",'سجل الإنتاج'!B473)</f>
        <v/>
      </c>
      <c r="B1473" t="str">
        <f>IF('سجل الإنتاج'!C473="","","إنتاج طبخة")</f>
        <v/>
      </c>
      <c r="C1473" t="str">
        <f>IF('سجل الإنتاج'!C473="","",'سجل الإنتاج'!C473)</f>
        <v/>
      </c>
      <c r="D1473" t="str">
        <f>IF('سجل الإنتاج'!C473="","","عدة مواد - راجع صفحة الطبخات")</f>
        <v/>
      </c>
      <c r="F1473" t="str">
        <f>IF('سجل الإنتاج'!C473="","",IF('سجل الإنتاج'!D473="","",'سجل الإنتاج'!D473))</f>
        <v/>
      </c>
      <c r="G1473" t="str">
        <f>IF($B1473&lt;&gt;"",SUMPRODUCT(($B$2:$B1473&lt;&gt;"")*1),"")</f>
        <v/>
      </c>
    </row>
    <row r="1474" spans="1:7">
      <c r="A1474" s="23" t="str">
        <f>IF('سجل الإنتاج'!C474="","",'سجل الإنتاج'!B474)</f>
        <v/>
      </c>
      <c r="B1474" t="str">
        <f>IF('سجل الإنتاج'!C474="","","إنتاج طبخة")</f>
        <v/>
      </c>
      <c r="C1474" t="str">
        <f>IF('سجل الإنتاج'!C474="","",'سجل الإنتاج'!C474)</f>
        <v/>
      </c>
      <c r="D1474" t="str">
        <f>IF('سجل الإنتاج'!C474="","","عدة مواد - راجع صفحة الطبخات")</f>
        <v/>
      </c>
      <c r="F1474" t="str">
        <f>IF('سجل الإنتاج'!C474="","",IF('سجل الإنتاج'!D474="","",'سجل الإنتاج'!D474))</f>
        <v/>
      </c>
      <c r="G1474" t="str">
        <f>IF($B1474&lt;&gt;"",SUMPRODUCT(($B$2:$B1474&lt;&gt;"")*1),"")</f>
        <v/>
      </c>
    </row>
    <row r="1475" spans="1:7">
      <c r="A1475" s="23" t="str">
        <f>IF('سجل الإنتاج'!C475="","",'سجل الإنتاج'!B475)</f>
        <v/>
      </c>
      <c r="B1475" t="str">
        <f>IF('سجل الإنتاج'!C475="","","إنتاج طبخة")</f>
        <v/>
      </c>
      <c r="C1475" t="str">
        <f>IF('سجل الإنتاج'!C475="","",'سجل الإنتاج'!C475)</f>
        <v/>
      </c>
      <c r="D1475" t="str">
        <f>IF('سجل الإنتاج'!C475="","","عدة مواد - راجع صفحة الطبخات")</f>
        <v/>
      </c>
      <c r="F1475" t="str">
        <f>IF('سجل الإنتاج'!C475="","",IF('سجل الإنتاج'!D475="","",'سجل الإنتاج'!D475))</f>
        <v/>
      </c>
      <c r="G1475" t="str">
        <f>IF($B1475&lt;&gt;"",SUMPRODUCT(($B$2:$B1475&lt;&gt;"")*1),"")</f>
        <v/>
      </c>
    </row>
    <row r="1476" spans="1:7">
      <c r="A1476" s="23" t="str">
        <f>IF('سجل الإنتاج'!C476="","",'سجل الإنتاج'!B476)</f>
        <v/>
      </c>
      <c r="B1476" t="str">
        <f>IF('سجل الإنتاج'!C476="","","إنتاج طبخة")</f>
        <v/>
      </c>
      <c r="C1476" t="str">
        <f>IF('سجل الإنتاج'!C476="","",'سجل الإنتاج'!C476)</f>
        <v/>
      </c>
      <c r="D1476" t="str">
        <f>IF('سجل الإنتاج'!C476="","","عدة مواد - راجع صفحة الطبخات")</f>
        <v/>
      </c>
      <c r="F1476" t="str">
        <f>IF('سجل الإنتاج'!C476="","",IF('سجل الإنتاج'!D476="","",'سجل الإنتاج'!D476))</f>
        <v/>
      </c>
      <c r="G1476" t="str">
        <f>IF($B1476&lt;&gt;"",SUMPRODUCT(($B$2:$B1476&lt;&gt;"")*1),"")</f>
        <v/>
      </c>
    </row>
    <row r="1477" spans="1:7">
      <c r="A1477" s="23" t="str">
        <f>IF('سجل الإنتاج'!C477="","",'سجل الإنتاج'!B477)</f>
        <v/>
      </c>
      <c r="B1477" t="str">
        <f>IF('سجل الإنتاج'!C477="","","إنتاج طبخة")</f>
        <v/>
      </c>
      <c r="C1477" t="str">
        <f>IF('سجل الإنتاج'!C477="","",'سجل الإنتاج'!C477)</f>
        <v/>
      </c>
      <c r="D1477" t="str">
        <f>IF('سجل الإنتاج'!C477="","","عدة مواد - راجع صفحة الطبخات")</f>
        <v/>
      </c>
      <c r="F1477" t="str">
        <f>IF('سجل الإنتاج'!C477="","",IF('سجل الإنتاج'!D477="","",'سجل الإنتاج'!D477))</f>
        <v/>
      </c>
      <c r="G1477" t="str">
        <f>IF($B1477&lt;&gt;"",SUMPRODUCT(($B$2:$B1477&lt;&gt;"")*1),"")</f>
        <v/>
      </c>
    </row>
    <row r="1478" spans="1:7">
      <c r="A1478" s="23" t="str">
        <f>IF('سجل الإنتاج'!C478="","",'سجل الإنتاج'!B478)</f>
        <v/>
      </c>
      <c r="B1478" t="str">
        <f>IF('سجل الإنتاج'!C478="","","إنتاج طبخة")</f>
        <v/>
      </c>
      <c r="C1478" t="str">
        <f>IF('سجل الإنتاج'!C478="","",'سجل الإنتاج'!C478)</f>
        <v/>
      </c>
      <c r="D1478" t="str">
        <f>IF('سجل الإنتاج'!C478="","","عدة مواد - راجع صفحة الطبخات")</f>
        <v/>
      </c>
      <c r="F1478" t="str">
        <f>IF('سجل الإنتاج'!C478="","",IF('سجل الإنتاج'!D478="","",'سجل الإنتاج'!D478))</f>
        <v/>
      </c>
      <c r="G1478" t="str">
        <f>IF($B1478&lt;&gt;"",SUMPRODUCT(($B$2:$B1478&lt;&gt;"")*1),"")</f>
        <v/>
      </c>
    </row>
    <row r="1479" spans="1:7">
      <c r="A1479" s="23" t="str">
        <f>IF('سجل الإنتاج'!C479="","",'سجل الإنتاج'!B479)</f>
        <v/>
      </c>
      <c r="B1479" t="str">
        <f>IF('سجل الإنتاج'!C479="","","إنتاج طبخة")</f>
        <v/>
      </c>
      <c r="C1479" t="str">
        <f>IF('سجل الإنتاج'!C479="","",'سجل الإنتاج'!C479)</f>
        <v/>
      </c>
      <c r="D1479" t="str">
        <f>IF('سجل الإنتاج'!C479="","","عدة مواد - راجع صفحة الطبخات")</f>
        <v/>
      </c>
      <c r="F1479" t="str">
        <f>IF('سجل الإنتاج'!C479="","",IF('سجل الإنتاج'!D479="","",'سجل الإنتاج'!D479))</f>
        <v/>
      </c>
      <c r="G1479" t="str">
        <f>IF($B1479&lt;&gt;"",SUMPRODUCT(($B$2:$B1479&lt;&gt;"")*1),"")</f>
        <v/>
      </c>
    </row>
    <row r="1480" spans="1:7">
      <c r="A1480" s="23" t="str">
        <f>IF('سجل الإنتاج'!C480="","",'سجل الإنتاج'!B480)</f>
        <v/>
      </c>
      <c r="B1480" t="str">
        <f>IF('سجل الإنتاج'!C480="","","إنتاج طبخة")</f>
        <v/>
      </c>
      <c r="C1480" t="str">
        <f>IF('سجل الإنتاج'!C480="","",'سجل الإنتاج'!C480)</f>
        <v/>
      </c>
      <c r="D1480" t="str">
        <f>IF('سجل الإنتاج'!C480="","","عدة مواد - راجع صفحة الطبخات")</f>
        <v/>
      </c>
      <c r="F1480" t="str">
        <f>IF('سجل الإنتاج'!C480="","",IF('سجل الإنتاج'!D480="","",'سجل الإنتاج'!D480))</f>
        <v/>
      </c>
      <c r="G1480" t="str">
        <f>IF($B1480&lt;&gt;"",SUMPRODUCT(($B$2:$B1480&lt;&gt;"")*1),"")</f>
        <v/>
      </c>
    </row>
    <row r="1481" spans="1:7">
      <c r="A1481" s="23" t="str">
        <f>IF('سجل الإنتاج'!C481="","",'سجل الإنتاج'!B481)</f>
        <v/>
      </c>
      <c r="B1481" t="str">
        <f>IF('سجل الإنتاج'!C481="","","إنتاج طبخة")</f>
        <v/>
      </c>
      <c r="C1481" t="str">
        <f>IF('سجل الإنتاج'!C481="","",'سجل الإنتاج'!C481)</f>
        <v/>
      </c>
      <c r="D1481" t="str">
        <f>IF('سجل الإنتاج'!C481="","","عدة مواد - راجع صفحة الطبخات")</f>
        <v/>
      </c>
      <c r="F1481" t="str">
        <f>IF('سجل الإنتاج'!C481="","",IF('سجل الإنتاج'!D481="","",'سجل الإنتاج'!D481))</f>
        <v/>
      </c>
      <c r="G1481" t="str">
        <f>IF($B1481&lt;&gt;"",SUMPRODUCT(($B$2:$B1481&lt;&gt;"")*1),"")</f>
        <v/>
      </c>
    </row>
    <row r="1482" spans="1:7">
      <c r="A1482" s="23" t="str">
        <f>IF('سجل الإنتاج'!C482="","",'سجل الإنتاج'!B482)</f>
        <v/>
      </c>
      <c r="B1482" t="str">
        <f>IF('سجل الإنتاج'!C482="","","إنتاج طبخة")</f>
        <v/>
      </c>
      <c r="C1482" t="str">
        <f>IF('سجل الإنتاج'!C482="","",'سجل الإنتاج'!C482)</f>
        <v/>
      </c>
      <c r="D1482" t="str">
        <f>IF('سجل الإنتاج'!C482="","","عدة مواد - راجع صفحة الطبخات")</f>
        <v/>
      </c>
      <c r="F1482" t="str">
        <f>IF('سجل الإنتاج'!C482="","",IF('سجل الإنتاج'!D482="","",'سجل الإنتاج'!D482))</f>
        <v/>
      </c>
      <c r="G1482" t="str">
        <f>IF($B1482&lt;&gt;"",SUMPRODUCT(($B$2:$B1482&lt;&gt;"")*1),"")</f>
        <v/>
      </c>
    </row>
    <row r="1483" spans="1:7">
      <c r="A1483" s="23" t="str">
        <f>IF('سجل الإنتاج'!C483="","",'سجل الإنتاج'!B483)</f>
        <v/>
      </c>
      <c r="B1483" t="str">
        <f>IF('سجل الإنتاج'!C483="","","إنتاج طبخة")</f>
        <v/>
      </c>
      <c r="C1483" t="str">
        <f>IF('سجل الإنتاج'!C483="","",'سجل الإنتاج'!C483)</f>
        <v/>
      </c>
      <c r="D1483" t="str">
        <f>IF('سجل الإنتاج'!C483="","","عدة مواد - راجع صفحة الطبخات")</f>
        <v/>
      </c>
      <c r="F1483" t="str">
        <f>IF('سجل الإنتاج'!C483="","",IF('سجل الإنتاج'!D483="","",'سجل الإنتاج'!D483))</f>
        <v/>
      </c>
      <c r="G1483" t="str">
        <f>IF($B1483&lt;&gt;"",SUMPRODUCT(($B$2:$B1483&lt;&gt;"")*1),"")</f>
        <v/>
      </c>
    </row>
    <row r="1484" spans="1:7">
      <c r="A1484" s="23" t="str">
        <f>IF('سجل الإنتاج'!C484="","",'سجل الإنتاج'!B484)</f>
        <v/>
      </c>
      <c r="B1484" t="str">
        <f>IF('سجل الإنتاج'!C484="","","إنتاج طبخة")</f>
        <v/>
      </c>
      <c r="C1484" t="str">
        <f>IF('سجل الإنتاج'!C484="","",'سجل الإنتاج'!C484)</f>
        <v/>
      </c>
      <c r="D1484" t="str">
        <f>IF('سجل الإنتاج'!C484="","","عدة مواد - راجع صفحة الطبخات")</f>
        <v/>
      </c>
      <c r="F1484" t="str">
        <f>IF('سجل الإنتاج'!C484="","",IF('سجل الإنتاج'!D484="","",'سجل الإنتاج'!D484))</f>
        <v/>
      </c>
      <c r="G1484" t="str">
        <f>IF($B1484&lt;&gt;"",SUMPRODUCT(($B$2:$B1484&lt;&gt;"")*1),"")</f>
        <v/>
      </c>
    </row>
    <row r="1485" spans="1:7">
      <c r="A1485" s="23" t="str">
        <f>IF('سجل الإنتاج'!C485="","",'سجل الإنتاج'!B485)</f>
        <v/>
      </c>
      <c r="B1485" t="str">
        <f>IF('سجل الإنتاج'!C485="","","إنتاج طبخة")</f>
        <v/>
      </c>
      <c r="C1485" t="str">
        <f>IF('سجل الإنتاج'!C485="","",'سجل الإنتاج'!C485)</f>
        <v/>
      </c>
      <c r="D1485" t="str">
        <f>IF('سجل الإنتاج'!C485="","","عدة مواد - راجع صفحة الطبخات")</f>
        <v/>
      </c>
      <c r="F1485" t="str">
        <f>IF('سجل الإنتاج'!C485="","",IF('سجل الإنتاج'!D485="","",'سجل الإنتاج'!D485))</f>
        <v/>
      </c>
      <c r="G1485" t="str">
        <f>IF($B1485&lt;&gt;"",SUMPRODUCT(($B$2:$B1485&lt;&gt;"")*1),"")</f>
        <v/>
      </c>
    </row>
    <row r="1486" spans="1:7">
      <c r="A1486" s="23" t="str">
        <f>IF('سجل الإنتاج'!C486="","",'سجل الإنتاج'!B486)</f>
        <v/>
      </c>
      <c r="B1486" t="str">
        <f>IF('سجل الإنتاج'!C486="","","إنتاج طبخة")</f>
        <v/>
      </c>
      <c r="C1486" t="str">
        <f>IF('سجل الإنتاج'!C486="","",'سجل الإنتاج'!C486)</f>
        <v/>
      </c>
      <c r="D1486" t="str">
        <f>IF('سجل الإنتاج'!C486="","","عدة مواد - راجع صفحة الطبخات")</f>
        <v/>
      </c>
      <c r="F1486" t="str">
        <f>IF('سجل الإنتاج'!C486="","",IF('سجل الإنتاج'!D486="","",'سجل الإنتاج'!D486))</f>
        <v/>
      </c>
      <c r="G1486" t="str">
        <f>IF($B1486&lt;&gt;"",SUMPRODUCT(($B$2:$B1486&lt;&gt;"")*1),"")</f>
        <v/>
      </c>
    </row>
    <row r="1487" spans="1:7">
      <c r="A1487" s="23" t="str">
        <f>IF('سجل الإنتاج'!C487="","",'سجل الإنتاج'!B487)</f>
        <v/>
      </c>
      <c r="B1487" t="str">
        <f>IF('سجل الإنتاج'!C487="","","إنتاج طبخة")</f>
        <v/>
      </c>
      <c r="C1487" t="str">
        <f>IF('سجل الإنتاج'!C487="","",'سجل الإنتاج'!C487)</f>
        <v/>
      </c>
      <c r="D1487" t="str">
        <f>IF('سجل الإنتاج'!C487="","","عدة مواد - راجع صفحة الطبخات")</f>
        <v/>
      </c>
      <c r="F1487" t="str">
        <f>IF('سجل الإنتاج'!C487="","",IF('سجل الإنتاج'!D487="","",'سجل الإنتاج'!D487))</f>
        <v/>
      </c>
      <c r="G1487" t="str">
        <f>IF($B1487&lt;&gt;"",SUMPRODUCT(($B$2:$B1487&lt;&gt;"")*1),"")</f>
        <v/>
      </c>
    </row>
    <row r="1488" spans="1:7">
      <c r="A1488" s="23" t="str">
        <f>IF('سجل الإنتاج'!C488="","",'سجل الإنتاج'!B488)</f>
        <v/>
      </c>
      <c r="B1488" t="str">
        <f>IF('سجل الإنتاج'!C488="","","إنتاج طبخة")</f>
        <v/>
      </c>
      <c r="C1488" t="str">
        <f>IF('سجل الإنتاج'!C488="","",'سجل الإنتاج'!C488)</f>
        <v/>
      </c>
      <c r="D1488" t="str">
        <f>IF('سجل الإنتاج'!C488="","","عدة مواد - راجع صفحة الطبخات")</f>
        <v/>
      </c>
      <c r="F1488" t="str">
        <f>IF('سجل الإنتاج'!C488="","",IF('سجل الإنتاج'!D488="","",'سجل الإنتاج'!D488))</f>
        <v/>
      </c>
      <c r="G1488" t="str">
        <f>IF($B1488&lt;&gt;"",SUMPRODUCT(($B$2:$B1488&lt;&gt;"")*1),"")</f>
        <v/>
      </c>
    </row>
    <row r="1489" spans="1:7">
      <c r="A1489" s="23" t="str">
        <f>IF('سجل الإنتاج'!C489="","",'سجل الإنتاج'!B489)</f>
        <v/>
      </c>
      <c r="B1489" t="str">
        <f>IF('سجل الإنتاج'!C489="","","إنتاج طبخة")</f>
        <v/>
      </c>
      <c r="C1489" t="str">
        <f>IF('سجل الإنتاج'!C489="","",'سجل الإنتاج'!C489)</f>
        <v/>
      </c>
      <c r="D1489" t="str">
        <f>IF('سجل الإنتاج'!C489="","","عدة مواد - راجع صفحة الطبخات")</f>
        <v/>
      </c>
      <c r="F1489" t="str">
        <f>IF('سجل الإنتاج'!C489="","",IF('سجل الإنتاج'!D489="","",'سجل الإنتاج'!D489))</f>
        <v/>
      </c>
      <c r="G1489" t="str">
        <f>IF($B1489&lt;&gt;"",SUMPRODUCT(($B$2:$B1489&lt;&gt;"")*1),"")</f>
        <v/>
      </c>
    </row>
    <row r="1490" spans="1:7">
      <c r="A1490" s="23" t="str">
        <f>IF('سجل الإنتاج'!C490="","",'سجل الإنتاج'!B490)</f>
        <v/>
      </c>
      <c r="B1490" t="str">
        <f>IF('سجل الإنتاج'!C490="","","إنتاج طبخة")</f>
        <v/>
      </c>
      <c r="C1490" t="str">
        <f>IF('سجل الإنتاج'!C490="","",'سجل الإنتاج'!C490)</f>
        <v/>
      </c>
      <c r="D1490" t="str">
        <f>IF('سجل الإنتاج'!C490="","","عدة مواد - راجع صفحة الطبخات")</f>
        <v/>
      </c>
      <c r="F1490" t="str">
        <f>IF('سجل الإنتاج'!C490="","",IF('سجل الإنتاج'!D490="","",'سجل الإنتاج'!D490))</f>
        <v/>
      </c>
      <c r="G1490" t="str">
        <f>IF($B1490&lt;&gt;"",SUMPRODUCT(($B$2:$B1490&lt;&gt;"")*1),"")</f>
        <v/>
      </c>
    </row>
    <row r="1491" spans="1:7">
      <c r="A1491" s="23" t="str">
        <f>IF('سجل الإنتاج'!C491="","",'سجل الإنتاج'!B491)</f>
        <v/>
      </c>
      <c r="B1491" t="str">
        <f>IF('سجل الإنتاج'!C491="","","إنتاج طبخة")</f>
        <v/>
      </c>
      <c r="C1491" t="str">
        <f>IF('سجل الإنتاج'!C491="","",'سجل الإنتاج'!C491)</f>
        <v/>
      </c>
      <c r="D1491" t="str">
        <f>IF('سجل الإنتاج'!C491="","","عدة مواد - راجع صفحة الطبخات")</f>
        <v/>
      </c>
      <c r="F1491" t="str">
        <f>IF('سجل الإنتاج'!C491="","",IF('سجل الإنتاج'!D491="","",'سجل الإنتاج'!D491))</f>
        <v/>
      </c>
      <c r="G1491" t="str">
        <f>IF($B1491&lt;&gt;"",SUMPRODUCT(($B$2:$B1491&lt;&gt;"")*1),"")</f>
        <v/>
      </c>
    </row>
    <row r="1492" spans="1:7">
      <c r="A1492" s="23" t="str">
        <f>IF('سجل الإنتاج'!C492="","",'سجل الإنتاج'!B492)</f>
        <v/>
      </c>
      <c r="B1492" t="str">
        <f>IF('سجل الإنتاج'!C492="","","إنتاج طبخة")</f>
        <v/>
      </c>
      <c r="C1492" t="str">
        <f>IF('سجل الإنتاج'!C492="","",'سجل الإنتاج'!C492)</f>
        <v/>
      </c>
      <c r="D1492" t="str">
        <f>IF('سجل الإنتاج'!C492="","","عدة مواد - راجع صفحة الطبخات")</f>
        <v/>
      </c>
      <c r="F1492" t="str">
        <f>IF('سجل الإنتاج'!C492="","",IF('سجل الإنتاج'!D492="","",'سجل الإنتاج'!D492))</f>
        <v/>
      </c>
      <c r="G1492" t="str">
        <f>IF($B1492&lt;&gt;"",SUMPRODUCT(($B$2:$B1492&lt;&gt;"")*1),"")</f>
        <v/>
      </c>
    </row>
    <row r="1493" spans="1:7">
      <c r="A1493" s="23" t="str">
        <f>IF('سجل الإنتاج'!C493="","",'سجل الإنتاج'!B493)</f>
        <v/>
      </c>
      <c r="B1493" t="str">
        <f>IF('سجل الإنتاج'!C493="","","إنتاج طبخة")</f>
        <v/>
      </c>
      <c r="C1493" t="str">
        <f>IF('سجل الإنتاج'!C493="","",'سجل الإنتاج'!C493)</f>
        <v/>
      </c>
      <c r="D1493" t="str">
        <f>IF('سجل الإنتاج'!C493="","","عدة مواد - راجع صفحة الطبخات")</f>
        <v/>
      </c>
      <c r="F1493" t="str">
        <f>IF('سجل الإنتاج'!C493="","",IF('سجل الإنتاج'!D493="","",'سجل الإنتاج'!D493))</f>
        <v/>
      </c>
      <c r="G1493" t="str">
        <f>IF($B1493&lt;&gt;"",SUMPRODUCT(($B$2:$B1493&lt;&gt;"")*1),"")</f>
        <v/>
      </c>
    </row>
    <row r="1494" spans="1:7">
      <c r="A1494" s="23" t="str">
        <f>IF('سجل الإنتاج'!C494="","",'سجل الإنتاج'!B494)</f>
        <v/>
      </c>
      <c r="B1494" t="str">
        <f>IF('سجل الإنتاج'!C494="","","إنتاج طبخة")</f>
        <v/>
      </c>
      <c r="C1494" t="str">
        <f>IF('سجل الإنتاج'!C494="","",'سجل الإنتاج'!C494)</f>
        <v/>
      </c>
      <c r="D1494" t="str">
        <f>IF('سجل الإنتاج'!C494="","","عدة مواد - راجع صفحة الطبخات")</f>
        <v/>
      </c>
      <c r="F1494" t="str">
        <f>IF('سجل الإنتاج'!C494="","",IF('سجل الإنتاج'!D494="","",'سجل الإنتاج'!D494))</f>
        <v/>
      </c>
      <c r="G1494" t="str">
        <f>IF($B1494&lt;&gt;"",SUMPRODUCT(($B$2:$B1494&lt;&gt;"")*1),"")</f>
        <v/>
      </c>
    </row>
    <row r="1495" spans="1:7">
      <c r="A1495" s="23" t="str">
        <f>IF('سجل الإنتاج'!C495="","",'سجل الإنتاج'!B495)</f>
        <v/>
      </c>
      <c r="B1495" t="str">
        <f>IF('سجل الإنتاج'!C495="","","إنتاج طبخة")</f>
        <v/>
      </c>
      <c r="C1495" t="str">
        <f>IF('سجل الإنتاج'!C495="","",'سجل الإنتاج'!C495)</f>
        <v/>
      </c>
      <c r="D1495" t="str">
        <f>IF('سجل الإنتاج'!C495="","","عدة مواد - راجع صفحة الطبخات")</f>
        <v/>
      </c>
      <c r="F1495" t="str">
        <f>IF('سجل الإنتاج'!C495="","",IF('سجل الإنتاج'!D495="","",'سجل الإنتاج'!D495))</f>
        <v/>
      </c>
      <c r="G1495" t="str">
        <f>IF($B1495&lt;&gt;"",SUMPRODUCT(($B$2:$B1495&lt;&gt;"")*1),"")</f>
        <v/>
      </c>
    </row>
    <row r="1496" spans="1:7">
      <c r="A1496" s="23" t="str">
        <f>IF('سجل الإنتاج'!C496="","",'سجل الإنتاج'!B496)</f>
        <v/>
      </c>
      <c r="B1496" t="str">
        <f>IF('سجل الإنتاج'!C496="","","إنتاج طبخة")</f>
        <v/>
      </c>
      <c r="C1496" t="str">
        <f>IF('سجل الإنتاج'!C496="","",'سجل الإنتاج'!C496)</f>
        <v/>
      </c>
      <c r="D1496" t="str">
        <f>IF('سجل الإنتاج'!C496="","","عدة مواد - راجع صفحة الطبخات")</f>
        <v/>
      </c>
      <c r="F1496" t="str">
        <f>IF('سجل الإنتاج'!C496="","",IF('سجل الإنتاج'!D496="","",'سجل الإنتاج'!D496))</f>
        <v/>
      </c>
      <c r="G1496" t="str">
        <f>IF($B1496&lt;&gt;"",SUMPRODUCT(($B$2:$B1496&lt;&gt;"")*1),"")</f>
        <v/>
      </c>
    </row>
    <row r="1497" spans="1:7">
      <c r="A1497" s="23" t="str">
        <f>IF('سجل الإنتاج'!C497="","",'سجل الإنتاج'!B497)</f>
        <v/>
      </c>
      <c r="B1497" t="str">
        <f>IF('سجل الإنتاج'!C497="","","إنتاج طبخة")</f>
        <v/>
      </c>
      <c r="C1497" t="str">
        <f>IF('سجل الإنتاج'!C497="","",'سجل الإنتاج'!C497)</f>
        <v/>
      </c>
      <c r="D1497" t="str">
        <f>IF('سجل الإنتاج'!C497="","","عدة مواد - راجع صفحة الطبخات")</f>
        <v/>
      </c>
      <c r="F1497" t="str">
        <f>IF('سجل الإنتاج'!C497="","",IF('سجل الإنتاج'!D497="","",'سجل الإنتاج'!D497))</f>
        <v/>
      </c>
      <c r="G1497" t="str">
        <f>IF($B1497&lt;&gt;"",SUMPRODUCT(($B$2:$B1497&lt;&gt;"")*1),"")</f>
        <v/>
      </c>
    </row>
    <row r="1498" spans="1:7">
      <c r="A1498" s="23" t="str">
        <f>IF('سجل الإنتاج'!C498="","",'سجل الإنتاج'!B498)</f>
        <v/>
      </c>
      <c r="B1498" t="str">
        <f>IF('سجل الإنتاج'!C498="","","إنتاج طبخة")</f>
        <v/>
      </c>
      <c r="C1498" t="str">
        <f>IF('سجل الإنتاج'!C498="","",'سجل الإنتاج'!C498)</f>
        <v/>
      </c>
      <c r="D1498" t="str">
        <f>IF('سجل الإنتاج'!C498="","","عدة مواد - راجع صفحة الطبخات")</f>
        <v/>
      </c>
      <c r="F1498" t="str">
        <f>IF('سجل الإنتاج'!C498="","",IF('سجل الإنتاج'!D498="","",'سجل الإنتاج'!D498))</f>
        <v/>
      </c>
      <c r="G1498" t="str">
        <f>IF($B1498&lt;&gt;"",SUMPRODUCT(($B$2:$B1498&lt;&gt;"")*1),"")</f>
        <v/>
      </c>
    </row>
    <row r="1499" spans="1:7">
      <c r="A1499" s="23" t="str">
        <f>IF('سجل الإنتاج'!C499="","",'سجل الإنتاج'!B499)</f>
        <v/>
      </c>
      <c r="B1499" t="str">
        <f>IF('سجل الإنتاج'!C499="","","إنتاج طبخة")</f>
        <v/>
      </c>
      <c r="C1499" t="str">
        <f>IF('سجل الإنتاج'!C499="","",'سجل الإنتاج'!C499)</f>
        <v/>
      </c>
      <c r="D1499" t="str">
        <f>IF('سجل الإنتاج'!C499="","","عدة مواد - راجع صفحة الطبخات")</f>
        <v/>
      </c>
      <c r="F1499" t="str">
        <f>IF('سجل الإنتاج'!C499="","",IF('سجل الإنتاج'!D499="","",'سجل الإنتاج'!D499))</f>
        <v/>
      </c>
      <c r="G1499" t="str">
        <f>IF($B1499&lt;&gt;"",SUMPRODUCT(($B$2:$B1499&lt;&gt;"")*1),"")</f>
        <v/>
      </c>
    </row>
    <row r="1500" spans="1:7">
      <c r="A1500" s="23" t="str">
        <f>IF('سجل الإنتاج'!C500="","",'سجل الإنتاج'!B500)</f>
        <v/>
      </c>
      <c r="B1500" t="str">
        <f>IF('سجل الإنتاج'!C500="","","إنتاج طبخة")</f>
        <v/>
      </c>
      <c r="C1500" t="str">
        <f>IF('سجل الإنتاج'!C500="","",'سجل الإنتاج'!C500)</f>
        <v/>
      </c>
      <c r="D1500" t="str">
        <f>IF('سجل الإنتاج'!C500="","","عدة مواد - راجع صفحة الطبخات")</f>
        <v/>
      </c>
      <c r="F1500" t="str">
        <f>IF('سجل الإنتاج'!C500="","",IF('سجل الإنتاج'!D500="","",'سجل الإنتاج'!D500))</f>
        <v/>
      </c>
      <c r="G1500" t="str">
        <f>IF($B1500&lt;&gt;"",SUMPRODUCT(($B$2:$B1500&lt;&gt;"")*1),"")</f>
        <v/>
      </c>
    </row>
    <row r="1501" spans="1:7">
      <c r="A1501" s="23" t="str">
        <f>IF('سجل الإنتاج'!C501="","",'سجل الإنتاج'!B501)</f>
        <v/>
      </c>
      <c r="B1501" t="str">
        <f>IF('سجل الإنتاج'!C501="","","إنتاج طبخة")</f>
        <v/>
      </c>
      <c r="C1501" t="str">
        <f>IF('سجل الإنتاج'!C501="","",'سجل الإنتاج'!C501)</f>
        <v/>
      </c>
      <c r="D1501" t="str">
        <f>IF('سجل الإنتاج'!C501="","","عدة مواد - راجع صفحة الطبخات")</f>
        <v/>
      </c>
      <c r="F1501" t="str">
        <f>IF('سجل الإنتاج'!C501="","",IF('سجل الإنتاج'!D501="","",'سجل الإنتاج'!D501))</f>
        <v/>
      </c>
      <c r="G1501" t="str">
        <f>IF($B1501&lt;&gt;"",SUMPRODUCT(($B$2:$B1501&lt;&gt;"")*1),"")</f>
        <v/>
      </c>
    </row>
    <row r="1502" spans="1:7">
      <c r="A1502" s="23">
        <f>IF('تعديل الجرد'!C2="","",'تعديل الجرد'!B2)</f>
        <v>46211</v>
      </c>
      <c r="B1502" t="str">
        <f>IF('تعديل الجرد'!C2="","","تعديل جرد")</f>
        <v>تعديل جرد</v>
      </c>
      <c r="C1502" t="str">
        <f>IF('تعديل الجرد'!C2="","",IF('تعديل الجرد'!G2="","-",'تعديل الجرد'!G2))</f>
        <v>فقدان</v>
      </c>
      <c r="D1502" t="str">
        <f>IF('تعديل الجرد'!C2="","",'تعديل الجرد'!C2)</f>
        <v>زفتة</v>
      </c>
      <c r="E1502" s="24">
        <f>IF('تعديل الجرد'!C2="","",'تعديل الجرد'!F2)</f>
        <v>-408</v>
      </c>
      <c r="F1502" t="str">
        <f>IF('تعديل الجرد'!C2="","",IF('تعديل الجرد'!H2="","",'تعديل الجرد'!H2))</f>
        <v>-</v>
      </c>
      <c r="G1502">
        <f>IF($B1502&lt;&gt;"",SUMPRODUCT(($B$2:$B1502&lt;&gt;"")*1),"")</f>
        <v>78</v>
      </c>
    </row>
    <row r="1503" spans="1:7">
      <c r="A1503" s="23" t="str">
        <f>IF('تعديل الجرد'!C3="","",'تعديل الجرد'!B3)</f>
        <v/>
      </c>
      <c r="B1503" t="str">
        <f>IF('تعديل الجرد'!C3="","","تعديل جرد")</f>
        <v/>
      </c>
      <c r="C1503" t="str">
        <f>IF('تعديل الجرد'!C3="","",IF('تعديل الجرد'!G3="","-",'تعديل الجرد'!G3))</f>
        <v/>
      </c>
      <c r="D1503" t="str">
        <f>IF('تعديل الجرد'!C3="","",'تعديل الجرد'!C3)</f>
        <v/>
      </c>
      <c r="E1503" s="24" t="str">
        <f>IF('تعديل الجرد'!C3="","",'تعديل الجرد'!F3)</f>
        <v/>
      </c>
      <c r="F1503" t="str">
        <f>IF('تعديل الجرد'!C3="","",IF('تعديل الجرد'!H3="","",'تعديل الجرد'!H3))</f>
        <v/>
      </c>
      <c r="G1503" t="str">
        <f>IF($B1503&lt;&gt;"",SUMPRODUCT(($B$2:$B1503&lt;&gt;"")*1),"")</f>
        <v/>
      </c>
    </row>
    <row r="1504" spans="1:7">
      <c r="A1504" s="23" t="str">
        <f>IF('تعديل الجرد'!C4="","",'تعديل الجرد'!B4)</f>
        <v/>
      </c>
      <c r="B1504" t="str">
        <f>IF('تعديل الجرد'!C4="","","تعديل جرد")</f>
        <v/>
      </c>
      <c r="C1504" t="str">
        <f>IF('تعديل الجرد'!C4="","",IF('تعديل الجرد'!G4="","-",'تعديل الجرد'!G4))</f>
        <v/>
      </c>
      <c r="D1504" t="str">
        <f>IF('تعديل الجرد'!C4="","",'تعديل الجرد'!C4)</f>
        <v/>
      </c>
      <c r="E1504" s="24" t="str">
        <f>IF('تعديل الجرد'!C4="","",'تعديل الجرد'!F4)</f>
        <v/>
      </c>
      <c r="F1504" t="str">
        <f>IF('تعديل الجرد'!C4="","",IF('تعديل الجرد'!H4="","",'تعديل الجرد'!H4))</f>
        <v/>
      </c>
      <c r="G1504" t="str">
        <f>IF($B1504&lt;&gt;"",SUMPRODUCT(($B$2:$B1504&lt;&gt;"")*1),"")</f>
        <v/>
      </c>
    </row>
    <row r="1505" spans="1:7">
      <c r="A1505" s="23" t="str">
        <f>IF('تعديل الجرد'!C5="","",'تعديل الجرد'!B5)</f>
        <v/>
      </c>
      <c r="B1505" t="str">
        <f>IF('تعديل الجرد'!C5="","","تعديل جرد")</f>
        <v/>
      </c>
      <c r="C1505" t="str">
        <f>IF('تعديل الجرد'!C5="","",IF('تعديل الجرد'!G5="","-",'تعديل الجرد'!G5))</f>
        <v/>
      </c>
      <c r="D1505" t="str">
        <f>IF('تعديل الجرد'!C5="","",'تعديل الجرد'!C5)</f>
        <v/>
      </c>
      <c r="E1505" s="24" t="str">
        <f>IF('تعديل الجرد'!C5="","",'تعديل الجرد'!F5)</f>
        <v/>
      </c>
      <c r="F1505" t="str">
        <f>IF('تعديل الجرد'!C5="","",IF('تعديل الجرد'!H5="","",'تعديل الجرد'!H5))</f>
        <v/>
      </c>
      <c r="G1505" t="str">
        <f>IF($B1505&lt;&gt;"",SUMPRODUCT(($B$2:$B1505&lt;&gt;"")*1),"")</f>
        <v/>
      </c>
    </row>
    <row r="1506" spans="1:7">
      <c r="A1506" s="23" t="str">
        <f>IF('تعديل الجرد'!C6="","",'تعديل الجرد'!B6)</f>
        <v/>
      </c>
      <c r="B1506" t="str">
        <f>IF('تعديل الجرد'!C6="","","تعديل جرد")</f>
        <v/>
      </c>
      <c r="C1506" t="str">
        <f>IF('تعديل الجرد'!C6="","",IF('تعديل الجرد'!G6="","-",'تعديل الجرد'!G6))</f>
        <v/>
      </c>
      <c r="D1506" t="str">
        <f>IF('تعديل الجرد'!C6="","",'تعديل الجرد'!C6)</f>
        <v/>
      </c>
      <c r="E1506" s="24" t="str">
        <f>IF('تعديل الجرد'!C6="","",'تعديل الجرد'!F6)</f>
        <v/>
      </c>
      <c r="F1506" t="str">
        <f>IF('تعديل الجرد'!C6="","",IF('تعديل الجرد'!H6="","",'تعديل الجرد'!H6))</f>
        <v/>
      </c>
      <c r="G1506" t="str">
        <f>IF($B1506&lt;&gt;"",SUMPRODUCT(($B$2:$B1506&lt;&gt;"")*1),"")</f>
        <v/>
      </c>
    </row>
    <row r="1507" spans="1:7">
      <c r="A1507" s="23" t="str">
        <f>IF('تعديل الجرد'!C7="","",'تعديل الجرد'!B7)</f>
        <v/>
      </c>
      <c r="B1507" t="str">
        <f>IF('تعديل الجرد'!C7="","","تعديل جرد")</f>
        <v/>
      </c>
      <c r="C1507" t="str">
        <f>IF('تعديل الجرد'!C7="","",IF('تعديل الجرد'!G7="","-",'تعديل الجرد'!G7))</f>
        <v/>
      </c>
      <c r="D1507" t="str">
        <f>IF('تعديل الجرد'!C7="","",'تعديل الجرد'!C7)</f>
        <v/>
      </c>
      <c r="E1507" s="24" t="str">
        <f>IF('تعديل الجرد'!C7="","",'تعديل الجرد'!F7)</f>
        <v/>
      </c>
      <c r="F1507" t="str">
        <f>IF('تعديل الجرد'!C7="","",IF('تعديل الجرد'!H7="","",'تعديل الجرد'!H7))</f>
        <v/>
      </c>
      <c r="G1507" t="str">
        <f>IF($B1507&lt;&gt;"",SUMPRODUCT(($B$2:$B1507&lt;&gt;"")*1),"")</f>
        <v/>
      </c>
    </row>
    <row r="1508" spans="1:7">
      <c r="A1508" s="23" t="str">
        <f>IF('تعديل الجرد'!C8="","",'تعديل الجرد'!B8)</f>
        <v/>
      </c>
      <c r="B1508" t="str">
        <f>IF('تعديل الجرد'!C8="","","تعديل جرد")</f>
        <v/>
      </c>
      <c r="C1508" t="str">
        <f>IF('تعديل الجرد'!C8="","",IF('تعديل الجرد'!G8="","-",'تعديل الجرد'!G8))</f>
        <v/>
      </c>
      <c r="D1508" t="str">
        <f>IF('تعديل الجرد'!C8="","",'تعديل الجرد'!C8)</f>
        <v/>
      </c>
      <c r="E1508" s="24" t="str">
        <f>IF('تعديل الجرد'!C8="","",'تعديل الجرد'!F8)</f>
        <v/>
      </c>
      <c r="F1508" t="str">
        <f>IF('تعديل الجرد'!C8="","",IF('تعديل الجرد'!H8="","",'تعديل الجرد'!H8))</f>
        <v/>
      </c>
      <c r="G1508" t="str">
        <f>IF($B1508&lt;&gt;"",SUMPRODUCT(($B$2:$B1508&lt;&gt;"")*1),"")</f>
        <v/>
      </c>
    </row>
    <row r="1509" spans="1:7">
      <c r="A1509" s="23" t="str">
        <f>IF('تعديل الجرد'!C9="","",'تعديل الجرد'!B9)</f>
        <v/>
      </c>
      <c r="B1509" t="str">
        <f>IF('تعديل الجرد'!C9="","","تعديل جرد")</f>
        <v/>
      </c>
      <c r="C1509" t="str">
        <f>IF('تعديل الجرد'!C9="","",IF('تعديل الجرد'!G9="","-",'تعديل الجرد'!G9))</f>
        <v/>
      </c>
      <c r="D1509" t="str">
        <f>IF('تعديل الجرد'!C9="","",'تعديل الجرد'!C9)</f>
        <v/>
      </c>
      <c r="E1509" s="24" t="str">
        <f>IF('تعديل الجرد'!C9="","",'تعديل الجرد'!F9)</f>
        <v/>
      </c>
      <c r="F1509" t="str">
        <f>IF('تعديل الجرد'!C9="","",IF('تعديل الجرد'!H9="","",'تعديل الجرد'!H9))</f>
        <v/>
      </c>
      <c r="G1509" t="str">
        <f>IF($B1509&lt;&gt;"",SUMPRODUCT(($B$2:$B1509&lt;&gt;"")*1),"")</f>
        <v/>
      </c>
    </row>
    <row r="1510" spans="1:7">
      <c r="A1510" s="23" t="str">
        <f>IF('تعديل الجرد'!C10="","",'تعديل الجرد'!B10)</f>
        <v/>
      </c>
      <c r="B1510" t="str">
        <f>IF('تعديل الجرد'!C10="","","تعديل جرد")</f>
        <v/>
      </c>
      <c r="C1510" t="str">
        <f>IF('تعديل الجرد'!C10="","",IF('تعديل الجرد'!G10="","-",'تعديل الجرد'!G10))</f>
        <v/>
      </c>
      <c r="D1510" t="str">
        <f>IF('تعديل الجرد'!C10="","",'تعديل الجرد'!C10)</f>
        <v/>
      </c>
      <c r="E1510" s="24" t="str">
        <f>IF('تعديل الجرد'!C10="","",'تعديل الجرد'!F10)</f>
        <v/>
      </c>
      <c r="F1510" t="str">
        <f>IF('تعديل الجرد'!C10="","",IF('تعديل الجرد'!H10="","",'تعديل الجرد'!H10))</f>
        <v/>
      </c>
      <c r="G1510" t="str">
        <f>IF($B1510&lt;&gt;"",SUMPRODUCT(($B$2:$B1510&lt;&gt;"")*1),"")</f>
        <v/>
      </c>
    </row>
    <row r="1511" spans="1:7">
      <c r="A1511" s="23" t="str">
        <f>IF('تعديل الجرد'!C11="","",'تعديل الجرد'!B11)</f>
        <v/>
      </c>
      <c r="B1511" t="str">
        <f>IF('تعديل الجرد'!C11="","","تعديل جرد")</f>
        <v/>
      </c>
      <c r="C1511" t="str">
        <f>IF('تعديل الجرد'!C11="","",IF('تعديل الجرد'!G11="","-",'تعديل الجرد'!G11))</f>
        <v/>
      </c>
      <c r="D1511" t="str">
        <f>IF('تعديل الجرد'!C11="","",'تعديل الجرد'!C11)</f>
        <v/>
      </c>
      <c r="E1511" s="24" t="str">
        <f>IF('تعديل الجرد'!C11="","",'تعديل الجرد'!F11)</f>
        <v/>
      </c>
      <c r="F1511" t="str">
        <f>IF('تعديل الجرد'!C11="","",IF('تعديل الجرد'!H11="","",'تعديل الجرد'!H11))</f>
        <v/>
      </c>
      <c r="G1511" t="str">
        <f>IF($B1511&lt;&gt;"",SUMPRODUCT(($B$2:$B1511&lt;&gt;"")*1),"")</f>
        <v/>
      </c>
    </row>
    <row r="1512" spans="1:7">
      <c r="A1512" s="23" t="str">
        <f>IF('تعديل الجرد'!C12="","",'تعديل الجرد'!B12)</f>
        <v/>
      </c>
      <c r="B1512" t="str">
        <f>IF('تعديل الجرد'!C12="","","تعديل جرد")</f>
        <v/>
      </c>
      <c r="C1512" t="str">
        <f>IF('تعديل الجرد'!C12="","",IF('تعديل الجرد'!G12="","-",'تعديل الجرد'!G12))</f>
        <v/>
      </c>
      <c r="D1512" t="str">
        <f>IF('تعديل الجرد'!C12="","",'تعديل الجرد'!C12)</f>
        <v/>
      </c>
      <c r="E1512" s="24" t="str">
        <f>IF('تعديل الجرد'!C12="","",'تعديل الجرد'!F12)</f>
        <v/>
      </c>
      <c r="F1512" t="str">
        <f>IF('تعديل الجرد'!C12="","",IF('تعديل الجرد'!H12="","",'تعديل الجرد'!H12))</f>
        <v/>
      </c>
      <c r="G1512" t="str">
        <f>IF($B1512&lt;&gt;"",SUMPRODUCT(($B$2:$B1512&lt;&gt;"")*1),"")</f>
        <v/>
      </c>
    </row>
    <row r="1513" spans="1:7">
      <c r="A1513" s="23" t="str">
        <f>IF('تعديل الجرد'!C13="","",'تعديل الجرد'!B13)</f>
        <v/>
      </c>
      <c r="B1513" t="str">
        <f>IF('تعديل الجرد'!C13="","","تعديل جرد")</f>
        <v/>
      </c>
      <c r="C1513" t="str">
        <f>IF('تعديل الجرد'!C13="","",IF('تعديل الجرد'!G13="","-",'تعديل الجرد'!G13))</f>
        <v/>
      </c>
      <c r="D1513" t="str">
        <f>IF('تعديل الجرد'!C13="","",'تعديل الجرد'!C13)</f>
        <v/>
      </c>
      <c r="E1513" s="24" t="str">
        <f>IF('تعديل الجرد'!C13="","",'تعديل الجرد'!F13)</f>
        <v/>
      </c>
      <c r="F1513" t="str">
        <f>IF('تعديل الجرد'!C13="","",IF('تعديل الجرد'!H13="","",'تعديل الجرد'!H13))</f>
        <v/>
      </c>
      <c r="G1513" t="str">
        <f>IF($B1513&lt;&gt;"",SUMPRODUCT(($B$2:$B1513&lt;&gt;"")*1),"")</f>
        <v/>
      </c>
    </row>
    <row r="1514" spans="1:7">
      <c r="A1514" s="23" t="str">
        <f>IF('تعديل الجرد'!C14="","",'تعديل الجرد'!B14)</f>
        <v/>
      </c>
      <c r="B1514" t="str">
        <f>IF('تعديل الجرد'!C14="","","تعديل جرد")</f>
        <v/>
      </c>
      <c r="C1514" t="str">
        <f>IF('تعديل الجرد'!C14="","",IF('تعديل الجرد'!G14="","-",'تعديل الجرد'!G14))</f>
        <v/>
      </c>
      <c r="D1514" t="str">
        <f>IF('تعديل الجرد'!C14="","",'تعديل الجرد'!C14)</f>
        <v/>
      </c>
      <c r="E1514" s="24" t="str">
        <f>IF('تعديل الجرد'!C14="","",'تعديل الجرد'!F14)</f>
        <v/>
      </c>
      <c r="F1514" t="str">
        <f>IF('تعديل الجرد'!C14="","",IF('تعديل الجرد'!H14="","",'تعديل الجرد'!H14))</f>
        <v/>
      </c>
      <c r="G1514" t="str">
        <f>IF($B1514&lt;&gt;"",SUMPRODUCT(($B$2:$B1514&lt;&gt;"")*1),"")</f>
        <v/>
      </c>
    </row>
    <row r="1515" spans="1:7">
      <c r="A1515" s="23" t="str">
        <f>IF('تعديل الجرد'!C15="","",'تعديل الجرد'!B15)</f>
        <v/>
      </c>
      <c r="B1515" t="str">
        <f>IF('تعديل الجرد'!C15="","","تعديل جرد")</f>
        <v/>
      </c>
      <c r="C1515" t="str">
        <f>IF('تعديل الجرد'!C15="","",IF('تعديل الجرد'!G15="","-",'تعديل الجرد'!G15))</f>
        <v/>
      </c>
      <c r="D1515" t="str">
        <f>IF('تعديل الجرد'!C15="","",'تعديل الجرد'!C15)</f>
        <v/>
      </c>
      <c r="E1515" s="24" t="str">
        <f>IF('تعديل الجرد'!C15="","",'تعديل الجرد'!F15)</f>
        <v/>
      </c>
      <c r="F1515" t="str">
        <f>IF('تعديل الجرد'!C15="","",IF('تعديل الجرد'!H15="","",'تعديل الجرد'!H15))</f>
        <v/>
      </c>
      <c r="G1515" t="str">
        <f>IF($B1515&lt;&gt;"",SUMPRODUCT(($B$2:$B1515&lt;&gt;"")*1),"")</f>
        <v/>
      </c>
    </row>
    <row r="1516" spans="1:7">
      <c r="A1516" s="23" t="str">
        <f>IF('تعديل الجرد'!C16="","",'تعديل الجرد'!B16)</f>
        <v/>
      </c>
      <c r="B1516" t="str">
        <f>IF('تعديل الجرد'!C16="","","تعديل جرد")</f>
        <v/>
      </c>
      <c r="C1516" t="str">
        <f>IF('تعديل الجرد'!C16="","",IF('تعديل الجرد'!G16="","-",'تعديل الجرد'!G16))</f>
        <v/>
      </c>
      <c r="D1516" t="str">
        <f>IF('تعديل الجرد'!C16="","",'تعديل الجرد'!C16)</f>
        <v/>
      </c>
      <c r="E1516" s="24" t="str">
        <f>IF('تعديل الجرد'!C16="","",'تعديل الجرد'!F16)</f>
        <v/>
      </c>
      <c r="F1516" t="str">
        <f>IF('تعديل الجرد'!C16="","",IF('تعديل الجرد'!H16="","",'تعديل الجرد'!H16))</f>
        <v/>
      </c>
      <c r="G1516" t="str">
        <f>IF($B1516&lt;&gt;"",SUMPRODUCT(($B$2:$B1516&lt;&gt;"")*1),"")</f>
        <v/>
      </c>
    </row>
    <row r="1517" spans="1:7">
      <c r="A1517" s="23" t="str">
        <f>IF('تعديل الجرد'!C17="","",'تعديل الجرد'!B17)</f>
        <v/>
      </c>
      <c r="B1517" t="str">
        <f>IF('تعديل الجرد'!C17="","","تعديل جرد")</f>
        <v/>
      </c>
      <c r="C1517" t="str">
        <f>IF('تعديل الجرد'!C17="","",IF('تعديل الجرد'!G17="","-",'تعديل الجرد'!G17))</f>
        <v/>
      </c>
      <c r="D1517" t="str">
        <f>IF('تعديل الجرد'!C17="","",'تعديل الجرد'!C17)</f>
        <v/>
      </c>
      <c r="E1517" s="24" t="str">
        <f>IF('تعديل الجرد'!C17="","",'تعديل الجرد'!F17)</f>
        <v/>
      </c>
      <c r="F1517" t="str">
        <f>IF('تعديل الجرد'!C17="","",IF('تعديل الجرد'!H17="","",'تعديل الجرد'!H17))</f>
        <v/>
      </c>
      <c r="G1517" t="str">
        <f>IF($B1517&lt;&gt;"",SUMPRODUCT(($B$2:$B1517&lt;&gt;"")*1),"")</f>
        <v/>
      </c>
    </row>
    <row r="1518" spans="1:7">
      <c r="A1518" s="23" t="str">
        <f>IF('تعديل الجرد'!C18="","",'تعديل الجرد'!B18)</f>
        <v/>
      </c>
      <c r="B1518" t="str">
        <f>IF('تعديل الجرد'!C18="","","تعديل جرد")</f>
        <v/>
      </c>
      <c r="C1518" t="str">
        <f>IF('تعديل الجرد'!C18="","",IF('تعديل الجرد'!G18="","-",'تعديل الجرد'!G18))</f>
        <v/>
      </c>
      <c r="D1518" t="str">
        <f>IF('تعديل الجرد'!C18="","",'تعديل الجرد'!C18)</f>
        <v/>
      </c>
      <c r="E1518" s="24" t="str">
        <f>IF('تعديل الجرد'!C18="","",'تعديل الجرد'!F18)</f>
        <v/>
      </c>
      <c r="F1518" t="str">
        <f>IF('تعديل الجرد'!C18="","",IF('تعديل الجرد'!H18="","",'تعديل الجرد'!H18))</f>
        <v/>
      </c>
      <c r="G1518" t="str">
        <f>IF($B1518&lt;&gt;"",SUMPRODUCT(($B$2:$B1518&lt;&gt;"")*1),"")</f>
        <v/>
      </c>
    </row>
    <row r="1519" spans="1:7">
      <c r="A1519" s="23" t="str">
        <f>IF('تعديل الجرد'!C19="","",'تعديل الجرد'!B19)</f>
        <v/>
      </c>
      <c r="B1519" t="str">
        <f>IF('تعديل الجرد'!C19="","","تعديل جرد")</f>
        <v/>
      </c>
      <c r="C1519" t="str">
        <f>IF('تعديل الجرد'!C19="","",IF('تعديل الجرد'!G19="","-",'تعديل الجرد'!G19))</f>
        <v/>
      </c>
      <c r="D1519" t="str">
        <f>IF('تعديل الجرد'!C19="","",'تعديل الجرد'!C19)</f>
        <v/>
      </c>
      <c r="E1519" s="24" t="str">
        <f>IF('تعديل الجرد'!C19="","",'تعديل الجرد'!F19)</f>
        <v/>
      </c>
      <c r="F1519" t="str">
        <f>IF('تعديل الجرد'!C19="","",IF('تعديل الجرد'!H19="","",'تعديل الجرد'!H19))</f>
        <v/>
      </c>
      <c r="G1519" t="str">
        <f>IF($B1519&lt;&gt;"",SUMPRODUCT(($B$2:$B1519&lt;&gt;"")*1),"")</f>
        <v/>
      </c>
    </row>
    <row r="1520" spans="1:7">
      <c r="A1520" s="23" t="str">
        <f>IF('تعديل الجرد'!C20="","",'تعديل الجرد'!B20)</f>
        <v/>
      </c>
      <c r="B1520" t="str">
        <f>IF('تعديل الجرد'!C20="","","تعديل جرد")</f>
        <v/>
      </c>
      <c r="C1520" t="str">
        <f>IF('تعديل الجرد'!C20="","",IF('تعديل الجرد'!G20="","-",'تعديل الجرد'!G20))</f>
        <v/>
      </c>
      <c r="D1520" t="str">
        <f>IF('تعديل الجرد'!C20="","",'تعديل الجرد'!C20)</f>
        <v/>
      </c>
      <c r="E1520" s="24" t="str">
        <f>IF('تعديل الجرد'!C20="","",'تعديل الجرد'!F20)</f>
        <v/>
      </c>
      <c r="F1520" t="str">
        <f>IF('تعديل الجرد'!C20="","",IF('تعديل الجرد'!H20="","",'تعديل الجرد'!H20))</f>
        <v/>
      </c>
      <c r="G1520" t="str">
        <f>IF($B1520&lt;&gt;"",SUMPRODUCT(($B$2:$B1520&lt;&gt;"")*1),"")</f>
        <v/>
      </c>
    </row>
    <row r="1521" spans="1:7">
      <c r="A1521" s="23" t="str">
        <f>IF('تعديل الجرد'!C21="","",'تعديل الجرد'!B21)</f>
        <v/>
      </c>
      <c r="B1521" t="str">
        <f>IF('تعديل الجرد'!C21="","","تعديل جرد")</f>
        <v/>
      </c>
      <c r="C1521" t="str">
        <f>IF('تعديل الجرد'!C21="","",IF('تعديل الجرد'!G21="","-",'تعديل الجرد'!G21))</f>
        <v/>
      </c>
      <c r="D1521" t="str">
        <f>IF('تعديل الجرد'!C21="","",'تعديل الجرد'!C21)</f>
        <v/>
      </c>
      <c r="E1521" s="24" t="str">
        <f>IF('تعديل الجرد'!C21="","",'تعديل الجرد'!F21)</f>
        <v/>
      </c>
      <c r="F1521" t="str">
        <f>IF('تعديل الجرد'!C21="","",IF('تعديل الجرد'!H21="","",'تعديل الجرد'!H21))</f>
        <v/>
      </c>
      <c r="G1521" t="str">
        <f>IF($B1521&lt;&gt;"",SUMPRODUCT(($B$2:$B1521&lt;&gt;"")*1),"")</f>
        <v/>
      </c>
    </row>
    <row r="1522" spans="1:7">
      <c r="A1522" s="23" t="str">
        <f>IF('تعديل الجرد'!C22="","",'تعديل الجرد'!B22)</f>
        <v/>
      </c>
      <c r="B1522" t="str">
        <f>IF('تعديل الجرد'!C22="","","تعديل جرد")</f>
        <v/>
      </c>
      <c r="C1522" t="str">
        <f>IF('تعديل الجرد'!C22="","",IF('تعديل الجرد'!G22="","-",'تعديل الجرد'!G22))</f>
        <v/>
      </c>
      <c r="D1522" t="str">
        <f>IF('تعديل الجرد'!C22="","",'تعديل الجرد'!C22)</f>
        <v/>
      </c>
      <c r="E1522" s="24" t="str">
        <f>IF('تعديل الجرد'!C22="","",'تعديل الجرد'!F22)</f>
        <v/>
      </c>
      <c r="F1522" t="str">
        <f>IF('تعديل الجرد'!C22="","",IF('تعديل الجرد'!H22="","",'تعديل الجرد'!H22))</f>
        <v/>
      </c>
      <c r="G1522" t="str">
        <f>IF($B1522&lt;&gt;"",SUMPRODUCT(($B$2:$B1522&lt;&gt;"")*1),"")</f>
        <v/>
      </c>
    </row>
    <row r="1523" spans="1:7">
      <c r="A1523" s="23" t="str">
        <f>IF('تعديل الجرد'!C23="","",'تعديل الجرد'!B23)</f>
        <v/>
      </c>
      <c r="B1523" t="str">
        <f>IF('تعديل الجرد'!C23="","","تعديل جرد")</f>
        <v/>
      </c>
      <c r="C1523" t="str">
        <f>IF('تعديل الجرد'!C23="","",IF('تعديل الجرد'!G23="","-",'تعديل الجرد'!G23))</f>
        <v/>
      </c>
      <c r="D1523" t="str">
        <f>IF('تعديل الجرد'!C23="","",'تعديل الجرد'!C23)</f>
        <v/>
      </c>
      <c r="E1523" s="24" t="str">
        <f>IF('تعديل الجرد'!C23="","",'تعديل الجرد'!F23)</f>
        <v/>
      </c>
      <c r="F1523" t="str">
        <f>IF('تعديل الجرد'!C23="","",IF('تعديل الجرد'!H23="","",'تعديل الجرد'!H23))</f>
        <v/>
      </c>
      <c r="G1523" t="str">
        <f>IF($B1523&lt;&gt;"",SUMPRODUCT(($B$2:$B1523&lt;&gt;"")*1),"")</f>
        <v/>
      </c>
    </row>
    <row r="1524" spans="1:7">
      <c r="A1524" s="23" t="str">
        <f>IF('تعديل الجرد'!C24="","",'تعديل الجرد'!B24)</f>
        <v/>
      </c>
      <c r="B1524" t="str">
        <f>IF('تعديل الجرد'!C24="","","تعديل جرد")</f>
        <v/>
      </c>
      <c r="C1524" t="str">
        <f>IF('تعديل الجرد'!C24="","",IF('تعديل الجرد'!G24="","-",'تعديل الجرد'!G24))</f>
        <v/>
      </c>
      <c r="D1524" t="str">
        <f>IF('تعديل الجرد'!C24="","",'تعديل الجرد'!C24)</f>
        <v/>
      </c>
      <c r="E1524" s="24" t="str">
        <f>IF('تعديل الجرد'!C24="","",'تعديل الجرد'!F24)</f>
        <v/>
      </c>
      <c r="F1524" t="str">
        <f>IF('تعديل الجرد'!C24="","",IF('تعديل الجرد'!H24="","",'تعديل الجرد'!H24))</f>
        <v/>
      </c>
      <c r="G1524" t="str">
        <f>IF($B1524&lt;&gt;"",SUMPRODUCT(($B$2:$B1524&lt;&gt;"")*1),"")</f>
        <v/>
      </c>
    </row>
    <row r="1525" spans="1:7">
      <c r="A1525" s="23" t="str">
        <f>IF('تعديل الجرد'!C25="","",'تعديل الجرد'!B25)</f>
        <v/>
      </c>
      <c r="B1525" t="str">
        <f>IF('تعديل الجرد'!C25="","","تعديل جرد")</f>
        <v/>
      </c>
      <c r="C1525" t="str">
        <f>IF('تعديل الجرد'!C25="","",IF('تعديل الجرد'!G25="","-",'تعديل الجرد'!G25))</f>
        <v/>
      </c>
      <c r="D1525" t="str">
        <f>IF('تعديل الجرد'!C25="","",'تعديل الجرد'!C25)</f>
        <v/>
      </c>
      <c r="E1525" s="24" t="str">
        <f>IF('تعديل الجرد'!C25="","",'تعديل الجرد'!F25)</f>
        <v/>
      </c>
      <c r="F1525" t="str">
        <f>IF('تعديل الجرد'!C25="","",IF('تعديل الجرد'!H25="","",'تعديل الجرد'!H25))</f>
        <v/>
      </c>
      <c r="G1525" t="str">
        <f>IF($B1525&lt;&gt;"",SUMPRODUCT(($B$2:$B1525&lt;&gt;"")*1),"")</f>
        <v/>
      </c>
    </row>
    <row r="1526" spans="1:7">
      <c r="A1526" s="23" t="str">
        <f>IF('تعديل الجرد'!C26="","",'تعديل الجرد'!B26)</f>
        <v/>
      </c>
      <c r="B1526" t="str">
        <f>IF('تعديل الجرد'!C26="","","تعديل جرد")</f>
        <v/>
      </c>
      <c r="C1526" t="str">
        <f>IF('تعديل الجرد'!C26="","",IF('تعديل الجرد'!G26="","-",'تعديل الجرد'!G26))</f>
        <v/>
      </c>
      <c r="D1526" t="str">
        <f>IF('تعديل الجرد'!C26="","",'تعديل الجرد'!C26)</f>
        <v/>
      </c>
      <c r="E1526" s="24" t="str">
        <f>IF('تعديل الجرد'!C26="","",'تعديل الجرد'!F26)</f>
        <v/>
      </c>
      <c r="F1526" t="str">
        <f>IF('تعديل الجرد'!C26="","",IF('تعديل الجرد'!H26="","",'تعديل الجرد'!H26))</f>
        <v/>
      </c>
      <c r="G1526" t="str">
        <f>IF($B1526&lt;&gt;"",SUMPRODUCT(($B$2:$B1526&lt;&gt;"")*1),"")</f>
        <v/>
      </c>
    </row>
    <row r="1527" spans="1:7">
      <c r="A1527" s="23" t="str">
        <f>IF('تعديل الجرد'!C27="","",'تعديل الجرد'!B27)</f>
        <v/>
      </c>
      <c r="B1527" t="str">
        <f>IF('تعديل الجرد'!C27="","","تعديل جرد")</f>
        <v/>
      </c>
      <c r="C1527" t="str">
        <f>IF('تعديل الجرد'!C27="","",IF('تعديل الجرد'!G27="","-",'تعديل الجرد'!G27))</f>
        <v/>
      </c>
      <c r="D1527" t="str">
        <f>IF('تعديل الجرد'!C27="","",'تعديل الجرد'!C27)</f>
        <v/>
      </c>
      <c r="E1527" s="24" t="str">
        <f>IF('تعديل الجرد'!C27="","",'تعديل الجرد'!F27)</f>
        <v/>
      </c>
      <c r="F1527" t="str">
        <f>IF('تعديل الجرد'!C27="","",IF('تعديل الجرد'!H27="","",'تعديل الجرد'!H27))</f>
        <v/>
      </c>
      <c r="G1527" t="str">
        <f>IF($B1527&lt;&gt;"",SUMPRODUCT(($B$2:$B1527&lt;&gt;"")*1),"")</f>
        <v/>
      </c>
    </row>
    <row r="1528" spans="1:7">
      <c r="A1528" s="23" t="str">
        <f>IF('تعديل الجرد'!C28="","",'تعديل الجرد'!B28)</f>
        <v/>
      </c>
      <c r="B1528" t="str">
        <f>IF('تعديل الجرد'!C28="","","تعديل جرد")</f>
        <v/>
      </c>
      <c r="C1528" t="str">
        <f>IF('تعديل الجرد'!C28="","",IF('تعديل الجرد'!G28="","-",'تعديل الجرد'!G28))</f>
        <v/>
      </c>
      <c r="D1528" t="str">
        <f>IF('تعديل الجرد'!C28="","",'تعديل الجرد'!C28)</f>
        <v/>
      </c>
      <c r="E1528" s="24" t="str">
        <f>IF('تعديل الجرد'!C28="","",'تعديل الجرد'!F28)</f>
        <v/>
      </c>
      <c r="F1528" t="str">
        <f>IF('تعديل الجرد'!C28="","",IF('تعديل الجرد'!H28="","",'تعديل الجرد'!H28))</f>
        <v/>
      </c>
      <c r="G1528" t="str">
        <f>IF($B1528&lt;&gt;"",SUMPRODUCT(($B$2:$B1528&lt;&gt;"")*1),"")</f>
        <v/>
      </c>
    </row>
    <row r="1529" spans="1:7">
      <c r="A1529" s="23" t="str">
        <f>IF('تعديل الجرد'!C29="","",'تعديل الجرد'!B29)</f>
        <v/>
      </c>
      <c r="B1529" t="str">
        <f>IF('تعديل الجرد'!C29="","","تعديل جرد")</f>
        <v/>
      </c>
      <c r="C1529" t="str">
        <f>IF('تعديل الجرد'!C29="","",IF('تعديل الجرد'!G29="","-",'تعديل الجرد'!G29))</f>
        <v/>
      </c>
      <c r="D1529" t="str">
        <f>IF('تعديل الجرد'!C29="","",'تعديل الجرد'!C29)</f>
        <v/>
      </c>
      <c r="E1529" s="24" t="str">
        <f>IF('تعديل الجرد'!C29="","",'تعديل الجرد'!F29)</f>
        <v/>
      </c>
      <c r="F1529" t="str">
        <f>IF('تعديل الجرد'!C29="","",IF('تعديل الجرد'!H29="","",'تعديل الجرد'!H29))</f>
        <v/>
      </c>
      <c r="G1529" t="str">
        <f>IF($B1529&lt;&gt;"",SUMPRODUCT(($B$2:$B1529&lt;&gt;"")*1),"")</f>
        <v/>
      </c>
    </row>
    <row r="1530" spans="1:7">
      <c r="A1530" s="23" t="str">
        <f>IF('تعديل الجرد'!C30="","",'تعديل الجرد'!B30)</f>
        <v/>
      </c>
      <c r="B1530" t="str">
        <f>IF('تعديل الجرد'!C30="","","تعديل جرد")</f>
        <v/>
      </c>
      <c r="C1530" t="str">
        <f>IF('تعديل الجرد'!C30="","",IF('تعديل الجرد'!G30="","-",'تعديل الجرد'!G30))</f>
        <v/>
      </c>
      <c r="D1530" t="str">
        <f>IF('تعديل الجرد'!C30="","",'تعديل الجرد'!C30)</f>
        <v/>
      </c>
      <c r="E1530" s="24" t="str">
        <f>IF('تعديل الجرد'!C30="","",'تعديل الجرد'!F30)</f>
        <v/>
      </c>
      <c r="F1530" t="str">
        <f>IF('تعديل الجرد'!C30="","",IF('تعديل الجرد'!H30="","",'تعديل الجرد'!H30))</f>
        <v/>
      </c>
      <c r="G1530" t="str">
        <f>IF($B1530&lt;&gt;"",SUMPRODUCT(($B$2:$B1530&lt;&gt;"")*1),"")</f>
        <v/>
      </c>
    </row>
    <row r="1531" spans="1:7">
      <c r="A1531" s="23" t="str">
        <f>IF('تعديل الجرد'!C31="","",'تعديل الجرد'!B31)</f>
        <v/>
      </c>
      <c r="B1531" t="str">
        <f>IF('تعديل الجرد'!C31="","","تعديل جرد")</f>
        <v/>
      </c>
      <c r="C1531" t="str">
        <f>IF('تعديل الجرد'!C31="","",IF('تعديل الجرد'!G31="","-",'تعديل الجرد'!G31))</f>
        <v/>
      </c>
      <c r="D1531" t="str">
        <f>IF('تعديل الجرد'!C31="","",'تعديل الجرد'!C31)</f>
        <v/>
      </c>
      <c r="E1531" s="24" t="str">
        <f>IF('تعديل الجرد'!C31="","",'تعديل الجرد'!F31)</f>
        <v/>
      </c>
      <c r="F1531" t="str">
        <f>IF('تعديل الجرد'!C31="","",IF('تعديل الجرد'!H31="","",'تعديل الجرد'!H31))</f>
        <v/>
      </c>
      <c r="G1531" t="str">
        <f>IF($B1531&lt;&gt;"",SUMPRODUCT(($B$2:$B1531&lt;&gt;"")*1),"")</f>
        <v/>
      </c>
    </row>
    <row r="1532" spans="1:7">
      <c r="A1532" s="23" t="str">
        <f>IF('تعديل الجرد'!C32="","",'تعديل الجرد'!B32)</f>
        <v/>
      </c>
      <c r="B1532" t="str">
        <f>IF('تعديل الجرد'!C32="","","تعديل جرد")</f>
        <v/>
      </c>
      <c r="C1532" t="str">
        <f>IF('تعديل الجرد'!C32="","",IF('تعديل الجرد'!G32="","-",'تعديل الجرد'!G32))</f>
        <v/>
      </c>
      <c r="D1532" t="str">
        <f>IF('تعديل الجرد'!C32="","",'تعديل الجرد'!C32)</f>
        <v/>
      </c>
      <c r="E1532" s="24" t="str">
        <f>IF('تعديل الجرد'!C32="","",'تعديل الجرد'!F32)</f>
        <v/>
      </c>
      <c r="F1532" t="str">
        <f>IF('تعديل الجرد'!C32="","",IF('تعديل الجرد'!H32="","",'تعديل الجرد'!H32))</f>
        <v/>
      </c>
      <c r="G1532" t="str">
        <f>IF($B1532&lt;&gt;"",SUMPRODUCT(($B$2:$B1532&lt;&gt;"")*1),"")</f>
        <v/>
      </c>
    </row>
    <row r="1533" spans="1:7">
      <c r="A1533" s="23" t="str">
        <f>IF('تعديل الجرد'!C33="","",'تعديل الجرد'!B33)</f>
        <v/>
      </c>
      <c r="B1533" t="str">
        <f>IF('تعديل الجرد'!C33="","","تعديل جرد")</f>
        <v/>
      </c>
      <c r="C1533" t="str">
        <f>IF('تعديل الجرد'!C33="","",IF('تعديل الجرد'!G33="","-",'تعديل الجرد'!G33))</f>
        <v/>
      </c>
      <c r="D1533" t="str">
        <f>IF('تعديل الجرد'!C33="","",'تعديل الجرد'!C33)</f>
        <v/>
      </c>
      <c r="E1533" s="24" t="str">
        <f>IF('تعديل الجرد'!C33="","",'تعديل الجرد'!F33)</f>
        <v/>
      </c>
      <c r="F1533" t="str">
        <f>IF('تعديل الجرد'!C33="","",IF('تعديل الجرد'!H33="","",'تعديل الجرد'!H33))</f>
        <v/>
      </c>
      <c r="G1533" t="str">
        <f>IF($B1533&lt;&gt;"",SUMPRODUCT(($B$2:$B1533&lt;&gt;"")*1),"")</f>
        <v/>
      </c>
    </row>
    <row r="1534" spans="1:7">
      <c r="A1534" s="23" t="str">
        <f>IF('تعديل الجرد'!C34="","",'تعديل الجرد'!B34)</f>
        <v/>
      </c>
      <c r="B1534" t="str">
        <f>IF('تعديل الجرد'!C34="","","تعديل جرد")</f>
        <v/>
      </c>
      <c r="C1534" t="str">
        <f>IF('تعديل الجرد'!C34="","",IF('تعديل الجرد'!G34="","-",'تعديل الجرد'!G34))</f>
        <v/>
      </c>
      <c r="D1534" t="str">
        <f>IF('تعديل الجرد'!C34="","",'تعديل الجرد'!C34)</f>
        <v/>
      </c>
      <c r="E1534" s="24" t="str">
        <f>IF('تعديل الجرد'!C34="","",'تعديل الجرد'!F34)</f>
        <v/>
      </c>
      <c r="F1534" t="str">
        <f>IF('تعديل الجرد'!C34="","",IF('تعديل الجرد'!H34="","",'تعديل الجرد'!H34))</f>
        <v/>
      </c>
      <c r="G1534" t="str">
        <f>IF($B1534&lt;&gt;"",SUMPRODUCT(($B$2:$B1534&lt;&gt;"")*1),"")</f>
        <v/>
      </c>
    </row>
    <row r="1535" spans="1:7">
      <c r="A1535" s="23" t="str">
        <f>IF('تعديل الجرد'!C35="","",'تعديل الجرد'!B35)</f>
        <v/>
      </c>
      <c r="B1535" t="str">
        <f>IF('تعديل الجرد'!C35="","","تعديل جرد")</f>
        <v/>
      </c>
      <c r="C1535" t="str">
        <f>IF('تعديل الجرد'!C35="","",IF('تعديل الجرد'!G35="","-",'تعديل الجرد'!G35))</f>
        <v/>
      </c>
      <c r="D1535" t="str">
        <f>IF('تعديل الجرد'!C35="","",'تعديل الجرد'!C35)</f>
        <v/>
      </c>
      <c r="E1535" s="24" t="str">
        <f>IF('تعديل الجرد'!C35="","",'تعديل الجرد'!F35)</f>
        <v/>
      </c>
      <c r="F1535" t="str">
        <f>IF('تعديل الجرد'!C35="","",IF('تعديل الجرد'!H35="","",'تعديل الجرد'!H35))</f>
        <v/>
      </c>
      <c r="G1535" t="str">
        <f>IF($B1535&lt;&gt;"",SUMPRODUCT(($B$2:$B1535&lt;&gt;"")*1),"")</f>
        <v/>
      </c>
    </row>
    <row r="1536" spans="1:7">
      <c r="A1536" s="23" t="str">
        <f>IF('تعديل الجرد'!C36="","",'تعديل الجرد'!B36)</f>
        <v/>
      </c>
      <c r="B1536" t="str">
        <f>IF('تعديل الجرد'!C36="","","تعديل جرد")</f>
        <v/>
      </c>
      <c r="C1536" t="str">
        <f>IF('تعديل الجرد'!C36="","",IF('تعديل الجرد'!G36="","-",'تعديل الجرد'!G36))</f>
        <v/>
      </c>
      <c r="D1536" t="str">
        <f>IF('تعديل الجرد'!C36="","",'تعديل الجرد'!C36)</f>
        <v/>
      </c>
      <c r="E1536" s="24" t="str">
        <f>IF('تعديل الجرد'!C36="","",'تعديل الجرد'!F36)</f>
        <v/>
      </c>
      <c r="F1536" t="str">
        <f>IF('تعديل الجرد'!C36="","",IF('تعديل الجرد'!H36="","",'تعديل الجرد'!H36))</f>
        <v/>
      </c>
      <c r="G1536" t="str">
        <f>IF($B1536&lt;&gt;"",SUMPRODUCT(($B$2:$B1536&lt;&gt;"")*1),"")</f>
        <v/>
      </c>
    </row>
    <row r="1537" spans="1:7">
      <c r="A1537" s="23" t="str">
        <f>IF('تعديل الجرد'!C37="","",'تعديل الجرد'!B37)</f>
        <v/>
      </c>
      <c r="B1537" t="str">
        <f>IF('تعديل الجرد'!C37="","","تعديل جرد")</f>
        <v/>
      </c>
      <c r="C1537" t="str">
        <f>IF('تعديل الجرد'!C37="","",IF('تعديل الجرد'!G37="","-",'تعديل الجرد'!G37))</f>
        <v/>
      </c>
      <c r="D1537" t="str">
        <f>IF('تعديل الجرد'!C37="","",'تعديل الجرد'!C37)</f>
        <v/>
      </c>
      <c r="E1537" s="24" t="str">
        <f>IF('تعديل الجرد'!C37="","",'تعديل الجرد'!F37)</f>
        <v/>
      </c>
      <c r="F1537" t="str">
        <f>IF('تعديل الجرد'!C37="","",IF('تعديل الجرد'!H37="","",'تعديل الجرد'!H37))</f>
        <v/>
      </c>
      <c r="G1537" t="str">
        <f>IF($B1537&lt;&gt;"",SUMPRODUCT(($B$2:$B1537&lt;&gt;"")*1),"")</f>
        <v/>
      </c>
    </row>
    <row r="1538" spans="1:7">
      <c r="A1538" s="23" t="str">
        <f>IF('تعديل الجرد'!C38="","",'تعديل الجرد'!B38)</f>
        <v/>
      </c>
      <c r="B1538" t="str">
        <f>IF('تعديل الجرد'!C38="","","تعديل جرد")</f>
        <v/>
      </c>
      <c r="C1538" t="str">
        <f>IF('تعديل الجرد'!C38="","",IF('تعديل الجرد'!G38="","-",'تعديل الجرد'!G38))</f>
        <v/>
      </c>
      <c r="D1538" t="str">
        <f>IF('تعديل الجرد'!C38="","",'تعديل الجرد'!C38)</f>
        <v/>
      </c>
      <c r="E1538" s="24" t="str">
        <f>IF('تعديل الجرد'!C38="","",'تعديل الجرد'!F38)</f>
        <v/>
      </c>
      <c r="F1538" t="str">
        <f>IF('تعديل الجرد'!C38="","",IF('تعديل الجرد'!H38="","",'تعديل الجرد'!H38))</f>
        <v/>
      </c>
      <c r="G1538" t="str">
        <f>IF($B1538&lt;&gt;"",SUMPRODUCT(($B$2:$B1538&lt;&gt;"")*1),"")</f>
        <v/>
      </c>
    </row>
    <row r="1539" spans="1:7">
      <c r="A1539" s="23" t="str">
        <f>IF('تعديل الجرد'!C39="","",'تعديل الجرد'!B39)</f>
        <v/>
      </c>
      <c r="B1539" t="str">
        <f>IF('تعديل الجرد'!C39="","","تعديل جرد")</f>
        <v/>
      </c>
      <c r="C1539" t="str">
        <f>IF('تعديل الجرد'!C39="","",IF('تعديل الجرد'!G39="","-",'تعديل الجرد'!G39))</f>
        <v/>
      </c>
      <c r="D1539" t="str">
        <f>IF('تعديل الجرد'!C39="","",'تعديل الجرد'!C39)</f>
        <v/>
      </c>
      <c r="E1539" s="24" t="str">
        <f>IF('تعديل الجرد'!C39="","",'تعديل الجرد'!F39)</f>
        <v/>
      </c>
      <c r="F1539" t="str">
        <f>IF('تعديل الجرد'!C39="","",IF('تعديل الجرد'!H39="","",'تعديل الجرد'!H39))</f>
        <v/>
      </c>
      <c r="G1539" t="str">
        <f>IF($B1539&lt;&gt;"",SUMPRODUCT(($B$2:$B1539&lt;&gt;"")*1),"")</f>
        <v/>
      </c>
    </row>
    <row r="1540" spans="1:7">
      <c r="A1540" s="23" t="str">
        <f>IF('تعديل الجرد'!C40="","",'تعديل الجرد'!B40)</f>
        <v/>
      </c>
      <c r="B1540" t="str">
        <f>IF('تعديل الجرد'!C40="","","تعديل جرد")</f>
        <v/>
      </c>
      <c r="C1540" t="str">
        <f>IF('تعديل الجرد'!C40="","",IF('تعديل الجرد'!G40="","-",'تعديل الجرد'!G40))</f>
        <v/>
      </c>
      <c r="D1540" t="str">
        <f>IF('تعديل الجرد'!C40="","",'تعديل الجرد'!C40)</f>
        <v/>
      </c>
      <c r="E1540" s="24" t="str">
        <f>IF('تعديل الجرد'!C40="","",'تعديل الجرد'!F40)</f>
        <v/>
      </c>
      <c r="F1540" t="str">
        <f>IF('تعديل الجرد'!C40="","",IF('تعديل الجرد'!H40="","",'تعديل الجرد'!H40))</f>
        <v/>
      </c>
      <c r="G1540" t="str">
        <f>IF($B1540&lt;&gt;"",SUMPRODUCT(($B$2:$B1540&lt;&gt;"")*1),"")</f>
        <v/>
      </c>
    </row>
    <row r="1541" spans="1:7">
      <c r="A1541" s="23" t="str">
        <f>IF('تعديل الجرد'!C41="","",'تعديل الجرد'!B41)</f>
        <v/>
      </c>
      <c r="B1541" t="str">
        <f>IF('تعديل الجرد'!C41="","","تعديل جرد")</f>
        <v/>
      </c>
      <c r="C1541" t="str">
        <f>IF('تعديل الجرد'!C41="","",IF('تعديل الجرد'!G41="","-",'تعديل الجرد'!G41))</f>
        <v/>
      </c>
      <c r="D1541" t="str">
        <f>IF('تعديل الجرد'!C41="","",'تعديل الجرد'!C41)</f>
        <v/>
      </c>
      <c r="E1541" s="24" t="str">
        <f>IF('تعديل الجرد'!C41="","",'تعديل الجرد'!F41)</f>
        <v/>
      </c>
      <c r="F1541" t="str">
        <f>IF('تعديل الجرد'!C41="","",IF('تعديل الجرد'!H41="","",'تعديل الجرد'!H41))</f>
        <v/>
      </c>
      <c r="G1541" t="str">
        <f>IF($B1541&lt;&gt;"",SUMPRODUCT(($B$2:$B1541&lt;&gt;"")*1),"")</f>
        <v/>
      </c>
    </row>
    <row r="1542" spans="1:7">
      <c r="A1542" s="23" t="str">
        <f>IF('تعديل الجرد'!C42="","",'تعديل الجرد'!B42)</f>
        <v/>
      </c>
      <c r="B1542" t="str">
        <f>IF('تعديل الجرد'!C42="","","تعديل جرد")</f>
        <v/>
      </c>
      <c r="C1542" t="str">
        <f>IF('تعديل الجرد'!C42="","",IF('تعديل الجرد'!G42="","-",'تعديل الجرد'!G42))</f>
        <v/>
      </c>
      <c r="D1542" t="str">
        <f>IF('تعديل الجرد'!C42="","",'تعديل الجرد'!C42)</f>
        <v/>
      </c>
      <c r="E1542" s="24" t="str">
        <f>IF('تعديل الجرد'!C42="","",'تعديل الجرد'!F42)</f>
        <v/>
      </c>
      <c r="F1542" t="str">
        <f>IF('تعديل الجرد'!C42="","",IF('تعديل الجرد'!H42="","",'تعديل الجرد'!H42))</f>
        <v/>
      </c>
      <c r="G1542" t="str">
        <f>IF($B1542&lt;&gt;"",SUMPRODUCT(($B$2:$B1542&lt;&gt;"")*1),"")</f>
        <v/>
      </c>
    </row>
    <row r="1543" spans="1:7">
      <c r="A1543" s="23" t="str">
        <f>IF('تعديل الجرد'!C43="","",'تعديل الجرد'!B43)</f>
        <v/>
      </c>
      <c r="B1543" t="str">
        <f>IF('تعديل الجرد'!C43="","","تعديل جرد")</f>
        <v/>
      </c>
      <c r="C1543" t="str">
        <f>IF('تعديل الجرد'!C43="","",IF('تعديل الجرد'!G43="","-",'تعديل الجرد'!G43))</f>
        <v/>
      </c>
      <c r="D1543" t="str">
        <f>IF('تعديل الجرد'!C43="","",'تعديل الجرد'!C43)</f>
        <v/>
      </c>
      <c r="E1543" s="24" t="str">
        <f>IF('تعديل الجرد'!C43="","",'تعديل الجرد'!F43)</f>
        <v/>
      </c>
      <c r="F1543" t="str">
        <f>IF('تعديل الجرد'!C43="","",IF('تعديل الجرد'!H43="","",'تعديل الجرد'!H43))</f>
        <v/>
      </c>
      <c r="G1543" t="str">
        <f>IF($B1543&lt;&gt;"",SUMPRODUCT(($B$2:$B1543&lt;&gt;"")*1),"")</f>
        <v/>
      </c>
    </row>
    <row r="1544" spans="1:7">
      <c r="A1544" s="23" t="str">
        <f>IF('تعديل الجرد'!C44="","",'تعديل الجرد'!B44)</f>
        <v/>
      </c>
      <c r="B1544" t="str">
        <f>IF('تعديل الجرد'!C44="","","تعديل جرد")</f>
        <v/>
      </c>
      <c r="C1544" t="str">
        <f>IF('تعديل الجرد'!C44="","",IF('تعديل الجرد'!G44="","-",'تعديل الجرد'!G44))</f>
        <v/>
      </c>
      <c r="D1544" t="str">
        <f>IF('تعديل الجرد'!C44="","",'تعديل الجرد'!C44)</f>
        <v/>
      </c>
      <c r="E1544" s="24" t="str">
        <f>IF('تعديل الجرد'!C44="","",'تعديل الجرد'!F44)</f>
        <v/>
      </c>
      <c r="F1544" t="str">
        <f>IF('تعديل الجرد'!C44="","",IF('تعديل الجرد'!H44="","",'تعديل الجرد'!H44))</f>
        <v/>
      </c>
      <c r="G1544" t="str">
        <f>IF($B1544&lt;&gt;"",SUMPRODUCT(($B$2:$B1544&lt;&gt;"")*1),"")</f>
        <v/>
      </c>
    </row>
    <row r="1545" spans="1:7">
      <c r="A1545" s="23" t="str">
        <f>IF('تعديل الجرد'!C45="","",'تعديل الجرد'!B45)</f>
        <v/>
      </c>
      <c r="B1545" t="str">
        <f>IF('تعديل الجرد'!C45="","","تعديل جرد")</f>
        <v/>
      </c>
      <c r="C1545" t="str">
        <f>IF('تعديل الجرد'!C45="","",IF('تعديل الجرد'!G45="","-",'تعديل الجرد'!G45))</f>
        <v/>
      </c>
      <c r="D1545" t="str">
        <f>IF('تعديل الجرد'!C45="","",'تعديل الجرد'!C45)</f>
        <v/>
      </c>
      <c r="E1545" s="24" t="str">
        <f>IF('تعديل الجرد'!C45="","",'تعديل الجرد'!F45)</f>
        <v/>
      </c>
      <c r="F1545" t="str">
        <f>IF('تعديل الجرد'!C45="","",IF('تعديل الجرد'!H45="","",'تعديل الجرد'!H45))</f>
        <v/>
      </c>
      <c r="G1545" t="str">
        <f>IF($B1545&lt;&gt;"",SUMPRODUCT(($B$2:$B1545&lt;&gt;"")*1),"")</f>
        <v/>
      </c>
    </row>
    <row r="1546" spans="1:7">
      <c r="A1546" s="23" t="str">
        <f>IF('تعديل الجرد'!C46="","",'تعديل الجرد'!B46)</f>
        <v/>
      </c>
      <c r="B1546" t="str">
        <f>IF('تعديل الجرد'!C46="","","تعديل جرد")</f>
        <v/>
      </c>
      <c r="C1546" t="str">
        <f>IF('تعديل الجرد'!C46="","",IF('تعديل الجرد'!G46="","-",'تعديل الجرد'!G46))</f>
        <v/>
      </c>
      <c r="D1546" t="str">
        <f>IF('تعديل الجرد'!C46="","",'تعديل الجرد'!C46)</f>
        <v/>
      </c>
      <c r="E1546" s="24" t="str">
        <f>IF('تعديل الجرد'!C46="","",'تعديل الجرد'!F46)</f>
        <v/>
      </c>
      <c r="F1546" t="str">
        <f>IF('تعديل الجرد'!C46="","",IF('تعديل الجرد'!H46="","",'تعديل الجرد'!H46))</f>
        <v/>
      </c>
      <c r="G1546" t="str">
        <f>IF($B1546&lt;&gt;"",SUMPRODUCT(($B$2:$B1546&lt;&gt;"")*1),"")</f>
        <v/>
      </c>
    </row>
    <row r="1547" spans="1:7">
      <c r="A1547" s="23" t="str">
        <f>IF('تعديل الجرد'!C47="","",'تعديل الجرد'!B47)</f>
        <v/>
      </c>
      <c r="B1547" t="str">
        <f>IF('تعديل الجرد'!C47="","","تعديل جرد")</f>
        <v/>
      </c>
      <c r="C1547" t="str">
        <f>IF('تعديل الجرد'!C47="","",IF('تعديل الجرد'!G47="","-",'تعديل الجرد'!G47))</f>
        <v/>
      </c>
      <c r="D1547" t="str">
        <f>IF('تعديل الجرد'!C47="","",'تعديل الجرد'!C47)</f>
        <v/>
      </c>
      <c r="E1547" s="24" t="str">
        <f>IF('تعديل الجرد'!C47="","",'تعديل الجرد'!F47)</f>
        <v/>
      </c>
      <c r="F1547" t="str">
        <f>IF('تعديل الجرد'!C47="","",IF('تعديل الجرد'!H47="","",'تعديل الجرد'!H47))</f>
        <v/>
      </c>
      <c r="G1547" t="str">
        <f>IF($B1547&lt;&gt;"",SUMPRODUCT(($B$2:$B1547&lt;&gt;"")*1),"")</f>
        <v/>
      </c>
    </row>
    <row r="1548" spans="1:7">
      <c r="A1548" s="23" t="str">
        <f>IF('تعديل الجرد'!C48="","",'تعديل الجرد'!B48)</f>
        <v/>
      </c>
      <c r="B1548" t="str">
        <f>IF('تعديل الجرد'!C48="","","تعديل جرد")</f>
        <v/>
      </c>
      <c r="C1548" t="str">
        <f>IF('تعديل الجرد'!C48="","",IF('تعديل الجرد'!G48="","-",'تعديل الجرد'!G48))</f>
        <v/>
      </c>
      <c r="D1548" t="str">
        <f>IF('تعديل الجرد'!C48="","",'تعديل الجرد'!C48)</f>
        <v/>
      </c>
      <c r="E1548" s="24" t="str">
        <f>IF('تعديل الجرد'!C48="","",'تعديل الجرد'!F48)</f>
        <v/>
      </c>
      <c r="F1548" t="str">
        <f>IF('تعديل الجرد'!C48="","",IF('تعديل الجرد'!H48="","",'تعديل الجرد'!H48))</f>
        <v/>
      </c>
      <c r="G1548" t="str">
        <f>IF($B1548&lt;&gt;"",SUMPRODUCT(($B$2:$B1548&lt;&gt;"")*1),"")</f>
        <v/>
      </c>
    </row>
    <row r="1549" spans="1:7">
      <c r="A1549" s="23" t="str">
        <f>IF('تعديل الجرد'!C49="","",'تعديل الجرد'!B49)</f>
        <v/>
      </c>
      <c r="B1549" t="str">
        <f>IF('تعديل الجرد'!C49="","","تعديل جرد")</f>
        <v/>
      </c>
      <c r="C1549" t="str">
        <f>IF('تعديل الجرد'!C49="","",IF('تعديل الجرد'!G49="","-",'تعديل الجرد'!G49))</f>
        <v/>
      </c>
      <c r="D1549" t="str">
        <f>IF('تعديل الجرد'!C49="","",'تعديل الجرد'!C49)</f>
        <v/>
      </c>
      <c r="E1549" s="24" t="str">
        <f>IF('تعديل الجرد'!C49="","",'تعديل الجرد'!F49)</f>
        <v/>
      </c>
      <c r="F1549" t="str">
        <f>IF('تعديل الجرد'!C49="","",IF('تعديل الجرد'!H49="","",'تعديل الجرد'!H49))</f>
        <v/>
      </c>
      <c r="G1549" t="str">
        <f>IF($B1549&lt;&gt;"",SUMPRODUCT(($B$2:$B1549&lt;&gt;"")*1),"")</f>
        <v/>
      </c>
    </row>
    <row r="1550" spans="1:7">
      <c r="A1550" s="23" t="str">
        <f>IF('تعديل الجرد'!C50="","",'تعديل الجرد'!B50)</f>
        <v/>
      </c>
      <c r="B1550" t="str">
        <f>IF('تعديل الجرد'!C50="","","تعديل جرد")</f>
        <v/>
      </c>
      <c r="C1550" t="str">
        <f>IF('تعديل الجرد'!C50="","",IF('تعديل الجرد'!G50="","-",'تعديل الجرد'!G50))</f>
        <v/>
      </c>
      <c r="D1550" t="str">
        <f>IF('تعديل الجرد'!C50="","",'تعديل الجرد'!C50)</f>
        <v/>
      </c>
      <c r="E1550" s="24" t="str">
        <f>IF('تعديل الجرد'!C50="","",'تعديل الجرد'!F50)</f>
        <v/>
      </c>
      <c r="F1550" t="str">
        <f>IF('تعديل الجرد'!C50="","",IF('تعديل الجرد'!H50="","",'تعديل الجرد'!H50))</f>
        <v/>
      </c>
      <c r="G1550" t="str">
        <f>IF($B1550&lt;&gt;"",SUMPRODUCT(($B$2:$B1550&lt;&gt;"")*1),"")</f>
        <v/>
      </c>
    </row>
    <row r="1551" spans="1:7">
      <c r="A1551" s="23" t="str">
        <f>IF('تعديل الجرد'!C51="","",'تعديل الجرد'!B51)</f>
        <v/>
      </c>
      <c r="B1551" t="str">
        <f>IF('تعديل الجرد'!C51="","","تعديل جرد")</f>
        <v/>
      </c>
      <c r="C1551" t="str">
        <f>IF('تعديل الجرد'!C51="","",IF('تعديل الجرد'!G51="","-",'تعديل الجرد'!G51))</f>
        <v/>
      </c>
      <c r="D1551" t="str">
        <f>IF('تعديل الجرد'!C51="","",'تعديل الجرد'!C51)</f>
        <v/>
      </c>
      <c r="E1551" s="24" t="str">
        <f>IF('تعديل الجرد'!C51="","",'تعديل الجرد'!F51)</f>
        <v/>
      </c>
      <c r="F1551" t="str">
        <f>IF('تعديل الجرد'!C51="","",IF('تعديل الجرد'!H51="","",'تعديل الجرد'!H51))</f>
        <v/>
      </c>
      <c r="G1551" t="str">
        <f>IF($B1551&lt;&gt;"",SUMPRODUCT(($B$2:$B1551&lt;&gt;"")*1),"")</f>
        <v/>
      </c>
    </row>
    <row r="1552" spans="1:7">
      <c r="A1552" s="23" t="str">
        <f>IF('تعديل الجرد'!C52="","",'تعديل الجرد'!B52)</f>
        <v/>
      </c>
      <c r="B1552" t="str">
        <f>IF('تعديل الجرد'!C52="","","تعديل جرد")</f>
        <v/>
      </c>
      <c r="C1552" t="str">
        <f>IF('تعديل الجرد'!C52="","",IF('تعديل الجرد'!G52="","-",'تعديل الجرد'!G52))</f>
        <v/>
      </c>
      <c r="D1552" t="str">
        <f>IF('تعديل الجرد'!C52="","",'تعديل الجرد'!C52)</f>
        <v/>
      </c>
      <c r="E1552" s="24" t="str">
        <f>IF('تعديل الجرد'!C52="","",'تعديل الجرد'!F52)</f>
        <v/>
      </c>
      <c r="F1552" t="str">
        <f>IF('تعديل الجرد'!C52="","",IF('تعديل الجرد'!H52="","",'تعديل الجرد'!H52))</f>
        <v/>
      </c>
      <c r="G1552" t="str">
        <f>IF($B1552&lt;&gt;"",SUMPRODUCT(($B$2:$B1552&lt;&gt;"")*1),"")</f>
        <v/>
      </c>
    </row>
    <row r="1553" spans="1:7">
      <c r="A1553" s="23" t="str">
        <f>IF('تعديل الجرد'!C53="","",'تعديل الجرد'!B53)</f>
        <v/>
      </c>
      <c r="B1553" t="str">
        <f>IF('تعديل الجرد'!C53="","","تعديل جرد")</f>
        <v/>
      </c>
      <c r="C1553" t="str">
        <f>IF('تعديل الجرد'!C53="","",IF('تعديل الجرد'!G53="","-",'تعديل الجرد'!G53))</f>
        <v/>
      </c>
      <c r="D1553" t="str">
        <f>IF('تعديل الجرد'!C53="","",'تعديل الجرد'!C53)</f>
        <v/>
      </c>
      <c r="E1553" s="24" t="str">
        <f>IF('تعديل الجرد'!C53="","",'تعديل الجرد'!F53)</f>
        <v/>
      </c>
      <c r="F1553" t="str">
        <f>IF('تعديل الجرد'!C53="","",IF('تعديل الجرد'!H53="","",'تعديل الجرد'!H53))</f>
        <v/>
      </c>
      <c r="G1553" t="str">
        <f>IF($B1553&lt;&gt;"",SUMPRODUCT(($B$2:$B1553&lt;&gt;"")*1),"")</f>
        <v/>
      </c>
    </row>
    <row r="1554" spans="1:7">
      <c r="A1554" s="23" t="str">
        <f>IF('تعديل الجرد'!C54="","",'تعديل الجرد'!B54)</f>
        <v/>
      </c>
      <c r="B1554" t="str">
        <f>IF('تعديل الجرد'!C54="","","تعديل جرد")</f>
        <v/>
      </c>
      <c r="C1554" t="str">
        <f>IF('تعديل الجرد'!C54="","",IF('تعديل الجرد'!G54="","-",'تعديل الجرد'!G54))</f>
        <v/>
      </c>
      <c r="D1554" t="str">
        <f>IF('تعديل الجرد'!C54="","",'تعديل الجرد'!C54)</f>
        <v/>
      </c>
      <c r="E1554" s="24" t="str">
        <f>IF('تعديل الجرد'!C54="","",'تعديل الجرد'!F54)</f>
        <v/>
      </c>
      <c r="F1554" t="str">
        <f>IF('تعديل الجرد'!C54="","",IF('تعديل الجرد'!H54="","",'تعديل الجرد'!H54))</f>
        <v/>
      </c>
      <c r="G1554" t="str">
        <f>IF($B1554&lt;&gt;"",SUMPRODUCT(($B$2:$B1554&lt;&gt;"")*1),"")</f>
        <v/>
      </c>
    </row>
    <row r="1555" spans="1:7">
      <c r="A1555" s="23" t="str">
        <f>IF('تعديل الجرد'!C55="","",'تعديل الجرد'!B55)</f>
        <v/>
      </c>
      <c r="B1555" t="str">
        <f>IF('تعديل الجرد'!C55="","","تعديل جرد")</f>
        <v/>
      </c>
      <c r="C1555" t="str">
        <f>IF('تعديل الجرد'!C55="","",IF('تعديل الجرد'!G55="","-",'تعديل الجرد'!G55))</f>
        <v/>
      </c>
      <c r="D1555" t="str">
        <f>IF('تعديل الجرد'!C55="","",'تعديل الجرد'!C55)</f>
        <v/>
      </c>
      <c r="E1555" s="24" t="str">
        <f>IF('تعديل الجرد'!C55="","",'تعديل الجرد'!F55)</f>
        <v/>
      </c>
      <c r="F1555" t="str">
        <f>IF('تعديل الجرد'!C55="","",IF('تعديل الجرد'!H55="","",'تعديل الجرد'!H55))</f>
        <v/>
      </c>
      <c r="G1555" t="str">
        <f>IF($B1555&lt;&gt;"",SUMPRODUCT(($B$2:$B1555&lt;&gt;"")*1),"")</f>
        <v/>
      </c>
    </row>
    <row r="1556" spans="1:7">
      <c r="A1556" s="23" t="str">
        <f>IF('تعديل الجرد'!C56="","",'تعديل الجرد'!B56)</f>
        <v/>
      </c>
      <c r="B1556" t="str">
        <f>IF('تعديل الجرد'!C56="","","تعديل جرد")</f>
        <v/>
      </c>
      <c r="C1556" t="str">
        <f>IF('تعديل الجرد'!C56="","",IF('تعديل الجرد'!G56="","-",'تعديل الجرد'!G56))</f>
        <v/>
      </c>
      <c r="D1556" t="str">
        <f>IF('تعديل الجرد'!C56="","",'تعديل الجرد'!C56)</f>
        <v/>
      </c>
      <c r="E1556" s="24" t="str">
        <f>IF('تعديل الجرد'!C56="","",'تعديل الجرد'!F56)</f>
        <v/>
      </c>
      <c r="F1556" t="str">
        <f>IF('تعديل الجرد'!C56="","",IF('تعديل الجرد'!H56="","",'تعديل الجرد'!H56))</f>
        <v/>
      </c>
      <c r="G1556" t="str">
        <f>IF($B1556&lt;&gt;"",SUMPRODUCT(($B$2:$B1556&lt;&gt;"")*1),"")</f>
        <v/>
      </c>
    </row>
    <row r="1557" spans="1:7">
      <c r="A1557" s="23" t="str">
        <f>IF('تعديل الجرد'!C57="","",'تعديل الجرد'!B57)</f>
        <v/>
      </c>
      <c r="B1557" t="str">
        <f>IF('تعديل الجرد'!C57="","","تعديل جرد")</f>
        <v/>
      </c>
      <c r="C1557" t="str">
        <f>IF('تعديل الجرد'!C57="","",IF('تعديل الجرد'!G57="","-",'تعديل الجرد'!G57))</f>
        <v/>
      </c>
      <c r="D1557" t="str">
        <f>IF('تعديل الجرد'!C57="","",'تعديل الجرد'!C57)</f>
        <v/>
      </c>
      <c r="E1557" s="24" t="str">
        <f>IF('تعديل الجرد'!C57="","",'تعديل الجرد'!F57)</f>
        <v/>
      </c>
      <c r="F1557" t="str">
        <f>IF('تعديل الجرد'!C57="","",IF('تعديل الجرد'!H57="","",'تعديل الجرد'!H57))</f>
        <v/>
      </c>
      <c r="G1557" t="str">
        <f>IF($B1557&lt;&gt;"",SUMPRODUCT(($B$2:$B1557&lt;&gt;"")*1),"")</f>
        <v/>
      </c>
    </row>
    <row r="1558" spans="1:7">
      <c r="A1558" s="23" t="str">
        <f>IF('تعديل الجرد'!C58="","",'تعديل الجرد'!B58)</f>
        <v/>
      </c>
      <c r="B1558" t="str">
        <f>IF('تعديل الجرد'!C58="","","تعديل جرد")</f>
        <v/>
      </c>
      <c r="C1558" t="str">
        <f>IF('تعديل الجرد'!C58="","",IF('تعديل الجرد'!G58="","-",'تعديل الجرد'!G58))</f>
        <v/>
      </c>
      <c r="D1558" t="str">
        <f>IF('تعديل الجرد'!C58="","",'تعديل الجرد'!C58)</f>
        <v/>
      </c>
      <c r="E1558" s="24" t="str">
        <f>IF('تعديل الجرد'!C58="","",'تعديل الجرد'!F58)</f>
        <v/>
      </c>
      <c r="F1558" t="str">
        <f>IF('تعديل الجرد'!C58="","",IF('تعديل الجرد'!H58="","",'تعديل الجرد'!H58))</f>
        <v/>
      </c>
      <c r="G1558" t="str">
        <f>IF($B1558&lt;&gt;"",SUMPRODUCT(($B$2:$B1558&lt;&gt;"")*1),"")</f>
        <v/>
      </c>
    </row>
    <row r="1559" spans="1:7">
      <c r="A1559" s="23" t="str">
        <f>IF('تعديل الجرد'!C59="","",'تعديل الجرد'!B59)</f>
        <v/>
      </c>
      <c r="B1559" t="str">
        <f>IF('تعديل الجرد'!C59="","","تعديل جرد")</f>
        <v/>
      </c>
      <c r="C1559" t="str">
        <f>IF('تعديل الجرد'!C59="","",IF('تعديل الجرد'!G59="","-",'تعديل الجرد'!G59))</f>
        <v/>
      </c>
      <c r="D1559" t="str">
        <f>IF('تعديل الجرد'!C59="","",'تعديل الجرد'!C59)</f>
        <v/>
      </c>
      <c r="E1559" s="24" t="str">
        <f>IF('تعديل الجرد'!C59="","",'تعديل الجرد'!F59)</f>
        <v/>
      </c>
      <c r="F1559" t="str">
        <f>IF('تعديل الجرد'!C59="","",IF('تعديل الجرد'!H59="","",'تعديل الجرد'!H59))</f>
        <v/>
      </c>
      <c r="G1559" t="str">
        <f>IF($B1559&lt;&gt;"",SUMPRODUCT(($B$2:$B1559&lt;&gt;"")*1),"")</f>
        <v/>
      </c>
    </row>
    <row r="1560" spans="1:7">
      <c r="A1560" s="23" t="str">
        <f>IF('تعديل الجرد'!C60="","",'تعديل الجرد'!B60)</f>
        <v/>
      </c>
      <c r="B1560" t="str">
        <f>IF('تعديل الجرد'!C60="","","تعديل جرد")</f>
        <v/>
      </c>
      <c r="C1560" t="str">
        <f>IF('تعديل الجرد'!C60="","",IF('تعديل الجرد'!G60="","-",'تعديل الجرد'!G60))</f>
        <v/>
      </c>
      <c r="D1560" t="str">
        <f>IF('تعديل الجرد'!C60="","",'تعديل الجرد'!C60)</f>
        <v/>
      </c>
      <c r="E1560" s="24" t="str">
        <f>IF('تعديل الجرد'!C60="","",'تعديل الجرد'!F60)</f>
        <v/>
      </c>
      <c r="F1560" t="str">
        <f>IF('تعديل الجرد'!C60="","",IF('تعديل الجرد'!H60="","",'تعديل الجرد'!H60))</f>
        <v/>
      </c>
      <c r="G1560" t="str">
        <f>IF($B1560&lt;&gt;"",SUMPRODUCT(($B$2:$B1560&lt;&gt;"")*1),"")</f>
        <v/>
      </c>
    </row>
    <row r="1561" spans="1:7">
      <c r="A1561" s="23" t="str">
        <f>IF('تعديل الجرد'!C61="","",'تعديل الجرد'!B61)</f>
        <v/>
      </c>
      <c r="B1561" t="str">
        <f>IF('تعديل الجرد'!C61="","","تعديل جرد")</f>
        <v/>
      </c>
      <c r="C1561" t="str">
        <f>IF('تعديل الجرد'!C61="","",IF('تعديل الجرد'!G61="","-",'تعديل الجرد'!G61))</f>
        <v/>
      </c>
      <c r="D1561" t="str">
        <f>IF('تعديل الجرد'!C61="","",'تعديل الجرد'!C61)</f>
        <v/>
      </c>
      <c r="E1561" s="24" t="str">
        <f>IF('تعديل الجرد'!C61="","",'تعديل الجرد'!F61)</f>
        <v/>
      </c>
      <c r="F1561" t="str">
        <f>IF('تعديل الجرد'!C61="","",IF('تعديل الجرد'!H61="","",'تعديل الجرد'!H61))</f>
        <v/>
      </c>
      <c r="G1561" t="str">
        <f>IF($B1561&lt;&gt;"",SUMPRODUCT(($B$2:$B1561&lt;&gt;"")*1),"")</f>
        <v/>
      </c>
    </row>
    <row r="1562" spans="1:7">
      <c r="A1562" s="23" t="str">
        <f>IF('تعديل الجرد'!C62="","",'تعديل الجرد'!B62)</f>
        <v/>
      </c>
      <c r="B1562" t="str">
        <f>IF('تعديل الجرد'!C62="","","تعديل جرد")</f>
        <v/>
      </c>
      <c r="C1562" t="str">
        <f>IF('تعديل الجرد'!C62="","",IF('تعديل الجرد'!G62="","-",'تعديل الجرد'!G62))</f>
        <v/>
      </c>
      <c r="D1562" t="str">
        <f>IF('تعديل الجرد'!C62="","",'تعديل الجرد'!C62)</f>
        <v/>
      </c>
      <c r="E1562" s="24" t="str">
        <f>IF('تعديل الجرد'!C62="","",'تعديل الجرد'!F62)</f>
        <v/>
      </c>
      <c r="F1562" t="str">
        <f>IF('تعديل الجرد'!C62="","",IF('تعديل الجرد'!H62="","",'تعديل الجرد'!H62))</f>
        <v/>
      </c>
      <c r="G1562" t="str">
        <f>IF($B1562&lt;&gt;"",SUMPRODUCT(($B$2:$B1562&lt;&gt;"")*1),"")</f>
        <v/>
      </c>
    </row>
    <row r="1563" spans="1:7">
      <c r="A1563" s="23" t="str">
        <f>IF('تعديل الجرد'!C63="","",'تعديل الجرد'!B63)</f>
        <v/>
      </c>
      <c r="B1563" t="str">
        <f>IF('تعديل الجرد'!C63="","","تعديل جرد")</f>
        <v/>
      </c>
      <c r="C1563" t="str">
        <f>IF('تعديل الجرد'!C63="","",IF('تعديل الجرد'!G63="","-",'تعديل الجرد'!G63))</f>
        <v/>
      </c>
      <c r="D1563" t="str">
        <f>IF('تعديل الجرد'!C63="","",'تعديل الجرد'!C63)</f>
        <v/>
      </c>
      <c r="E1563" s="24" t="str">
        <f>IF('تعديل الجرد'!C63="","",'تعديل الجرد'!F63)</f>
        <v/>
      </c>
      <c r="F1563" t="str">
        <f>IF('تعديل الجرد'!C63="","",IF('تعديل الجرد'!H63="","",'تعديل الجرد'!H63))</f>
        <v/>
      </c>
      <c r="G1563" t="str">
        <f>IF($B1563&lt;&gt;"",SUMPRODUCT(($B$2:$B1563&lt;&gt;"")*1),"")</f>
        <v/>
      </c>
    </row>
    <row r="1564" spans="1:7">
      <c r="A1564" s="23" t="str">
        <f>IF('تعديل الجرد'!C64="","",'تعديل الجرد'!B64)</f>
        <v/>
      </c>
      <c r="B1564" t="str">
        <f>IF('تعديل الجرد'!C64="","","تعديل جرد")</f>
        <v/>
      </c>
      <c r="C1564" t="str">
        <f>IF('تعديل الجرد'!C64="","",IF('تعديل الجرد'!G64="","-",'تعديل الجرد'!G64))</f>
        <v/>
      </c>
      <c r="D1564" t="str">
        <f>IF('تعديل الجرد'!C64="","",'تعديل الجرد'!C64)</f>
        <v/>
      </c>
      <c r="E1564" s="24" t="str">
        <f>IF('تعديل الجرد'!C64="","",'تعديل الجرد'!F64)</f>
        <v/>
      </c>
      <c r="F1564" t="str">
        <f>IF('تعديل الجرد'!C64="","",IF('تعديل الجرد'!H64="","",'تعديل الجرد'!H64))</f>
        <v/>
      </c>
      <c r="G1564" t="str">
        <f>IF($B1564&lt;&gt;"",SUMPRODUCT(($B$2:$B1564&lt;&gt;"")*1),"")</f>
        <v/>
      </c>
    </row>
    <row r="1565" spans="1:7">
      <c r="A1565" s="23" t="str">
        <f>IF('تعديل الجرد'!C65="","",'تعديل الجرد'!B65)</f>
        <v/>
      </c>
      <c r="B1565" t="str">
        <f>IF('تعديل الجرد'!C65="","","تعديل جرد")</f>
        <v/>
      </c>
      <c r="C1565" t="str">
        <f>IF('تعديل الجرد'!C65="","",IF('تعديل الجرد'!G65="","-",'تعديل الجرد'!G65))</f>
        <v/>
      </c>
      <c r="D1565" t="str">
        <f>IF('تعديل الجرد'!C65="","",'تعديل الجرد'!C65)</f>
        <v/>
      </c>
      <c r="E1565" s="24" t="str">
        <f>IF('تعديل الجرد'!C65="","",'تعديل الجرد'!F65)</f>
        <v/>
      </c>
      <c r="F1565" t="str">
        <f>IF('تعديل الجرد'!C65="","",IF('تعديل الجرد'!H65="","",'تعديل الجرد'!H65))</f>
        <v/>
      </c>
      <c r="G1565" t="str">
        <f>IF($B1565&lt;&gt;"",SUMPRODUCT(($B$2:$B1565&lt;&gt;"")*1),"")</f>
        <v/>
      </c>
    </row>
    <row r="1566" spans="1:7">
      <c r="A1566" s="23" t="str">
        <f>IF('تعديل الجرد'!C66="","",'تعديل الجرد'!B66)</f>
        <v/>
      </c>
      <c r="B1566" t="str">
        <f>IF('تعديل الجرد'!C66="","","تعديل جرد")</f>
        <v/>
      </c>
      <c r="C1566" t="str">
        <f>IF('تعديل الجرد'!C66="","",IF('تعديل الجرد'!G66="","-",'تعديل الجرد'!G66))</f>
        <v/>
      </c>
      <c r="D1566" t="str">
        <f>IF('تعديل الجرد'!C66="","",'تعديل الجرد'!C66)</f>
        <v/>
      </c>
      <c r="E1566" s="24" t="str">
        <f>IF('تعديل الجرد'!C66="","",'تعديل الجرد'!F66)</f>
        <v/>
      </c>
      <c r="F1566" t="str">
        <f>IF('تعديل الجرد'!C66="","",IF('تعديل الجرد'!H66="","",'تعديل الجرد'!H66))</f>
        <v/>
      </c>
      <c r="G1566" t="str">
        <f>IF($B1566&lt;&gt;"",SUMPRODUCT(($B$2:$B1566&lt;&gt;"")*1),"")</f>
        <v/>
      </c>
    </row>
    <row r="1567" spans="1:7">
      <c r="A1567" s="23" t="str">
        <f>IF('تعديل الجرد'!C67="","",'تعديل الجرد'!B67)</f>
        <v/>
      </c>
      <c r="B1567" t="str">
        <f>IF('تعديل الجرد'!C67="","","تعديل جرد")</f>
        <v/>
      </c>
      <c r="C1567" t="str">
        <f>IF('تعديل الجرد'!C67="","",IF('تعديل الجرد'!G67="","-",'تعديل الجرد'!G67))</f>
        <v/>
      </c>
      <c r="D1567" t="str">
        <f>IF('تعديل الجرد'!C67="","",'تعديل الجرد'!C67)</f>
        <v/>
      </c>
      <c r="E1567" s="24" t="str">
        <f>IF('تعديل الجرد'!C67="","",'تعديل الجرد'!F67)</f>
        <v/>
      </c>
      <c r="F1567" t="str">
        <f>IF('تعديل الجرد'!C67="","",IF('تعديل الجرد'!H67="","",'تعديل الجرد'!H67))</f>
        <v/>
      </c>
      <c r="G1567" t="str">
        <f>IF($B1567&lt;&gt;"",SUMPRODUCT(($B$2:$B1567&lt;&gt;"")*1),"")</f>
        <v/>
      </c>
    </row>
    <row r="1568" spans="1:7">
      <c r="A1568" s="23" t="str">
        <f>IF('تعديل الجرد'!C68="","",'تعديل الجرد'!B68)</f>
        <v/>
      </c>
      <c r="B1568" t="str">
        <f>IF('تعديل الجرد'!C68="","","تعديل جرد")</f>
        <v/>
      </c>
      <c r="C1568" t="str">
        <f>IF('تعديل الجرد'!C68="","",IF('تعديل الجرد'!G68="","-",'تعديل الجرد'!G68))</f>
        <v/>
      </c>
      <c r="D1568" t="str">
        <f>IF('تعديل الجرد'!C68="","",'تعديل الجرد'!C68)</f>
        <v/>
      </c>
      <c r="E1568" s="24" t="str">
        <f>IF('تعديل الجرد'!C68="","",'تعديل الجرد'!F68)</f>
        <v/>
      </c>
      <c r="F1568" t="str">
        <f>IF('تعديل الجرد'!C68="","",IF('تعديل الجرد'!H68="","",'تعديل الجرد'!H68))</f>
        <v/>
      </c>
      <c r="G1568" t="str">
        <f>IF($B1568&lt;&gt;"",SUMPRODUCT(($B$2:$B1568&lt;&gt;"")*1),"")</f>
        <v/>
      </c>
    </row>
    <row r="1569" spans="1:7">
      <c r="A1569" s="23" t="str">
        <f>IF('تعديل الجرد'!C69="","",'تعديل الجرد'!B69)</f>
        <v/>
      </c>
      <c r="B1569" t="str">
        <f>IF('تعديل الجرد'!C69="","","تعديل جرد")</f>
        <v/>
      </c>
      <c r="C1569" t="str">
        <f>IF('تعديل الجرد'!C69="","",IF('تعديل الجرد'!G69="","-",'تعديل الجرد'!G69))</f>
        <v/>
      </c>
      <c r="D1569" t="str">
        <f>IF('تعديل الجرد'!C69="","",'تعديل الجرد'!C69)</f>
        <v/>
      </c>
      <c r="E1569" s="24" t="str">
        <f>IF('تعديل الجرد'!C69="","",'تعديل الجرد'!F69)</f>
        <v/>
      </c>
      <c r="F1569" t="str">
        <f>IF('تعديل الجرد'!C69="","",IF('تعديل الجرد'!H69="","",'تعديل الجرد'!H69))</f>
        <v/>
      </c>
      <c r="G1569" t="str">
        <f>IF($B1569&lt;&gt;"",SUMPRODUCT(($B$2:$B1569&lt;&gt;"")*1),"")</f>
        <v/>
      </c>
    </row>
    <row r="1570" spans="1:7">
      <c r="A1570" s="23" t="str">
        <f>IF('تعديل الجرد'!C70="","",'تعديل الجرد'!B70)</f>
        <v/>
      </c>
      <c r="B1570" t="str">
        <f>IF('تعديل الجرد'!C70="","","تعديل جرد")</f>
        <v/>
      </c>
      <c r="C1570" t="str">
        <f>IF('تعديل الجرد'!C70="","",IF('تعديل الجرد'!G70="","-",'تعديل الجرد'!G70))</f>
        <v/>
      </c>
      <c r="D1570" t="str">
        <f>IF('تعديل الجرد'!C70="","",'تعديل الجرد'!C70)</f>
        <v/>
      </c>
      <c r="E1570" s="24" t="str">
        <f>IF('تعديل الجرد'!C70="","",'تعديل الجرد'!F70)</f>
        <v/>
      </c>
      <c r="F1570" t="str">
        <f>IF('تعديل الجرد'!C70="","",IF('تعديل الجرد'!H70="","",'تعديل الجرد'!H70))</f>
        <v/>
      </c>
      <c r="G1570" t="str">
        <f>IF($B1570&lt;&gt;"",SUMPRODUCT(($B$2:$B1570&lt;&gt;"")*1),"")</f>
        <v/>
      </c>
    </row>
    <row r="1571" spans="1:7">
      <c r="A1571" s="23" t="str">
        <f>IF('تعديل الجرد'!C71="","",'تعديل الجرد'!B71)</f>
        <v/>
      </c>
      <c r="B1571" t="str">
        <f>IF('تعديل الجرد'!C71="","","تعديل جرد")</f>
        <v/>
      </c>
      <c r="C1571" t="str">
        <f>IF('تعديل الجرد'!C71="","",IF('تعديل الجرد'!G71="","-",'تعديل الجرد'!G71))</f>
        <v/>
      </c>
      <c r="D1571" t="str">
        <f>IF('تعديل الجرد'!C71="","",'تعديل الجرد'!C71)</f>
        <v/>
      </c>
      <c r="E1571" s="24" t="str">
        <f>IF('تعديل الجرد'!C71="","",'تعديل الجرد'!F71)</f>
        <v/>
      </c>
      <c r="F1571" t="str">
        <f>IF('تعديل الجرد'!C71="","",IF('تعديل الجرد'!H71="","",'تعديل الجرد'!H71))</f>
        <v/>
      </c>
      <c r="G1571" t="str">
        <f>IF($B1571&lt;&gt;"",SUMPRODUCT(($B$2:$B1571&lt;&gt;"")*1),"")</f>
        <v/>
      </c>
    </row>
    <row r="1572" spans="1:7">
      <c r="A1572" s="23" t="str">
        <f>IF('تعديل الجرد'!C72="","",'تعديل الجرد'!B72)</f>
        <v/>
      </c>
      <c r="B1572" t="str">
        <f>IF('تعديل الجرد'!C72="","","تعديل جرد")</f>
        <v/>
      </c>
      <c r="C1572" t="str">
        <f>IF('تعديل الجرد'!C72="","",IF('تعديل الجرد'!G72="","-",'تعديل الجرد'!G72))</f>
        <v/>
      </c>
      <c r="D1572" t="str">
        <f>IF('تعديل الجرد'!C72="","",'تعديل الجرد'!C72)</f>
        <v/>
      </c>
      <c r="E1572" s="24" t="str">
        <f>IF('تعديل الجرد'!C72="","",'تعديل الجرد'!F72)</f>
        <v/>
      </c>
      <c r="F1572" t="str">
        <f>IF('تعديل الجرد'!C72="","",IF('تعديل الجرد'!H72="","",'تعديل الجرد'!H72))</f>
        <v/>
      </c>
      <c r="G1572" t="str">
        <f>IF($B1572&lt;&gt;"",SUMPRODUCT(($B$2:$B1572&lt;&gt;"")*1),"")</f>
        <v/>
      </c>
    </row>
    <row r="1573" spans="1:7">
      <c r="A1573" s="23" t="str">
        <f>IF('تعديل الجرد'!C73="","",'تعديل الجرد'!B73)</f>
        <v/>
      </c>
      <c r="B1573" t="str">
        <f>IF('تعديل الجرد'!C73="","","تعديل جرد")</f>
        <v/>
      </c>
      <c r="C1573" t="str">
        <f>IF('تعديل الجرد'!C73="","",IF('تعديل الجرد'!G73="","-",'تعديل الجرد'!G73))</f>
        <v/>
      </c>
      <c r="D1573" t="str">
        <f>IF('تعديل الجرد'!C73="","",'تعديل الجرد'!C73)</f>
        <v/>
      </c>
      <c r="E1573" s="24" t="str">
        <f>IF('تعديل الجرد'!C73="","",'تعديل الجرد'!F73)</f>
        <v/>
      </c>
      <c r="F1573" t="str">
        <f>IF('تعديل الجرد'!C73="","",IF('تعديل الجرد'!H73="","",'تعديل الجرد'!H73))</f>
        <v/>
      </c>
      <c r="G1573" t="str">
        <f>IF($B1573&lt;&gt;"",SUMPRODUCT(($B$2:$B1573&lt;&gt;"")*1),"")</f>
        <v/>
      </c>
    </row>
    <row r="1574" spans="1:7">
      <c r="A1574" s="23" t="str">
        <f>IF('تعديل الجرد'!C74="","",'تعديل الجرد'!B74)</f>
        <v/>
      </c>
      <c r="B1574" t="str">
        <f>IF('تعديل الجرد'!C74="","","تعديل جرد")</f>
        <v/>
      </c>
      <c r="C1574" t="str">
        <f>IF('تعديل الجرد'!C74="","",IF('تعديل الجرد'!G74="","-",'تعديل الجرد'!G74))</f>
        <v/>
      </c>
      <c r="D1574" t="str">
        <f>IF('تعديل الجرد'!C74="","",'تعديل الجرد'!C74)</f>
        <v/>
      </c>
      <c r="E1574" s="24" t="str">
        <f>IF('تعديل الجرد'!C74="","",'تعديل الجرد'!F74)</f>
        <v/>
      </c>
      <c r="F1574" t="str">
        <f>IF('تعديل الجرد'!C74="","",IF('تعديل الجرد'!H74="","",'تعديل الجرد'!H74))</f>
        <v/>
      </c>
      <c r="G1574" t="str">
        <f>IF($B1574&lt;&gt;"",SUMPRODUCT(($B$2:$B1574&lt;&gt;"")*1),"")</f>
        <v/>
      </c>
    </row>
    <row r="1575" spans="1:7">
      <c r="A1575" s="23" t="str">
        <f>IF('تعديل الجرد'!C75="","",'تعديل الجرد'!B75)</f>
        <v/>
      </c>
      <c r="B1575" t="str">
        <f>IF('تعديل الجرد'!C75="","","تعديل جرد")</f>
        <v/>
      </c>
      <c r="C1575" t="str">
        <f>IF('تعديل الجرد'!C75="","",IF('تعديل الجرد'!G75="","-",'تعديل الجرد'!G75))</f>
        <v/>
      </c>
      <c r="D1575" t="str">
        <f>IF('تعديل الجرد'!C75="","",'تعديل الجرد'!C75)</f>
        <v/>
      </c>
      <c r="E1575" s="24" t="str">
        <f>IF('تعديل الجرد'!C75="","",'تعديل الجرد'!F75)</f>
        <v/>
      </c>
      <c r="F1575" t="str">
        <f>IF('تعديل الجرد'!C75="","",IF('تعديل الجرد'!H75="","",'تعديل الجرد'!H75))</f>
        <v/>
      </c>
      <c r="G1575" t="str">
        <f>IF($B1575&lt;&gt;"",SUMPRODUCT(($B$2:$B1575&lt;&gt;"")*1),"")</f>
        <v/>
      </c>
    </row>
    <row r="1576" spans="1:7">
      <c r="A1576" s="23" t="str">
        <f>IF('تعديل الجرد'!C76="","",'تعديل الجرد'!B76)</f>
        <v/>
      </c>
      <c r="B1576" t="str">
        <f>IF('تعديل الجرد'!C76="","","تعديل جرد")</f>
        <v/>
      </c>
      <c r="C1576" t="str">
        <f>IF('تعديل الجرد'!C76="","",IF('تعديل الجرد'!G76="","-",'تعديل الجرد'!G76))</f>
        <v/>
      </c>
      <c r="D1576" t="str">
        <f>IF('تعديل الجرد'!C76="","",'تعديل الجرد'!C76)</f>
        <v/>
      </c>
      <c r="E1576" s="24" t="str">
        <f>IF('تعديل الجرد'!C76="","",'تعديل الجرد'!F76)</f>
        <v/>
      </c>
      <c r="F1576" t="str">
        <f>IF('تعديل الجرد'!C76="","",IF('تعديل الجرد'!H76="","",'تعديل الجرد'!H76))</f>
        <v/>
      </c>
      <c r="G1576" t="str">
        <f>IF($B1576&lt;&gt;"",SUMPRODUCT(($B$2:$B1576&lt;&gt;"")*1),"")</f>
        <v/>
      </c>
    </row>
    <row r="1577" spans="1:7">
      <c r="A1577" s="23" t="str">
        <f>IF('تعديل الجرد'!C77="","",'تعديل الجرد'!B77)</f>
        <v/>
      </c>
      <c r="B1577" t="str">
        <f>IF('تعديل الجرد'!C77="","","تعديل جرد")</f>
        <v/>
      </c>
      <c r="C1577" t="str">
        <f>IF('تعديل الجرد'!C77="","",IF('تعديل الجرد'!G77="","-",'تعديل الجرد'!G77))</f>
        <v/>
      </c>
      <c r="D1577" t="str">
        <f>IF('تعديل الجرد'!C77="","",'تعديل الجرد'!C77)</f>
        <v/>
      </c>
      <c r="E1577" s="24" t="str">
        <f>IF('تعديل الجرد'!C77="","",'تعديل الجرد'!F77)</f>
        <v/>
      </c>
      <c r="F1577" t="str">
        <f>IF('تعديل الجرد'!C77="","",IF('تعديل الجرد'!H77="","",'تعديل الجرد'!H77))</f>
        <v/>
      </c>
      <c r="G1577" t="str">
        <f>IF($B1577&lt;&gt;"",SUMPRODUCT(($B$2:$B1577&lt;&gt;"")*1),"")</f>
        <v/>
      </c>
    </row>
    <row r="1578" spans="1:7">
      <c r="A1578" s="23" t="str">
        <f>IF('تعديل الجرد'!C78="","",'تعديل الجرد'!B78)</f>
        <v/>
      </c>
      <c r="B1578" t="str">
        <f>IF('تعديل الجرد'!C78="","","تعديل جرد")</f>
        <v/>
      </c>
      <c r="C1578" t="str">
        <f>IF('تعديل الجرد'!C78="","",IF('تعديل الجرد'!G78="","-",'تعديل الجرد'!G78))</f>
        <v/>
      </c>
      <c r="D1578" t="str">
        <f>IF('تعديل الجرد'!C78="","",'تعديل الجرد'!C78)</f>
        <v/>
      </c>
      <c r="E1578" s="24" t="str">
        <f>IF('تعديل الجرد'!C78="","",'تعديل الجرد'!F78)</f>
        <v/>
      </c>
      <c r="F1578" t="str">
        <f>IF('تعديل الجرد'!C78="","",IF('تعديل الجرد'!H78="","",'تعديل الجرد'!H78))</f>
        <v/>
      </c>
      <c r="G1578" t="str">
        <f>IF($B1578&lt;&gt;"",SUMPRODUCT(($B$2:$B1578&lt;&gt;"")*1),"")</f>
        <v/>
      </c>
    </row>
    <row r="1579" spans="1:7">
      <c r="A1579" s="23" t="str">
        <f>IF('تعديل الجرد'!C79="","",'تعديل الجرد'!B79)</f>
        <v/>
      </c>
      <c r="B1579" t="str">
        <f>IF('تعديل الجرد'!C79="","","تعديل جرد")</f>
        <v/>
      </c>
      <c r="C1579" t="str">
        <f>IF('تعديل الجرد'!C79="","",IF('تعديل الجرد'!G79="","-",'تعديل الجرد'!G79))</f>
        <v/>
      </c>
      <c r="D1579" t="str">
        <f>IF('تعديل الجرد'!C79="","",'تعديل الجرد'!C79)</f>
        <v/>
      </c>
      <c r="E1579" s="24" t="str">
        <f>IF('تعديل الجرد'!C79="","",'تعديل الجرد'!F79)</f>
        <v/>
      </c>
      <c r="F1579" t="str">
        <f>IF('تعديل الجرد'!C79="","",IF('تعديل الجرد'!H79="","",'تعديل الجرد'!H79))</f>
        <v/>
      </c>
      <c r="G1579" t="str">
        <f>IF($B1579&lt;&gt;"",SUMPRODUCT(($B$2:$B1579&lt;&gt;"")*1),"")</f>
        <v/>
      </c>
    </row>
    <row r="1580" spans="1:7">
      <c r="A1580" s="23" t="str">
        <f>IF('تعديل الجرد'!C80="","",'تعديل الجرد'!B80)</f>
        <v/>
      </c>
      <c r="B1580" t="str">
        <f>IF('تعديل الجرد'!C80="","","تعديل جرد")</f>
        <v/>
      </c>
      <c r="C1580" t="str">
        <f>IF('تعديل الجرد'!C80="","",IF('تعديل الجرد'!G80="","-",'تعديل الجرد'!G80))</f>
        <v/>
      </c>
      <c r="D1580" t="str">
        <f>IF('تعديل الجرد'!C80="","",'تعديل الجرد'!C80)</f>
        <v/>
      </c>
      <c r="E1580" s="24" t="str">
        <f>IF('تعديل الجرد'!C80="","",'تعديل الجرد'!F80)</f>
        <v/>
      </c>
      <c r="F1580" t="str">
        <f>IF('تعديل الجرد'!C80="","",IF('تعديل الجرد'!H80="","",'تعديل الجرد'!H80))</f>
        <v/>
      </c>
      <c r="G1580" t="str">
        <f>IF($B1580&lt;&gt;"",SUMPRODUCT(($B$2:$B1580&lt;&gt;"")*1),"")</f>
        <v/>
      </c>
    </row>
    <row r="1581" spans="1:7">
      <c r="A1581" s="23" t="str">
        <f>IF('تعديل الجرد'!C81="","",'تعديل الجرد'!B81)</f>
        <v/>
      </c>
      <c r="B1581" t="str">
        <f>IF('تعديل الجرد'!C81="","","تعديل جرد")</f>
        <v/>
      </c>
      <c r="C1581" t="str">
        <f>IF('تعديل الجرد'!C81="","",IF('تعديل الجرد'!G81="","-",'تعديل الجرد'!G81))</f>
        <v/>
      </c>
      <c r="D1581" t="str">
        <f>IF('تعديل الجرد'!C81="","",'تعديل الجرد'!C81)</f>
        <v/>
      </c>
      <c r="E1581" s="24" t="str">
        <f>IF('تعديل الجرد'!C81="","",'تعديل الجرد'!F81)</f>
        <v/>
      </c>
      <c r="F1581" t="str">
        <f>IF('تعديل الجرد'!C81="","",IF('تعديل الجرد'!H81="","",'تعديل الجرد'!H81))</f>
        <v/>
      </c>
      <c r="G1581" t="str">
        <f>IF($B1581&lt;&gt;"",SUMPRODUCT(($B$2:$B1581&lt;&gt;"")*1),"")</f>
        <v/>
      </c>
    </row>
    <row r="1582" spans="1:7">
      <c r="A1582" s="23" t="str">
        <f>IF('تعديل الجرد'!C82="","",'تعديل الجرد'!B82)</f>
        <v/>
      </c>
      <c r="B1582" t="str">
        <f>IF('تعديل الجرد'!C82="","","تعديل جرد")</f>
        <v/>
      </c>
      <c r="C1582" t="str">
        <f>IF('تعديل الجرد'!C82="","",IF('تعديل الجرد'!G82="","-",'تعديل الجرد'!G82))</f>
        <v/>
      </c>
      <c r="D1582" t="str">
        <f>IF('تعديل الجرد'!C82="","",'تعديل الجرد'!C82)</f>
        <v/>
      </c>
      <c r="E1582" s="24" t="str">
        <f>IF('تعديل الجرد'!C82="","",'تعديل الجرد'!F82)</f>
        <v/>
      </c>
      <c r="F1582" t="str">
        <f>IF('تعديل الجرد'!C82="","",IF('تعديل الجرد'!H82="","",'تعديل الجرد'!H82))</f>
        <v/>
      </c>
      <c r="G1582" t="str">
        <f>IF($B1582&lt;&gt;"",SUMPRODUCT(($B$2:$B1582&lt;&gt;"")*1),"")</f>
        <v/>
      </c>
    </row>
    <row r="1583" spans="1:7">
      <c r="A1583" s="23" t="str">
        <f>IF('تعديل الجرد'!C83="","",'تعديل الجرد'!B83)</f>
        <v/>
      </c>
      <c r="B1583" t="str">
        <f>IF('تعديل الجرد'!C83="","","تعديل جرد")</f>
        <v/>
      </c>
      <c r="C1583" t="str">
        <f>IF('تعديل الجرد'!C83="","",IF('تعديل الجرد'!G83="","-",'تعديل الجرد'!G83))</f>
        <v/>
      </c>
      <c r="D1583" t="str">
        <f>IF('تعديل الجرد'!C83="","",'تعديل الجرد'!C83)</f>
        <v/>
      </c>
      <c r="E1583" s="24" t="str">
        <f>IF('تعديل الجرد'!C83="","",'تعديل الجرد'!F83)</f>
        <v/>
      </c>
      <c r="F1583" t="str">
        <f>IF('تعديل الجرد'!C83="","",IF('تعديل الجرد'!H83="","",'تعديل الجرد'!H83))</f>
        <v/>
      </c>
      <c r="G1583" t="str">
        <f>IF($B1583&lt;&gt;"",SUMPRODUCT(($B$2:$B1583&lt;&gt;"")*1),"")</f>
        <v/>
      </c>
    </row>
    <row r="1584" spans="1:7">
      <c r="A1584" s="23" t="str">
        <f>IF('تعديل الجرد'!C84="","",'تعديل الجرد'!B84)</f>
        <v/>
      </c>
      <c r="B1584" t="str">
        <f>IF('تعديل الجرد'!C84="","","تعديل جرد")</f>
        <v/>
      </c>
      <c r="C1584" t="str">
        <f>IF('تعديل الجرد'!C84="","",IF('تعديل الجرد'!G84="","-",'تعديل الجرد'!G84))</f>
        <v/>
      </c>
      <c r="D1584" t="str">
        <f>IF('تعديل الجرد'!C84="","",'تعديل الجرد'!C84)</f>
        <v/>
      </c>
      <c r="E1584" s="24" t="str">
        <f>IF('تعديل الجرد'!C84="","",'تعديل الجرد'!F84)</f>
        <v/>
      </c>
      <c r="F1584" t="str">
        <f>IF('تعديل الجرد'!C84="","",IF('تعديل الجرد'!H84="","",'تعديل الجرد'!H84))</f>
        <v/>
      </c>
      <c r="G1584" t="str">
        <f>IF($B1584&lt;&gt;"",SUMPRODUCT(($B$2:$B1584&lt;&gt;"")*1),"")</f>
        <v/>
      </c>
    </row>
    <row r="1585" spans="1:7">
      <c r="A1585" s="23" t="str">
        <f>IF('تعديل الجرد'!C85="","",'تعديل الجرد'!B85)</f>
        <v/>
      </c>
      <c r="B1585" t="str">
        <f>IF('تعديل الجرد'!C85="","","تعديل جرد")</f>
        <v/>
      </c>
      <c r="C1585" t="str">
        <f>IF('تعديل الجرد'!C85="","",IF('تعديل الجرد'!G85="","-",'تعديل الجرد'!G85))</f>
        <v/>
      </c>
      <c r="D1585" t="str">
        <f>IF('تعديل الجرد'!C85="","",'تعديل الجرد'!C85)</f>
        <v/>
      </c>
      <c r="E1585" s="24" t="str">
        <f>IF('تعديل الجرد'!C85="","",'تعديل الجرد'!F85)</f>
        <v/>
      </c>
      <c r="F1585" t="str">
        <f>IF('تعديل الجرد'!C85="","",IF('تعديل الجرد'!H85="","",'تعديل الجرد'!H85))</f>
        <v/>
      </c>
      <c r="G1585" t="str">
        <f>IF($B1585&lt;&gt;"",SUMPRODUCT(($B$2:$B1585&lt;&gt;"")*1),"")</f>
        <v/>
      </c>
    </row>
    <row r="1586" spans="1:7">
      <c r="A1586" s="23" t="str">
        <f>IF('تعديل الجرد'!C86="","",'تعديل الجرد'!B86)</f>
        <v/>
      </c>
      <c r="B1586" t="str">
        <f>IF('تعديل الجرد'!C86="","","تعديل جرد")</f>
        <v/>
      </c>
      <c r="C1586" t="str">
        <f>IF('تعديل الجرد'!C86="","",IF('تعديل الجرد'!G86="","-",'تعديل الجرد'!G86))</f>
        <v/>
      </c>
      <c r="D1586" t="str">
        <f>IF('تعديل الجرد'!C86="","",'تعديل الجرد'!C86)</f>
        <v/>
      </c>
      <c r="E1586" s="24" t="str">
        <f>IF('تعديل الجرد'!C86="","",'تعديل الجرد'!F86)</f>
        <v/>
      </c>
      <c r="F1586" t="str">
        <f>IF('تعديل الجرد'!C86="","",IF('تعديل الجرد'!H86="","",'تعديل الجرد'!H86))</f>
        <v/>
      </c>
      <c r="G1586" t="str">
        <f>IF($B1586&lt;&gt;"",SUMPRODUCT(($B$2:$B1586&lt;&gt;"")*1),"")</f>
        <v/>
      </c>
    </row>
    <row r="1587" spans="1:7">
      <c r="A1587" s="23" t="str">
        <f>IF('تعديل الجرد'!C87="","",'تعديل الجرد'!B87)</f>
        <v/>
      </c>
      <c r="B1587" t="str">
        <f>IF('تعديل الجرد'!C87="","","تعديل جرد")</f>
        <v/>
      </c>
      <c r="C1587" t="str">
        <f>IF('تعديل الجرد'!C87="","",IF('تعديل الجرد'!G87="","-",'تعديل الجرد'!G87))</f>
        <v/>
      </c>
      <c r="D1587" t="str">
        <f>IF('تعديل الجرد'!C87="","",'تعديل الجرد'!C87)</f>
        <v/>
      </c>
      <c r="E1587" s="24" t="str">
        <f>IF('تعديل الجرد'!C87="","",'تعديل الجرد'!F87)</f>
        <v/>
      </c>
      <c r="F1587" t="str">
        <f>IF('تعديل الجرد'!C87="","",IF('تعديل الجرد'!H87="","",'تعديل الجرد'!H87))</f>
        <v/>
      </c>
      <c r="G1587" t="str">
        <f>IF($B1587&lt;&gt;"",SUMPRODUCT(($B$2:$B1587&lt;&gt;"")*1),"")</f>
        <v/>
      </c>
    </row>
    <row r="1588" spans="1:7">
      <c r="A1588" s="23" t="str">
        <f>IF('تعديل الجرد'!C88="","",'تعديل الجرد'!B88)</f>
        <v/>
      </c>
      <c r="B1588" t="str">
        <f>IF('تعديل الجرد'!C88="","","تعديل جرد")</f>
        <v/>
      </c>
      <c r="C1588" t="str">
        <f>IF('تعديل الجرد'!C88="","",IF('تعديل الجرد'!G88="","-",'تعديل الجرد'!G88))</f>
        <v/>
      </c>
      <c r="D1588" t="str">
        <f>IF('تعديل الجرد'!C88="","",'تعديل الجرد'!C88)</f>
        <v/>
      </c>
      <c r="E1588" s="24" t="str">
        <f>IF('تعديل الجرد'!C88="","",'تعديل الجرد'!F88)</f>
        <v/>
      </c>
      <c r="F1588" t="str">
        <f>IF('تعديل الجرد'!C88="","",IF('تعديل الجرد'!H88="","",'تعديل الجرد'!H88))</f>
        <v/>
      </c>
      <c r="G1588" t="str">
        <f>IF($B1588&lt;&gt;"",SUMPRODUCT(($B$2:$B1588&lt;&gt;"")*1),"")</f>
        <v/>
      </c>
    </row>
    <row r="1589" spans="1:7">
      <c r="A1589" s="23" t="str">
        <f>IF('تعديل الجرد'!C89="","",'تعديل الجرد'!B89)</f>
        <v/>
      </c>
      <c r="B1589" t="str">
        <f>IF('تعديل الجرد'!C89="","","تعديل جرد")</f>
        <v/>
      </c>
      <c r="C1589" t="str">
        <f>IF('تعديل الجرد'!C89="","",IF('تعديل الجرد'!G89="","-",'تعديل الجرد'!G89))</f>
        <v/>
      </c>
      <c r="D1589" t="str">
        <f>IF('تعديل الجرد'!C89="","",'تعديل الجرد'!C89)</f>
        <v/>
      </c>
      <c r="E1589" s="24" t="str">
        <f>IF('تعديل الجرد'!C89="","",'تعديل الجرد'!F89)</f>
        <v/>
      </c>
      <c r="F1589" t="str">
        <f>IF('تعديل الجرد'!C89="","",IF('تعديل الجرد'!H89="","",'تعديل الجرد'!H89))</f>
        <v/>
      </c>
      <c r="G1589" t="str">
        <f>IF($B1589&lt;&gt;"",SUMPRODUCT(($B$2:$B1589&lt;&gt;"")*1),"")</f>
        <v/>
      </c>
    </row>
    <row r="1590" spans="1:7">
      <c r="A1590" s="23" t="str">
        <f>IF('تعديل الجرد'!C90="","",'تعديل الجرد'!B90)</f>
        <v/>
      </c>
      <c r="B1590" t="str">
        <f>IF('تعديل الجرد'!C90="","","تعديل جرد")</f>
        <v/>
      </c>
      <c r="C1590" t="str">
        <f>IF('تعديل الجرد'!C90="","",IF('تعديل الجرد'!G90="","-",'تعديل الجرد'!G90))</f>
        <v/>
      </c>
      <c r="D1590" t="str">
        <f>IF('تعديل الجرد'!C90="","",'تعديل الجرد'!C90)</f>
        <v/>
      </c>
      <c r="E1590" s="24" t="str">
        <f>IF('تعديل الجرد'!C90="","",'تعديل الجرد'!F90)</f>
        <v/>
      </c>
      <c r="F1590" t="str">
        <f>IF('تعديل الجرد'!C90="","",IF('تعديل الجرد'!H90="","",'تعديل الجرد'!H90))</f>
        <v/>
      </c>
      <c r="G1590" t="str">
        <f>IF($B1590&lt;&gt;"",SUMPRODUCT(($B$2:$B1590&lt;&gt;"")*1),"")</f>
        <v/>
      </c>
    </row>
    <row r="1591" spans="1:7">
      <c r="A1591" s="23" t="str">
        <f>IF('تعديل الجرد'!C91="","",'تعديل الجرد'!B91)</f>
        <v/>
      </c>
      <c r="B1591" t="str">
        <f>IF('تعديل الجرد'!C91="","","تعديل جرد")</f>
        <v/>
      </c>
      <c r="C1591" t="str">
        <f>IF('تعديل الجرد'!C91="","",IF('تعديل الجرد'!G91="","-",'تعديل الجرد'!G91))</f>
        <v/>
      </c>
      <c r="D1591" t="str">
        <f>IF('تعديل الجرد'!C91="","",'تعديل الجرد'!C91)</f>
        <v/>
      </c>
      <c r="E1591" s="24" t="str">
        <f>IF('تعديل الجرد'!C91="","",'تعديل الجرد'!F91)</f>
        <v/>
      </c>
      <c r="F1591" t="str">
        <f>IF('تعديل الجرد'!C91="","",IF('تعديل الجرد'!H91="","",'تعديل الجرد'!H91))</f>
        <v/>
      </c>
      <c r="G1591" t="str">
        <f>IF($B1591&lt;&gt;"",SUMPRODUCT(($B$2:$B1591&lt;&gt;"")*1),"")</f>
        <v/>
      </c>
    </row>
    <row r="1592" spans="1:7">
      <c r="A1592" s="23" t="str">
        <f>IF('تعديل الجرد'!C92="","",'تعديل الجرد'!B92)</f>
        <v/>
      </c>
      <c r="B1592" t="str">
        <f>IF('تعديل الجرد'!C92="","","تعديل جرد")</f>
        <v/>
      </c>
      <c r="C1592" t="str">
        <f>IF('تعديل الجرد'!C92="","",IF('تعديل الجرد'!G92="","-",'تعديل الجرد'!G92))</f>
        <v/>
      </c>
      <c r="D1592" t="str">
        <f>IF('تعديل الجرد'!C92="","",'تعديل الجرد'!C92)</f>
        <v/>
      </c>
      <c r="E1592" s="24" t="str">
        <f>IF('تعديل الجرد'!C92="","",'تعديل الجرد'!F92)</f>
        <v/>
      </c>
      <c r="F1592" t="str">
        <f>IF('تعديل الجرد'!C92="","",IF('تعديل الجرد'!H92="","",'تعديل الجرد'!H92))</f>
        <v/>
      </c>
      <c r="G1592" t="str">
        <f>IF($B1592&lt;&gt;"",SUMPRODUCT(($B$2:$B1592&lt;&gt;"")*1),"")</f>
        <v/>
      </c>
    </row>
    <row r="1593" spans="1:7">
      <c r="A1593" s="23" t="str">
        <f>IF('تعديل الجرد'!C93="","",'تعديل الجرد'!B93)</f>
        <v/>
      </c>
      <c r="B1593" t="str">
        <f>IF('تعديل الجرد'!C93="","","تعديل جرد")</f>
        <v/>
      </c>
      <c r="C1593" t="str">
        <f>IF('تعديل الجرد'!C93="","",IF('تعديل الجرد'!G93="","-",'تعديل الجرد'!G93))</f>
        <v/>
      </c>
      <c r="D1593" t="str">
        <f>IF('تعديل الجرد'!C93="","",'تعديل الجرد'!C93)</f>
        <v/>
      </c>
      <c r="E1593" s="24" t="str">
        <f>IF('تعديل الجرد'!C93="","",'تعديل الجرد'!F93)</f>
        <v/>
      </c>
      <c r="F1593" t="str">
        <f>IF('تعديل الجرد'!C93="","",IF('تعديل الجرد'!H93="","",'تعديل الجرد'!H93))</f>
        <v/>
      </c>
      <c r="G1593" t="str">
        <f>IF($B1593&lt;&gt;"",SUMPRODUCT(($B$2:$B1593&lt;&gt;"")*1),"")</f>
        <v/>
      </c>
    </row>
    <row r="1594" spans="1:7">
      <c r="A1594" s="23" t="str">
        <f>IF('تعديل الجرد'!C94="","",'تعديل الجرد'!B94)</f>
        <v/>
      </c>
      <c r="B1594" t="str">
        <f>IF('تعديل الجرد'!C94="","","تعديل جرد")</f>
        <v/>
      </c>
      <c r="C1594" t="str">
        <f>IF('تعديل الجرد'!C94="","",IF('تعديل الجرد'!G94="","-",'تعديل الجرد'!G94))</f>
        <v/>
      </c>
      <c r="D1594" t="str">
        <f>IF('تعديل الجرد'!C94="","",'تعديل الجرد'!C94)</f>
        <v/>
      </c>
      <c r="E1594" s="24" t="str">
        <f>IF('تعديل الجرد'!C94="","",'تعديل الجرد'!F94)</f>
        <v/>
      </c>
      <c r="F1594" t="str">
        <f>IF('تعديل الجرد'!C94="","",IF('تعديل الجرد'!H94="","",'تعديل الجرد'!H94))</f>
        <v/>
      </c>
      <c r="G1594" t="str">
        <f>IF($B1594&lt;&gt;"",SUMPRODUCT(($B$2:$B1594&lt;&gt;"")*1),"")</f>
        <v/>
      </c>
    </row>
    <row r="1595" spans="1:7">
      <c r="A1595" s="23" t="str">
        <f>IF('تعديل الجرد'!C95="","",'تعديل الجرد'!B95)</f>
        <v/>
      </c>
      <c r="B1595" t="str">
        <f>IF('تعديل الجرد'!C95="","","تعديل جرد")</f>
        <v/>
      </c>
      <c r="C1595" t="str">
        <f>IF('تعديل الجرد'!C95="","",IF('تعديل الجرد'!G95="","-",'تعديل الجرد'!G95))</f>
        <v/>
      </c>
      <c r="D1595" t="str">
        <f>IF('تعديل الجرد'!C95="","",'تعديل الجرد'!C95)</f>
        <v/>
      </c>
      <c r="E1595" s="24" t="str">
        <f>IF('تعديل الجرد'!C95="","",'تعديل الجرد'!F95)</f>
        <v/>
      </c>
      <c r="F1595" t="str">
        <f>IF('تعديل الجرد'!C95="","",IF('تعديل الجرد'!H95="","",'تعديل الجرد'!H95))</f>
        <v/>
      </c>
      <c r="G1595" t="str">
        <f>IF($B1595&lt;&gt;"",SUMPRODUCT(($B$2:$B1595&lt;&gt;"")*1),"")</f>
        <v/>
      </c>
    </row>
    <row r="1596" spans="1:7">
      <c r="A1596" s="23" t="str">
        <f>IF('تعديل الجرد'!C96="","",'تعديل الجرد'!B96)</f>
        <v/>
      </c>
      <c r="B1596" t="str">
        <f>IF('تعديل الجرد'!C96="","","تعديل جرد")</f>
        <v/>
      </c>
      <c r="C1596" t="str">
        <f>IF('تعديل الجرد'!C96="","",IF('تعديل الجرد'!G96="","-",'تعديل الجرد'!G96))</f>
        <v/>
      </c>
      <c r="D1596" t="str">
        <f>IF('تعديل الجرد'!C96="","",'تعديل الجرد'!C96)</f>
        <v/>
      </c>
      <c r="E1596" s="24" t="str">
        <f>IF('تعديل الجرد'!C96="","",'تعديل الجرد'!F96)</f>
        <v/>
      </c>
      <c r="F1596" t="str">
        <f>IF('تعديل الجرد'!C96="","",IF('تعديل الجرد'!H96="","",'تعديل الجرد'!H96))</f>
        <v/>
      </c>
      <c r="G1596" t="str">
        <f>IF($B1596&lt;&gt;"",SUMPRODUCT(($B$2:$B1596&lt;&gt;"")*1),"")</f>
        <v/>
      </c>
    </row>
    <row r="1597" spans="1:7">
      <c r="A1597" s="23" t="str">
        <f>IF('تعديل الجرد'!C97="","",'تعديل الجرد'!B97)</f>
        <v/>
      </c>
      <c r="B1597" t="str">
        <f>IF('تعديل الجرد'!C97="","","تعديل جرد")</f>
        <v/>
      </c>
      <c r="C1597" t="str">
        <f>IF('تعديل الجرد'!C97="","",IF('تعديل الجرد'!G97="","-",'تعديل الجرد'!G97))</f>
        <v/>
      </c>
      <c r="D1597" t="str">
        <f>IF('تعديل الجرد'!C97="","",'تعديل الجرد'!C97)</f>
        <v/>
      </c>
      <c r="E1597" s="24" t="str">
        <f>IF('تعديل الجرد'!C97="","",'تعديل الجرد'!F97)</f>
        <v/>
      </c>
      <c r="F1597" t="str">
        <f>IF('تعديل الجرد'!C97="","",IF('تعديل الجرد'!H97="","",'تعديل الجرد'!H97))</f>
        <v/>
      </c>
      <c r="G1597" t="str">
        <f>IF($B1597&lt;&gt;"",SUMPRODUCT(($B$2:$B1597&lt;&gt;"")*1),"")</f>
        <v/>
      </c>
    </row>
    <row r="1598" spans="1:7">
      <c r="A1598" s="23" t="str">
        <f>IF('تعديل الجرد'!C98="","",'تعديل الجرد'!B98)</f>
        <v/>
      </c>
      <c r="B1598" t="str">
        <f>IF('تعديل الجرد'!C98="","","تعديل جرد")</f>
        <v/>
      </c>
      <c r="C1598" t="str">
        <f>IF('تعديل الجرد'!C98="","",IF('تعديل الجرد'!G98="","-",'تعديل الجرد'!G98))</f>
        <v/>
      </c>
      <c r="D1598" t="str">
        <f>IF('تعديل الجرد'!C98="","",'تعديل الجرد'!C98)</f>
        <v/>
      </c>
      <c r="E1598" s="24" t="str">
        <f>IF('تعديل الجرد'!C98="","",'تعديل الجرد'!F98)</f>
        <v/>
      </c>
      <c r="F1598" t="str">
        <f>IF('تعديل الجرد'!C98="","",IF('تعديل الجرد'!H98="","",'تعديل الجرد'!H98))</f>
        <v/>
      </c>
      <c r="G1598" t="str">
        <f>IF($B1598&lt;&gt;"",SUMPRODUCT(($B$2:$B1598&lt;&gt;"")*1),"")</f>
        <v/>
      </c>
    </row>
    <row r="1599" spans="1:7">
      <c r="A1599" s="23" t="str">
        <f>IF('تعديل الجرد'!C99="","",'تعديل الجرد'!B99)</f>
        <v/>
      </c>
      <c r="B1599" t="str">
        <f>IF('تعديل الجرد'!C99="","","تعديل جرد")</f>
        <v/>
      </c>
      <c r="C1599" t="str">
        <f>IF('تعديل الجرد'!C99="","",IF('تعديل الجرد'!G99="","-",'تعديل الجرد'!G99))</f>
        <v/>
      </c>
      <c r="D1599" t="str">
        <f>IF('تعديل الجرد'!C99="","",'تعديل الجرد'!C99)</f>
        <v/>
      </c>
      <c r="E1599" s="24" t="str">
        <f>IF('تعديل الجرد'!C99="","",'تعديل الجرد'!F99)</f>
        <v/>
      </c>
      <c r="F1599" t="str">
        <f>IF('تعديل الجرد'!C99="","",IF('تعديل الجرد'!H99="","",'تعديل الجرد'!H99))</f>
        <v/>
      </c>
      <c r="G1599" t="str">
        <f>IF($B1599&lt;&gt;"",SUMPRODUCT(($B$2:$B1599&lt;&gt;"")*1),"")</f>
        <v/>
      </c>
    </row>
    <row r="1600" spans="1:7">
      <c r="A1600" s="23" t="str">
        <f>IF('تعديل الجرد'!C100="","",'تعديل الجرد'!B100)</f>
        <v/>
      </c>
      <c r="B1600" t="str">
        <f>IF('تعديل الجرد'!C100="","","تعديل جرد")</f>
        <v/>
      </c>
      <c r="C1600" t="str">
        <f>IF('تعديل الجرد'!C100="","",IF('تعديل الجرد'!G100="","-",'تعديل الجرد'!G100))</f>
        <v/>
      </c>
      <c r="D1600" t="str">
        <f>IF('تعديل الجرد'!C100="","",'تعديل الجرد'!C100)</f>
        <v/>
      </c>
      <c r="E1600" s="24" t="str">
        <f>IF('تعديل الجرد'!C100="","",'تعديل الجرد'!F100)</f>
        <v/>
      </c>
      <c r="F1600" t="str">
        <f>IF('تعديل الجرد'!C100="","",IF('تعديل الجرد'!H100="","",'تعديل الجرد'!H100))</f>
        <v/>
      </c>
      <c r="G1600" t="str">
        <f>IF($B1600&lt;&gt;"",SUMPRODUCT(($B$2:$B1600&lt;&gt;"")*1),"")</f>
        <v/>
      </c>
    </row>
    <row r="1601" spans="1:7">
      <c r="A1601" s="23" t="str">
        <f>IF('تعديل الجرد'!C101="","",'تعديل الجرد'!B101)</f>
        <v/>
      </c>
      <c r="B1601" t="str">
        <f>IF('تعديل الجرد'!C101="","","تعديل جرد")</f>
        <v/>
      </c>
      <c r="C1601" t="str">
        <f>IF('تعديل الجرد'!C101="","",IF('تعديل الجرد'!G101="","-",'تعديل الجرد'!G101))</f>
        <v/>
      </c>
      <c r="D1601" t="str">
        <f>IF('تعديل الجرد'!C101="","",'تعديل الجرد'!C101)</f>
        <v/>
      </c>
      <c r="E1601" s="24" t="str">
        <f>IF('تعديل الجرد'!C101="","",'تعديل الجرد'!F101)</f>
        <v/>
      </c>
      <c r="F1601" t="str">
        <f>IF('تعديل الجرد'!C101="","",IF('تعديل الجرد'!H101="","",'تعديل الجرد'!H101))</f>
        <v/>
      </c>
      <c r="G1601" t="str">
        <f>IF($B1601&lt;&gt;"",SUMPRODUCT(($B$2:$B1601&lt;&gt;"")*1),"")</f>
        <v/>
      </c>
    </row>
    <row r="1602" spans="1:7">
      <c r="A1602" s="23" t="str">
        <f>IF('تعديل الجرد'!C102="","",'تعديل الجرد'!B102)</f>
        <v/>
      </c>
      <c r="B1602" t="str">
        <f>IF('تعديل الجرد'!C102="","","تعديل جرد")</f>
        <v/>
      </c>
      <c r="C1602" t="str">
        <f>IF('تعديل الجرد'!C102="","",IF('تعديل الجرد'!G102="","-",'تعديل الجرد'!G102))</f>
        <v/>
      </c>
      <c r="D1602" t="str">
        <f>IF('تعديل الجرد'!C102="","",'تعديل الجرد'!C102)</f>
        <v/>
      </c>
      <c r="E1602" s="24" t="str">
        <f>IF('تعديل الجرد'!C102="","",'تعديل الجرد'!F102)</f>
        <v/>
      </c>
      <c r="F1602" t="str">
        <f>IF('تعديل الجرد'!C102="","",IF('تعديل الجرد'!H102="","",'تعديل الجرد'!H102))</f>
        <v/>
      </c>
      <c r="G1602" t="str">
        <f>IF($B1602&lt;&gt;"",SUMPRODUCT(($B$2:$B1602&lt;&gt;"")*1),"")</f>
        <v/>
      </c>
    </row>
    <row r="1603" spans="1:7">
      <c r="A1603" s="23" t="str">
        <f>IF('تعديل الجرد'!C103="","",'تعديل الجرد'!B103)</f>
        <v/>
      </c>
      <c r="B1603" t="str">
        <f>IF('تعديل الجرد'!C103="","","تعديل جرد")</f>
        <v/>
      </c>
      <c r="C1603" t="str">
        <f>IF('تعديل الجرد'!C103="","",IF('تعديل الجرد'!G103="","-",'تعديل الجرد'!G103))</f>
        <v/>
      </c>
      <c r="D1603" t="str">
        <f>IF('تعديل الجرد'!C103="","",'تعديل الجرد'!C103)</f>
        <v/>
      </c>
      <c r="E1603" s="24" t="str">
        <f>IF('تعديل الجرد'!C103="","",'تعديل الجرد'!F103)</f>
        <v/>
      </c>
      <c r="F1603" t="str">
        <f>IF('تعديل الجرد'!C103="","",IF('تعديل الجرد'!H103="","",'تعديل الجرد'!H103))</f>
        <v/>
      </c>
      <c r="G1603" t="str">
        <f>IF($B1603&lt;&gt;"",SUMPRODUCT(($B$2:$B1603&lt;&gt;"")*1),"")</f>
        <v/>
      </c>
    </row>
    <row r="1604" spans="1:7">
      <c r="A1604" s="23" t="str">
        <f>IF('تعديل الجرد'!C104="","",'تعديل الجرد'!B104)</f>
        <v/>
      </c>
      <c r="B1604" t="str">
        <f>IF('تعديل الجرد'!C104="","","تعديل جرد")</f>
        <v/>
      </c>
      <c r="C1604" t="str">
        <f>IF('تعديل الجرد'!C104="","",IF('تعديل الجرد'!G104="","-",'تعديل الجرد'!G104))</f>
        <v/>
      </c>
      <c r="D1604" t="str">
        <f>IF('تعديل الجرد'!C104="","",'تعديل الجرد'!C104)</f>
        <v/>
      </c>
      <c r="E1604" s="24" t="str">
        <f>IF('تعديل الجرد'!C104="","",'تعديل الجرد'!F104)</f>
        <v/>
      </c>
      <c r="F1604" t="str">
        <f>IF('تعديل الجرد'!C104="","",IF('تعديل الجرد'!H104="","",'تعديل الجرد'!H104))</f>
        <v/>
      </c>
      <c r="G1604" t="str">
        <f>IF($B1604&lt;&gt;"",SUMPRODUCT(($B$2:$B1604&lt;&gt;"")*1),"")</f>
        <v/>
      </c>
    </row>
    <row r="1605" spans="1:7">
      <c r="A1605" s="23" t="str">
        <f>IF('تعديل الجرد'!C105="","",'تعديل الجرد'!B105)</f>
        <v/>
      </c>
      <c r="B1605" t="str">
        <f>IF('تعديل الجرد'!C105="","","تعديل جرد")</f>
        <v/>
      </c>
      <c r="C1605" t="str">
        <f>IF('تعديل الجرد'!C105="","",IF('تعديل الجرد'!G105="","-",'تعديل الجرد'!G105))</f>
        <v/>
      </c>
      <c r="D1605" t="str">
        <f>IF('تعديل الجرد'!C105="","",'تعديل الجرد'!C105)</f>
        <v/>
      </c>
      <c r="E1605" s="24" t="str">
        <f>IF('تعديل الجرد'!C105="","",'تعديل الجرد'!F105)</f>
        <v/>
      </c>
      <c r="F1605" t="str">
        <f>IF('تعديل الجرد'!C105="","",IF('تعديل الجرد'!H105="","",'تعديل الجرد'!H105))</f>
        <v/>
      </c>
      <c r="G1605" t="str">
        <f>IF($B1605&lt;&gt;"",SUMPRODUCT(($B$2:$B1605&lt;&gt;"")*1),"")</f>
        <v/>
      </c>
    </row>
    <row r="1606" spans="1:7">
      <c r="A1606" s="23" t="str">
        <f>IF('تعديل الجرد'!C106="","",'تعديل الجرد'!B106)</f>
        <v/>
      </c>
      <c r="B1606" t="str">
        <f>IF('تعديل الجرد'!C106="","","تعديل جرد")</f>
        <v/>
      </c>
      <c r="C1606" t="str">
        <f>IF('تعديل الجرد'!C106="","",IF('تعديل الجرد'!G106="","-",'تعديل الجرد'!G106))</f>
        <v/>
      </c>
      <c r="D1606" t="str">
        <f>IF('تعديل الجرد'!C106="","",'تعديل الجرد'!C106)</f>
        <v/>
      </c>
      <c r="E1606" s="24" t="str">
        <f>IF('تعديل الجرد'!C106="","",'تعديل الجرد'!F106)</f>
        <v/>
      </c>
      <c r="F1606" t="str">
        <f>IF('تعديل الجرد'!C106="","",IF('تعديل الجرد'!H106="","",'تعديل الجرد'!H106))</f>
        <v/>
      </c>
      <c r="G1606" t="str">
        <f>IF($B1606&lt;&gt;"",SUMPRODUCT(($B$2:$B1606&lt;&gt;"")*1),"")</f>
        <v/>
      </c>
    </row>
    <row r="1607" spans="1:7">
      <c r="A1607" s="23" t="str">
        <f>IF('تعديل الجرد'!C107="","",'تعديل الجرد'!B107)</f>
        <v/>
      </c>
      <c r="B1607" t="str">
        <f>IF('تعديل الجرد'!C107="","","تعديل جرد")</f>
        <v/>
      </c>
      <c r="C1607" t="str">
        <f>IF('تعديل الجرد'!C107="","",IF('تعديل الجرد'!G107="","-",'تعديل الجرد'!G107))</f>
        <v/>
      </c>
      <c r="D1607" t="str">
        <f>IF('تعديل الجرد'!C107="","",'تعديل الجرد'!C107)</f>
        <v/>
      </c>
      <c r="E1607" s="24" t="str">
        <f>IF('تعديل الجرد'!C107="","",'تعديل الجرد'!F107)</f>
        <v/>
      </c>
      <c r="F1607" t="str">
        <f>IF('تعديل الجرد'!C107="","",IF('تعديل الجرد'!H107="","",'تعديل الجرد'!H107))</f>
        <v/>
      </c>
      <c r="G1607" t="str">
        <f>IF($B1607&lt;&gt;"",SUMPRODUCT(($B$2:$B1607&lt;&gt;"")*1),"")</f>
        <v/>
      </c>
    </row>
    <row r="1608" spans="1:7">
      <c r="A1608" s="23" t="str">
        <f>IF('تعديل الجرد'!C108="","",'تعديل الجرد'!B108)</f>
        <v/>
      </c>
      <c r="B1608" t="str">
        <f>IF('تعديل الجرد'!C108="","","تعديل جرد")</f>
        <v/>
      </c>
      <c r="C1608" t="str">
        <f>IF('تعديل الجرد'!C108="","",IF('تعديل الجرد'!G108="","-",'تعديل الجرد'!G108))</f>
        <v/>
      </c>
      <c r="D1608" t="str">
        <f>IF('تعديل الجرد'!C108="","",'تعديل الجرد'!C108)</f>
        <v/>
      </c>
      <c r="E1608" s="24" t="str">
        <f>IF('تعديل الجرد'!C108="","",'تعديل الجرد'!F108)</f>
        <v/>
      </c>
      <c r="F1608" t="str">
        <f>IF('تعديل الجرد'!C108="","",IF('تعديل الجرد'!H108="","",'تعديل الجرد'!H108))</f>
        <v/>
      </c>
      <c r="G1608" t="str">
        <f>IF($B1608&lt;&gt;"",SUMPRODUCT(($B$2:$B1608&lt;&gt;"")*1),"")</f>
        <v/>
      </c>
    </row>
    <row r="1609" spans="1:7">
      <c r="A1609" s="23" t="str">
        <f>IF('تعديل الجرد'!C109="","",'تعديل الجرد'!B109)</f>
        <v/>
      </c>
      <c r="B1609" t="str">
        <f>IF('تعديل الجرد'!C109="","","تعديل جرد")</f>
        <v/>
      </c>
      <c r="C1609" t="str">
        <f>IF('تعديل الجرد'!C109="","",IF('تعديل الجرد'!G109="","-",'تعديل الجرد'!G109))</f>
        <v/>
      </c>
      <c r="D1609" t="str">
        <f>IF('تعديل الجرد'!C109="","",'تعديل الجرد'!C109)</f>
        <v/>
      </c>
      <c r="E1609" s="24" t="str">
        <f>IF('تعديل الجرد'!C109="","",'تعديل الجرد'!F109)</f>
        <v/>
      </c>
      <c r="F1609" t="str">
        <f>IF('تعديل الجرد'!C109="","",IF('تعديل الجرد'!H109="","",'تعديل الجرد'!H109))</f>
        <v/>
      </c>
      <c r="G1609" t="str">
        <f>IF($B1609&lt;&gt;"",SUMPRODUCT(($B$2:$B1609&lt;&gt;"")*1),"")</f>
        <v/>
      </c>
    </row>
    <row r="1610" spans="1:7">
      <c r="A1610" s="23" t="str">
        <f>IF('تعديل الجرد'!C110="","",'تعديل الجرد'!B110)</f>
        <v/>
      </c>
      <c r="B1610" t="str">
        <f>IF('تعديل الجرد'!C110="","","تعديل جرد")</f>
        <v/>
      </c>
      <c r="C1610" t="str">
        <f>IF('تعديل الجرد'!C110="","",IF('تعديل الجرد'!G110="","-",'تعديل الجرد'!G110))</f>
        <v/>
      </c>
      <c r="D1610" t="str">
        <f>IF('تعديل الجرد'!C110="","",'تعديل الجرد'!C110)</f>
        <v/>
      </c>
      <c r="E1610" s="24" t="str">
        <f>IF('تعديل الجرد'!C110="","",'تعديل الجرد'!F110)</f>
        <v/>
      </c>
      <c r="F1610" t="str">
        <f>IF('تعديل الجرد'!C110="","",IF('تعديل الجرد'!H110="","",'تعديل الجرد'!H110))</f>
        <v/>
      </c>
      <c r="G1610" t="str">
        <f>IF($B1610&lt;&gt;"",SUMPRODUCT(($B$2:$B1610&lt;&gt;"")*1),"")</f>
        <v/>
      </c>
    </row>
    <row r="1611" spans="1:7">
      <c r="A1611" s="23" t="str">
        <f>IF('تعديل الجرد'!C111="","",'تعديل الجرد'!B111)</f>
        <v/>
      </c>
      <c r="B1611" t="str">
        <f>IF('تعديل الجرد'!C111="","","تعديل جرد")</f>
        <v/>
      </c>
      <c r="C1611" t="str">
        <f>IF('تعديل الجرد'!C111="","",IF('تعديل الجرد'!G111="","-",'تعديل الجرد'!G111))</f>
        <v/>
      </c>
      <c r="D1611" t="str">
        <f>IF('تعديل الجرد'!C111="","",'تعديل الجرد'!C111)</f>
        <v/>
      </c>
      <c r="E1611" s="24" t="str">
        <f>IF('تعديل الجرد'!C111="","",'تعديل الجرد'!F111)</f>
        <v/>
      </c>
      <c r="F1611" t="str">
        <f>IF('تعديل الجرد'!C111="","",IF('تعديل الجرد'!H111="","",'تعديل الجرد'!H111))</f>
        <v/>
      </c>
      <c r="G1611" t="str">
        <f>IF($B1611&lt;&gt;"",SUMPRODUCT(($B$2:$B1611&lt;&gt;"")*1),"")</f>
        <v/>
      </c>
    </row>
    <row r="1612" spans="1:7">
      <c r="A1612" s="23" t="str">
        <f>IF('تعديل الجرد'!C112="","",'تعديل الجرد'!B112)</f>
        <v/>
      </c>
      <c r="B1612" t="str">
        <f>IF('تعديل الجرد'!C112="","","تعديل جرد")</f>
        <v/>
      </c>
      <c r="C1612" t="str">
        <f>IF('تعديل الجرد'!C112="","",IF('تعديل الجرد'!G112="","-",'تعديل الجرد'!G112))</f>
        <v/>
      </c>
      <c r="D1612" t="str">
        <f>IF('تعديل الجرد'!C112="","",'تعديل الجرد'!C112)</f>
        <v/>
      </c>
      <c r="E1612" s="24" t="str">
        <f>IF('تعديل الجرد'!C112="","",'تعديل الجرد'!F112)</f>
        <v/>
      </c>
      <c r="F1612" t="str">
        <f>IF('تعديل الجرد'!C112="","",IF('تعديل الجرد'!H112="","",'تعديل الجرد'!H112))</f>
        <v/>
      </c>
      <c r="G1612" t="str">
        <f>IF($B1612&lt;&gt;"",SUMPRODUCT(($B$2:$B1612&lt;&gt;"")*1),"")</f>
        <v/>
      </c>
    </row>
    <row r="1613" spans="1:7">
      <c r="A1613" s="23" t="str">
        <f>IF('تعديل الجرد'!C113="","",'تعديل الجرد'!B113)</f>
        <v/>
      </c>
      <c r="B1613" t="str">
        <f>IF('تعديل الجرد'!C113="","","تعديل جرد")</f>
        <v/>
      </c>
      <c r="C1613" t="str">
        <f>IF('تعديل الجرد'!C113="","",IF('تعديل الجرد'!G113="","-",'تعديل الجرد'!G113))</f>
        <v/>
      </c>
      <c r="D1613" t="str">
        <f>IF('تعديل الجرد'!C113="","",'تعديل الجرد'!C113)</f>
        <v/>
      </c>
      <c r="E1613" s="24" t="str">
        <f>IF('تعديل الجرد'!C113="","",'تعديل الجرد'!F113)</f>
        <v/>
      </c>
      <c r="F1613" t="str">
        <f>IF('تعديل الجرد'!C113="","",IF('تعديل الجرد'!H113="","",'تعديل الجرد'!H113))</f>
        <v/>
      </c>
      <c r="G1613" t="str">
        <f>IF($B1613&lt;&gt;"",SUMPRODUCT(($B$2:$B1613&lt;&gt;"")*1),"")</f>
        <v/>
      </c>
    </row>
    <row r="1614" spans="1:7">
      <c r="A1614" s="23" t="str">
        <f>IF('تعديل الجرد'!C114="","",'تعديل الجرد'!B114)</f>
        <v/>
      </c>
      <c r="B1614" t="str">
        <f>IF('تعديل الجرد'!C114="","","تعديل جرد")</f>
        <v/>
      </c>
      <c r="C1614" t="str">
        <f>IF('تعديل الجرد'!C114="","",IF('تعديل الجرد'!G114="","-",'تعديل الجرد'!G114))</f>
        <v/>
      </c>
      <c r="D1614" t="str">
        <f>IF('تعديل الجرد'!C114="","",'تعديل الجرد'!C114)</f>
        <v/>
      </c>
      <c r="E1614" s="24" t="str">
        <f>IF('تعديل الجرد'!C114="","",'تعديل الجرد'!F114)</f>
        <v/>
      </c>
      <c r="F1614" t="str">
        <f>IF('تعديل الجرد'!C114="","",IF('تعديل الجرد'!H114="","",'تعديل الجرد'!H114))</f>
        <v/>
      </c>
      <c r="G1614" t="str">
        <f>IF($B1614&lt;&gt;"",SUMPRODUCT(($B$2:$B1614&lt;&gt;"")*1),"")</f>
        <v/>
      </c>
    </row>
    <row r="1615" spans="1:7">
      <c r="A1615" s="23" t="str">
        <f>IF('تعديل الجرد'!C115="","",'تعديل الجرد'!B115)</f>
        <v/>
      </c>
      <c r="B1615" t="str">
        <f>IF('تعديل الجرد'!C115="","","تعديل جرد")</f>
        <v/>
      </c>
      <c r="C1615" t="str">
        <f>IF('تعديل الجرد'!C115="","",IF('تعديل الجرد'!G115="","-",'تعديل الجرد'!G115))</f>
        <v/>
      </c>
      <c r="D1615" t="str">
        <f>IF('تعديل الجرد'!C115="","",'تعديل الجرد'!C115)</f>
        <v/>
      </c>
      <c r="E1615" s="24" t="str">
        <f>IF('تعديل الجرد'!C115="","",'تعديل الجرد'!F115)</f>
        <v/>
      </c>
      <c r="F1615" t="str">
        <f>IF('تعديل الجرد'!C115="","",IF('تعديل الجرد'!H115="","",'تعديل الجرد'!H115))</f>
        <v/>
      </c>
      <c r="G1615" t="str">
        <f>IF($B1615&lt;&gt;"",SUMPRODUCT(($B$2:$B1615&lt;&gt;"")*1),"")</f>
        <v/>
      </c>
    </row>
    <row r="1616" spans="1:7">
      <c r="A1616" s="23" t="str">
        <f>IF('تعديل الجرد'!C116="","",'تعديل الجرد'!B116)</f>
        <v/>
      </c>
      <c r="B1616" t="str">
        <f>IF('تعديل الجرد'!C116="","","تعديل جرد")</f>
        <v/>
      </c>
      <c r="C1616" t="str">
        <f>IF('تعديل الجرد'!C116="","",IF('تعديل الجرد'!G116="","-",'تعديل الجرد'!G116))</f>
        <v/>
      </c>
      <c r="D1616" t="str">
        <f>IF('تعديل الجرد'!C116="","",'تعديل الجرد'!C116)</f>
        <v/>
      </c>
      <c r="E1616" s="24" t="str">
        <f>IF('تعديل الجرد'!C116="","",'تعديل الجرد'!F116)</f>
        <v/>
      </c>
      <c r="F1616" t="str">
        <f>IF('تعديل الجرد'!C116="","",IF('تعديل الجرد'!H116="","",'تعديل الجرد'!H116))</f>
        <v/>
      </c>
      <c r="G1616" t="str">
        <f>IF($B1616&lt;&gt;"",SUMPRODUCT(($B$2:$B1616&lt;&gt;"")*1),"")</f>
        <v/>
      </c>
    </row>
    <row r="1617" spans="1:7">
      <c r="A1617" s="23" t="str">
        <f>IF('تعديل الجرد'!C117="","",'تعديل الجرد'!B117)</f>
        <v/>
      </c>
      <c r="B1617" t="str">
        <f>IF('تعديل الجرد'!C117="","","تعديل جرد")</f>
        <v/>
      </c>
      <c r="C1617" t="str">
        <f>IF('تعديل الجرد'!C117="","",IF('تعديل الجرد'!G117="","-",'تعديل الجرد'!G117))</f>
        <v/>
      </c>
      <c r="D1617" t="str">
        <f>IF('تعديل الجرد'!C117="","",'تعديل الجرد'!C117)</f>
        <v/>
      </c>
      <c r="E1617" s="24" t="str">
        <f>IF('تعديل الجرد'!C117="","",'تعديل الجرد'!F117)</f>
        <v/>
      </c>
      <c r="F1617" t="str">
        <f>IF('تعديل الجرد'!C117="","",IF('تعديل الجرد'!H117="","",'تعديل الجرد'!H117))</f>
        <v/>
      </c>
      <c r="G1617" t="str">
        <f>IF($B1617&lt;&gt;"",SUMPRODUCT(($B$2:$B1617&lt;&gt;"")*1),"")</f>
        <v/>
      </c>
    </row>
    <row r="1618" spans="1:7">
      <c r="A1618" s="23" t="str">
        <f>IF('تعديل الجرد'!C118="","",'تعديل الجرد'!B118)</f>
        <v/>
      </c>
      <c r="B1618" t="str">
        <f>IF('تعديل الجرد'!C118="","","تعديل جرد")</f>
        <v/>
      </c>
      <c r="C1618" t="str">
        <f>IF('تعديل الجرد'!C118="","",IF('تعديل الجرد'!G118="","-",'تعديل الجرد'!G118))</f>
        <v/>
      </c>
      <c r="D1618" t="str">
        <f>IF('تعديل الجرد'!C118="","",'تعديل الجرد'!C118)</f>
        <v/>
      </c>
      <c r="E1618" s="24" t="str">
        <f>IF('تعديل الجرد'!C118="","",'تعديل الجرد'!F118)</f>
        <v/>
      </c>
      <c r="F1618" t="str">
        <f>IF('تعديل الجرد'!C118="","",IF('تعديل الجرد'!H118="","",'تعديل الجرد'!H118))</f>
        <v/>
      </c>
      <c r="G1618" t="str">
        <f>IF($B1618&lt;&gt;"",SUMPRODUCT(($B$2:$B1618&lt;&gt;"")*1),"")</f>
        <v/>
      </c>
    </row>
    <row r="1619" spans="1:7">
      <c r="A1619" s="23" t="str">
        <f>IF('تعديل الجرد'!C119="","",'تعديل الجرد'!B119)</f>
        <v/>
      </c>
      <c r="B1619" t="str">
        <f>IF('تعديل الجرد'!C119="","","تعديل جرد")</f>
        <v/>
      </c>
      <c r="C1619" t="str">
        <f>IF('تعديل الجرد'!C119="","",IF('تعديل الجرد'!G119="","-",'تعديل الجرد'!G119))</f>
        <v/>
      </c>
      <c r="D1619" t="str">
        <f>IF('تعديل الجرد'!C119="","",'تعديل الجرد'!C119)</f>
        <v/>
      </c>
      <c r="E1619" s="24" t="str">
        <f>IF('تعديل الجرد'!C119="","",'تعديل الجرد'!F119)</f>
        <v/>
      </c>
      <c r="F1619" t="str">
        <f>IF('تعديل الجرد'!C119="","",IF('تعديل الجرد'!H119="","",'تعديل الجرد'!H119))</f>
        <v/>
      </c>
      <c r="G1619" t="str">
        <f>IF($B1619&lt;&gt;"",SUMPRODUCT(($B$2:$B1619&lt;&gt;"")*1),"")</f>
        <v/>
      </c>
    </row>
    <row r="1620" spans="1:7">
      <c r="A1620" s="23" t="str">
        <f>IF('تعديل الجرد'!C120="","",'تعديل الجرد'!B120)</f>
        <v/>
      </c>
      <c r="B1620" t="str">
        <f>IF('تعديل الجرد'!C120="","","تعديل جرد")</f>
        <v/>
      </c>
      <c r="C1620" t="str">
        <f>IF('تعديل الجرد'!C120="","",IF('تعديل الجرد'!G120="","-",'تعديل الجرد'!G120))</f>
        <v/>
      </c>
      <c r="D1620" t="str">
        <f>IF('تعديل الجرد'!C120="","",'تعديل الجرد'!C120)</f>
        <v/>
      </c>
      <c r="E1620" s="24" t="str">
        <f>IF('تعديل الجرد'!C120="","",'تعديل الجرد'!F120)</f>
        <v/>
      </c>
      <c r="F1620" t="str">
        <f>IF('تعديل الجرد'!C120="","",IF('تعديل الجرد'!H120="","",'تعديل الجرد'!H120))</f>
        <v/>
      </c>
      <c r="G1620" t="str">
        <f>IF($B1620&lt;&gt;"",SUMPRODUCT(($B$2:$B1620&lt;&gt;"")*1),"")</f>
        <v/>
      </c>
    </row>
    <row r="1621" spans="1:7">
      <c r="A1621" s="23" t="str">
        <f>IF('تعديل الجرد'!C121="","",'تعديل الجرد'!B121)</f>
        <v/>
      </c>
      <c r="B1621" t="str">
        <f>IF('تعديل الجرد'!C121="","","تعديل جرد")</f>
        <v/>
      </c>
      <c r="C1621" t="str">
        <f>IF('تعديل الجرد'!C121="","",IF('تعديل الجرد'!G121="","-",'تعديل الجرد'!G121))</f>
        <v/>
      </c>
      <c r="D1621" t="str">
        <f>IF('تعديل الجرد'!C121="","",'تعديل الجرد'!C121)</f>
        <v/>
      </c>
      <c r="E1621" s="24" t="str">
        <f>IF('تعديل الجرد'!C121="","",'تعديل الجرد'!F121)</f>
        <v/>
      </c>
      <c r="F1621" t="str">
        <f>IF('تعديل الجرد'!C121="","",IF('تعديل الجرد'!H121="","",'تعديل الجرد'!H121))</f>
        <v/>
      </c>
      <c r="G1621" t="str">
        <f>IF($B1621&lt;&gt;"",SUMPRODUCT(($B$2:$B1621&lt;&gt;"")*1),"")</f>
        <v/>
      </c>
    </row>
    <row r="1622" spans="1:7">
      <c r="A1622" s="23" t="str">
        <f>IF('تعديل الجرد'!C122="","",'تعديل الجرد'!B122)</f>
        <v/>
      </c>
      <c r="B1622" t="str">
        <f>IF('تعديل الجرد'!C122="","","تعديل جرد")</f>
        <v/>
      </c>
      <c r="C1622" t="str">
        <f>IF('تعديل الجرد'!C122="","",IF('تعديل الجرد'!G122="","-",'تعديل الجرد'!G122))</f>
        <v/>
      </c>
      <c r="D1622" t="str">
        <f>IF('تعديل الجرد'!C122="","",'تعديل الجرد'!C122)</f>
        <v/>
      </c>
      <c r="E1622" s="24" t="str">
        <f>IF('تعديل الجرد'!C122="","",'تعديل الجرد'!F122)</f>
        <v/>
      </c>
      <c r="F1622" t="str">
        <f>IF('تعديل الجرد'!C122="","",IF('تعديل الجرد'!H122="","",'تعديل الجرد'!H122))</f>
        <v/>
      </c>
      <c r="G1622" t="str">
        <f>IF($B1622&lt;&gt;"",SUMPRODUCT(($B$2:$B1622&lt;&gt;"")*1),"")</f>
        <v/>
      </c>
    </row>
    <row r="1623" spans="1:7">
      <c r="A1623" s="23" t="str">
        <f>IF('تعديل الجرد'!C123="","",'تعديل الجرد'!B123)</f>
        <v/>
      </c>
      <c r="B1623" t="str">
        <f>IF('تعديل الجرد'!C123="","","تعديل جرد")</f>
        <v/>
      </c>
      <c r="C1623" t="str">
        <f>IF('تعديل الجرد'!C123="","",IF('تعديل الجرد'!G123="","-",'تعديل الجرد'!G123))</f>
        <v/>
      </c>
      <c r="D1623" t="str">
        <f>IF('تعديل الجرد'!C123="","",'تعديل الجرد'!C123)</f>
        <v/>
      </c>
      <c r="E1623" s="24" t="str">
        <f>IF('تعديل الجرد'!C123="","",'تعديل الجرد'!F123)</f>
        <v/>
      </c>
      <c r="F1623" t="str">
        <f>IF('تعديل الجرد'!C123="","",IF('تعديل الجرد'!H123="","",'تعديل الجرد'!H123))</f>
        <v/>
      </c>
      <c r="G1623" t="str">
        <f>IF($B1623&lt;&gt;"",SUMPRODUCT(($B$2:$B1623&lt;&gt;"")*1),"")</f>
        <v/>
      </c>
    </row>
    <row r="1624" spans="1:7">
      <c r="A1624" s="23" t="str">
        <f>IF('تعديل الجرد'!C124="","",'تعديل الجرد'!B124)</f>
        <v/>
      </c>
      <c r="B1624" t="str">
        <f>IF('تعديل الجرد'!C124="","","تعديل جرد")</f>
        <v/>
      </c>
      <c r="C1624" t="str">
        <f>IF('تعديل الجرد'!C124="","",IF('تعديل الجرد'!G124="","-",'تعديل الجرد'!G124))</f>
        <v/>
      </c>
      <c r="D1624" t="str">
        <f>IF('تعديل الجرد'!C124="","",'تعديل الجرد'!C124)</f>
        <v/>
      </c>
      <c r="E1624" s="24" t="str">
        <f>IF('تعديل الجرد'!C124="","",'تعديل الجرد'!F124)</f>
        <v/>
      </c>
      <c r="F1624" t="str">
        <f>IF('تعديل الجرد'!C124="","",IF('تعديل الجرد'!H124="","",'تعديل الجرد'!H124))</f>
        <v/>
      </c>
      <c r="G1624" t="str">
        <f>IF($B1624&lt;&gt;"",SUMPRODUCT(($B$2:$B1624&lt;&gt;"")*1),"")</f>
        <v/>
      </c>
    </row>
    <row r="1625" spans="1:7">
      <c r="A1625" s="23" t="str">
        <f>IF('تعديل الجرد'!C125="","",'تعديل الجرد'!B125)</f>
        <v/>
      </c>
      <c r="B1625" t="str">
        <f>IF('تعديل الجرد'!C125="","","تعديل جرد")</f>
        <v/>
      </c>
      <c r="C1625" t="str">
        <f>IF('تعديل الجرد'!C125="","",IF('تعديل الجرد'!G125="","-",'تعديل الجرد'!G125))</f>
        <v/>
      </c>
      <c r="D1625" t="str">
        <f>IF('تعديل الجرد'!C125="","",'تعديل الجرد'!C125)</f>
        <v/>
      </c>
      <c r="E1625" s="24" t="str">
        <f>IF('تعديل الجرد'!C125="","",'تعديل الجرد'!F125)</f>
        <v/>
      </c>
      <c r="F1625" t="str">
        <f>IF('تعديل الجرد'!C125="","",IF('تعديل الجرد'!H125="","",'تعديل الجرد'!H125))</f>
        <v/>
      </c>
      <c r="G1625" t="str">
        <f>IF($B1625&lt;&gt;"",SUMPRODUCT(($B$2:$B1625&lt;&gt;"")*1),"")</f>
        <v/>
      </c>
    </row>
    <row r="1626" spans="1:7">
      <c r="A1626" s="23" t="str">
        <f>IF('تعديل الجرد'!C126="","",'تعديل الجرد'!B126)</f>
        <v/>
      </c>
      <c r="B1626" t="str">
        <f>IF('تعديل الجرد'!C126="","","تعديل جرد")</f>
        <v/>
      </c>
      <c r="C1626" t="str">
        <f>IF('تعديل الجرد'!C126="","",IF('تعديل الجرد'!G126="","-",'تعديل الجرد'!G126))</f>
        <v/>
      </c>
      <c r="D1626" t="str">
        <f>IF('تعديل الجرد'!C126="","",'تعديل الجرد'!C126)</f>
        <v/>
      </c>
      <c r="E1626" s="24" t="str">
        <f>IF('تعديل الجرد'!C126="","",'تعديل الجرد'!F126)</f>
        <v/>
      </c>
      <c r="F1626" t="str">
        <f>IF('تعديل الجرد'!C126="","",IF('تعديل الجرد'!H126="","",'تعديل الجرد'!H126))</f>
        <v/>
      </c>
      <c r="G1626" t="str">
        <f>IF($B1626&lt;&gt;"",SUMPRODUCT(($B$2:$B1626&lt;&gt;"")*1),"")</f>
        <v/>
      </c>
    </row>
    <row r="1627" spans="1:7">
      <c r="A1627" s="23" t="str">
        <f>IF('تعديل الجرد'!C127="","",'تعديل الجرد'!B127)</f>
        <v/>
      </c>
      <c r="B1627" t="str">
        <f>IF('تعديل الجرد'!C127="","","تعديل جرد")</f>
        <v/>
      </c>
      <c r="C1627" t="str">
        <f>IF('تعديل الجرد'!C127="","",IF('تعديل الجرد'!G127="","-",'تعديل الجرد'!G127))</f>
        <v/>
      </c>
      <c r="D1627" t="str">
        <f>IF('تعديل الجرد'!C127="","",'تعديل الجرد'!C127)</f>
        <v/>
      </c>
      <c r="E1627" s="24" t="str">
        <f>IF('تعديل الجرد'!C127="","",'تعديل الجرد'!F127)</f>
        <v/>
      </c>
      <c r="F1627" t="str">
        <f>IF('تعديل الجرد'!C127="","",IF('تعديل الجرد'!H127="","",'تعديل الجرد'!H127))</f>
        <v/>
      </c>
      <c r="G1627" t="str">
        <f>IF($B1627&lt;&gt;"",SUMPRODUCT(($B$2:$B1627&lt;&gt;"")*1),"")</f>
        <v/>
      </c>
    </row>
    <row r="1628" spans="1:7">
      <c r="A1628" s="23" t="str">
        <f>IF('تعديل الجرد'!C128="","",'تعديل الجرد'!B128)</f>
        <v/>
      </c>
      <c r="B1628" t="str">
        <f>IF('تعديل الجرد'!C128="","","تعديل جرد")</f>
        <v/>
      </c>
      <c r="C1628" t="str">
        <f>IF('تعديل الجرد'!C128="","",IF('تعديل الجرد'!G128="","-",'تعديل الجرد'!G128))</f>
        <v/>
      </c>
      <c r="D1628" t="str">
        <f>IF('تعديل الجرد'!C128="","",'تعديل الجرد'!C128)</f>
        <v/>
      </c>
      <c r="E1628" s="24" t="str">
        <f>IF('تعديل الجرد'!C128="","",'تعديل الجرد'!F128)</f>
        <v/>
      </c>
      <c r="F1628" t="str">
        <f>IF('تعديل الجرد'!C128="","",IF('تعديل الجرد'!H128="","",'تعديل الجرد'!H128))</f>
        <v/>
      </c>
      <c r="G1628" t="str">
        <f>IF($B1628&lt;&gt;"",SUMPRODUCT(($B$2:$B1628&lt;&gt;"")*1),"")</f>
        <v/>
      </c>
    </row>
    <row r="1629" spans="1:7">
      <c r="A1629" s="23" t="str">
        <f>IF('تعديل الجرد'!C129="","",'تعديل الجرد'!B129)</f>
        <v/>
      </c>
      <c r="B1629" t="str">
        <f>IF('تعديل الجرد'!C129="","","تعديل جرد")</f>
        <v/>
      </c>
      <c r="C1629" t="str">
        <f>IF('تعديل الجرد'!C129="","",IF('تعديل الجرد'!G129="","-",'تعديل الجرد'!G129))</f>
        <v/>
      </c>
      <c r="D1629" t="str">
        <f>IF('تعديل الجرد'!C129="","",'تعديل الجرد'!C129)</f>
        <v/>
      </c>
      <c r="E1629" s="24" t="str">
        <f>IF('تعديل الجرد'!C129="","",'تعديل الجرد'!F129)</f>
        <v/>
      </c>
      <c r="F1629" t="str">
        <f>IF('تعديل الجرد'!C129="","",IF('تعديل الجرد'!H129="","",'تعديل الجرد'!H129))</f>
        <v/>
      </c>
      <c r="G1629" t="str">
        <f>IF($B1629&lt;&gt;"",SUMPRODUCT(($B$2:$B1629&lt;&gt;"")*1),"")</f>
        <v/>
      </c>
    </row>
    <row r="1630" spans="1:7">
      <c r="A1630" s="23" t="str">
        <f>IF('تعديل الجرد'!C130="","",'تعديل الجرد'!B130)</f>
        <v/>
      </c>
      <c r="B1630" t="str">
        <f>IF('تعديل الجرد'!C130="","","تعديل جرد")</f>
        <v/>
      </c>
      <c r="C1630" t="str">
        <f>IF('تعديل الجرد'!C130="","",IF('تعديل الجرد'!G130="","-",'تعديل الجرد'!G130))</f>
        <v/>
      </c>
      <c r="D1630" t="str">
        <f>IF('تعديل الجرد'!C130="","",'تعديل الجرد'!C130)</f>
        <v/>
      </c>
      <c r="E1630" s="24" t="str">
        <f>IF('تعديل الجرد'!C130="","",'تعديل الجرد'!F130)</f>
        <v/>
      </c>
      <c r="F1630" t="str">
        <f>IF('تعديل الجرد'!C130="","",IF('تعديل الجرد'!H130="","",'تعديل الجرد'!H130))</f>
        <v/>
      </c>
      <c r="G1630" t="str">
        <f>IF($B1630&lt;&gt;"",SUMPRODUCT(($B$2:$B1630&lt;&gt;"")*1),"")</f>
        <v/>
      </c>
    </row>
    <row r="1631" spans="1:7">
      <c r="A1631" s="23" t="str">
        <f>IF('تعديل الجرد'!C131="","",'تعديل الجرد'!B131)</f>
        <v/>
      </c>
      <c r="B1631" t="str">
        <f>IF('تعديل الجرد'!C131="","","تعديل جرد")</f>
        <v/>
      </c>
      <c r="C1631" t="str">
        <f>IF('تعديل الجرد'!C131="","",IF('تعديل الجرد'!G131="","-",'تعديل الجرد'!G131))</f>
        <v/>
      </c>
      <c r="D1631" t="str">
        <f>IF('تعديل الجرد'!C131="","",'تعديل الجرد'!C131)</f>
        <v/>
      </c>
      <c r="E1631" s="24" t="str">
        <f>IF('تعديل الجرد'!C131="","",'تعديل الجرد'!F131)</f>
        <v/>
      </c>
      <c r="F1631" t="str">
        <f>IF('تعديل الجرد'!C131="","",IF('تعديل الجرد'!H131="","",'تعديل الجرد'!H131))</f>
        <v/>
      </c>
      <c r="G1631" t="str">
        <f>IF($B1631&lt;&gt;"",SUMPRODUCT(($B$2:$B1631&lt;&gt;"")*1),"")</f>
        <v/>
      </c>
    </row>
    <row r="1632" spans="1:7">
      <c r="A1632" s="23" t="str">
        <f>IF('تعديل الجرد'!C132="","",'تعديل الجرد'!B132)</f>
        <v/>
      </c>
      <c r="B1632" t="str">
        <f>IF('تعديل الجرد'!C132="","","تعديل جرد")</f>
        <v/>
      </c>
      <c r="C1632" t="str">
        <f>IF('تعديل الجرد'!C132="","",IF('تعديل الجرد'!G132="","-",'تعديل الجرد'!G132))</f>
        <v/>
      </c>
      <c r="D1632" t="str">
        <f>IF('تعديل الجرد'!C132="","",'تعديل الجرد'!C132)</f>
        <v/>
      </c>
      <c r="E1632" s="24" t="str">
        <f>IF('تعديل الجرد'!C132="","",'تعديل الجرد'!F132)</f>
        <v/>
      </c>
      <c r="F1632" t="str">
        <f>IF('تعديل الجرد'!C132="","",IF('تعديل الجرد'!H132="","",'تعديل الجرد'!H132))</f>
        <v/>
      </c>
      <c r="G1632" t="str">
        <f>IF($B1632&lt;&gt;"",SUMPRODUCT(($B$2:$B1632&lt;&gt;"")*1),"")</f>
        <v/>
      </c>
    </row>
    <row r="1633" spans="1:7">
      <c r="A1633" s="23" t="str">
        <f>IF('تعديل الجرد'!C133="","",'تعديل الجرد'!B133)</f>
        <v/>
      </c>
      <c r="B1633" t="str">
        <f>IF('تعديل الجرد'!C133="","","تعديل جرد")</f>
        <v/>
      </c>
      <c r="C1633" t="str">
        <f>IF('تعديل الجرد'!C133="","",IF('تعديل الجرد'!G133="","-",'تعديل الجرد'!G133))</f>
        <v/>
      </c>
      <c r="D1633" t="str">
        <f>IF('تعديل الجرد'!C133="","",'تعديل الجرد'!C133)</f>
        <v/>
      </c>
      <c r="E1633" s="24" t="str">
        <f>IF('تعديل الجرد'!C133="","",'تعديل الجرد'!F133)</f>
        <v/>
      </c>
      <c r="F1633" t="str">
        <f>IF('تعديل الجرد'!C133="","",IF('تعديل الجرد'!H133="","",'تعديل الجرد'!H133))</f>
        <v/>
      </c>
      <c r="G1633" t="str">
        <f>IF($B1633&lt;&gt;"",SUMPRODUCT(($B$2:$B1633&lt;&gt;"")*1),"")</f>
        <v/>
      </c>
    </row>
    <row r="1634" spans="1:7">
      <c r="A1634" s="23" t="str">
        <f>IF('تعديل الجرد'!C134="","",'تعديل الجرد'!B134)</f>
        <v/>
      </c>
      <c r="B1634" t="str">
        <f>IF('تعديل الجرد'!C134="","","تعديل جرد")</f>
        <v/>
      </c>
      <c r="C1634" t="str">
        <f>IF('تعديل الجرد'!C134="","",IF('تعديل الجرد'!G134="","-",'تعديل الجرد'!G134))</f>
        <v/>
      </c>
      <c r="D1634" t="str">
        <f>IF('تعديل الجرد'!C134="","",'تعديل الجرد'!C134)</f>
        <v/>
      </c>
      <c r="E1634" s="24" t="str">
        <f>IF('تعديل الجرد'!C134="","",'تعديل الجرد'!F134)</f>
        <v/>
      </c>
      <c r="F1634" t="str">
        <f>IF('تعديل الجرد'!C134="","",IF('تعديل الجرد'!H134="","",'تعديل الجرد'!H134))</f>
        <v/>
      </c>
      <c r="G1634" t="str">
        <f>IF($B1634&lt;&gt;"",SUMPRODUCT(($B$2:$B1634&lt;&gt;"")*1),"")</f>
        <v/>
      </c>
    </row>
    <row r="1635" spans="1:7">
      <c r="A1635" s="23" t="str">
        <f>IF('تعديل الجرد'!C135="","",'تعديل الجرد'!B135)</f>
        <v/>
      </c>
      <c r="B1635" t="str">
        <f>IF('تعديل الجرد'!C135="","","تعديل جرد")</f>
        <v/>
      </c>
      <c r="C1635" t="str">
        <f>IF('تعديل الجرد'!C135="","",IF('تعديل الجرد'!G135="","-",'تعديل الجرد'!G135))</f>
        <v/>
      </c>
      <c r="D1635" t="str">
        <f>IF('تعديل الجرد'!C135="","",'تعديل الجرد'!C135)</f>
        <v/>
      </c>
      <c r="E1635" s="24" t="str">
        <f>IF('تعديل الجرد'!C135="","",'تعديل الجرد'!F135)</f>
        <v/>
      </c>
      <c r="F1635" t="str">
        <f>IF('تعديل الجرد'!C135="","",IF('تعديل الجرد'!H135="","",'تعديل الجرد'!H135))</f>
        <v/>
      </c>
      <c r="G1635" t="str">
        <f>IF($B1635&lt;&gt;"",SUMPRODUCT(($B$2:$B1635&lt;&gt;"")*1),"")</f>
        <v/>
      </c>
    </row>
    <row r="1636" spans="1:7">
      <c r="A1636" s="23" t="str">
        <f>IF('تعديل الجرد'!C136="","",'تعديل الجرد'!B136)</f>
        <v/>
      </c>
      <c r="B1636" t="str">
        <f>IF('تعديل الجرد'!C136="","","تعديل جرد")</f>
        <v/>
      </c>
      <c r="C1636" t="str">
        <f>IF('تعديل الجرد'!C136="","",IF('تعديل الجرد'!G136="","-",'تعديل الجرد'!G136))</f>
        <v/>
      </c>
      <c r="D1636" t="str">
        <f>IF('تعديل الجرد'!C136="","",'تعديل الجرد'!C136)</f>
        <v/>
      </c>
      <c r="E1636" s="24" t="str">
        <f>IF('تعديل الجرد'!C136="","",'تعديل الجرد'!F136)</f>
        <v/>
      </c>
      <c r="F1636" t="str">
        <f>IF('تعديل الجرد'!C136="","",IF('تعديل الجرد'!H136="","",'تعديل الجرد'!H136))</f>
        <v/>
      </c>
      <c r="G1636" t="str">
        <f>IF($B1636&lt;&gt;"",SUMPRODUCT(($B$2:$B1636&lt;&gt;"")*1),"")</f>
        <v/>
      </c>
    </row>
    <row r="1637" spans="1:7">
      <c r="A1637" s="23" t="str">
        <f>IF('تعديل الجرد'!C137="","",'تعديل الجرد'!B137)</f>
        <v/>
      </c>
      <c r="B1637" t="str">
        <f>IF('تعديل الجرد'!C137="","","تعديل جرد")</f>
        <v/>
      </c>
      <c r="C1637" t="str">
        <f>IF('تعديل الجرد'!C137="","",IF('تعديل الجرد'!G137="","-",'تعديل الجرد'!G137))</f>
        <v/>
      </c>
      <c r="D1637" t="str">
        <f>IF('تعديل الجرد'!C137="","",'تعديل الجرد'!C137)</f>
        <v/>
      </c>
      <c r="E1637" s="24" t="str">
        <f>IF('تعديل الجرد'!C137="","",'تعديل الجرد'!F137)</f>
        <v/>
      </c>
      <c r="F1637" t="str">
        <f>IF('تعديل الجرد'!C137="","",IF('تعديل الجرد'!H137="","",'تعديل الجرد'!H137))</f>
        <v/>
      </c>
      <c r="G1637" t="str">
        <f>IF($B1637&lt;&gt;"",SUMPRODUCT(($B$2:$B1637&lt;&gt;"")*1),"")</f>
        <v/>
      </c>
    </row>
    <row r="1638" spans="1:7">
      <c r="A1638" s="23" t="str">
        <f>IF('تعديل الجرد'!C138="","",'تعديل الجرد'!B138)</f>
        <v/>
      </c>
      <c r="B1638" t="str">
        <f>IF('تعديل الجرد'!C138="","","تعديل جرد")</f>
        <v/>
      </c>
      <c r="C1638" t="str">
        <f>IF('تعديل الجرد'!C138="","",IF('تعديل الجرد'!G138="","-",'تعديل الجرد'!G138))</f>
        <v/>
      </c>
      <c r="D1638" t="str">
        <f>IF('تعديل الجرد'!C138="","",'تعديل الجرد'!C138)</f>
        <v/>
      </c>
      <c r="E1638" s="24" t="str">
        <f>IF('تعديل الجرد'!C138="","",'تعديل الجرد'!F138)</f>
        <v/>
      </c>
      <c r="F1638" t="str">
        <f>IF('تعديل الجرد'!C138="","",IF('تعديل الجرد'!H138="","",'تعديل الجرد'!H138))</f>
        <v/>
      </c>
      <c r="G1638" t="str">
        <f>IF($B1638&lt;&gt;"",SUMPRODUCT(($B$2:$B1638&lt;&gt;"")*1),"")</f>
        <v/>
      </c>
    </row>
    <row r="1639" spans="1:7">
      <c r="A1639" s="23" t="str">
        <f>IF('تعديل الجرد'!C139="","",'تعديل الجرد'!B139)</f>
        <v/>
      </c>
      <c r="B1639" t="str">
        <f>IF('تعديل الجرد'!C139="","","تعديل جرد")</f>
        <v/>
      </c>
      <c r="C1639" t="str">
        <f>IF('تعديل الجرد'!C139="","",IF('تعديل الجرد'!G139="","-",'تعديل الجرد'!G139))</f>
        <v/>
      </c>
      <c r="D1639" t="str">
        <f>IF('تعديل الجرد'!C139="","",'تعديل الجرد'!C139)</f>
        <v/>
      </c>
      <c r="E1639" s="24" t="str">
        <f>IF('تعديل الجرد'!C139="","",'تعديل الجرد'!F139)</f>
        <v/>
      </c>
      <c r="F1639" t="str">
        <f>IF('تعديل الجرد'!C139="","",IF('تعديل الجرد'!H139="","",'تعديل الجرد'!H139))</f>
        <v/>
      </c>
      <c r="G1639" t="str">
        <f>IF($B1639&lt;&gt;"",SUMPRODUCT(($B$2:$B1639&lt;&gt;"")*1),"")</f>
        <v/>
      </c>
    </row>
    <row r="1640" spans="1:7">
      <c r="A1640" s="23" t="str">
        <f>IF('تعديل الجرد'!C140="","",'تعديل الجرد'!B140)</f>
        <v/>
      </c>
      <c r="B1640" t="str">
        <f>IF('تعديل الجرد'!C140="","","تعديل جرد")</f>
        <v/>
      </c>
      <c r="C1640" t="str">
        <f>IF('تعديل الجرد'!C140="","",IF('تعديل الجرد'!G140="","-",'تعديل الجرد'!G140))</f>
        <v/>
      </c>
      <c r="D1640" t="str">
        <f>IF('تعديل الجرد'!C140="","",'تعديل الجرد'!C140)</f>
        <v/>
      </c>
      <c r="E1640" s="24" t="str">
        <f>IF('تعديل الجرد'!C140="","",'تعديل الجرد'!F140)</f>
        <v/>
      </c>
      <c r="F1640" t="str">
        <f>IF('تعديل الجرد'!C140="","",IF('تعديل الجرد'!H140="","",'تعديل الجرد'!H140))</f>
        <v/>
      </c>
      <c r="G1640" t="str">
        <f>IF($B1640&lt;&gt;"",SUMPRODUCT(($B$2:$B1640&lt;&gt;"")*1),"")</f>
        <v/>
      </c>
    </row>
    <row r="1641" spans="1:7">
      <c r="A1641" s="23" t="str">
        <f>IF('تعديل الجرد'!C141="","",'تعديل الجرد'!B141)</f>
        <v/>
      </c>
      <c r="B1641" t="str">
        <f>IF('تعديل الجرد'!C141="","","تعديل جرد")</f>
        <v/>
      </c>
      <c r="C1641" t="str">
        <f>IF('تعديل الجرد'!C141="","",IF('تعديل الجرد'!G141="","-",'تعديل الجرد'!G141))</f>
        <v/>
      </c>
      <c r="D1641" t="str">
        <f>IF('تعديل الجرد'!C141="","",'تعديل الجرد'!C141)</f>
        <v/>
      </c>
      <c r="E1641" s="24" t="str">
        <f>IF('تعديل الجرد'!C141="","",'تعديل الجرد'!F141)</f>
        <v/>
      </c>
      <c r="F1641" t="str">
        <f>IF('تعديل الجرد'!C141="","",IF('تعديل الجرد'!H141="","",'تعديل الجرد'!H141))</f>
        <v/>
      </c>
      <c r="G1641" t="str">
        <f>IF($B1641&lt;&gt;"",SUMPRODUCT(($B$2:$B1641&lt;&gt;"")*1),"")</f>
        <v/>
      </c>
    </row>
    <row r="1642" spans="1:7">
      <c r="A1642" s="23" t="str">
        <f>IF('تعديل الجرد'!C142="","",'تعديل الجرد'!B142)</f>
        <v/>
      </c>
      <c r="B1642" t="str">
        <f>IF('تعديل الجرد'!C142="","","تعديل جرد")</f>
        <v/>
      </c>
      <c r="C1642" t="str">
        <f>IF('تعديل الجرد'!C142="","",IF('تعديل الجرد'!G142="","-",'تعديل الجرد'!G142))</f>
        <v/>
      </c>
      <c r="D1642" t="str">
        <f>IF('تعديل الجرد'!C142="","",'تعديل الجرد'!C142)</f>
        <v/>
      </c>
      <c r="E1642" s="24" t="str">
        <f>IF('تعديل الجرد'!C142="","",'تعديل الجرد'!F142)</f>
        <v/>
      </c>
      <c r="F1642" t="str">
        <f>IF('تعديل الجرد'!C142="","",IF('تعديل الجرد'!H142="","",'تعديل الجرد'!H142))</f>
        <v/>
      </c>
      <c r="G1642" t="str">
        <f>IF($B1642&lt;&gt;"",SUMPRODUCT(($B$2:$B1642&lt;&gt;"")*1),"")</f>
        <v/>
      </c>
    </row>
    <row r="1643" spans="1:7">
      <c r="A1643" s="23" t="str">
        <f>IF('تعديل الجرد'!C143="","",'تعديل الجرد'!B143)</f>
        <v/>
      </c>
      <c r="B1643" t="str">
        <f>IF('تعديل الجرد'!C143="","","تعديل جرد")</f>
        <v/>
      </c>
      <c r="C1643" t="str">
        <f>IF('تعديل الجرد'!C143="","",IF('تعديل الجرد'!G143="","-",'تعديل الجرد'!G143))</f>
        <v/>
      </c>
      <c r="D1643" t="str">
        <f>IF('تعديل الجرد'!C143="","",'تعديل الجرد'!C143)</f>
        <v/>
      </c>
      <c r="E1643" s="24" t="str">
        <f>IF('تعديل الجرد'!C143="","",'تعديل الجرد'!F143)</f>
        <v/>
      </c>
      <c r="F1643" t="str">
        <f>IF('تعديل الجرد'!C143="","",IF('تعديل الجرد'!H143="","",'تعديل الجرد'!H143))</f>
        <v/>
      </c>
      <c r="G1643" t="str">
        <f>IF($B1643&lt;&gt;"",SUMPRODUCT(($B$2:$B1643&lt;&gt;"")*1),"")</f>
        <v/>
      </c>
    </row>
    <row r="1644" spans="1:7">
      <c r="A1644" s="23" t="str">
        <f>IF('تعديل الجرد'!C144="","",'تعديل الجرد'!B144)</f>
        <v/>
      </c>
      <c r="B1644" t="str">
        <f>IF('تعديل الجرد'!C144="","","تعديل جرد")</f>
        <v/>
      </c>
      <c r="C1644" t="str">
        <f>IF('تعديل الجرد'!C144="","",IF('تعديل الجرد'!G144="","-",'تعديل الجرد'!G144))</f>
        <v/>
      </c>
      <c r="D1644" t="str">
        <f>IF('تعديل الجرد'!C144="","",'تعديل الجرد'!C144)</f>
        <v/>
      </c>
      <c r="E1644" s="24" t="str">
        <f>IF('تعديل الجرد'!C144="","",'تعديل الجرد'!F144)</f>
        <v/>
      </c>
      <c r="F1644" t="str">
        <f>IF('تعديل الجرد'!C144="","",IF('تعديل الجرد'!H144="","",'تعديل الجرد'!H144))</f>
        <v/>
      </c>
      <c r="G1644" t="str">
        <f>IF($B1644&lt;&gt;"",SUMPRODUCT(($B$2:$B1644&lt;&gt;"")*1),"")</f>
        <v/>
      </c>
    </row>
    <row r="1645" spans="1:7">
      <c r="A1645" s="23" t="str">
        <f>IF('تعديل الجرد'!C145="","",'تعديل الجرد'!B145)</f>
        <v/>
      </c>
      <c r="B1645" t="str">
        <f>IF('تعديل الجرد'!C145="","","تعديل جرد")</f>
        <v/>
      </c>
      <c r="C1645" t="str">
        <f>IF('تعديل الجرد'!C145="","",IF('تعديل الجرد'!G145="","-",'تعديل الجرد'!G145))</f>
        <v/>
      </c>
      <c r="D1645" t="str">
        <f>IF('تعديل الجرد'!C145="","",'تعديل الجرد'!C145)</f>
        <v/>
      </c>
      <c r="E1645" s="24" t="str">
        <f>IF('تعديل الجرد'!C145="","",'تعديل الجرد'!F145)</f>
        <v/>
      </c>
      <c r="F1645" t="str">
        <f>IF('تعديل الجرد'!C145="","",IF('تعديل الجرد'!H145="","",'تعديل الجرد'!H145))</f>
        <v/>
      </c>
      <c r="G1645" t="str">
        <f>IF($B1645&lt;&gt;"",SUMPRODUCT(($B$2:$B1645&lt;&gt;"")*1),"")</f>
        <v/>
      </c>
    </row>
    <row r="1646" spans="1:7">
      <c r="A1646" s="23" t="str">
        <f>IF('تعديل الجرد'!C146="","",'تعديل الجرد'!B146)</f>
        <v/>
      </c>
      <c r="B1646" t="str">
        <f>IF('تعديل الجرد'!C146="","","تعديل جرد")</f>
        <v/>
      </c>
      <c r="C1646" t="str">
        <f>IF('تعديل الجرد'!C146="","",IF('تعديل الجرد'!G146="","-",'تعديل الجرد'!G146))</f>
        <v/>
      </c>
      <c r="D1646" t="str">
        <f>IF('تعديل الجرد'!C146="","",'تعديل الجرد'!C146)</f>
        <v/>
      </c>
      <c r="E1646" s="24" t="str">
        <f>IF('تعديل الجرد'!C146="","",'تعديل الجرد'!F146)</f>
        <v/>
      </c>
      <c r="F1646" t="str">
        <f>IF('تعديل الجرد'!C146="","",IF('تعديل الجرد'!H146="","",'تعديل الجرد'!H146))</f>
        <v/>
      </c>
      <c r="G1646" t="str">
        <f>IF($B1646&lt;&gt;"",SUMPRODUCT(($B$2:$B1646&lt;&gt;"")*1),"")</f>
        <v/>
      </c>
    </row>
    <row r="1647" spans="1:7">
      <c r="A1647" s="23" t="str">
        <f>IF('تعديل الجرد'!C147="","",'تعديل الجرد'!B147)</f>
        <v/>
      </c>
      <c r="B1647" t="str">
        <f>IF('تعديل الجرد'!C147="","","تعديل جرد")</f>
        <v/>
      </c>
      <c r="C1647" t="str">
        <f>IF('تعديل الجرد'!C147="","",IF('تعديل الجرد'!G147="","-",'تعديل الجرد'!G147))</f>
        <v/>
      </c>
      <c r="D1647" t="str">
        <f>IF('تعديل الجرد'!C147="","",'تعديل الجرد'!C147)</f>
        <v/>
      </c>
      <c r="E1647" s="24" t="str">
        <f>IF('تعديل الجرد'!C147="","",'تعديل الجرد'!F147)</f>
        <v/>
      </c>
      <c r="F1647" t="str">
        <f>IF('تعديل الجرد'!C147="","",IF('تعديل الجرد'!H147="","",'تعديل الجرد'!H147))</f>
        <v/>
      </c>
      <c r="G1647" t="str">
        <f>IF($B1647&lt;&gt;"",SUMPRODUCT(($B$2:$B1647&lt;&gt;"")*1),"")</f>
        <v/>
      </c>
    </row>
    <row r="1648" spans="1:7">
      <c r="A1648" s="23" t="str">
        <f>IF('تعديل الجرد'!C148="","",'تعديل الجرد'!B148)</f>
        <v/>
      </c>
      <c r="B1648" t="str">
        <f>IF('تعديل الجرد'!C148="","","تعديل جرد")</f>
        <v/>
      </c>
      <c r="C1648" t="str">
        <f>IF('تعديل الجرد'!C148="","",IF('تعديل الجرد'!G148="","-",'تعديل الجرد'!G148))</f>
        <v/>
      </c>
      <c r="D1648" t="str">
        <f>IF('تعديل الجرد'!C148="","",'تعديل الجرد'!C148)</f>
        <v/>
      </c>
      <c r="E1648" s="24" t="str">
        <f>IF('تعديل الجرد'!C148="","",'تعديل الجرد'!F148)</f>
        <v/>
      </c>
      <c r="F1648" t="str">
        <f>IF('تعديل الجرد'!C148="","",IF('تعديل الجرد'!H148="","",'تعديل الجرد'!H148))</f>
        <v/>
      </c>
      <c r="G1648" t="str">
        <f>IF($B1648&lt;&gt;"",SUMPRODUCT(($B$2:$B1648&lt;&gt;"")*1),"")</f>
        <v/>
      </c>
    </row>
    <row r="1649" spans="1:7">
      <c r="A1649" s="23" t="str">
        <f>IF('تعديل الجرد'!C149="","",'تعديل الجرد'!B149)</f>
        <v/>
      </c>
      <c r="B1649" t="str">
        <f>IF('تعديل الجرد'!C149="","","تعديل جرد")</f>
        <v/>
      </c>
      <c r="C1649" t="str">
        <f>IF('تعديل الجرد'!C149="","",IF('تعديل الجرد'!G149="","-",'تعديل الجرد'!G149))</f>
        <v/>
      </c>
      <c r="D1649" t="str">
        <f>IF('تعديل الجرد'!C149="","",'تعديل الجرد'!C149)</f>
        <v/>
      </c>
      <c r="E1649" s="24" t="str">
        <f>IF('تعديل الجرد'!C149="","",'تعديل الجرد'!F149)</f>
        <v/>
      </c>
      <c r="F1649" t="str">
        <f>IF('تعديل الجرد'!C149="","",IF('تعديل الجرد'!H149="","",'تعديل الجرد'!H149))</f>
        <v/>
      </c>
      <c r="G1649" t="str">
        <f>IF($B1649&lt;&gt;"",SUMPRODUCT(($B$2:$B1649&lt;&gt;"")*1),"")</f>
        <v/>
      </c>
    </row>
    <row r="1650" spans="1:7">
      <c r="A1650" s="23" t="str">
        <f>IF('تعديل الجرد'!C150="","",'تعديل الجرد'!B150)</f>
        <v/>
      </c>
      <c r="B1650" t="str">
        <f>IF('تعديل الجرد'!C150="","","تعديل جرد")</f>
        <v/>
      </c>
      <c r="C1650" t="str">
        <f>IF('تعديل الجرد'!C150="","",IF('تعديل الجرد'!G150="","-",'تعديل الجرد'!G150))</f>
        <v/>
      </c>
      <c r="D1650" t="str">
        <f>IF('تعديل الجرد'!C150="","",'تعديل الجرد'!C150)</f>
        <v/>
      </c>
      <c r="E1650" s="24" t="str">
        <f>IF('تعديل الجرد'!C150="","",'تعديل الجرد'!F150)</f>
        <v/>
      </c>
      <c r="F1650" t="str">
        <f>IF('تعديل الجرد'!C150="","",IF('تعديل الجرد'!H150="","",'تعديل الجرد'!H150))</f>
        <v/>
      </c>
      <c r="G1650" t="str">
        <f>IF($B1650&lt;&gt;"",SUMPRODUCT(($B$2:$B1650&lt;&gt;"")*1),"")</f>
        <v/>
      </c>
    </row>
    <row r="1651" spans="1:7">
      <c r="A1651" s="23" t="str">
        <f>IF('تعديل الجرد'!C151="","",'تعديل الجرد'!B151)</f>
        <v/>
      </c>
      <c r="B1651" t="str">
        <f>IF('تعديل الجرد'!C151="","","تعديل جرد")</f>
        <v/>
      </c>
      <c r="C1651" t="str">
        <f>IF('تعديل الجرد'!C151="","",IF('تعديل الجرد'!G151="","-",'تعديل الجرد'!G151))</f>
        <v/>
      </c>
      <c r="D1651" t="str">
        <f>IF('تعديل الجرد'!C151="","",'تعديل الجرد'!C151)</f>
        <v/>
      </c>
      <c r="E1651" s="24" t="str">
        <f>IF('تعديل الجرد'!C151="","",'تعديل الجرد'!F151)</f>
        <v/>
      </c>
      <c r="F1651" t="str">
        <f>IF('تعديل الجرد'!C151="","",IF('تعديل الجرد'!H151="","",'تعديل الجرد'!H151))</f>
        <v/>
      </c>
      <c r="G1651" t="str">
        <f>IF($B1651&lt;&gt;"",SUMPRODUCT(($B$2:$B1651&lt;&gt;"")*1),"")</f>
        <v/>
      </c>
    </row>
    <row r="1652" spans="1:7">
      <c r="A1652" s="23" t="str">
        <f>IF('تعديل الجرد'!C152="","",'تعديل الجرد'!B152)</f>
        <v/>
      </c>
      <c r="B1652" t="str">
        <f>IF('تعديل الجرد'!C152="","","تعديل جرد")</f>
        <v/>
      </c>
      <c r="C1652" t="str">
        <f>IF('تعديل الجرد'!C152="","",IF('تعديل الجرد'!G152="","-",'تعديل الجرد'!G152))</f>
        <v/>
      </c>
      <c r="D1652" t="str">
        <f>IF('تعديل الجرد'!C152="","",'تعديل الجرد'!C152)</f>
        <v/>
      </c>
      <c r="E1652" s="24" t="str">
        <f>IF('تعديل الجرد'!C152="","",'تعديل الجرد'!F152)</f>
        <v/>
      </c>
      <c r="F1652" t="str">
        <f>IF('تعديل الجرد'!C152="","",IF('تعديل الجرد'!H152="","",'تعديل الجرد'!H152))</f>
        <v/>
      </c>
      <c r="G1652" t="str">
        <f>IF($B1652&lt;&gt;"",SUMPRODUCT(($B$2:$B1652&lt;&gt;"")*1),"")</f>
        <v/>
      </c>
    </row>
    <row r="1653" spans="1:7">
      <c r="A1653" s="23" t="str">
        <f>IF('تعديل الجرد'!C153="","",'تعديل الجرد'!B153)</f>
        <v/>
      </c>
      <c r="B1653" t="str">
        <f>IF('تعديل الجرد'!C153="","","تعديل جرد")</f>
        <v/>
      </c>
      <c r="C1653" t="str">
        <f>IF('تعديل الجرد'!C153="","",IF('تعديل الجرد'!G153="","-",'تعديل الجرد'!G153))</f>
        <v/>
      </c>
      <c r="D1653" t="str">
        <f>IF('تعديل الجرد'!C153="","",'تعديل الجرد'!C153)</f>
        <v/>
      </c>
      <c r="E1653" s="24" t="str">
        <f>IF('تعديل الجرد'!C153="","",'تعديل الجرد'!F153)</f>
        <v/>
      </c>
      <c r="F1653" t="str">
        <f>IF('تعديل الجرد'!C153="","",IF('تعديل الجرد'!H153="","",'تعديل الجرد'!H153))</f>
        <v/>
      </c>
      <c r="G1653" t="str">
        <f>IF($B1653&lt;&gt;"",SUMPRODUCT(($B$2:$B1653&lt;&gt;"")*1),"")</f>
        <v/>
      </c>
    </row>
    <row r="1654" spans="1:7">
      <c r="A1654" s="23" t="str">
        <f>IF('تعديل الجرد'!C154="","",'تعديل الجرد'!B154)</f>
        <v/>
      </c>
      <c r="B1654" t="str">
        <f>IF('تعديل الجرد'!C154="","","تعديل جرد")</f>
        <v/>
      </c>
      <c r="C1654" t="str">
        <f>IF('تعديل الجرد'!C154="","",IF('تعديل الجرد'!G154="","-",'تعديل الجرد'!G154))</f>
        <v/>
      </c>
      <c r="D1654" t="str">
        <f>IF('تعديل الجرد'!C154="","",'تعديل الجرد'!C154)</f>
        <v/>
      </c>
      <c r="E1654" s="24" t="str">
        <f>IF('تعديل الجرد'!C154="","",'تعديل الجرد'!F154)</f>
        <v/>
      </c>
      <c r="F1654" t="str">
        <f>IF('تعديل الجرد'!C154="","",IF('تعديل الجرد'!H154="","",'تعديل الجرد'!H154))</f>
        <v/>
      </c>
      <c r="G1654" t="str">
        <f>IF($B1654&lt;&gt;"",SUMPRODUCT(($B$2:$B1654&lt;&gt;"")*1),"")</f>
        <v/>
      </c>
    </row>
    <row r="1655" spans="1:7">
      <c r="A1655" s="23" t="str">
        <f>IF('تعديل الجرد'!C155="","",'تعديل الجرد'!B155)</f>
        <v/>
      </c>
      <c r="B1655" t="str">
        <f>IF('تعديل الجرد'!C155="","","تعديل جرد")</f>
        <v/>
      </c>
      <c r="C1655" t="str">
        <f>IF('تعديل الجرد'!C155="","",IF('تعديل الجرد'!G155="","-",'تعديل الجرد'!G155))</f>
        <v/>
      </c>
      <c r="D1655" t="str">
        <f>IF('تعديل الجرد'!C155="","",'تعديل الجرد'!C155)</f>
        <v/>
      </c>
      <c r="E1655" s="24" t="str">
        <f>IF('تعديل الجرد'!C155="","",'تعديل الجرد'!F155)</f>
        <v/>
      </c>
      <c r="F1655" t="str">
        <f>IF('تعديل الجرد'!C155="","",IF('تعديل الجرد'!H155="","",'تعديل الجرد'!H155))</f>
        <v/>
      </c>
      <c r="G1655" t="str">
        <f>IF($B1655&lt;&gt;"",SUMPRODUCT(($B$2:$B1655&lt;&gt;"")*1),"")</f>
        <v/>
      </c>
    </row>
    <row r="1656" spans="1:7">
      <c r="A1656" s="23" t="str">
        <f>IF('تعديل الجرد'!C156="","",'تعديل الجرد'!B156)</f>
        <v/>
      </c>
      <c r="B1656" t="str">
        <f>IF('تعديل الجرد'!C156="","","تعديل جرد")</f>
        <v/>
      </c>
      <c r="C1656" t="str">
        <f>IF('تعديل الجرد'!C156="","",IF('تعديل الجرد'!G156="","-",'تعديل الجرد'!G156))</f>
        <v/>
      </c>
      <c r="D1656" t="str">
        <f>IF('تعديل الجرد'!C156="","",'تعديل الجرد'!C156)</f>
        <v/>
      </c>
      <c r="E1656" s="24" t="str">
        <f>IF('تعديل الجرد'!C156="","",'تعديل الجرد'!F156)</f>
        <v/>
      </c>
      <c r="F1656" t="str">
        <f>IF('تعديل الجرد'!C156="","",IF('تعديل الجرد'!H156="","",'تعديل الجرد'!H156))</f>
        <v/>
      </c>
      <c r="G1656" t="str">
        <f>IF($B1656&lt;&gt;"",SUMPRODUCT(($B$2:$B1656&lt;&gt;"")*1),"")</f>
        <v/>
      </c>
    </row>
    <row r="1657" spans="1:7">
      <c r="A1657" s="23" t="str">
        <f>IF('تعديل الجرد'!C157="","",'تعديل الجرد'!B157)</f>
        <v/>
      </c>
      <c r="B1657" t="str">
        <f>IF('تعديل الجرد'!C157="","","تعديل جرد")</f>
        <v/>
      </c>
      <c r="C1657" t="str">
        <f>IF('تعديل الجرد'!C157="","",IF('تعديل الجرد'!G157="","-",'تعديل الجرد'!G157))</f>
        <v/>
      </c>
      <c r="D1657" t="str">
        <f>IF('تعديل الجرد'!C157="","",'تعديل الجرد'!C157)</f>
        <v/>
      </c>
      <c r="E1657" s="24" t="str">
        <f>IF('تعديل الجرد'!C157="","",'تعديل الجرد'!F157)</f>
        <v/>
      </c>
      <c r="F1657" t="str">
        <f>IF('تعديل الجرد'!C157="","",IF('تعديل الجرد'!H157="","",'تعديل الجرد'!H157))</f>
        <v/>
      </c>
      <c r="G1657" t="str">
        <f>IF($B1657&lt;&gt;"",SUMPRODUCT(($B$2:$B1657&lt;&gt;"")*1),"")</f>
        <v/>
      </c>
    </row>
    <row r="1658" spans="1:7">
      <c r="A1658" s="23" t="str">
        <f>IF('تعديل الجرد'!C158="","",'تعديل الجرد'!B158)</f>
        <v/>
      </c>
      <c r="B1658" t="str">
        <f>IF('تعديل الجرد'!C158="","","تعديل جرد")</f>
        <v/>
      </c>
      <c r="C1658" t="str">
        <f>IF('تعديل الجرد'!C158="","",IF('تعديل الجرد'!G158="","-",'تعديل الجرد'!G158))</f>
        <v/>
      </c>
      <c r="D1658" t="str">
        <f>IF('تعديل الجرد'!C158="","",'تعديل الجرد'!C158)</f>
        <v/>
      </c>
      <c r="E1658" s="24" t="str">
        <f>IF('تعديل الجرد'!C158="","",'تعديل الجرد'!F158)</f>
        <v/>
      </c>
      <c r="F1658" t="str">
        <f>IF('تعديل الجرد'!C158="","",IF('تعديل الجرد'!H158="","",'تعديل الجرد'!H158))</f>
        <v/>
      </c>
      <c r="G1658" t="str">
        <f>IF($B1658&lt;&gt;"",SUMPRODUCT(($B$2:$B1658&lt;&gt;"")*1),"")</f>
        <v/>
      </c>
    </row>
    <row r="1659" spans="1:7">
      <c r="A1659" s="23" t="str">
        <f>IF('تعديل الجرد'!C159="","",'تعديل الجرد'!B159)</f>
        <v/>
      </c>
      <c r="B1659" t="str">
        <f>IF('تعديل الجرد'!C159="","","تعديل جرد")</f>
        <v/>
      </c>
      <c r="C1659" t="str">
        <f>IF('تعديل الجرد'!C159="","",IF('تعديل الجرد'!G159="","-",'تعديل الجرد'!G159))</f>
        <v/>
      </c>
      <c r="D1659" t="str">
        <f>IF('تعديل الجرد'!C159="","",'تعديل الجرد'!C159)</f>
        <v/>
      </c>
      <c r="E1659" s="24" t="str">
        <f>IF('تعديل الجرد'!C159="","",'تعديل الجرد'!F159)</f>
        <v/>
      </c>
      <c r="F1659" t="str">
        <f>IF('تعديل الجرد'!C159="","",IF('تعديل الجرد'!H159="","",'تعديل الجرد'!H159))</f>
        <v/>
      </c>
      <c r="G1659" t="str">
        <f>IF($B1659&lt;&gt;"",SUMPRODUCT(($B$2:$B1659&lt;&gt;"")*1),"")</f>
        <v/>
      </c>
    </row>
    <row r="1660" spans="1:7">
      <c r="A1660" s="23" t="str">
        <f>IF('تعديل الجرد'!C160="","",'تعديل الجرد'!B160)</f>
        <v/>
      </c>
      <c r="B1660" t="str">
        <f>IF('تعديل الجرد'!C160="","","تعديل جرد")</f>
        <v/>
      </c>
      <c r="C1660" t="str">
        <f>IF('تعديل الجرد'!C160="","",IF('تعديل الجرد'!G160="","-",'تعديل الجرد'!G160))</f>
        <v/>
      </c>
      <c r="D1660" t="str">
        <f>IF('تعديل الجرد'!C160="","",'تعديل الجرد'!C160)</f>
        <v/>
      </c>
      <c r="E1660" s="24" t="str">
        <f>IF('تعديل الجرد'!C160="","",'تعديل الجرد'!F160)</f>
        <v/>
      </c>
      <c r="F1660" t="str">
        <f>IF('تعديل الجرد'!C160="","",IF('تعديل الجرد'!H160="","",'تعديل الجرد'!H160))</f>
        <v/>
      </c>
      <c r="G1660" t="str">
        <f>IF($B1660&lt;&gt;"",SUMPRODUCT(($B$2:$B1660&lt;&gt;"")*1),"")</f>
        <v/>
      </c>
    </row>
    <row r="1661" spans="1:7">
      <c r="A1661" s="23" t="str">
        <f>IF('تعديل الجرد'!C161="","",'تعديل الجرد'!B161)</f>
        <v/>
      </c>
      <c r="B1661" t="str">
        <f>IF('تعديل الجرد'!C161="","","تعديل جرد")</f>
        <v/>
      </c>
      <c r="C1661" t="str">
        <f>IF('تعديل الجرد'!C161="","",IF('تعديل الجرد'!G161="","-",'تعديل الجرد'!G161))</f>
        <v/>
      </c>
      <c r="D1661" t="str">
        <f>IF('تعديل الجرد'!C161="","",'تعديل الجرد'!C161)</f>
        <v/>
      </c>
      <c r="E1661" s="24" t="str">
        <f>IF('تعديل الجرد'!C161="","",'تعديل الجرد'!F161)</f>
        <v/>
      </c>
      <c r="F1661" t="str">
        <f>IF('تعديل الجرد'!C161="","",IF('تعديل الجرد'!H161="","",'تعديل الجرد'!H161))</f>
        <v/>
      </c>
      <c r="G1661" t="str">
        <f>IF($B1661&lt;&gt;"",SUMPRODUCT(($B$2:$B1661&lt;&gt;"")*1),"")</f>
        <v/>
      </c>
    </row>
    <row r="1662" spans="1:7">
      <c r="A1662" s="23" t="str">
        <f>IF('تعديل الجرد'!C162="","",'تعديل الجرد'!B162)</f>
        <v/>
      </c>
      <c r="B1662" t="str">
        <f>IF('تعديل الجرد'!C162="","","تعديل جرد")</f>
        <v/>
      </c>
      <c r="C1662" t="str">
        <f>IF('تعديل الجرد'!C162="","",IF('تعديل الجرد'!G162="","-",'تعديل الجرد'!G162))</f>
        <v/>
      </c>
      <c r="D1662" t="str">
        <f>IF('تعديل الجرد'!C162="","",'تعديل الجرد'!C162)</f>
        <v/>
      </c>
      <c r="E1662" s="24" t="str">
        <f>IF('تعديل الجرد'!C162="","",'تعديل الجرد'!F162)</f>
        <v/>
      </c>
      <c r="F1662" t="str">
        <f>IF('تعديل الجرد'!C162="","",IF('تعديل الجرد'!H162="","",'تعديل الجرد'!H162))</f>
        <v/>
      </c>
      <c r="G1662" t="str">
        <f>IF($B1662&lt;&gt;"",SUMPRODUCT(($B$2:$B1662&lt;&gt;"")*1),"")</f>
        <v/>
      </c>
    </row>
    <row r="1663" spans="1:7">
      <c r="A1663" s="23" t="str">
        <f>IF('تعديل الجرد'!C163="","",'تعديل الجرد'!B163)</f>
        <v/>
      </c>
      <c r="B1663" t="str">
        <f>IF('تعديل الجرد'!C163="","","تعديل جرد")</f>
        <v/>
      </c>
      <c r="C1663" t="str">
        <f>IF('تعديل الجرد'!C163="","",IF('تعديل الجرد'!G163="","-",'تعديل الجرد'!G163))</f>
        <v/>
      </c>
      <c r="D1663" t="str">
        <f>IF('تعديل الجرد'!C163="","",'تعديل الجرد'!C163)</f>
        <v/>
      </c>
      <c r="E1663" s="24" t="str">
        <f>IF('تعديل الجرد'!C163="","",'تعديل الجرد'!F163)</f>
        <v/>
      </c>
      <c r="F1663" t="str">
        <f>IF('تعديل الجرد'!C163="","",IF('تعديل الجرد'!H163="","",'تعديل الجرد'!H163))</f>
        <v/>
      </c>
      <c r="G1663" t="str">
        <f>IF($B1663&lt;&gt;"",SUMPRODUCT(($B$2:$B1663&lt;&gt;"")*1),"")</f>
        <v/>
      </c>
    </row>
    <row r="1664" spans="1:7">
      <c r="A1664" s="23" t="str">
        <f>IF('تعديل الجرد'!C164="","",'تعديل الجرد'!B164)</f>
        <v/>
      </c>
      <c r="B1664" t="str">
        <f>IF('تعديل الجرد'!C164="","","تعديل جرد")</f>
        <v/>
      </c>
      <c r="C1664" t="str">
        <f>IF('تعديل الجرد'!C164="","",IF('تعديل الجرد'!G164="","-",'تعديل الجرد'!G164))</f>
        <v/>
      </c>
      <c r="D1664" t="str">
        <f>IF('تعديل الجرد'!C164="","",'تعديل الجرد'!C164)</f>
        <v/>
      </c>
      <c r="E1664" s="24" t="str">
        <f>IF('تعديل الجرد'!C164="","",'تعديل الجرد'!F164)</f>
        <v/>
      </c>
      <c r="F1664" t="str">
        <f>IF('تعديل الجرد'!C164="","",IF('تعديل الجرد'!H164="","",'تعديل الجرد'!H164))</f>
        <v/>
      </c>
      <c r="G1664" t="str">
        <f>IF($B1664&lt;&gt;"",SUMPRODUCT(($B$2:$B1664&lt;&gt;"")*1),"")</f>
        <v/>
      </c>
    </row>
    <row r="1665" spans="1:7">
      <c r="A1665" s="23" t="str">
        <f>IF('تعديل الجرد'!C165="","",'تعديل الجرد'!B165)</f>
        <v/>
      </c>
      <c r="B1665" t="str">
        <f>IF('تعديل الجرد'!C165="","","تعديل جرد")</f>
        <v/>
      </c>
      <c r="C1665" t="str">
        <f>IF('تعديل الجرد'!C165="","",IF('تعديل الجرد'!G165="","-",'تعديل الجرد'!G165))</f>
        <v/>
      </c>
      <c r="D1665" t="str">
        <f>IF('تعديل الجرد'!C165="","",'تعديل الجرد'!C165)</f>
        <v/>
      </c>
      <c r="E1665" s="24" t="str">
        <f>IF('تعديل الجرد'!C165="","",'تعديل الجرد'!F165)</f>
        <v/>
      </c>
      <c r="F1665" t="str">
        <f>IF('تعديل الجرد'!C165="","",IF('تعديل الجرد'!H165="","",'تعديل الجرد'!H165))</f>
        <v/>
      </c>
      <c r="G1665" t="str">
        <f>IF($B1665&lt;&gt;"",SUMPRODUCT(($B$2:$B1665&lt;&gt;"")*1),"")</f>
        <v/>
      </c>
    </row>
    <row r="1666" spans="1:7">
      <c r="A1666" s="23" t="str">
        <f>IF('تعديل الجرد'!C166="","",'تعديل الجرد'!B166)</f>
        <v/>
      </c>
      <c r="B1666" t="str">
        <f>IF('تعديل الجرد'!C166="","","تعديل جرد")</f>
        <v/>
      </c>
      <c r="C1666" t="str">
        <f>IF('تعديل الجرد'!C166="","",IF('تعديل الجرد'!G166="","-",'تعديل الجرد'!G166))</f>
        <v/>
      </c>
      <c r="D1666" t="str">
        <f>IF('تعديل الجرد'!C166="","",'تعديل الجرد'!C166)</f>
        <v/>
      </c>
      <c r="E1666" s="24" t="str">
        <f>IF('تعديل الجرد'!C166="","",'تعديل الجرد'!F166)</f>
        <v/>
      </c>
      <c r="F1666" t="str">
        <f>IF('تعديل الجرد'!C166="","",IF('تعديل الجرد'!H166="","",'تعديل الجرد'!H166))</f>
        <v/>
      </c>
      <c r="G1666" t="str">
        <f>IF($B1666&lt;&gt;"",SUMPRODUCT(($B$2:$B1666&lt;&gt;"")*1),"")</f>
        <v/>
      </c>
    </row>
    <row r="1667" spans="1:7">
      <c r="A1667" s="23" t="str">
        <f>IF('تعديل الجرد'!C167="","",'تعديل الجرد'!B167)</f>
        <v/>
      </c>
      <c r="B1667" t="str">
        <f>IF('تعديل الجرد'!C167="","","تعديل جرد")</f>
        <v/>
      </c>
      <c r="C1667" t="str">
        <f>IF('تعديل الجرد'!C167="","",IF('تعديل الجرد'!G167="","-",'تعديل الجرد'!G167))</f>
        <v/>
      </c>
      <c r="D1667" t="str">
        <f>IF('تعديل الجرد'!C167="","",'تعديل الجرد'!C167)</f>
        <v/>
      </c>
      <c r="E1667" s="24" t="str">
        <f>IF('تعديل الجرد'!C167="","",'تعديل الجرد'!F167)</f>
        <v/>
      </c>
      <c r="F1667" t="str">
        <f>IF('تعديل الجرد'!C167="","",IF('تعديل الجرد'!H167="","",'تعديل الجرد'!H167))</f>
        <v/>
      </c>
      <c r="G1667" t="str">
        <f>IF($B1667&lt;&gt;"",SUMPRODUCT(($B$2:$B1667&lt;&gt;"")*1),"")</f>
        <v/>
      </c>
    </row>
    <row r="1668" spans="1:7">
      <c r="A1668" s="23" t="str">
        <f>IF('تعديل الجرد'!C168="","",'تعديل الجرد'!B168)</f>
        <v/>
      </c>
      <c r="B1668" t="str">
        <f>IF('تعديل الجرد'!C168="","","تعديل جرد")</f>
        <v/>
      </c>
      <c r="C1668" t="str">
        <f>IF('تعديل الجرد'!C168="","",IF('تعديل الجرد'!G168="","-",'تعديل الجرد'!G168))</f>
        <v/>
      </c>
      <c r="D1668" t="str">
        <f>IF('تعديل الجرد'!C168="","",'تعديل الجرد'!C168)</f>
        <v/>
      </c>
      <c r="E1668" s="24" t="str">
        <f>IF('تعديل الجرد'!C168="","",'تعديل الجرد'!F168)</f>
        <v/>
      </c>
      <c r="F1668" t="str">
        <f>IF('تعديل الجرد'!C168="","",IF('تعديل الجرد'!H168="","",'تعديل الجرد'!H168))</f>
        <v/>
      </c>
      <c r="G1668" t="str">
        <f>IF($B1668&lt;&gt;"",SUMPRODUCT(($B$2:$B1668&lt;&gt;"")*1),"")</f>
        <v/>
      </c>
    </row>
    <row r="1669" spans="1:7">
      <c r="A1669" s="23" t="str">
        <f>IF('تعديل الجرد'!C169="","",'تعديل الجرد'!B169)</f>
        <v/>
      </c>
      <c r="B1669" t="str">
        <f>IF('تعديل الجرد'!C169="","","تعديل جرد")</f>
        <v/>
      </c>
      <c r="C1669" t="str">
        <f>IF('تعديل الجرد'!C169="","",IF('تعديل الجرد'!G169="","-",'تعديل الجرد'!G169))</f>
        <v/>
      </c>
      <c r="D1669" t="str">
        <f>IF('تعديل الجرد'!C169="","",'تعديل الجرد'!C169)</f>
        <v/>
      </c>
      <c r="E1669" s="24" t="str">
        <f>IF('تعديل الجرد'!C169="","",'تعديل الجرد'!F169)</f>
        <v/>
      </c>
      <c r="F1669" t="str">
        <f>IF('تعديل الجرد'!C169="","",IF('تعديل الجرد'!H169="","",'تعديل الجرد'!H169))</f>
        <v/>
      </c>
      <c r="G1669" t="str">
        <f>IF($B1669&lt;&gt;"",SUMPRODUCT(($B$2:$B1669&lt;&gt;"")*1),"")</f>
        <v/>
      </c>
    </row>
    <row r="1670" spans="1:7">
      <c r="A1670" s="23" t="str">
        <f>IF('تعديل الجرد'!C170="","",'تعديل الجرد'!B170)</f>
        <v/>
      </c>
      <c r="B1670" t="str">
        <f>IF('تعديل الجرد'!C170="","","تعديل جرد")</f>
        <v/>
      </c>
      <c r="C1670" t="str">
        <f>IF('تعديل الجرد'!C170="","",IF('تعديل الجرد'!G170="","-",'تعديل الجرد'!G170))</f>
        <v/>
      </c>
      <c r="D1670" t="str">
        <f>IF('تعديل الجرد'!C170="","",'تعديل الجرد'!C170)</f>
        <v/>
      </c>
      <c r="E1670" s="24" t="str">
        <f>IF('تعديل الجرد'!C170="","",'تعديل الجرد'!F170)</f>
        <v/>
      </c>
      <c r="F1670" t="str">
        <f>IF('تعديل الجرد'!C170="","",IF('تعديل الجرد'!H170="","",'تعديل الجرد'!H170))</f>
        <v/>
      </c>
      <c r="G1670" t="str">
        <f>IF($B1670&lt;&gt;"",SUMPRODUCT(($B$2:$B1670&lt;&gt;"")*1),"")</f>
        <v/>
      </c>
    </row>
    <row r="1671" spans="1:7">
      <c r="A1671" s="23" t="str">
        <f>IF('تعديل الجرد'!C171="","",'تعديل الجرد'!B171)</f>
        <v/>
      </c>
      <c r="B1671" t="str">
        <f>IF('تعديل الجرد'!C171="","","تعديل جرد")</f>
        <v/>
      </c>
      <c r="C1671" t="str">
        <f>IF('تعديل الجرد'!C171="","",IF('تعديل الجرد'!G171="","-",'تعديل الجرد'!G171))</f>
        <v/>
      </c>
      <c r="D1671" t="str">
        <f>IF('تعديل الجرد'!C171="","",'تعديل الجرد'!C171)</f>
        <v/>
      </c>
      <c r="E1671" s="24" t="str">
        <f>IF('تعديل الجرد'!C171="","",'تعديل الجرد'!F171)</f>
        <v/>
      </c>
      <c r="F1671" t="str">
        <f>IF('تعديل الجرد'!C171="","",IF('تعديل الجرد'!H171="","",'تعديل الجرد'!H171))</f>
        <v/>
      </c>
      <c r="G1671" t="str">
        <f>IF($B1671&lt;&gt;"",SUMPRODUCT(($B$2:$B1671&lt;&gt;"")*1),"")</f>
        <v/>
      </c>
    </row>
    <row r="1672" spans="1:7">
      <c r="A1672" s="23" t="str">
        <f>IF('تعديل الجرد'!C172="","",'تعديل الجرد'!B172)</f>
        <v/>
      </c>
      <c r="B1672" t="str">
        <f>IF('تعديل الجرد'!C172="","","تعديل جرد")</f>
        <v/>
      </c>
      <c r="C1672" t="str">
        <f>IF('تعديل الجرد'!C172="","",IF('تعديل الجرد'!G172="","-",'تعديل الجرد'!G172))</f>
        <v/>
      </c>
      <c r="D1672" t="str">
        <f>IF('تعديل الجرد'!C172="","",'تعديل الجرد'!C172)</f>
        <v/>
      </c>
      <c r="E1672" s="24" t="str">
        <f>IF('تعديل الجرد'!C172="","",'تعديل الجرد'!F172)</f>
        <v/>
      </c>
      <c r="F1672" t="str">
        <f>IF('تعديل الجرد'!C172="","",IF('تعديل الجرد'!H172="","",'تعديل الجرد'!H172))</f>
        <v/>
      </c>
      <c r="G1672" t="str">
        <f>IF($B1672&lt;&gt;"",SUMPRODUCT(($B$2:$B1672&lt;&gt;"")*1),"")</f>
        <v/>
      </c>
    </row>
    <row r="1673" spans="1:7">
      <c r="A1673" s="23" t="str">
        <f>IF('تعديل الجرد'!C173="","",'تعديل الجرد'!B173)</f>
        <v/>
      </c>
      <c r="B1673" t="str">
        <f>IF('تعديل الجرد'!C173="","","تعديل جرد")</f>
        <v/>
      </c>
      <c r="C1673" t="str">
        <f>IF('تعديل الجرد'!C173="","",IF('تعديل الجرد'!G173="","-",'تعديل الجرد'!G173))</f>
        <v/>
      </c>
      <c r="D1673" t="str">
        <f>IF('تعديل الجرد'!C173="","",'تعديل الجرد'!C173)</f>
        <v/>
      </c>
      <c r="E1673" s="24" t="str">
        <f>IF('تعديل الجرد'!C173="","",'تعديل الجرد'!F173)</f>
        <v/>
      </c>
      <c r="F1673" t="str">
        <f>IF('تعديل الجرد'!C173="","",IF('تعديل الجرد'!H173="","",'تعديل الجرد'!H173))</f>
        <v/>
      </c>
      <c r="G1673" t="str">
        <f>IF($B1673&lt;&gt;"",SUMPRODUCT(($B$2:$B1673&lt;&gt;"")*1),"")</f>
        <v/>
      </c>
    </row>
    <row r="1674" spans="1:7">
      <c r="A1674" s="23" t="str">
        <f>IF('تعديل الجرد'!C174="","",'تعديل الجرد'!B174)</f>
        <v/>
      </c>
      <c r="B1674" t="str">
        <f>IF('تعديل الجرد'!C174="","","تعديل جرد")</f>
        <v/>
      </c>
      <c r="C1674" t="str">
        <f>IF('تعديل الجرد'!C174="","",IF('تعديل الجرد'!G174="","-",'تعديل الجرد'!G174))</f>
        <v/>
      </c>
      <c r="D1674" t="str">
        <f>IF('تعديل الجرد'!C174="","",'تعديل الجرد'!C174)</f>
        <v/>
      </c>
      <c r="E1674" s="24" t="str">
        <f>IF('تعديل الجرد'!C174="","",'تعديل الجرد'!F174)</f>
        <v/>
      </c>
      <c r="F1674" t="str">
        <f>IF('تعديل الجرد'!C174="","",IF('تعديل الجرد'!H174="","",'تعديل الجرد'!H174))</f>
        <v/>
      </c>
      <c r="G1674" t="str">
        <f>IF($B1674&lt;&gt;"",SUMPRODUCT(($B$2:$B1674&lt;&gt;"")*1),"")</f>
        <v/>
      </c>
    </row>
    <row r="1675" spans="1:7">
      <c r="A1675" s="23" t="str">
        <f>IF('تعديل الجرد'!C175="","",'تعديل الجرد'!B175)</f>
        <v/>
      </c>
      <c r="B1675" t="str">
        <f>IF('تعديل الجرد'!C175="","","تعديل جرد")</f>
        <v/>
      </c>
      <c r="C1675" t="str">
        <f>IF('تعديل الجرد'!C175="","",IF('تعديل الجرد'!G175="","-",'تعديل الجرد'!G175))</f>
        <v/>
      </c>
      <c r="D1675" t="str">
        <f>IF('تعديل الجرد'!C175="","",'تعديل الجرد'!C175)</f>
        <v/>
      </c>
      <c r="E1675" s="24" t="str">
        <f>IF('تعديل الجرد'!C175="","",'تعديل الجرد'!F175)</f>
        <v/>
      </c>
      <c r="F1675" t="str">
        <f>IF('تعديل الجرد'!C175="","",IF('تعديل الجرد'!H175="","",'تعديل الجرد'!H175))</f>
        <v/>
      </c>
      <c r="G1675" t="str">
        <f>IF($B1675&lt;&gt;"",SUMPRODUCT(($B$2:$B1675&lt;&gt;"")*1),"")</f>
        <v/>
      </c>
    </row>
    <row r="1676" spans="1:7">
      <c r="A1676" s="23" t="str">
        <f>IF('تعديل الجرد'!C176="","",'تعديل الجرد'!B176)</f>
        <v/>
      </c>
      <c r="B1676" t="str">
        <f>IF('تعديل الجرد'!C176="","","تعديل جرد")</f>
        <v/>
      </c>
      <c r="C1676" t="str">
        <f>IF('تعديل الجرد'!C176="","",IF('تعديل الجرد'!G176="","-",'تعديل الجرد'!G176))</f>
        <v/>
      </c>
      <c r="D1676" t="str">
        <f>IF('تعديل الجرد'!C176="","",'تعديل الجرد'!C176)</f>
        <v/>
      </c>
      <c r="E1676" s="24" t="str">
        <f>IF('تعديل الجرد'!C176="","",'تعديل الجرد'!F176)</f>
        <v/>
      </c>
      <c r="F1676" t="str">
        <f>IF('تعديل الجرد'!C176="","",IF('تعديل الجرد'!H176="","",'تعديل الجرد'!H176))</f>
        <v/>
      </c>
      <c r="G1676" t="str">
        <f>IF($B1676&lt;&gt;"",SUMPRODUCT(($B$2:$B1676&lt;&gt;"")*1),"")</f>
        <v/>
      </c>
    </row>
    <row r="1677" spans="1:7">
      <c r="A1677" s="23" t="str">
        <f>IF('تعديل الجرد'!C177="","",'تعديل الجرد'!B177)</f>
        <v/>
      </c>
      <c r="B1677" t="str">
        <f>IF('تعديل الجرد'!C177="","","تعديل جرد")</f>
        <v/>
      </c>
      <c r="C1677" t="str">
        <f>IF('تعديل الجرد'!C177="","",IF('تعديل الجرد'!G177="","-",'تعديل الجرد'!G177))</f>
        <v/>
      </c>
      <c r="D1677" t="str">
        <f>IF('تعديل الجرد'!C177="","",'تعديل الجرد'!C177)</f>
        <v/>
      </c>
      <c r="E1677" s="24" t="str">
        <f>IF('تعديل الجرد'!C177="","",'تعديل الجرد'!F177)</f>
        <v/>
      </c>
      <c r="F1677" t="str">
        <f>IF('تعديل الجرد'!C177="","",IF('تعديل الجرد'!H177="","",'تعديل الجرد'!H177))</f>
        <v/>
      </c>
      <c r="G1677" t="str">
        <f>IF($B1677&lt;&gt;"",SUMPRODUCT(($B$2:$B1677&lt;&gt;"")*1),"")</f>
        <v/>
      </c>
    </row>
    <row r="1678" spans="1:7">
      <c r="A1678" s="23" t="str">
        <f>IF('تعديل الجرد'!C178="","",'تعديل الجرد'!B178)</f>
        <v/>
      </c>
      <c r="B1678" t="str">
        <f>IF('تعديل الجرد'!C178="","","تعديل جرد")</f>
        <v/>
      </c>
      <c r="C1678" t="str">
        <f>IF('تعديل الجرد'!C178="","",IF('تعديل الجرد'!G178="","-",'تعديل الجرد'!G178))</f>
        <v/>
      </c>
      <c r="D1678" t="str">
        <f>IF('تعديل الجرد'!C178="","",'تعديل الجرد'!C178)</f>
        <v/>
      </c>
      <c r="E1678" s="24" t="str">
        <f>IF('تعديل الجرد'!C178="","",'تعديل الجرد'!F178)</f>
        <v/>
      </c>
      <c r="F1678" t="str">
        <f>IF('تعديل الجرد'!C178="","",IF('تعديل الجرد'!H178="","",'تعديل الجرد'!H178))</f>
        <v/>
      </c>
      <c r="G1678" t="str">
        <f>IF($B1678&lt;&gt;"",SUMPRODUCT(($B$2:$B1678&lt;&gt;"")*1),"")</f>
        <v/>
      </c>
    </row>
    <row r="1679" spans="1:7">
      <c r="A1679" s="23" t="str">
        <f>IF('تعديل الجرد'!C179="","",'تعديل الجرد'!B179)</f>
        <v/>
      </c>
      <c r="B1679" t="str">
        <f>IF('تعديل الجرد'!C179="","","تعديل جرد")</f>
        <v/>
      </c>
      <c r="C1679" t="str">
        <f>IF('تعديل الجرد'!C179="","",IF('تعديل الجرد'!G179="","-",'تعديل الجرد'!G179))</f>
        <v/>
      </c>
      <c r="D1679" t="str">
        <f>IF('تعديل الجرد'!C179="","",'تعديل الجرد'!C179)</f>
        <v/>
      </c>
      <c r="E1679" s="24" t="str">
        <f>IF('تعديل الجرد'!C179="","",'تعديل الجرد'!F179)</f>
        <v/>
      </c>
      <c r="F1679" t="str">
        <f>IF('تعديل الجرد'!C179="","",IF('تعديل الجرد'!H179="","",'تعديل الجرد'!H179))</f>
        <v/>
      </c>
      <c r="G1679" t="str">
        <f>IF($B1679&lt;&gt;"",SUMPRODUCT(($B$2:$B1679&lt;&gt;"")*1),"")</f>
        <v/>
      </c>
    </row>
    <row r="1680" spans="1:7">
      <c r="A1680" s="23" t="str">
        <f>IF('تعديل الجرد'!C180="","",'تعديل الجرد'!B180)</f>
        <v/>
      </c>
      <c r="B1680" t="str">
        <f>IF('تعديل الجرد'!C180="","","تعديل جرد")</f>
        <v/>
      </c>
      <c r="C1680" t="str">
        <f>IF('تعديل الجرد'!C180="","",IF('تعديل الجرد'!G180="","-",'تعديل الجرد'!G180))</f>
        <v/>
      </c>
      <c r="D1680" t="str">
        <f>IF('تعديل الجرد'!C180="","",'تعديل الجرد'!C180)</f>
        <v/>
      </c>
      <c r="E1680" s="24" t="str">
        <f>IF('تعديل الجرد'!C180="","",'تعديل الجرد'!F180)</f>
        <v/>
      </c>
      <c r="F1680" t="str">
        <f>IF('تعديل الجرد'!C180="","",IF('تعديل الجرد'!H180="","",'تعديل الجرد'!H180))</f>
        <v/>
      </c>
      <c r="G1680" t="str">
        <f>IF($B1680&lt;&gt;"",SUMPRODUCT(($B$2:$B1680&lt;&gt;"")*1),"")</f>
        <v/>
      </c>
    </row>
    <row r="1681" spans="1:7">
      <c r="A1681" s="23" t="str">
        <f>IF('تعديل الجرد'!C181="","",'تعديل الجرد'!B181)</f>
        <v/>
      </c>
      <c r="B1681" t="str">
        <f>IF('تعديل الجرد'!C181="","","تعديل جرد")</f>
        <v/>
      </c>
      <c r="C1681" t="str">
        <f>IF('تعديل الجرد'!C181="","",IF('تعديل الجرد'!G181="","-",'تعديل الجرد'!G181))</f>
        <v/>
      </c>
      <c r="D1681" t="str">
        <f>IF('تعديل الجرد'!C181="","",'تعديل الجرد'!C181)</f>
        <v/>
      </c>
      <c r="E1681" s="24" t="str">
        <f>IF('تعديل الجرد'!C181="","",'تعديل الجرد'!F181)</f>
        <v/>
      </c>
      <c r="F1681" t="str">
        <f>IF('تعديل الجرد'!C181="","",IF('تعديل الجرد'!H181="","",'تعديل الجرد'!H181))</f>
        <v/>
      </c>
      <c r="G1681" t="str">
        <f>IF($B1681&lt;&gt;"",SUMPRODUCT(($B$2:$B1681&lt;&gt;"")*1),"")</f>
        <v/>
      </c>
    </row>
    <row r="1682" spans="1:7">
      <c r="A1682" s="23" t="str">
        <f>IF('تعديل الجرد'!C182="","",'تعديل الجرد'!B182)</f>
        <v/>
      </c>
      <c r="B1682" t="str">
        <f>IF('تعديل الجرد'!C182="","","تعديل جرد")</f>
        <v/>
      </c>
      <c r="C1682" t="str">
        <f>IF('تعديل الجرد'!C182="","",IF('تعديل الجرد'!G182="","-",'تعديل الجرد'!G182))</f>
        <v/>
      </c>
      <c r="D1682" t="str">
        <f>IF('تعديل الجرد'!C182="","",'تعديل الجرد'!C182)</f>
        <v/>
      </c>
      <c r="E1682" s="24" t="str">
        <f>IF('تعديل الجرد'!C182="","",'تعديل الجرد'!F182)</f>
        <v/>
      </c>
      <c r="F1682" t="str">
        <f>IF('تعديل الجرد'!C182="","",IF('تعديل الجرد'!H182="","",'تعديل الجرد'!H182))</f>
        <v/>
      </c>
      <c r="G1682" t="str">
        <f>IF($B1682&lt;&gt;"",SUMPRODUCT(($B$2:$B1682&lt;&gt;"")*1),"")</f>
        <v/>
      </c>
    </row>
    <row r="1683" spans="1:7">
      <c r="A1683" s="23" t="str">
        <f>IF('تعديل الجرد'!C183="","",'تعديل الجرد'!B183)</f>
        <v/>
      </c>
      <c r="B1683" t="str">
        <f>IF('تعديل الجرد'!C183="","","تعديل جرد")</f>
        <v/>
      </c>
      <c r="C1683" t="str">
        <f>IF('تعديل الجرد'!C183="","",IF('تعديل الجرد'!G183="","-",'تعديل الجرد'!G183))</f>
        <v/>
      </c>
      <c r="D1683" t="str">
        <f>IF('تعديل الجرد'!C183="","",'تعديل الجرد'!C183)</f>
        <v/>
      </c>
      <c r="E1683" s="24" t="str">
        <f>IF('تعديل الجرد'!C183="","",'تعديل الجرد'!F183)</f>
        <v/>
      </c>
      <c r="F1683" t="str">
        <f>IF('تعديل الجرد'!C183="","",IF('تعديل الجرد'!H183="","",'تعديل الجرد'!H183))</f>
        <v/>
      </c>
      <c r="G1683" t="str">
        <f>IF($B1683&lt;&gt;"",SUMPRODUCT(($B$2:$B1683&lt;&gt;"")*1),"")</f>
        <v/>
      </c>
    </row>
    <row r="1684" spans="1:7">
      <c r="A1684" s="23" t="str">
        <f>IF('تعديل الجرد'!C184="","",'تعديل الجرد'!B184)</f>
        <v/>
      </c>
      <c r="B1684" t="str">
        <f>IF('تعديل الجرد'!C184="","","تعديل جرد")</f>
        <v/>
      </c>
      <c r="C1684" t="str">
        <f>IF('تعديل الجرد'!C184="","",IF('تعديل الجرد'!G184="","-",'تعديل الجرد'!G184))</f>
        <v/>
      </c>
      <c r="D1684" t="str">
        <f>IF('تعديل الجرد'!C184="","",'تعديل الجرد'!C184)</f>
        <v/>
      </c>
      <c r="E1684" s="24" t="str">
        <f>IF('تعديل الجرد'!C184="","",'تعديل الجرد'!F184)</f>
        <v/>
      </c>
      <c r="F1684" t="str">
        <f>IF('تعديل الجرد'!C184="","",IF('تعديل الجرد'!H184="","",'تعديل الجرد'!H184))</f>
        <v/>
      </c>
      <c r="G1684" t="str">
        <f>IF($B1684&lt;&gt;"",SUMPRODUCT(($B$2:$B1684&lt;&gt;"")*1),"")</f>
        <v/>
      </c>
    </row>
    <row r="1685" spans="1:7">
      <c r="A1685" s="23" t="str">
        <f>IF('تعديل الجرد'!C185="","",'تعديل الجرد'!B185)</f>
        <v/>
      </c>
      <c r="B1685" t="str">
        <f>IF('تعديل الجرد'!C185="","","تعديل جرد")</f>
        <v/>
      </c>
      <c r="C1685" t="str">
        <f>IF('تعديل الجرد'!C185="","",IF('تعديل الجرد'!G185="","-",'تعديل الجرد'!G185))</f>
        <v/>
      </c>
      <c r="D1685" t="str">
        <f>IF('تعديل الجرد'!C185="","",'تعديل الجرد'!C185)</f>
        <v/>
      </c>
      <c r="E1685" s="24" t="str">
        <f>IF('تعديل الجرد'!C185="","",'تعديل الجرد'!F185)</f>
        <v/>
      </c>
      <c r="F1685" t="str">
        <f>IF('تعديل الجرد'!C185="","",IF('تعديل الجرد'!H185="","",'تعديل الجرد'!H185))</f>
        <v/>
      </c>
      <c r="G1685" t="str">
        <f>IF($B1685&lt;&gt;"",SUMPRODUCT(($B$2:$B1685&lt;&gt;"")*1),"")</f>
        <v/>
      </c>
    </row>
    <row r="1686" spans="1:7">
      <c r="A1686" s="23" t="str">
        <f>IF('تعديل الجرد'!C186="","",'تعديل الجرد'!B186)</f>
        <v/>
      </c>
      <c r="B1686" t="str">
        <f>IF('تعديل الجرد'!C186="","","تعديل جرد")</f>
        <v/>
      </c>
      <c r="C1686" t="str">
        <f>IF('تعديل الجرد'!C186="","",IF('تعديل الجرد'!G186="","-",'تعديل الجرد'!G186))</f>
        <v/>
      </c>
      <c r="D1686" t="str">
        <f>IF('تعديل الجرد'!C186="","",'تعديل الجرد'!C186)</f>
        <v/>
      </c>
      <c r="E1686" s="24" t="str">
        <f>IF('تعديل الجرد'!C186="","",'تعديل الجرد'!F186)</f>
        <v/>
      </c>
      <c r="F1686" t="str">
        <f>IF('تعديل الجرد'!C186="","",IF('تعديل الجرد'!H186="","",'تعديل الجرد'!H186))</f>
        <v/>
      </c>
      <c r="G1686" t="str">
        <f>IF($B1686&lt;&gt;"",SUMPRODUCT(($B$2:$B1686&lt;&gt;"")*1),"")</f>
        <v/>
      </c>
    </row>
    <row r="1687" spans="1:7">
      <c r="A1687" s="23" t="str">
        <f>IF('تعديل الجرد'!C187="","",'تعديل الجرد'!B187)</f>
        <v/>
      </c>
      <c r="B1687" t="str">
        <f>IF('تعديل الجرد'!C187="","","تعديل جرد")</f>
        <v/>
      </c>
      <c r="C1687" t="str">
        <f>IF('تعديل الجرد'!C187="","",IF('تعديل الجرد'!G187="","-",'تعديل الجرد'!G187))</f>
        <v/>
      </c>
      <c r="D1687" t="str">
        <f>IF('تعديل الجرد'!C187="","",'تعديل الجرد'!C187)</f>
        <v/>
      </c>
      <c r="E1687" s="24" t="str">
        <f>IF('تعديل الجرد'!C187="","",'تعديل الجرد'!F187)</f>
        <v/>
      </c>
      <c r="F1687" t="str">
        <f>IF('تعديل الجرد'!C187="","",IF('تعديل الجرد'!H187="","",'تعديل الجرد'!H187))</f>
        <v/>
      </c>
      <c r="G1687" t="str">
        <f>IF($B1687&lt;&gt;"",SUMPRODUCT(($B$2:$B1687&lt;&gt;"")*1),"")</f>
        <v/>
      </c>
    </row>
    <row r="1688" spans="1:7">
      <c r="A1688" s="23" t="str">
        <f>IF('تعديل الجرد'!C188="","",'تعديل الجرد'!B188)</f>
        <v/>
      </c>
      <c r="B1688" t="str">
        <f>IF('تعديل الجرد'!C188="","","تعديل جرد")</f>
        <v/>
      </c>
      <c r="C1688" t="str">
        <f>IF('تعديل الجرد'!C188="","",IF('تعديل الجرد'!G188="","-",'تعديل الجرد'!G188))</f>
        <v/>
      </c>
      <c r="D1688" t="str">
        <f>IF('تعديل الجرد'!C188="","",'تعديل الجرد'!C188)</f>
        <v/>
      </c>
      <c r="E1688" s="24" t="str">
        <f>IF('تعديل الجرد'!C188="","",'تعديل الجرد'!F188)</f>
        <v/>
      </c>
      <c r="F1688" t="str">
        <f>IF('تعديل الجرد'!C188="","",IF('تعديل الجرد'!H188="","",'تعديل الجرد'!H188))</f>
        <v/>
      </c>
      <c r="G1688" t="str">
        <f>IF($B1688&lt;&gt;"",SUMPRODUCT(($B$2:$B1688&lt;&gt;"")*1),"")</f>
        <v/>
      </c>
    </row>
    <row r="1689" spans="1:7">
      <c r="A1689" s="23" t="str">
        <f>IF('تعديل الجرد'!C189="","",'تعديل الجرد'!B189)</f>
        <v/>
      </c>
      <c r="B1689" t="str">
        <f>IF('تعديل الجرد'!C189="","","تعديل جرد")</f>
        <v/>
      </c>
      <c r="C1689" t="str">
        <f>IF('تعديل الجرد'!C189="","",IF('تعديل الجرد'!G189="","-",'تعديل الجرد'!G189))</f>
        <v/>
      </c>
      <c r="D1689" t="str">
        <f>IF('تعديل الجرد'!C189="","",'تعديل الجرد'!C189)</f>
        <v/>
      </c>
      <c r="E1689" s="24" t="str">
        <f>IF('تعديل الجرد'!C189="","",'تعديل الجرد'!F189)</f>
        <v/>
      </c>
      <c r="F1689" t="str">
        <f>IF('تعديل الجرد'!C189="","",IF('تعديل الجرد'!H189="","",'تعديل الجرد'!H189))</f>
        <v/>
      </c>
      <c r="G1689" t="str">
        <f>IF($B1689&lt;&gt;"",SUMPRODUCT(($B$2:$B1689&lt;&gt;"")*1),"")</f>
        <v/>
      </c>
    </row>
    <row r="1690" spans="1:7">
      <c r="A1690" s="23" t="str">
        <f>IF('تعديل الجرد'!C190="","",'تعديل الجرد'!B190)</f>
        <v/>
      </c>
      <c r="B1690" t="str">
        <f>IF('تعديل الجرد'!C190="","","تعديل جرد")</f>
        <v/>
      </c>
      <c r="C1690" t="str">
        <f>IF('تعديل الجرد'!C190="","",IF('تعديل الجرد'!G190="","-",'تعديل الجرد'!G190))</f>
        <v/>
      </c>
      <c r="D1690" t="str">
        <f>IF('تعديل الجرد'!C190="","",'تعديل الجرد'!C190)</f>
        <v/>
      </c>
      <c r="E1690" s="24" t="str">
        <f>IF('تعديل الجرد'!C190="","",'تعديل الجرد'!F190)</f>
        <v/>
      </c>
      <c r="F1690" t="str">
        <f>IF('تعديل الجرد'!C190="","",IF('تعديل الجرد'!H190="","",'تعديل الجرد'!H190))</f>
        <v/>
      </c>
      <c r="G1690" t="str">
        <f>IF($B1690&lt;&gt;"",SUMPRODUCT(($B$2:$B1690&lt;&gt;"")*1),"")</f>
        <v/>
      </c>
    </row>
    <row r="1691" spans="1:7">
      <c r="A1691" s="23" t="str">
        <f>IF('تعديل الجرد'!C191="","",'تعديل الجرد'!B191)</f>
        <v/>
      </c>
      <c r="B1691" t="str">
        <f>IF('تعديل الجرد'!C191="","","تعديل جرد")</f>
        <v/>
      </c>
      <c r="C1691" t="str">
        <f>IF('تعديل الجرد'!C191="","",IF('تعديل الجرد'!G191="","-",'تعديل الجرد'!G191))</f>
        <v/>
      </c>
      <c r="D1691" t="str">
        <f>IF('تعديل الجرد'!C191="","",'تعديل الجرد'!C191)</f>
        <v/>
      </c>
      <c r="E1691" s="24" t="str">
        <f>IF('تعديل الجرد'!C191="","",'تعديل الجرد'!F191)</f>
        <v/>
      </c>
      <c r="F1691" t="str">
        <f>IF('تعديل الجرد'!C191="","",IF('تعديل الجرد'!H191="","",'تعديل الجرد'!H191))</f>
        <v/>
      </c>
      <c r="G1691" t="str">
        <f>IF($B1691&lt;&gt;"",SUMPRODUCT(($B$2:$B1691&lt;&gt;"")*1),"")</f>
        <v/>
      </c>
    </row>
    <row r="1692" spans="1:7">
      <c r="A1692" s="23" t="str">
        <f>IF('تعديل الجرد'!C192="","",'تعديل الجرد'!B192)</f>
        <v/>
      </c>
      <c r="B1692" t="str">
        <f>IF('تعديل الجرد'!C192="","","تعديل جرد")</f>
        <v/>
      </c>
      <c r="C1692" t="str">
        <f>IF('تعديل الجرد'!C192="","",IF('تعديل الجرد'!G192="","-",'تعديل الجرد'!G192))</f>
        <v/>
      </c>
      <c r="D1692" t="str">
        <f>IF('تعديل الجرد'!C192="","",'تعديل الجرد'!C192)</f>
        <v/>
      </c>
      <c r="E1692" s="24" t="str">
        <f>IF('تعديل الجرد'!C192="","",'تعديل الجرد'!F192)</f>
        <v/>
      </c>
      <c r="F1692" t="str">
        <f>IF('تعديل الجرد'!C192="","",IF('تعديل الجرد'!H192="","",'تعديل الجرد'!H192))</f>
        <v/>
      </c>
      <c r="G1692" t="str">
        <f>IF($B1692&lt;&gt;"",SUMPRODUCT(($B$2:$B1692&lt;&gt;"")*1),"")</f>
        <v/>
      </c>
    </row>
    <row r="1693" spans="1:7">
      <c r="A1693" s="23" t="str">
        <f>IF('تعديل الجرد'!C193="","",'تعديل الجرد'!B193)</f>
        <v/>
      </c>
      <c r="B1693" t="str">
        <f>IF('تعديل الجرد'!C193="","","تعديل جرد")</f>
        <v/>
      </c>
      <c r="C1693" t="str">
        <f>IF('تعديل الجرد'!C193="","",IF('تعديل الجرد'!G193="","-",'تعديل الجرد'!G193))</f>
        <v/>
      </c>
      <c r="D1693" t="str">
        <f>IF('تعديل الجرد'!C193="","",'تعديل الجرد'!C193)</f>
        <v/>
      </c>
      <c r="E1693" s="24" t="str">
        <f>IF('تعديل الجرد'!C193="","",'تعديل الجرد'!F193)</f>
        <v/>
      </c>
      <c r="F1693" t="str">
        <f>IF('تعديل الجرد'!C193="","",IF('تعديل الجرد'!H193="","",'تعديل الجرد'!H193))</f>
        <v/>
      </c>
      <c r="G1693" t="str">
        <f>IF($B1693&lt;&gt;"",SUMPRODUCT(($B$2:$B1693&lt;&gt;"")*1),"")</f>
        <v/>
      </c>
    </row>
    <row r="1694" spans="1:7">
      <c r="A1694" s="23" t="str">
        <f>IF('تعديل الجرد'!C194="","",'تعديل الجرد'!B194)</f>
        <v/>
      </c>
      <c r="B1694" t="str">
        <f>IF('تعديل الجرد'!C194="","","تعديل جرد")</f>
        <v/>
      </c>
      <c r="C1694" t="str">
        <f>IF('تعديل الجرد'!C194="","",IF('تعديل الجرد'!G194="","-",'تعديل الجرد'!G194))</f>
        <v/>
      </c>
      <c r="D1694" t="str">
        <f>IF('تعديل الجرد'!C194="","",'تعديل الجرد'!C194)</f>
        <v/>
      </c>
      <c r="E1694" s="24" t="str">
        <f>IF('تعديل الجرد'!C194="","",'تعديل الجرد'!F194)</f>
        <v/>
      </c>
      <c r="F1694" t="str">
        <f>IF('تعديل الجرد'!C194="","",IF('تعديل الجرد'!H194="","",'تعديل الجرد'!H194))</f>
        <v/>
      </c>
      <c r="G1694" t="str">
        <f>IF($B1694&lt;&gt;"",SUMPRODUCT(($B$2:$B1694&lt;&gt;"")*1),"")</f>
        <v/>
      </c>
    </row>
    <row r="1695" spans="1:7">
      <c r="A1695" s="23" t="str">
        <f>IF('تعديل الجرد'!C195="","",'تعديل الجرد'!B195)</f>
        <v/>
      </c>
      <c r="B1695" t="str">
        <f>IF('تعديل الجرد'!C195="","","تعديل جرد")</f>
        <v/>
      </c>
      <c r="C1695" t="str">
        <f>IF('تعديل الجرد'!C195="","",IF('تعديل الجرد'!G195="","-",'تعديل الجرد'!G195))</f>
        <v/>
      </c>
      <c r="D1695" t="str">
        <f>IF('تعديل الجرد'!C195="","",'تعديل الجرد'!C195)</f>
        <v/>
      </c>
      <c r="E1695" s="24" t="str">
        <f>IF('تعديل الجرد'!C195="","",'تعديل الجرد'!F195)</f>
        <v/>
      </c>
      <c r="F1695" t="str">
        <f>IF('تعديل الجرد'!C195="","",IF('تعديل الجرد'!H195="","",'تعديل الجرد'!H195))</f>
        <v/>
      </c>
      <c r="G1695" t="str">
        <f>IF($B1695&lt;&gt;"",SUMPRODUCT(($B$2:$B1695&lt;&gt;"")*1),"")</f>
        <v/>
      </c>
    </row>
    <row r="1696" spans="1:7">
      <c r="A1696" s="23" t="str">
        <f>IF('تعديل الجرد'!C196="","",'تعديل الجرد'!B196)</f>
        <v/>
      </c>
      <c r="B1696" t="str">
        <f>IF('تعديل الجرد'!C196="","","تعديل جرد")</f>
        <v/>
      </c>
      <c r="C1696" t="str">
        <f>IF('تعديل الجرد'!C196="","",IF('تعديل الجرد'!G196="","-",'تعديل الجرد'!G196))</f>
        <v/>
      </c>
      <c r="D1696" t="str">
        <f>IF('تعديل الجرد'!C196="","",'تعديل الجرد'!C196)</f>
        <v/>
      </c>
      <c r="E1696" s="24" t="str">
        <f>IF('تعديل الجرد'!C196="","",'تعديل الجرد'!F196)</f>
        <v/>
      </c>
      <c r="F1696" t="str">
        <f>IF('تعديل الجرد'!C196="","",IF('تعديل الجرد'!H196="","",'تعديل الجرد'!H196))</f>
        <v/>
      </c>
      <c r="G1696" t="str">
        <f>IF($B1696&lt;&gt;"",SUMPRODUCT(($B$2:$B1696&lt;&gt;"")*1),"")</f>
        <v/>
      </c>
    </row>
    <row r="1697" spans="1:7">
      <c r="A1697" s="23" t="str">
        <f>IF('تعديل الجرد'!C197="","",'تعديل الجرد'!B197)</f>
        <v/>
      </c>
      <c r="B1697" t="str">
        <f>IF('تعديل الجرد'!C197="","","تعديل جرد")</f>
        <v/>
      </c>
      <c r="C1697" t="str">
        <f>IF('تعديل الجرد'!C197="","",IF('تعديل الجرد'!G197="","-",'تعديل الجرد'!G197))</f>
        <v/>
      </c>
      <c r="D1697" t="str">
        <f>IF('تعديل الجرد'!C197="","",'تعديل الجرد'!C197)</f>
        <v/>
      </c>
      <c r="E1697" s="24" t="str">
        <f>IF('تعديل الجرد'!C197="","",'تعديل الجرد'!F197)</f>
        <v/>
      </c>
      <c r="F1697" t="str">
        <f>IF('تعديل الجرد'!C197="","",IF('تعديل الجرد'!H197="","",'تعديل الجرد'!H197))</f>
        <v/>
      </c>
      <c r="G1697" t="str">
        <f>IF($B1697&lt;&gt;"",SUMPRODUCT(($B$2:$B1697&lt;&gt;"")*1),"")</f>
        <v/>
      </c>
    </row>
    <row r="1698" spans="1:7">
      <c r="A1698" s="23" t="str">
        <f>IF('تعديل الجرد'!C198="","",'تعديل الجرد'!B198)</f>
        <v/>
      </c>
      <c r="B1698" t="str">
        <f>IF('تعديل الجرد'!C198="","","تعديل جرد")</f>
        <v/>
      </c>
      <c r="C1698" t="str">
        <f>IF('تعديل الجرد'!C198="","",IF('تعديل الجرد'!G198="","-",'تعديل الجرد'!G198))</f>
        <v/>
      </c>
      <c r="D1698" t="str">
        <f>IF('تعديل الجرد'!C198="","",'تعديل الجرد'!C198)</f>
        <v/>
      </c>
      <c r="E1698" s="24" t="str">
        <f>IF('تعديل الجرد'!C198="","",'تعديل الجرد'!F198)</f>
        <v/>
      </c>
      <c r="F1698" t="str">
        <f>IF('تعديل الجرد'!C198="","",IF('تعديل الجرد'!H198="","",'تعديل الجرد'!H198))</f>
        <v/>
      </c>
      <c r="G1698" t="str">
        <f>IF($B1698&lt;&gt;"",SUMPRODUCT(($B$2:$B1698&lt;&gt;"")*1),"")</f>
        <v/>
      </c>
    </row>
    <row r="1699" spans="1:7">
      <c r="A1699" s="23" t="str">
        <f>IF('تعديل الجرد'!C199="","",'تعديل الجرد'!B199)</f>
        <v/>
      </c>
      <c r="B1699" t="str">
        <f>IF('تعديل الجرد'!C199="","","تعديل جرد")</f>
        <v/>
      </c>
      <c r="C1699" t="str">
        <f>IF('تعديل الجرد'!C199="","",IF('تعديل الجرد'!G199="","-",'تعديل الجرد'!G199))</f>
        <v/>
      </c>
      <c r="D1699" t="str">
        <f>IF('تعديل الجرد'!C199="","",'تعديل الجرد'!C199)</f>
        <v/>
      </c>
      <c r="E1699" s="24" t="str">
        <f>IF('تعديل الجرد'!C199="","",'تعديل الجرد'!F199)</f>
        <v/>
      </c>
      <c r="F1699" t="str">
        <f>IF('تعديل الجرد'!C199="","",IF('تعديل الجرد'!H199="","",'تعديل الجرد'!H199))</f>
        <v/>
      </c>
      <c r="G1699" t="str">
        <f>IF($B1699&lt;&gt;"",SUMPRODUCT(($B$2:$B1699&lt;&gt;"")*1),"")</f>
        <v/>
      </c>
    </row>
    <row r="1700" spans="1:7">
      <c r="A1700" s="23" t="str">
        <f>IF('تعديل الجرد'!C200="","",'تعديل الجرد'!B200)</f>
        <v/>
      </c>
      <c r="B1700" t="str">
        <f>IF('تعديل الجرد'!C200="","","تعديل جرد")</f>
        <v/>
      </c>
      <c r="C1700" t="str">
        <f>IF('تعديل الجرد'!C200="","",IF('تعديل الجرد'!G200="","-",'تعديل الجرد'!G200))</f>
        <v/>
      </c>
      <c r="D1700" t="str">
        <f>IF('تعديل الجرد'!C200="","",'تعديل الجرد'!C200)</f>
        <v/>
      </c>
      <c r="E1700" s="24" t="str">
        <f>IF('تعديل الجرد'!C200="","",'تعديل الجرد'!F200)</f>
        <v/>
      </c>
      <c r="F1700" t="str">
        <f>IF('تعديل الجرد'!C200="","",IF('تعديل الجرد'!H200="","",'تعديل الجرد'!H200))</f>
        <v/>
      </c>
      <c r="G1700" t="str">
        <f>IF($B1700&lt;&gt;"",SUMPRODUCT(($B$2:$B1700&lt;&gt;"")*1),"")</f>
        <v/>
      </c>
    </row>
    <row r="1701" spans="1:7">
      <c r="A1701" s="23" t="str">
        <f>IF('تعديل الجرد'!C201="","",'تعديل الجرد'!B201)</f>
        <v/>
      </c>
      <c r="B1701" t="str">
        <f>IF('تعديل الجرد'!C201="","","تعديل جرد")</f>
        <v/>
      </c>
      <c r="C1701" t="str">
        <f>IF('تعديل الجرد'!C201="","",IF('تعديل الجرد'!G201="","-",'تعديل الجرد'!G201))</f>
        <v/>
      </c>
      <c r="D1701" t="str">
        <f>IF('تعديل الجرد'!C201="","",'تعديل الجرد'!C201)</f>
        <v/>
      </c>
      <c r="E1701" s="24" t="str">
        <f>IF('تعديل الجرد'!C201="","",'تعديل الجرد'!F201)</f>
        <v/>
      </c>
      <c r="F1701" t="str">
        <f>IF('تعديل الجرد'!C201="","",IF('تعديل الجرد'!H201="","",'تعديل الجرد'!H201))</f>
        <v/>
      </c>
      <c r="G1701" t="str">
        <f>IF($B1701&lt;&gt;"",SUMPRODUCT(($B$2:$B1701&lt;&gt;"")*1),"")</f>
        <v/>
      </c>
    </row>
    <row r="1702" spans="1:7">
      <c r="A1702" s="23" t="str">
        <f>IF('تعديل الجرد'!C202="","",'تعديل الجرد'!B202)</f>
        <v/>
      </c>
      <c r="B1702" t="str">
        <f>IF('تعديل الجرد'!C202="","","تعديل جرد")</f>
        <v/>
      </c>
      <c r="C1702" t="str">
        <f>IF('تعديل الجرد'!C202="","",IF('تعديل الجرد'!G202="","-",'تعديل الجرد'!G202))</f>
        <v/>
      </c>
      <c r="D1702" t="str">
        <f>IF('تعديل الجرد'!C202="","",'تعديل الجرد'!C202)</f>
        <v/>
      </c>
      <c r="E1702" s="24" t="str">
        <f>IF('تعديل الجرد'!C202="","",'تعديل الجرد'!F202)</f>
        <v/>
      </c>
      <c r="F1702" t="str">
        <f>IF('تعديل الجرد'!C202="","",IF('تعديل الجرد'!H202="","",'تعديل الجرد'!H202))</f>
        <v/>
      </c>
      <c r="G1702" t="str">
        <f>IF($B1702&lt;&gt;"",SUMPRODUCT(($B$2:$B1702&lt;&gt;"")*1),"")</f>
        <v/>
      </c>
    </row>
    <row r="1703" spans="1:7">
      <c r="A1703" s="23" t="str">
        <f>IF('تعديل الجرد'!C203="","",'تعديل الجرد'!B203)</f>
        <v/>
      </c>
      <c r="B1703" t="str">
        <f>IF('تعديل الجرد'!C203="","","تعديل جرد")</f>
        <v/>
      </c>
      <c r="C1703" t="str">
        <f>IF('تعديل الجرد'!C203="","",IF('تعديل الجرد'!G203="","-",'تعديل الجرد'!G203))</f>
        <v/>
      </c>
      <c r="D1703" t="str">
        <f>IF('تعديل الجرد'!C203="","",'تعديل الجرد'!C203)</f>
        <v/>
      </c>
      <c r="E1703" s="24" t="str">
        <f>IF('تعديل الجرد'!C203="","",'تعديل الجرد'!F203)</f>
        <v/>
      </c>
      <c r="F1703" t="str">
        <f>IF('تعديل الجرد'!C203="","",IF('تعديل الجرد'!H203="","",'تعديل الجرد'!H203))</f>
        <v/>
      </c>
      <c r="G1703" t="str">
        <f>IF($B1703&lt;&gt;"",SUMPRODUCT(($B$2:$B1703&lt;&gt;"")*1),"")</f>
        <v/>
      </c>
    </row>
    <row r="1704" spans="1:7">
      <c r="A1704" s="23" t="str">
        <f>IF('تعديل الجرد'!C204="","",'تعديل الجرد'!B204)</f>
        <v/>
      </c>
      <c r="B1704" t="str">
        <f>IF('تعديل الجرد'!C204="","","تعديل جرد")</f>
        <v/>
      </c>
      <c r="C1704" t="str">
        <f>IF('تعديل الجرد'!C204="","",IF('تعديل الجرد'!G204="","-",'تعديل الجرد'!G204))</f>
        <v/>
      </c>
      <c r="D1704" t="str">
        <f>IF('تعديل الجرد'!C204="","",'تعديل الجرد'!C204)</f>
        <v/>
      </c>
      <c r="E1704" s="24" t="str">
        <f>IF('تعديل الجرد'!C204="","",'تعديل الجرد'!F204)</f>
        <v/>
      </c>
      <c r="F1704" t="str">
        <f>IF('تعديل الجرد'!C204="","",IF('تعديل الجرد'!H204="","",'تعديل الجرد'!H204))</f>
        <v/>
      </c>
      <c r="G1704" t="str">
        <f>IF($B1704&lt;&gt;"",SUMPRODUCT(($B$2:$B1704&lt;&gt;"")*1),"")</f>
        <v/>
      </c>
    </row>
    <row r="1705" spans="1:7">
      <c r="A1705" s="23" t="str">
        <f>IF('تعديل الجرد'!C205="","",'تعديل الجرد'!B205)</f>
        <v/>
      </c>
      <c r="B1705" t="str">
        <f>IF('تعديل الجرد'!C205="","","تعديل جرد")</f>
        <v/>
      </c>
      <c r="C1705" t="str">
        <f>IF('تعديل الجرد'!C205="","",IF('تعديل الجرد'!G205="","-",'تعديل الجرد'!G205))</f>
        <v/>
      </c>
      <c r="D1705" t="str">
        <f>IF('تعديل الجرد'!C205="","",'تعديل الجرد'!C205)</f>
        <v/>
      </c>
      <c r="E1705" s="24" t="str">
        <f>IF('تعديل الجرد'!C205="","",'تعديل الجرد'!F205)</f>
        <v/>
      </c>
      <c r="F1705" t="str">
        <f>IF('تعديل الجرد'!C205="","",IF('تعديل الجرد'!H205="","",'تعديل الجرد'!H205))</f>
        <v/>
      </c>
      <c r="G1705" t="str">
        <f>IF($B1705&lt;&gt;"",SUMPRODUCT(($B$2:$B1705&lt;&gt;"")*1),"")</f>
        <v/>
      </c>
    </row>
    <row r="1706" spans="1:7">
      <c r="A1706" s="23" t="str">
        <f>IF('تعديل الجرد'!C206="","",'تعديل الجرد'!B206)</f>
        <v/>
      </c>
      <c r="B1706" t="str">
        <f>IF('تعديل الجرد'!C206="","","تعديل جرد")</f>
        <v/>
      </c>
      <c r="C1706" t="str">
        <f>IF('تعديل الجرد'!C206="","",IF('تعديل الجرد'!G206="","-",'تعديل الجرد'!G206))</f>
        <v/>
      </c>
      <c r="D1706" t="str">
        <f>IF('تعديل الجرد'!C206="","",'تعديل الجرد'!C206)</f>
        <v/>
      </c>
      <c r="E1706" s="24" t="str">
        <f>IF('تعديل الجرد'!C206="","",'تعديل الجرد'!F206)</f>
        <v/>
      </c>
      <c r="F1706" t="str">
        <f>IF('تعديل الجرد'!C206="","",IF('تعديل الجرد'!H206="","",'تعديل الجرد'!H206))</f>
        <v/>
      </c>
      <c r="G1706" t="str">
        <f>IF($B1706&lt;&gt;"",SUMPRODUCT(($B$2:$B1706&lt;&gt;"")*1),"")</f>
        <v/>
      </c>
    </row>
    <row r="1707" spans="1:7">
      <c r="A1707" s="23" t="str">
        <f>IF('تعديل الجرد'!C207="","",'تعديل الجرد'!B207)</f>
        <v/>
      </c>
      <c r="B1707" t="str">
        <f>IF('تعديل الجرد'!C207="","","تعديل جرد")</f>
        <v/>
      </c>
      <c r="C1707" t="str">
        <f>IF('تعديل الجرد'!C207="","",IF('تعديل الجرد'!G207="","-",'تعديل الجرد'!G207))</f>
        <v/>
      </c>
      <c r="D1707" t="str">
        <f>IF('تعديل الجرد'!C207="","",'تعديل الجرد'!C207)</f>
        <v/>
      </c>
      <c r="E1707" s="24" t="str">
        <f>IF('تعديل الجرد'!C207="","",'تعديل الجرد'!F207)</f>
        <v/>
      </c>
      <c r="F1707" t="str">
        <f>IF('تعديل الجرد'!C207="","",IF('تعديل الجرد'!H207="","",'تعديل الجرد'!H207))</f>
        <v/>
      </c>
      <c r="G1707" t="str">
        <f>IF($B1707&lt;&gt;"",SUMPRODUCT(($B$2:$B1707&lt;&gt;"")*1),"")</f>
        <v/>
      </c>
    </row>
    <row r="1708" spans="1:7">
      <c r="A1708" s="23" t="str">
        <f>IF('تعديل الجرد'!C208="","",'تعديل الجرد'!B208)</f>
        <v/>
      </c>
      <c r="B1708" t="str">
        <f>IF('تعديل الجرد'!C208="","","تعديل جرد")</f>
        <v/>
      </c>
      <c r="C1708" t="str">
        <f>IF('تعديل الجرد'!C208="","",IF('تعديل الجرد'!G208="","-",'تعديل الجرد'!G208))</f>
        <v/>
      </c>
      <c r="D1708" t="str">
        <f>IF('تعديل الجرد'!C208="","",'تعديل الجرد'!C208)</f>
        <v/>
      </c>
      <c r="E1708" s="24" t="str">
        <f>IF('تعديل الجرد'!C208="","",'تعديل الجرد'!F208)</f>
        <v/>
      </c>
      <c r="F1708" t="str">
        <f>IF('تعديل الجرد'!C208="","",IF('تعديل الجرد'!H208="","",'تعديل الجرد'!H208))</f>
        <v/>
      </c>
      <c r="G1708" t="str">
        <f>IF($B1708&lt;&gt;"",SUMPRODUCT(($B$2:$B1708&lt;&gt;"")*1),"")</f>
        <v/>
      </c>
    </row>
    <row r="1709" spans="1:7">
      <c r="A1709" s="23" t="str">
        <f>IF('تعديل الجرد'!C209="","",'تعديل الجرد'!B209)</f>
        <v/>
      </c>
      <c r="B1709" t="str">
        <f>IF('تعديل الجرد'!C209="","","تعديل جرد")</f>
        <v/>
      </c>
      <c r="C1709" t="str">
        <f>IF('تعديل الجرد'!C209="","",IF('تعديل الجرد'!G209="","-",'تعديل الجرد'!G209))</f>
        <v/>
      </c>
      <c r="D1709" t="str">
        <f>IF('تعديل الجرد'!C209="","",'تعديل الجرد'!C209)</f>
        <v/>
      </c>
      <c r="E1709" s="24" t="str">
        <f>IF('تعديل الجرد'!C209="","",'تعديل الجرد'!F209)</f>
        <v/>
      </c>
      <c r="F1709" t="str">
        <f>IF('تعديل الجرد'!C209="","",IF('تعديل الجرد'!H209="","",'تعديل الجرد'!H209))</f>
        <v/>
      </c>
      <c r="G1709" t="str">
        <f>IF($B1709&lt;&gt;"",SUMPRODUCT(($B$2:$B1709&lt;&gt;"")*1),"")</f>
        <v/>
      </c>
    </row>
    <row r="1710" spans="1:7">
      <c r="A1710" s="23" t="str">
        <f>IF('تعديل الجرد'!C210="","",'تعديل الجرد'!B210)</f>
        <v/>
      </c>
      <c r="B1710" t="str">
        <f>IF('تعديل الجرد'!C210="","","تعديل جرد")</f>
        <v/>
      </c>
      <c r="C1710" t="str">
        <f>IF('تعديل الجرد'!C210="","",IF('تعديل الجرد'!G210="","-",'تعديل الجرد'!G210))</f>
        <v/>
      </c>
      <c r="D1710" t="str">
        <f>IF('تعديل الجرد'!C210="","",'تعديل الجرد'!C210)</f>
        <v/>
      </c>
      <c r="E1710" s="24" t="str">
        <f>IF('تعديل الجرد'!C210="","",'تعديل الجرد'!F210)</f>
        <v/>
      </c>
      <c r="F1710" t="str">
        <f>IF('تعديل الجرد'!C210="","",IF('تعديل الجرد'!H210="","",'تعديل الجرد'!H210))</f>
        <v/>
      </c>
      <c r="G1710" t="str">
        <f>IF($B1710&lt;&gt;"",SUMPRODUCT(($B$2:$B1710&lt;&gt;"")*1),"")</f>
        <v/>
      </c>
    </row>
    <row r="1711" spans="1:7">
      <c r="A1711" s="23" t="str">
        <f>IF('تعديل الجرد'!C211="","",'تعديل الجرد'!B211)</f>
        <v/>
      </c>
      <c r="B1711" t="str">
        <f>IF('تعديل الجرد'!C211="","","تعديل جرد")</f>
        <v/>
      </c>
      <c r="C1711" t="str">
        <f>IF('تعديل الجرد'!C211="","",IF('تعديل الجرد'!G211="","-",'تعديل الجرد'!G211))</f>
        <v/>
      </c>
      <c r="D1711" t="str">
        <f>IF('تعديل الجرد'!C211="","",'تعديل الجرد'!C211)</f>
        <v/>
      </c>
      <c r="E1711" s="24" t="str">
        <f>IF('تعديل الجرد'!C211="","",'تعديل الجرد'!F211)</f>
        <v/>
      </c>
      <c r="F1711" t="str">
        <f>IF('تعديل الجرد'!C211="","",IF('تعديل الجرد'!H211="","",'تعديل الجرد'!H211))</f>
        <v/>
      </c>
      <c r="G1711" t="str">
        <f>IF($B1711&lt;&gt;"",SUMPRODUCT(($B$2:$B1711&lt;&gt;"")*1),"")</f>
        <v/>
      </c>
    </row>
    <row r="1712" spans="1:7">
      <c r="A1712" s="23" t="str">
        <f>IF('تعديل الجرد'!C212="","",'تعديل الجرد'!B212)</f>
        <v/>
      </c>
      <c r="B1712" t="str">
        <f>IF('تعديل الجرد'!C212="","","تعديل جرد")</f>
        <v/>
      </c>
      <c r="C1712" t="str">
        <f>IF('تعديل الجرد'!C212="","",IF('تعديل الجرد'!G212="","-",'تعديل الجرد'!G212))</f>
        <v/>
      </c>
      <c r="D1712" t="str">
        <f>IF('تعديل الجرد'!C212="","",'تعديل الجرد'!C212)</f>
        <v/>
      </c>
      <c r="E1712" s="24" t="str">
        <f>IF('تعديل الجرد'!C212="","",'تعديل الجرد'!F212)</f>
        <v/>
      </c>
      <c r="F1712" t="str">
        <f>IF('تعديل الجرد'!C212="","",IF('تعديل الجرد'!H212="","",'تعديل الجرد'!H212))</f>
        <v/>
      </c>
      <c r="G1712" t="str">
        <f>IF($B1712&lt;&gt;"",SUMPRODUCT(($B$2:$B1712&lt;&gt;"")*1),"")</f>
        <v/>
      </c>
    </row>
    <row r="1713" spans="1:7">
      <c r="A1713" s="23" t="str">
        <f>IF('تعديل الجرد'!C213="","",'تعديل الجرد'!B213)</f>
        <v/>
      </c>
      <c r="B1713" t="str">
        <f>IF('تعديل الجرد'!C213="","","تعديل جرد")</f>
        <v/>
      </c>
      <c r="C1713" t="str">
        <f>IF('تعديل الجرد'!C213="","",IF('تعديل الجرد'!G213="","-",'تعديل الجرد'!G213))</f>
        <v/>
      </c>
      <c r="D1713" t="str">
        <f>IF('تعديل الجرد'!C213="","",'تعديل الجرد'!C213)</f>
        <v/>
      </c>
      <c r="E1713" s="24" t="str">
        <f>IF('تعديل الجرد'!C213="","",'تعديل الجرد'!F213)</f>
        <v/>
      </c>
      <c r="F1713" t="str">
        <f>IF('تعديل الجرد'!C213="","",IF('تعديل الجرد'!H213="","",'تعديل الجرد'!H213))</f>
        <v/>
      </c>
      <c r="G1713" t="str">
        <f>IF($B1713&lt;&gt;"",SUMPRODUCT(($B$2:$B1713&lt;&gt;"")*1),"")</f>
        <v/>
      </c>
    </row>
    <row r="1714" spans="1:7">
      <c r="A1714" s="23" t="str">
        <f>IF('تعديل الجرد'!C214="","",'تعديل الجرد'!B214)</f>
        <v/>
      </c>
      <c r="B1714" t="str">
        <f>IF('تعديل الجرد'!C214="","","تعديل جرد")</f>
        <v/>
      </c>
      <c r="C1714" t="str">
        <f>IF('تعديل الجرد'!C214="","",IF('تعديل الجرد'!G214="","-",'تعديل الجرد'!G214))</f>
        <v/>
      </c>
      <c r="D1714" t="str">
        <f>IF('تعديل الجرد'!C214="","",'تعديل الجرد'!C214)</f>
        <v/>
      </c>
      <c r="E1714" s="24" t="str">
        <f>IF('تعديل الجرد'!C214="","",'تعديل الجرد'!F214)</f>
        <v/>
      </c>
      <c r="F1714" t="str">
        <f>IF('تعديل الجرد'!C214="","",IF('تعديل الجرد'!H214="","",'تعديل الجرد'!H214))</f>
        <v/>
      </c>
      <c r="G1714" t="str">
        <f>IF($B1714&lt;&gt;"",SUMPRODUCT(($B$2:$B1714&lt;&gt;"")*1),"")</f>
        <v/>
      </c>
    </row>
    <row r="1715" spans="1:7">
      <c r="A1715" s="23" t="str">
        <f>IF('تعديل الجرد'!C215="","",'تعديل الجرد'!B215)</f>
        <v/>
      </c>
      <c r="B1715" t="str">
        <f>IF('تعديل الجرد'!C215="","","تعديل جرد")</f>
        <v/>
      </c>
      <c r="C1715" t="str">
        <f>IF('تعديل الجرد'!C215="","",IF('تعديل الجرد'!G215="","-",'تعديل الجرد'!G215))</f>
        <v/>
      </c>
      <c r="D1715" t="str">
        <f>IF('تعديل الجرد'!C215="","",'تعديل الجرد'!C215)</f>
        <v/>
      </c>
      <c r="E1715" s="24" t="str">
        <f>IF('تعديل الجرد'!C215="","",'تعديل الجرد'!F215)</f>
        <v/>
      </c>
      <c r="F1715" t="str">
        <f>IF('تعديل الجرد'!C215="","",IF('تعديل الجرد'!H215="","",'تعديل الجرد'!H215))</f>
        <v/>
      </c>
      <c r="G1715" t="str">
        <f>IF($B1715&lt;&gt;"",SUMPRODUCT(($B$2:$B1715&lt;&gt;"")*1),"")</f>
        <v/>
      </c>
    </row>
    <row r="1716" spans="1:7">
      <c r="A1716" s="23" t="str">
        <f>IF('تعديل الجرد'!C216="","",'تعديل الجرد'!B216)</f>
        <v/>
      </c>
      <c r="B1716" t="str">
        <f>IF('تعديل الجرد'!C216="","","تعديل جرد")</f>
        <v/>
      </c>
      <c r="C1716" t="str">
        <f>IF('تعديل الجرد'!C216="","",IF('تعديل الجرد'!G216="","-",'تعديل الجرد'!G216))</f>
        <v/>
      </c>
      <c r="D1716" t="str">
        <f>IF('تعديل الجرد'!C216="","",'تعديل الجرد'!C216)</f>
        <v/>
      </c>
      <c r="E1716" s="24" t="str">
        <f>IF('تعديل الجرد'!C216="","",'تعديل الجرد'!F216)</f>
        <v/>
      </c>
      <c r="F1716" t="str">
        <f>IF('تعديل الجرد'!C216="","",IF('تعديل الجرد'!H216="","",'تعديل الجرد'!H216))</f>
        <v/>
      </c>
      <c r="G1716" t="str">
        <f>IF($B1716&lt;&gt;"",SUMPRODUCT(($B$2:$B1716&lt;&gt;"")*1),"")</f>
        <v/>
      </c>
    </row>
    <row r="1717" spans="1:7">
      <c r="A1717" s="23" t="str">
        <f>IF('تعديل الجرد'!C217="","",'تعديل الجرد'!B217)</f>
        <v/>
      </c>
      <c r="B1717" t="str">
        <f>IF('تعديل الجرد'!C217="","","تعديل جرد")</f>
        <v/>
      </c>
      <c r="C1717" t="str">
        <f>IF('تعديل الجرد'!C217="","",IF('تعديل الجرد'!G217="","-",'تعديل الجرد'!G217))</f>
        <v/>
      </c>
      <c r="D1717" t="str">
        <f>IF('تعديل الجرد'!C217="","",'تعديل الجرد'!C217)</f>
        <v/>
      </c>
      <c r="E1717" s="24" t="str">
        <f>IF('تعديل الجرد'!C217="","",'تعديل الجرد'!F217)</f>
        <v/>
      </c>
      <c r="F1717" t="str">
        <f>IF('تعديل الجرد'!C217="","",IF('تعديل الجرد'!H217="","",'تعديل الجرد'!H217))</f>
        <v/>
      </c>
      <c r="G1717" t="str">
        <f>IF($B1717&lt;&gt;"",SUMPRODUCT(($B$2:$B1717&lt;&gt;"")*1),"")</f>
        <v/>
      </c>
    </row>
    <row r="1718" spans="1:7">
      <c r="A1718" s="23" t="str">
        <f>IF('تعديل الجرد'!C218="","",'تعديل الجرد'!B218)</f>
        <v/>
      </c>
      <c r="B1718" t="str">
        <f>IF('تعديل الجرد'!C218="","","تعديل جرد")</f>
        <v/>
      </c>
      <c r="C1718" t="str">
        <f>IF('تعديل الجرد'!C218="","",IF('تعديل الجرد'!G218="","-",'تعديل الجرد'!G218))</f>
        <v/>
      </c>
      <c r="D1718" t="str">
        <f>IF('تعديل الجرد'!C218="","",'تعديل الجرد'!C218)</f>
        <v/>
      </c>
      <c r="E1718" s="24" t="str">
        <f>IF('تعديل الجرد'!C218="","",'تعديل الجرد'!F218)</f>
        <v/>
      </c>
      <c r="F1718" t="str">
        <f>IF('تعديل الجرد'!C218="","",IF('تعديل الجرد'!H218="","",'تعديل الجرد'!H218))</f>
        <v/>
      </c>
      <c r="G1718" t="str">
        <f>IF($B1718&lt;&gt;"",SUMPRODUCT(($B$2:$B1718&lt;&gt;"")*1),"")</f>
        <v/>
      </c>
    </row>
    <row r="1719" spans="1:7">
      <c r="A1719" s="23" t="str">
        <f>IF('تعديل الجرد'!C219="","",'تعديل الجرد'!B219)</f>
        <v/>
      </c>
      <c r="B1719" t="str">
        <f>IF('تعديل الجرد'!C219="","","تعديل جرد")</f>
        <v/>
      </c>
      <c r="C1719" t="str">
        <f>IF('تعديل الجرد'!C219="","",IF('تعديل الجرد'!G219="","-",'تعديل الجرد'!G219))</f>
        <v/>
      </c>
      <c r="D1719" t="str">
        <f>IF('تعديل الجرد'!C219="","",'تعديل الجرد'!C219)</f>
        <v/>
      </c>
      <c r="E1719" s="24" t="str">
        <f>IF('تعديل الجرد'!C219="","",'تعديل الجرد'!F219)</f>
        <v/>
      </c>
      <c r="F1719" t="str">
        <f>IF('تعديل الجرد'!C219="","",IF('تعديل الجرد'!H219="","",'تعديل الجرد'!H219))</f>
        <v/>
      </c>
      <c r="G1719" t="str">
        <f>IF($B1719&lt;&gt;"",SUMPRODUCT(($B$2:$B1719&lt;&gt;"")*1),"")</f>
        <v/>
      </c>
    </row>
    <row r="1720" spans="1:7">
      <c r="A1720" s="23" t="str">
        <f>IF('تعديل الجرد'!C220="","",'تعديل الجرد'!B220)</f>
        <v/>
      </c>
      <c r="B1720" t="str">
        <f>IF('تعديل الجرد'!C220="","","تعديل جرد")</f>
        <v/>
      </c>
      <c r="C1720" t="str">
        <f>IF('تعديل الجرد'!C220="","",IF('تعديل الجرد'!G220="","-",'تعديل الجرد'!G220))</f>
        <v/>
      </c>
      <c r="D1720" t="str">
        <f>IF('تعديل الجرد'!C220="","",'تعديل الجرد'!C220)</f>
        <v/>
      </c>
      <c r="E1720" s="24" t="str">
        <f>IF('تعديل الجرد'!C220="","",'تعديل الجرد'!F220)</f>
        <v/>
      </c>
      <c r="F1720" t="str">
        <f>IF('تعديل الجرد'!C220="","",IF('تعديل الجرد'!H220="","",'تعديل الجرد'!H220))</f>
        <v/>
      </c>
      <c r="G1720" t="str">
        <f>IF($B1720&lt;&gt;"",SUMPRODUCT(($B$2:$B1720&lt;&gt;"")*1),"")</f>
        <v/>
      </c>
    </row>
    <row r="1721" spans="1:7">
      <c r="A1721" s="23" t="str">
        <f>IF('تعديل الجرد'!C221="","",'تعديل الجرد'!B221)</f>
        <v/>
      </c>
      <c r="B1721" t="str">
        <f>IF('تعديل الجرد'!C221="","","تعديل جرد")</f>
        <v/>
      </c>
      <c r="C1721" t="str">
        <f>IF('تعديل الجرد'!C221="","",IF('تعديل الجرد'!G221="","-",'تعديل الجرد'!G221))</f>
        <v/>
      </c>
      <c r="D1721" t="str">
        <f>IF('تعديل الجرد'!C221="","",'تعديل الجرد'!C221)</f>
        <v/>
      </c>
      <c r="E1721" s="24" t="str">
        <f>IF('تعديل الجرد'!C221="","",'تعديل الجرد'!F221)</f>
        <v/>
      </c>
      <c r="F1721" t="str">
        <f>IF('تعديل الجرد'!C221="","",IF('تعديل الجرد'!H221="","",'تعديل الجرد'!H221))</f>
        <v/>
      </c>
      <c r="G1721" t="str">
        <f>IF($B1721&lt;&gt;"",SUMPRODUCT(($B$2:$B1721&lt;&gt;"")*1),"")</f>
        <v/>
      </c>
    </row>
    <row r="1722" spans="1:7">
      <c r="A1722" s="23" t="str">
        <f>IF('تعديل الجرد'!C222="","",'تعديل الجرد'!B222)</f>
        <v/>
      </c>
      <c r="B1722" t="str">
        <f>IF('تعديل الجرد'!C222="","","تعديل جرد")</f>
        <v/>
      </c>
      <c r="C1722" t="str">
        <f>IF('تعديل الجرد'!C222="","",IF('تعديل الجرد'!G222="","-",'تعديل الجرد'!G222))</f>
        <v/>
      </c>
      <c r="D1722" t="str">
        <f>IF('تعديل الجرد'!C222="","",'تعديل الجرد'!C222)</f>
        <v/>
      </c>
      <c r="E1722" s="24" t="str">
        <f>IF('تعديل الجرد'!C222="","",'تعديل الجرد'!F222)</f>
        <v/>
      </c>
      <c r="F1722" t="str">
        <f>IF('تعديل الجرد'!C222="","",IF('تعديل الجرد'!H222="","",'تعديل الجرد'!H222))</f>
        <v/>
      </c>
      <c r="G1722" t="str">
        <f>IF($B1722&lt;&gt;"",SUMPRODUCT(($B$2:$B1722&lt;&gt;"")*1),"")</f>
        <v/>
      </c>
    </row>
    <row r="1723" spans="1:7">
      <c r="A1723" s="23" t="str">
        <f>IF('تعديل الجرد'!C223="","",'تعديل الجرد'!B223)</f>
        <v/>
      </c>
      <c r="B1723" t="str">
        <f>IF('تعديل الجرد'!C223="","","تعديل جرد")</f>
        <v/>
      </c>
      <c r="C1723" t="str">
        <f>IF('تعديل الجرد'!C223="","",IF('تعديل الجرد'!G223="","-",'تعديل الجرد'!G223))</f>
        <v/>
      </c>
      <c r="D1723" t="str">
        <f>IF('تعديل الجرد'!C223="","",'تعديل الجرد'!C223)</f>
        <v/>
      </c>
      <c r="E1723" s="24" t="str">
        <f>IF('تعديل الجرد'!C223="","",'تعديل الجرد'!F223)</f>
        <v/>
      </c>
      <c r="F1723" t="str">
        <f>IF('تعديل الجرد'!C223="","",IF('تعديل الجرد'!H223="","",'تعديل الجرد'!H223))</f>
        <v/>
      </c>
      <c r="G1723" t="str">
        <f>IF($B1723&lt;&gt;"",SUMPRODUCT(($B$2:$B1723&lt;&gt;"")*1),"")</f>
        <v/>
      </c>
    </row>
    <row r="1724" spans="1:7">
      <c r="A1724" s="23" t="str">
        <f>IF('تعديل الجرد'!C224="","",'تعديل الجرد'!B224)</f>
        <v/>
      </c>
      <c r="B1724" t="str">
        <f>IF('تعديل الجرد'!C224="","","تعديل جرد")</f>
        <v/>
      </c>
      <c r="C1724" t="str">
        <f>IF('تعديل الجرد'!C224="","",IF('تعديل الجرد'!G224="","-",'تعديل الجرد'!G224))</f>
        <v/>
      </c>
      <c r="D1724" t="str">
        <f>IF('تعديل الجرد'!C224="","",'تعديل الجرد'!C224)</f>
        <v/>
      </c>
      <c r="E1724" s="24" t="str">
        <f>IF('تعديل الجرد'!C224="","",'تعديل الجرد'!F224)</f>
        <v/>
      </c>
      <c r="F1724" t="str">
        <f>IF('تعديل الجرد'!C224="","",IF('تعديل الجرد'!H224="","",'تعديل الجرد'!H224))</f>
        <v/>
      </c>
      <c r="G1724" t="str">
        <f>IF($B1724&lt;&gt;"",SUMPRODUCT(($B$2:$B1724&lt;&gt;"")*1),"")</f>
        <v/>
      </c>
    </row>
    <row r="1725" spans="1:7">
      <c r="A1725" s="23" t="str">
        <f>IF('تعديل الجرد'!C225="","",'تعديل الجرد'!B225)</f>
        <v/>
      </c>
      <c r="B1725" t="str">
        <f>IF('تعديل الجرد'!C225="","","تعديل جرد")</f>
        <v/>
      </c>
      <c r="C1725" t="str">
        <f>IF('تعديل الجرد'!C225="","",IF('تعديل الجرد'!G225="","-",'تعديل الجرد'!G225))</f>
        <v/>
      </c>
      <c r="D1725" t="str">
        <f>IF('تعديل الجرد'!C225="","",'تعديل الجرد'!C225)</f>
        <v/>
      </c>
      <c r="E1725" s="24" t="str">
        <f>IF('تعديل الجرد'!C225="","",'تعديل الجرد'!F225)</f>
        <v/>
      </c>
      <c r="F1725" t="str">
        <f>IF('تعديل الجرد'!C225="","",IF('تعديل الجرد'!H225="","",'تعديل الجرد'!H225))</f>
        <v/>
      </c>
      <c r="G1725" t="str">
        <f>IF($B1725&lt;&gt;"",SUMPRODUCT(($B$2:$B1725&lt;&gt;"")*1),"")</f>
        <v/>
      </c>
    </row>
    <row r="1726" spans="1:7">
      <c r="A1726" s="23" t="str">
        <f>IF('تعديل الجرد'!C226="","",'تعديل الجرد'!B226)</f>
        <v/>
      </c>
      <c r="B1726" t="str">
        <f>IF('تعديل الجرد'!C226="","","تعديل جرد")</f>
        <v/>
      </c>
      <c r="C1726" t="str">
        <f>IF('تعديل الجرد'!C226="","",IF('تعديل الجرد'!G226="","-",'تعديل الجرد'!G226))</f>
        <v/>
      </c>
      <c r="D1726" t="str">
        <f>IF('تعديل الجرد'!C226="","",'تعديل الجرد'!C226)</f>
        <v/>
      </c>
      <c r="E1726" s="24" t="str">
        <f>IF('تعديل الجرد'!C226="","",'تعديل الجرد'!F226)</f>
        <v/>
      </c>
      <c r="F1726" t="str">
        <f>IF('تعديل الجرد'!C226="","",IF('تعديل الجرد'!H226="","",'تعديل الجرد'!H226))</f>
        <v/>
      </c>
      <c r="G1726" t="str">
        <f>IF($B1726&lt;&gt;"",SUMPRODUCT(($B$2:$B1726&lt;&gt;"")*1),"")</f>
        <v/>
      </c>
    </row>
    <row r="1727" spans="1:7">
      <c r="A1727" s="23" t="str">
        <f>IF('تعديل الجرد'!C227="","",'تعديل الجرد'!B227)</f>
        <v/>
      </c>
      <c r="B1727" t="str">
        <f>IF('تعديل الجرد'!C227="","","تعديل جرد")</f>
        <v/>
      </c>
      <c r="C1727" t="str">
        <f>IF('تعديل الجرد'!C227="","",IF('تعديل الجرد'!G227="","-",'تعديل الجرد'!G227))</f>
        <v/>
      </c>
      <c r="D1727" t="str">
        <f>IF('تعديل الجرد'!C227="","",'تعديل الجرد'!C227)</f>
        <v/>
      </c>
      <c r="E1727" s="24" t="str">
        <f>IF('تعديل الجرد'!C227="","",'تعديل الجرد'!F227)</f>
        <v/>
      </c>
      <c r="F1727" t="str">
        <f>IF('تعديل الجرد'!C227="","",IF('تعديل الجرد'!H227="","",'تعديل الجرد'!H227))</f>
        <v/>
      </c>
      <c r="G1727" t="str">
        <f>IF($B1727&lt;&gt;"",SUMPRODUCT(($B$2:$B1727&lt;&gt;"")*1),"")</f>
        <v/>
      </c>
    </row>
    <row r="1728" spans="1:7">
      <c r="A1728" s="23" t="str">
        <f>IF('تعديل الجرد'!C228="","",'تعديل الجرد'!B228)</f>
        <v/>
      </c>
      <c r="B1728" t="str">
        <f>IF('تعديل الجرد'!C228="","","تعديل جرد")</f>
        <v/>
      </c>
      <c r="C1728" t="str">
        <f>IF('تعديل الجرد'!C228="","",IF('تعديل الجرد'!G228="","-",'تعديل الجرد'!G228))</f>
        <v/>
      </c>
      <c r="D1728" t="str">
        <f>IF('تعديل الجرد'!C228="","",'تعديل الجرد'!C228)</f>
        <v/>
      </c>
      <c r="E1728" s="24" t="str">
        <f>IF('تعديل الجرد'!C228="","",'تعديل الجرد'!F228)</f>
        <v/>
      </c>
      <c r="F1728" t="str">
        <f>IF('تعديل الجرد'!C228="","",IF('تعديل الجرد'!H228="","",'تعديل الجرد'!H228))</f>
        <v/>
      </c>
      <c r="G1728" t="str">
        <f>IF($B1728&lt;&gt;"",SUMPRODUCT(($B$2:$B1728&lt;&gt;"")*1),"")</f>
        <v/>
      </c>
    </row>
    <row r="1729" spans="1:7">
      <c r="A1729" s="23" t="str">
        <f>IF('تعديل الجرد'!C229="","",'تعديل الجرد'!B229)</f>
        <v/>
      </c>
      <c r="B1729" t="str">
        <f>IF('تعديل الجرد'!C229="","","تعديل جرد")</f>
        <v/>
      </c>
      <c r="C1729" t="str">
        <f>IF('تعديل الجرد'!C229="","",IF('تعديل الجرد'!G229="","-",'تعديل الجرد'!G229))</f>
        <v/>
      </c>
      <c r="D1729" t="str">
        <f>IF('تعديل الجرد'!C229="","",'تعديل الجرد'!C229)</f>
        <v/>
      </c>
      <c r="E1729" s="24" t="str">
        <f>IF('تعديل الجرد'!C229="","",'تعديل الجرد'!F229)</f>
        <v/>
      </c>
      <c r="F1729" t="str">
        <f>IF('تعديل الجرد'!C229="","",IF('تعديل الجرد'!H229="","",'تعديل الجرد'!H229))</f>
        <v/>
      </c>
      <c r="G1729" t="str">
        <f>IF($B1729&lt;&gt;"",SUMPRODUCT(($B$2:$B1729&lt;&gt;"")*1),"")</f>
        <v/>
      </c>
    </row>
    <row r="1730" spans="1:7">
      <c r="A1730" s="23" t="str">
        <f>IF('تعديل الجرد'!C230="","",'تعديل الجرد'!B230)</f>
        <v/>
      </c>
      <c r="B1730" t="str">
        <f>IF('تعديل الجرد'!C230="","","تعديل جرد")</f>
        <v/>
      </c>
      <c r="C1730" t="str">
        <f>IF('تعديل الجرد'!C230="","",IF('تعديل الجرد'!G230="","-",'تعديل الجرد'!G230))</f>
        <v/>
      </c>
      <c r="D1730" t="str">
        <f>IF('تعديل الجرد'!C230="","",'تعديل الجرد'!C230)</f>
        <v/>
      </c>
      <c r="E1730" s="24" t="str">
        <f>IF('تعديل الجرد'!C230="","",'تعديل الجرد'!F230)</f>
        <v/>
      </c>
      <c r="F1730" t="str">
        <f>IF('تعديل الجرد'!C230="","",IF('تعديل الجرد'!H230="","",'تعديل الجرد'!H230))</f>
        <v/>
      </c>
      <c r="G1730" t="str">
        <f>IF($B1730&lt;&gt;"",SUMPRODUCT(($B$2:$B1730&lt;&gt;"")*1),"")</f>
        <v/>
      </c>
    </row>
    <row r="1731" spans="1:7">
      <c r="A1731" s="23" t="str">
        <f>IF('تعديل الجرد'!C231="","",'تعديل الجرد'!B231)</f>
        <v/>
      </c>
      <c r="B1731" t="str">
        <f>IF('تعديل الجرد'!C231="","","تعديل جرد")</f>
        <v/>
      </c>
      <c r="C1731" t="str">
        <f>IF('تعديل الجرد'!C231="","",IF('تعديل الجرد'!G231="","-",'تعديل الجرد'!G231))</f>
        <v/>
      </c>
      <c r="D1731" t="str">
        <f>IF('تعديل الجرد'!C231="","",'تعديل الجرد'!C231)</f>
        <v/>
      </c>
      <c r="E1731" s="24" t="str">
        <f>IF('تعديل الجرد'!C231="","",'تعديل الجرد'!F231)</f>
        <v/>
      </c>
      <c r="F1731" t="str">
        <f>IF('تعديل الجرد'!C231="","",IF('تعديل الجرد'!H231="","",'تعديل الجرد'!H231))</f>
        <v/>
      </c>
      <c r="G1731" t="str">
        <f>IF($B1731&lt;&gt;"",SUMPRODUCT(($B$2:$B1731&lt;&gt;"")*1),"")</f>
        <v/>
      </c>
    </row>
    <row r="1732" spans="1:7">
      <c r="A1732" s="23" t="str">
        <f>IF('تعديل الجرد'!C232="","",'تعديل الجرد'!B232)</f>
        <v/>
      </c>
      <c r="B1732" t="str">
        <f>IF('تعديل الجرد'!C232="","","تعديل جرد")</f>
        <v/>
      </c>
      <c r="C1732" t="str">
        <f>IF('تعديل الجرد'!C232="","",IF('تعديل الجرد'!G232="","-",'تعديل الجرد'!G232))</f>
        <v/>
      </c>
      <c r="D1732" t="str">
        <f>IF('تعديل الجرد'!C232="","",'تعديل الجرد'!C232)</f>
        <v/>
      </c>
      <c r="E1732" s="24" t="str">
        <f>IF('تعديل الجرد'!C232="","",'تعديل الجرد'!F232)</f>
        <v/>
      </c>
      <c r="F1732" t="str">
        <f>IF('تعديل الجرد'!C232="","",IF('تعديل الجرد'!H232="","",'تعديل الجرد'!H232))</f>
        <v/>
      </c>
      <c r="G1732" t="str">
        <f>IF($B1732&lt;&gt;"",SUMPRODUCT(($B$2:$B1732&lt;&gt;"")*1),"")</f>
        <v/>
      </c>
    </row>
    <row r="1733" spans="1:7">
      <c r="A1733" s="23" t="str">
        <f>IF('تعديل الجرد'!C233="","",'تعديل الجرد'!B233)</f>
        <v/>
      </c>
      <c r="B1733" t="str">
        <f>IF('تعديل الجرد'!C233="","","تعديل جرد")</f>
        <v/>
      </c>
      <c r="C1733" t="str">
        <f>IF('تعديل الجرد'!C233="","",IF('تعديل الجرد'!G233="","-",'تعديل الجرد'!G233))</f>
        <v/>
      </c>
      <c r="D1733" t="str">
        <f>IF('تعديل الجرد'!C233="","",'تعديل الجرد'!C233)</f>
        <v/>
      </c>
      <c r="E1733" s="24" t="str">
        <f>IF('تعديل الجرد'!C233="","",'تعديل الجرد'!F233)</f>
        <v/>
      </c>
      <c r="F1733" t="str">
        <f>IF('تعديل الجرد'!C233="","",IF('تعديل الجرد'!H233="","",'تعديل الجرد'!H233))</f>
        <v/>
      </c>
      <c r="G1733" t="str">
        <f>IF($B1733&lt;&gt;"",SUMPRODUCT(($B$2:$B1733&lt;&gt;"")*1),"")</f>
        <v/>
      </c>
    </row>
    <row r="1734" spans="1:7">
      <c r="A1734" s="23" t="str">
        <f>IF('تعديل الجرد'!C234="","",'تعديل الجرد'!B234)</f>
        <v/>
      </c>
      <c r="B1734" t="str">
        <f>IF('تعديل الجرد'!C234="","","تعديل جرد")</f>
        <v/>
      </c>
      <c r="C1734" t="str">
        <f>IF('تعديل الجرد'!C234="","",IF('تعديل الجرد'!G234="","-",'تعديل الجرد'!G234))</f>
        <v/>
      </c>
      <c r="D1734" t="str">
        <f>IF('تعديل الجرد'!C234="","",'تعديل الجرد'!C234)</f>
        <v/>
      </c>
      <c r="E1734" s="24" t="str">
        <f>IF('تعديل الجرد'!C234="","",'تعديل الجرد'!F234)</f>
        <v/>
      </c>
      <c r="F1734" t="str">
        <f>IF('تعديل الجرد'!C234="","",IF('تعديل الجرد'!H234="","",'تعديل الجرد'!H234))</f>
        <v/>
      </c>
      <c r="G1734" t="str">
        <f>IF($B1734&lt;&gt;"",SUMPRODUCT(($B$2:$B1734&lt;&gt;"")*1),"")</f>
        <v/>
      </c>
    </row>
    <row r="1735" spans="1:7">
      <c r="A1735" s="23" t="str">
        <f>IF('تعديل الجرد'!C235="","",'تعديل الجرد'!B235)</f>
        <v/>
      </c>
      <c r="B1735" t="str">
        <f>IF('تعديل الجرد'!C235="","","تعديل جرد")</f>
        <v/>
      </c>
      <c r="C1735" t="str">
        <f>IF('تعديل الجرد'!C235="","",IF('تعديل الجرد'!G235="","-",'تعديل الجرد'!G235))</f>
        <v/>
      </c>
      <c r="D1735" t="str">
        <f>IF('تعديل الجرد'!C235="","",'تعديل الجرد'!C235)</f>
        <v/>
      </c>
      <c r="E1735" s="24" t="str">
        <f>IF('تعديل الجرد'!C235="","",'تعديل الجرد'!F235)</f>
        <v/>
      </c>
      <c r="F1735" t="str">
        <f>IF('تعديل الجرد'!C235="","",IF('تعديل الجرد'!H235="","",'تعديل الجرد'!H235))</f>
        <v/>
      </c>
      <c r="G1735" t="str">
        <f>IF($B1735&lt;&gt;"",SUMPRODUCT(($B$2:$B1735&lt;&gt;"")*1),"")</f>
        <v/>
      </c>
    </row>
    <row r="1736" spans="1:7">
      <c r="A1736" s="23" t="str">
        <f>IF('تعديل الجرد'!C236="","",'تعديل الجرد'!B236)</f>
        <v/>
      </c>
      <c r="B1736" t="str">
        <f>IF('تعديل الجرد'!C236="","","تعديل جرد")</f>
        <v/>
      </c>
      <c r="C1736" t="str">
        <f>IF('تعديل الجرد'!C236="","",IF('تعديل الجرد'!G236="","-",'تعديل الجرد'!G236))</f>
        <v/>
      </c>
      <c r="D1736" t="str">
        <f>IF('تعديل الجرد'!C236="","",'تعديل الجرد'!C236)</f>
        <v/>
      </c>
      <c r="E1736" s="24" t="str">
        <f>IF('تعديل الجرد'!C236="","",'تعديل الجرد'!F236)</f>
        <v/>
      </c>
      <c r="F1736" t="str">
        <f>IF('تعديل الجرد'!C236="","",IF('تعديل الجرد'!H236="","",'تعديل الجرد'!H236))</f>
        <v/>
      </c>
      <c r="G1736" t="str">
        <f>IF($B1736&lt;&gt;"",SUMPRODUCT(($B$2:$B1736&lt;&gt;"")*1),"")</f>
        <v/>
      </c>
    </row>
    <row r="1737" spans="1:7">
      <c r="A1737" s="23" t="str">
        <f>IF('تعديل الجرد'!C237="","",'تعديل الجرد'!B237)</f>
        <v/>
      </c>
      <c r="B1737" t="str">
        <f>IF('تعديل الجرد'!C237="","","تعديل جرد")</f>
        <v/>
      </c>
      <c r="C1737" t="str">
        <f>IF('تعديل الجرد'!C237="","",IF('تعديل الجرد'!G237="","-",'تعديل الجرد'!G237))</f>
        <v/>
      </c>
      <c r="D1737" t="str">
        <f>IF('تعديل الجرد'!C237="","",'تعديل الجرد'!C237)</f>
        <v/>
      </c>
      <c r="E1737" s="24" t="str">
        <f>IF('تعديل الجرد'!C237="","",'تعديل الجرد'!F237)</f>
        <v/>
      </c>
      <c r="F1737" t="str">
        <f>IF('تعديل الجرد'!C237="","",IF('تعديل الجرد'!H237="","",'تعديل الجرد'!H237))</f>
        <v/>
      </c>
      <c r="G1737" t="str">
        <f>IF($B1737&lt;&gt;"",SUMPRODUCT(($B$2:$B1737&lt;&gt;"")*1),"")</f>
        <v/>
      </c>
    </row>
    <row r="1738" spans="1:7">
      <c r="A1738" s="23" t="str">
        <f>IF('تعديل الجرد'!C238="","",'تعديل الجرد'!B238)</f>
        <v/>
      </c>
      <c r="B1738" t="str">
        <f>IF('تعديل الجرد'!C238="","","تعديل جرد")</f>
        <v/>
      </c>
      <c r="C1738" t="str">
        <f>IF('تعديل الجرد'!C238="","",IF('تعديل الجرد'!G238="","-",'تعديل الجرد'!G238))</f>
        <v/>
      </c>
      <c r="D1738" t="str">
        <f>IF('تعديل الجرد'!C238="","",'تعديل الجرد'!C238)</f>
        <v/>
      </c>
      <c r="E1738" s="24" t="str">
        <f>IF('تعديل الجرد'!C238="","",'تعديل الجرد'!F238)</f>
        <v/>
      </c>
      <c r="F1738" t="str">
        <f>IF('تعديل الجرد'!C238="","",IF('تعديل الجرد'!H238="","",'تعديل الجرد'!H238))</f>
        <v/>
      </c>
      <c r="G1738" t="str">
        <f>IF($B1738&lt;&gt;"",SUMPRODUCT(($B$2:$B1738&lt;&gt;"")*1),"")</f>
        <v/>
      </c>
    </row>
    <row r="1739" spans="1:7">
      <c r="A1739" s="23" t="str">
        <f>IF('تعديل الجرد'!C239="","",'تعديل الجرد'!B239)</f>
        <v/>
      </c>
      <c r="B1739" t="str">
        <f>IF('تعديل الجرد'!C239="","","تعديل جرد")</f>
        <v/>
      </c>
      <c r="C1739" t="str">
        <f>IF('تعديل الجرد'!C239="","",IF('تعديل الجرد'!G239="","-",'تعديل الجرد'!G239))</f>
        <v/>
      </c>
      <c r="D1739" t="str">
        <f>IF('تعديل الجرد'!C239="","",'تعديل الجرد'!C239)</f>
        <v/>
      </c>
      <c r="E1739" s="24" t="str">
        <f>IF('تعديل الجرد'!C239="","",'تعديل الجرد'!F239)</f>
        <v/>
      </c>
      <c r="F1739" t="str">
        <f>IF('تعديل الجرد'!C239="","",IF('تعديل الجرد'!H239="","",'تعديل الجرد'!H239))</f>
        <v/>
      </c>
      <c r="G1739" t="str">
        <f>IF($B1739&lt;&gt;"",SUMPRODUCT(($B$2:$B1739&lt;&gt;"")*1),"")</f>
        <v/>
      </c>
    </row>
    <row r="1740" spans="1:7">
      <c r="A1740" s="23" t="str">
        <f>IF('تعديل الجرد'!C240="","",'تعديل الجرد'!B240)</f>
        <v/>
      </c>
      <c r="B1740" t="str">
        <f>IF('تعديل الجرد'!C240="","","تعديل جرد")</f>
        <v/>
      </c>
      <c r="C1740" t="str">
        <f>IF('تعديل الجرد'!C240="","",IF('تعديل الجرد'!G240="","-",'تعديل الجرد'!G240))</f>
        <v/>
      </c>
      <c r="D1740" t="str">
        <f>IF('تعديل الجرد'!C240="","",'تعديل الجرد'!C240)</f>
        <v/>
      </c>
      <c r="E1740" s="24" t="str">
        <f>IF('تعديل الجرد'!C240="","",'تعديل الجرد'!F240)</f>
        <v/>
      </c>
      <c r="F1740" t="str">
        <f>IF('تعديل الجرد'!C240="","",IF('تعديل الجرد'!H240="","",'تعديل الجرد'!H240))</f>
        <v/>
      </c>
      <c r="G1740" t="str">
        <f>IF($B1740&lt;&gt;"",SUMPRODUCT(($B$2:$B1740&lt;&gt;"")*1),"")</f>
        <v/>
      </c>
    </row>
    <row r="1741" spans="1:7">
      <c r="A1741" s="23" t="str">
        <f>IF('تعديل الجرد'!C241="","",'تعديل الجرد'!B241)</f>
        <v/>
      </c>
      <c r="B1741" t="str">
        <f>IF('تعديل الجرد'!C241="","","تعديل جرد")</f>
        <v/>
      </c>
      <c r="C1741" t="str">
        <f>IF('تعديل الجرد'!C241="","",IF('تعديل الجرد'!G241="","-",'تعديل الجرد'!G241))</f>
        <v/>
      </c>
      <c r="D1741" t="str">
        <f>IF('تعديل الجرد'!C241="","",'تعديل الجرد'!C241)</f>
        <v/>
      </c>
      <c r="E1741" s="24" t="str">
        <f>IF('تعديل الجرد'!C241="","",'تعديل الجرد'!F241)</f>
        <v/>
      </c>
      <c r="F1741" t="str">
        <f>IF('تعديل الجرد'!C241="","",IF('تعديل الجرد'!H241="","",'تعديل الجرد'!H241))</f>
        <v/>
      </c>
      <c r="G1741" t="str">
        <f>IF($B1741&lt;&gt;"",SUMPRODUCT(($B$2:$B1741&lt;&gt;"")*1),"")</f>
        <v/>
      </c>
    </row>
    <row r="1742" spans="1:7">
      <c r="A1742" s="23" t="str">
        <f>IF('تعديل الجرد'!C242="","",'تعديل الجرد'!B242)</f>
        <v/>
      </c>
      <c r="B1742" t="str">
        <f>IF('تعديل الجرد'!C242="","","تعديل جرد")</f>
        <v/>
      </c>
      <c r="C1742" t="str">
        <f>IF('تعديل الجرد'!C242="","",IF('تعديل الجرد'!G242="","-",'تعديل الجرد'!G242))</f>
        <v/>
      </c>
      <c r="D1742" t="str">
        <f>IF('تعديل الجرد'!C242="","",'تعديل الجرد'!C242)</f>
        <v/>
      </c>
      <c r="E1742" s="24" t="str">
        <f>IF('تعديل الجرد'!C242="","",'تعديل الجرد'!F242)</f>
        <v/>
      </c>
      <c r="F1742" t="str">
        <f>IF('تعديل الجرد'!C242="","",IF('تعديل الجرد'!H242="","",'تعديل الجرد'!H242))</f>
        <v/>
      </c>
      <c r="G1742" t="str">
        <f>IF($B1742&lt;&gt;"",SUMPRODUCT(($B$2:$B1742&lt;&gt;"")*1),"")</f>
        <v/>
      </c>
    </row>
    <row r="1743" spans="1:7">
      <c r="A1743" s="23" t="str">
        <f>IF('تعديل الجرد'!C243="","",'تعديل الجرد'!B243)</f>
        <v/>
      </c>
      <c r="B1743" t="str">
        <f>IF('تعديل الجرد'!C243="","","تعديل جرد")</f>
        <v/>
      </c>
      <c r="C1743" t="str">
        <f>IF('تعديل الجرد'!C243="","",IF('تعديل الجرد'!G243="","-",'تعديل الجرد'!G243))</f>
        <v/>
      </c>
      <c r="D1743" t="str">
        <f>IF('تعديل الجرد'!C243="","",'تعديل الجرد'!C243)</f>
        <v/>
      </c>
      <c r="E1743" s="24" t="str">
        <f>IF('تعديل الجرد'!C243="","",'تعديل الجرد'!F243)</f>
        <v/>
      </c>
      <c r="F1743" t="str">
        <f>IF('تعديل الجرد'!C243="","",IF('تعديل الجرد'!H243="","",'تعديل الجرد'!H243))</f>
        <v/>
      </c>
      <c r="G1743" t="str">
        <f>IF($B1743&lt;&gt;"",SUMPRODUCT(($B$2:$B1743&lt;&gt;"")*1),"")</f>
        <v/>
      </c>
    </row>
    <row r="1744" spans="1:7">
      <c r="A1744" s="23" t="str">
        <f>IF('تعديل الجرد'!C244="","",'تعديل الجرد'!B244)</f>
        <v/>
      </c>
      <c r="B1744" t="str">
        <f>IF('تعديل الجرد'!C244="","","تعديل جرد")</f>
        <v/>
      </c>
      <c r="C1744" t="str">
        <f>IF('تعديل الجرد'!C244="","",IF('تعديل الجرد'!G244="","-",'تعديل الجرد'!G244))</f>
        <v/>
      </c>
      <c r="D1744" t="str">
        <f>IF('تعديل الجرد'!C244="","",'تعديل الجرد'!C244)</f>
        <v/>
      </c>
      <c r="E1744" s="24" t="str">
        <f>IF('تعديل الجرد'!C244="","",'تعديل الجرد'!F244)</f>
        <v/>
      </c>
      <c r="F1744" t="str">
        <f>IF('تعديل الجرد'!C244="","",IF('تعديل الجرد'!H244="","",'تعديل الجرد'!H244))</f>
        <v/>
      </c>
      <c r="G1744" t="str">
        <f>IF($B1744&lt;&gt;"",SUMPRODUCT(($B$2:$B1744&lt;&gt;"")*1),"")</f>
        <v/>
      </c>
    </row>
    <row r="1745" spans="1:7">
      <c r="A1745" s="23" t="str">
        <f>IF('تعديل الجرد'!C245="","",'تعديل الجرد'!B245)</f>
        <v/>
      </c>
      <c r="B1745" t="str">
        <f>IF('تعديل الجرد'!C245="","","تعديل جرد")</f>
        <v/>
      </c>
      <c r="C1745" t="str">
        <f>IF('تعديل الجرد'!C245="","",IF('تعديل الجرد'!G245="","-",'تعديل الجرد'!G245))</f>
        <v/>
      </c>
      <c r="D1745" t="str">
        <f>IF('تعديل الجرد'!C245="","",'تعديل الجرد'!C245)</f>
        <v/>
      </c>
      <c r="E1745" s="24" t="str">
        <f>IF('تعديل الجرد'!C245="","",'تعديل الجرد'!F245)</f>
        <v/>
      </c>
      <c r="F1745" t="str">
        <f>IF('تعديل الجرد'!C245="","",IF('تعديل الجرد'!H245="","",'تعديل الجرد'!H245))</f>
        <v/>
      </c>
      <c r="G1745" t="str">
        <f>IF($B1745&lt;&gt;"",SUMPRODUCT(($B$2:$B1745&lt;&gt;"")*1),"")</f>
        <v/>
      </c>
    </row>
    <row r="1746" spans="1:7">
      <c r="A1746" s="23" t="str">
        <f>IF('تعديل الجرد'!C246="","",'تعديل الجرد'!B246)</f>
        <v/>
      </c>
      <c r="B1746" t="str">
        <f>IF('تعديل الجرد'!C246="","","تعديل جرد")</f>
        <v/>
      </c>
      <c r="C1746" t="str">
        <f>IF('تعديل الجرد'!C246="","",IF('تعديل الجرد'!G246="","-",'تعديل الجرد'!G246))</f>
        <v/>
      </c>
      <c r="D1746" t="str">
        <f>IF('تعديل الجرد'!C246="","",'تعديل الجرد'!C246)</f>
        <v/>
      </c>
      <c r="E1746" s="24" t="str">
        <f>IF('تعديل الجرد'!C246="","",'تعديل الجرد'!F246)</f>
        <v/>
      </c>
      <c r="F1746" t="str">
        <f>IF('تعديل الجرد'!C246="","",IF('تعديل الجرد'!H246="","",'تعديل الجرد'!H246))</f>
        <v/>
      </c>
      <c r="G1746" t="str">
        <f>IF($B1746&lt;&gt;"",SUMPRODUCT(($B$2:$B1746&lt;&gt;"")*1),"")</f>
        <v/>
      </c>
    </row>
    <row r="1747" spans="1:7">
      <c r="A1747" s="23" t="str">
        <f>IF('تعديل الجرد'!C247="","",'تعديل الجرد'!B247)</f>
        <v/>
      </c>
      <c r="B1747" t="str">
        <f>IF('تعديل الجرد'!C247="","","تعديل جرد")</f>
        <v/>
      </c>
      <c r="C1747" t="str">
        <f>IF('تعديل الجرد'!C247="","",IF('تعديل الجرد'!G247="","-",'تعديل الجرد'!G247))</f>
        <v/>
      </c>
      <c r="D1747" t="str">
        <f>IF('تعديل الجرد'!C247="","",'تعديل الجرد'!C247)</f>
        <v/>
      </c>
      <c r="E1747" s="24" t="str">
        <f>IF('تعديل الجرد'!C247="","",'تعديل الجرد'!F247)</f>
        <v/>
      </c>
      <c r="F1747" t="str">
        <f>IF('تعديل الجرد'!C247="","",IF('تعديل الجرد'!H247="","",'تعديل الجرد'!H247))</f>
        <v/>
      </c>
      <c r="G1747" t="str">
        <f>IF($B1747&lt;&gt;"",SUMPRODUCT(($B$2:$B1747&lt;&gt;"")*1),"")</f>
        <v/>
      </c>
    </row>
    <row r="1748" spans="1:7">
      <c r="A1748" s="23" t="str">
        <f>IF('تعديل الجرد'!C248="","",'تعديل الجرد'!B248)</f>
        <v/>
      </c>
      <c r="B1748" t="str">
        <f>IF('تعديل الجرد'!C248="","","تعديل جرد")</f>
        <v/>
      </c>
      <c r="C1748" t="str">
        <f>IF('تعديل الجرد'!C248="","",IF('تعديل الجرد'!G248="","-",'تعديل الجرد'!G248))</f>
        <v/>
      </c>
      <c r="D1748" t="str">
        <f>IF('تعديل الجرد'!C248="","",'تعديل الجرد'!C248)</f>
        <v/>
      </c>
      <c r="E1748" s="24" t="str">
        <f>IF('تعديل الجرد'!C248="","",'تعديل الجرد'!F248)</f>
        <v/>
      </c>
      <c r="F1748" t="str">
        <f>IF('تعديل الجرد'!C248="","",IF('تعديل الجرد'!H248="","",'تعديل الجرد'!H248))</f>
        <v/>
      </c>
      <c r="G1748" t="str">
        <f>IF($B1748&lt;&gt;"",SUMPRODUCT(($B$2:$B1748&lt;&gt;"")*1),"")</f>
        <v/>
      </c>
    </row>
    <row r="1749" spans="1:7">
      <c r="A1749" s="23" t="str">
        <f>IF('تعديل الجرد'!C249="","",'تعديل الجرد'!B249)</f>
        <v/>
      </c>
      <c r="B1749" t="str">
        <f>IF('تعديل الجرد'!C249="","","تعديل جرد")</f>
        <v/>
      </c>
      <c r="C1749" t="str">
        <f>IF('تعديل الجرد'!C249="","",IF('تعديل الجرد'!G249="","-",'تعديل الجرد'!G249))</f>
        <v/>
      </c>
      <c r="D1749" t="str">
        <f>IF('تعديل الجرد'!C249="","",'تعديل الجرد'!C249)</f>
        <v/>
      </c>
      <c r="E1749" s="24" t="str">
        <f>IF('تعديل الجرد'!C249="","",'تعديل الجرد'!F249)</f>
        <v/>
      </c>
      <c r="F1749" t="str">
        <f>IF('تعديل الجرد'!C249="","",IF('تعديل الجرد'!H249="","",'تعديل الجرد'!H249))</f>
        <v/>
      </c>
      <c r="G1749" t="str">
        <f>IF($B1749&lt;&gt;"",SUMPRODUCT(($B$2:$B1749&lt;&gt;"")*1),"")</f>
        <v/>
      </c>
    </row>
    <row r="1750" spans="1:7">
      <c r="A1750" s="23" t="str">
        <f>IF('تعديل الجرد'!C250="","",'تعديل الجرد'!B250)</f>
        <v/>
      </c>
      <c r="B1750" t="str">
        <f>IF('تعديل الجرد'!C250="","","تعديل جرد")</f>
        <v/>
      </c>
      <c r="C1750" t="str">
        <f>IF('تعديل الجرد'!C250="","",IF('تعديل الجرد'!G250="","-",'تعديل الجرد'!G250))</f>
        <v/>
      </c>
      <c r="D1750" t="str">
        <f>IF('تعديل الجرد'!C250="","",'تعديل الجرد'!C250)</f>
        <v/>
      </c>
      <c r="E1750" s="24" t="str">
        <f>IF('تعديل الجرد'!C250="","",'تعديل الجرد'!F250)</f>
        <v/>
      </c>
      <c r="F1750" t="str">
        <f>IF('تعديل الجرد'!C250="","",IF('تعديل الجرد'!H250="","",'تعديل الجرد'!H250))</f>
        <v/>
      </c>
      <c r="G1750" t="str">
        <f>IF($B1750&lt;&gt;"",SUMPRODUCT(($B$2:$B1750&lt;&gt;"")*1),"")</f>
        <v/>
      </c>
    </row>
    <row r="1751" spans="1:7">
      <c r="A1751" s="23" t="str">
        <f>IF('تعديل الجرد'!C251="","",'تعديل الجرد'!B251)</f>
        <v/>
      </c>
      <c r="B1751" t="str">
        <f>IF('تعديل الجرد'!C251="","","تعديل جرد")</f>
        <v/>
      </c>
      <c r="C1751" t="str">
        <f>IF('تعديل الجرد'!C251="","",IF('تعديل الجرد'!G251="","-",'تعديل الجرد'!G251))</f>
        <v/>
      </c>
      <c r="D1751" t="str">
        <f>IF('تعديل الجرد'!C251="","",'تعديل الجرد'!C251)</f>
        <v/>
      </c>
      <c r="E1751" s="24" t="str">
        <f>IF('تعديل الجرد'!C251="","",'تعديل الجرد'!F251)</f>
        <v/>
      </c>
      <c r="F1751" t="str">
        <f>IF('تعديل الجرد'!C251="","",IF('تعديل الجرد'!H251="","",'تعديل الجرد'!H251))</f>
        <v/>
      </c>
      <c r="G1751" t="str">
        <f>IF($B1751&lt;&gt;"",SUMPRODUCT(($B$2:$B1751&lt;&gt;"")*1),"")</f>
        <v/>
      </c>
    </row>
    <row r="1752" spans="1:7">
      <c r="A1752" s="23" t="str">
        <f>IF('تعديل الجرد'!C252="","",'تعديل الجرد'!B252)</f>
        <v/>
      </c>
      <c r="B1752" t="str">
        <f>IF('تعديل الجرد'!C252="","","تعديل جرد")</f>
        <v/>
      </c>
      <c r="C1752" t="str">
        <f>IF('تعديل الجرد'!C252="","",IF('تعديل الجرد'!G252="","-",'تعديل الجرد'!G252))</f>
        <v/>
      </c>
      <c r="D1752" t="str">
        <f>IF('تعديل الجرد'!C252="","",'تعديل الجرد'!C252)</f>
        <v/>
      </c>
      <c r="E1752" s="24" t="str">
        <f>IF('تعديل الجرد'!C252="","",'تعديل الجرد'!F252)</f>
        <v/>
      </c>
      <c r="F1752" t="str">
        <f>IF('تعديل الجرد'!C252="","",IF('تعديل الجرد'!H252="","",'تعديل الجرد'!H252))</f>
        <v/>
      </c>
      <c r="G1752" t="str">
        <f>IF($B1752&lt;&gt;"",SUMPRODUCT(($B$2:$B1752&lt;&gt;"")*1),"")</f>
        <v/>
      </c>
    </row>
    <row r="1753" spans="1:7">
      <c r="A1753" s="23" t="str">
        <f>IF('تعديل الجرد'!C253="","",'تعديل الجرد'!B253)</f>
        <v/>
      </c>
      <c r="B1753" t="str">
        <f>IF('تعديل الجرد'!C253="","","تعديل جرد")</f>
        <v/>
      </c>
      <c r="C1753" t="str">
        <f>IF('تعديل الجرد'!C253="","",IF('تعديل الجرد'!G253="","-",'تعديل الجرد'!G253))</f>
        <v/>
      </c>
      <c r="D1753" t="str">
        <f>IF('تعديل الجرد'!C253="","",'تعديل الجرد'!C253)</f>
        <v/>
      </c>
      <c r="E1753" s="24" t="str">
        <f>IF('تعديل الجرد'!C253="","",'تعديل الجرد'!F253)</f>
        <v/>
      </c>
      <c r="F1753" t="str">
        <f>IF('تعديل الجرد'!C253="","",IF('تعديل الجرد'!H253="","",'تعديل الجرد'!H253))</f>
        <v/>
      </c>
      <c r="G1753" t="str">
        <f>IF($B1753&lt;&gt;"",SUMPRODUCT(($B$2:$B1753&lt;&gt;"")*1),"")</f>
        <v/>
      </c>
    </row>
    <row r="1754" spans="1:7">
      <c r="A1754" s="23" t="str">
        <f>IF('تعديل الجرد'!C254="","",'تعديل الجرد'!B254)</f>
        <v/>
      </c>
      <c r="B1754" t="str">
        <f>IF('تعديل الجرد'!C254="","","تعديل جرد")</f>
        <v/>
      </c>
      <c r="C1754" t="str">
        <f>IF('تعديل الجرد'!C254="","",IF('تعديل الجرد'!G254="","-",'تعديل الجرد'!G254))</f>
        <v/>
      </c>
      <c r="D1754" t="str">
        <f>IF('تعديل الجرد'!C254="","",'تعديل الجرد'!C254)</f>
        <v/>
      </c>
      <c r="E1754" s="24" t="str">
        <f>IF('تعديل الجرد'!C254="","",'تعديل الجرد'!F254)</f>
        <v/>
      </c>
      <c r="F1754" t="str">
        <f>IF('تعديل الجرد'!C254="","",IF('تعديل الجرد'!H254="","",'تعديل الجرد'!H254))</f>
        <v/>
      </c>
      <c r="G1754" t="str">
        <f>IF($B1754&lt;&gt;"",SUMPRODUCT(($B$2:$B1754&lt;&gt;"")*1),"")</f>
        <v/>
      </c>
    </row>
    <row r="1755" spans="1:7">
      <c r="A1755" s="23" t="str">
        <f>IF('تعديل الجرد'!C255="","",'تعديل الجرد'!B255)</f>
        <v/>
      </c>
      <c r="B1755" t="str">
        <f>IF('تعديل الجرد'!C255="","","تعديل جرد")</f>
        <v/>
      </c>
      <c r="C1755" t="str">
        <f>IF('تعديل الجرد'!C255="","",IF('تعديل الجرد'!G255="","-",'تعديل الجرد'!G255))</f>
        <v/>
      </c>
      <c r="D1755" t="str">
        <f>IF('تعديل الجرد'!C255="","",'تعديل الجرد'!C255)</f>
        <v/>
      </c>
      <c r="E1755" s="24" t="str">
        <f>IF('تعديل الجرد'!C255="","",'تعديل الجرد'!F255)</f>
        <v/>
      </c>
      <c r="F1755" t="str">
        <f>IF('تعديل الجرد'!C255="","",IF('تعديل الجرد'!H255="","",'تعديل الجرد'!H255))</f>
        <v/>
      </c>
      <c r="G1755" t="str">
        <f>IF($B1755&lt;&gt;"",SUMPRODUCT(($B$2:$B1755&lt;&gt;"")*1),"")</f>
        <v/>
      </c>
    </row>
    <row r="1756" spans="1:7">
      <c r="A1756" s="23" t="str">
        <f>IF('تعديل الجرد'!C256="","",'تعديل الجرد'!B256)</f>
        <v/>
      </c>
      <c r="B1756" t="str">
        <f>IF('تعديل الجرد'!C256="","","تعديل جرد")</f>
        <v/>
      </c>
      <c r="C1756" t="str">
        <f>IF('تعديل الجرد'!C256="","",IF('تعديل الجرد'!G256="","-",'تعديل الجرد'!G256))</f>
        <v/>
      </c>
      <c r="D1756" t="str">
        <f>IF('تعديل الجرد'!C256="","",'تعديل الجرد'!C256)</f>
        <v/>
      </c>
      <c r="E1756" s="24" t="str">
        <f>IF('تعديل الجرد'!C256="","",'تعديل الجرد'!F256)</f>
        <v/>
      </c>
      <c r="F1756" t="str">
        <f>IF('تعديل الجرد'!C256="","",IF('تعديل الجرد'!H256="","",'تعديل الجرد'!H256))</f>
        <v/>
      </c>
      <c r="G1756" t="str">
        <f>IF($B1756&lt;&gt;"",SUMPRODUCT(($B$2:$B1756&lt;&gt;"")*1),"")</f>
        <v/>
      </c>
    </row>
    <row r="1757" spans="1:7">
      <c r="A1757" s="23" t="str">
        <f>IF('تعديل الجرد'!C257="","",'تعديل الجرد'!B257)</f>
        <v/>
      </c>
      <c r="B1757" t="str">
        <f>IF('تعديل الجرد'!C257="","","تعديل جرد")</f>
        <v/>
      </c>
      <c r="C1757" t="str">
        <f>IF('تعديل الجرد'!C257="","",IF('تعديل الجرد'!G257="","-",'تعديل الجرد'!G257))</f>
        <v/>
      </c>
      <c r="D1757" t="str">
        <f>IF('تعديل الجرد'!C257="","",'تعديل الجرد'!C257)</f>
        <v/>
      </c>
      <c r="E1757" s="24" t="str">
        <f>IF('تعديل الجرد'!C257="","",'تعديل الجرد'!F257)</f>
        <v/>
      </c>
      <c r="F1757" t="str">
        <f>IF('تعديل الجرد'!C257="","",IF('تعديل الجرد'!H257="","",'تعديل الجرد'!H257))</f>
        <v/>
      </c>
      <c r="G1757" t="str">
        <f>IF($B1757&lt;&gt;"",SUMPRODUCT(($B$2:$B1757&lt;&gt;"")*1),"")</f>
        <v/>
      </c>
    </row>
    <row r="1758" spans="1:7">
      <c r="A1758" s="23" t="str">
        <f>IF('تعديل الجرد'!C258="","",'تعديل الجرد'!B258)</f>
        <v/>
      </c>
      <c r="B1758" t="str">
        <f>IF('تعديل الجرد'!C258="","","تعديل جرد")</f>
        <v/>
      </c>
      <c r="C1758" t="str">
        <f>IF('تعديل الجرد'!C258="","",IF('تعديل الجرد'!G258="","-",'تعديل الجرد'!G258))</f>
        <v/>
      </c>
      <c r="D1758" t="str">
        <f>IF('تعديل الجرد'!C258="","",'تعديل الجرد'!C258)</f>
        <v/>
      </c>
      <c r="E1758" s="24" t="str">
        <f>IF('تعديل الجرد'!C258="","",'تعديل الجرد'!F258)</f>
        <v/>
      </c>
      <c r="F1758" t="str">
        <f>IF('تعديل الجرد'!C258="","",IF('تعديل الجرد'!H258="","",'تعديل الجرد'!H258))</f>
        <v/>
      </c>
      <c r="G1758" t="str">
        <f>IF($B1758&lt;&gt;"",SUMPRODUCT(($B$2:$B1758&lt;&gt;"")*1),"")</f>
        <v/>
      </c>
    </row>
    <row r="1759" spans="1:7">
      <c r="A1759" s="23" t="str">
        <f>IF('تعديل الجرد'!C259="","",'تعديل الجرد'!B259)</f>
        <v/>
      </c>
      <c r="B1759" t="str">
        <f>IF('تعديل الجرد'!C259="","","تعديل جرد")</f>
        <v/>
      </c>
      <c r="C1759" t="str">
        <f>IF('تعديل الجرد'!C259="","",IF('تعديل الجرد'!G259="","-",'تعديل الجرد'!G259))</f>
        <v/>
      </c>
      <c r="D1759" t="str">
        <f>IF('تعديل الجرد'!C259="","",'تعديل الجرد'!C259)</f>
        <v/>
      </c>
      <c r="E1759" s="24" t="str">
        <f>IF('تعديل الجرد'!C259="","",'تعديل الجرد'!F259)</f>
        <v/>
      </c>
      <c r="F1759" t="str">
        <f>IF('تعديل الجرد'!C259="","",IF('تعديل الجرد'!H259="","",'تعديل الجرد'!H259))</f>
        <v/>
      </c>
      <c r="G1759" t="str">
        <f>IF($B1759&lt;&gt;"",SUMPRODUCT(($B$2:$B1759&lt;&gt;"")*1),"")</f>
        <v/>
      </c>
    </row>
    <row r="1760" spans="1:7">
      <c r="A1760" s="23" t="str">
        <f>IF('تعديل الجرد'!C260="","",'تعديل الجرد'!B260)</f>
        <v/>
      </c>
      <c r="B1760" t="str">
        <f>IF('تعديل الجرد'!C260="","","تعديل جرد")</f>
        <v/>
      </c>
      <c r="C1760" t="str">
        <f>IF('تعديل الجرد'!C260="","",IF('تعديل الجرد'!G260="","-",'تعديل الجرد'!G260))</f>
        <v/>
      </c>
      <c r="D1760" t="str">
        <f>IF('تعديل الجرد'!C260="","",'تعديل الجرد'!C260)</f>
        <v/>
      </c>
      <c r="E1760" s="24" t="str">
        <f>IF('تعديل الجرد'!C260="","",'تعديل الجرد'!F260)</f>
        <v/>
      </c>
      <c r="F1760" t="str">
        <f>IF('تعديل الجرد'!C260="","",IF('تعديل الجرد'!H260="","",'تعديل الجرد'!H260))</f>
        <v/>
      </c>
      <c r="G1760" t="str">
        <f>IF($B1760&lt;&gt;"",SUMPRODUCT(($B$2:$B1760&lt;&gt;"")*1),"")</f>
        <v/>
      </c>
    </row>
    <row r="1761" spans="1:7">
      <c r="A1761" s="23" t="str">
        <f>IF('تعديل الجرد'!C261="","",'تعديل الجرد'!B261)</f>
        <v/>
      </c>
      <c r="B1761" t="str">
        <f>IF('تعديل الجرد'!C261="","","تعديل جرد")</f>
        <v/>
      </c>
      <c r="C1761" t="str">
        <f>IF('تعديل الجرد'!C261="","",IF('تعديل الجرد'!G261="","-",'تعديل الجرد'!G261))</f>
        <v/>
      </c>
      <c r="D1761" t="str">
        <f>IF('تعديل الجرد'!C261="","",'تعديل الجرد'!C261)</f>
        <v/>
      </c>
      <c r="E1761" s="24" t="str">
        <f>IF('تعديل الجرد'!C261="","",'تعديل الجرد'!F261)</f>
        <v/>
      </c>
      <c r="F1761" t="str">
        <f>IF('تعديل الجرد'!C261="","",IF('تعديل الجرد'!H261="","",'تعديل الجرد'!H261))</f>
        <v/>
      </c>
      <c r="G1761" t="str">
        <f>IF($B1761&lt;&gt;"",SUMPRODUCT(($B$2:$B1761&lt;&gt;"")*1),"")</f>
        <v/>
      </c>
    </row>
    <row r="1762" spans="1:7">
      <c r="A1762" s="23" t="str">
        <f>IF('تعديل الجرد'!C262="","",'تعديل الجرد'!B262)</f>
        <v/>
      </c>
      <c r="B1762" t="str">
        <f>IF('تعديل الجرد'!C262="","","تعديل جرد")</f>
        <v/>
      </c>
      <c r="C1762" t="str">
        <f>IF('تعديل الجرد'!C262="","",IF('تعديل الجرد'!G262="","-",'تعديل الجرد'!G262))</f>
        <v/>
      </c>
      <c r="D1762" t="str">
        <f>IF('تعديل الجرد'!C262="","",'تعديل الجرد'!C262)</f>
        <v/>
      </c>
      <c r="E1762" s="24" t="str">
        <f>IF('تعديل الجرد'!C262="","",'تعديل الجرد'!F262)</f>
        <v/>
      </c>
      <c r="F1762" t="str">
        <f>IF('تعديل الجرد'!C262="","",IF('تعديل الجرد'!H262="","",'تعديل الجرد'!H262))</f>
        <v/>
      </c>
      <c r="G1762" t="str">
        <f>IF($B1762&lt;&gt;"",SUMPRODUCT(($B$2:$B1762&lt;&gt;"")*1),"")</f>
        <v/>
      </c>
    </row>
    <row r="1763" spans="1:7">
      <c r="A1763" s="23" t="str">
        <f>IF('تعديل الجرد'!C263="","",'تعديل الجرد'!B263)</f>
        <v/>
      </c>
      <c r="B1763" t="str">
        <f>IF('تعديل الجرد'!C263="","","تعديل جرد")</f>
        <v/>
      </c>
      <c r="C1763" t="str">
        <f>IF('تعديل الجرد'!C263="","",IF('تعديل الجرد'!G263="","-",'تعديل الجرد'!G263))</f>
        <v/>
      </c>
      <c r="D1763" t="str">
        <f>IF('تعديل الجرد'!C263="","",'تعديل الجرد'!C263)</f>
        <v/>
      </c>
      <c r="E1763" s="24" t="str">
        <f>IF('تعديل الجرد'!C263="","",'تعديل الجرد'!F263)</f>
        <v/>
      </c>
      <c r="F1763" t="str">
        <f>IF('تعديل الجرد'!C263="","",IF('تعديل الجرد'!H263="","",'تعديل الجرد'!H263))</f>
        <v/>
      </c>
      <c r="G1763" t="str">
        <f>IF($B1763&lt;&gt;"",SUMPRODUCT(($B$2:$B1763&lt;&gt;"")*1),"")</f>
        <v/>
      </c>
    </row>
    <row r="1764" spans="1:7">
      <c r="A1764" s="23" t="str">
        <f>IF('تعديل الجرد'!C264="","",'تعديل الجرد'!B264)</f>
        <v/>
      </c>
      <c r="B1764" t="str">
        <f>IF('تعديل الجرد'!C264="","","تعديل جرد")</f>
        <v/>
      </c>
      <c r="C1764" t="str">
        <f>IF('تعديل الجرد'!C264="","",IF('تعديل الجرد'!G264="","-",'تعديل الجرد'!G264))</f>
        <v/>
      </c>
      <c r="D1764" t="str">
        <f>IF('تعديل الجرد'!C264="","",'تعديل الجرد'!C264)</f>
        <v/>
      </c>
      <c r="E1764" s="24" t="str">
        <f>IF('تعديل الجرد'!C264="","",'تعديل الجرد'!F264)</f>
        <v/>
      </c>
      <c r="F1764" t="str">
        <f>IF('تعديل الجرد'!C264="","",IF('تعديل الجرد'!H264="","",'تعديل الجرد'!H264))</f>
        <v/>
      </c>
      <c r="G1764" t="str">
        <f>IF($B1764&lt;&gt;"",SUMPRODUCT(($B$2:$B1764&lt;&gt;"")*1),"")</f>
        <v/>
      </c>
    </row>
    <row r="1765" spans="1:7">
      <c r="A1765" s="23" t="str">
        <f>IF('تعديل الجرد'!C265="","",'تعديل الجرد'!B265)</f>
        <v/>
      </c>
      <c r="B1765" t="str">
        <f>IF('تعديل الجرد'!C265="","","تعديل جرد")</f>
        <v/>
      </c>
      <c r="C1765" t="str">
        <f>IF('تعديل الجرد'!C265="","",IF('تعديل الجرد'!G265="","-",'تعديل الجرد'!G265))</f>
        <v/>
      </c>
      <c r="D1765" t="str">
        <f>IF('تعديل الجرد'!C265="","",'تعديل الجرد'!C265)</f>
        <v/>
      </c>
      <c r="E1765" s="24" t="str">
        <f>IF('تعديل الجرد'!C265="","",'تعديل الجرد'!F265)</f>
        <v/>
      </c>
      <c r="F1765" t="str">
        <f>IF('تعديل الجرد'!C265="","",IF('تعديل الجرد'!H265="","",'تعديل الجرد'!H265))</f>
        <v/>
      </c>
      <c r="G1765" t="str">
        <f>IF($B1765&lt;&gt;"",SUMPRODUCT(($B$2:$B1765&lt;&gt;"")*1),"")</f>
        <v/>
      </c>
    </row>
    <row r="1766" spans="1:7">
      <c r="A1766" s="23" t="str">
        <f>IF('تعديل الجرد'!C266="","",'تعديل الجرد'!B266)</f>
        <v/>
      </c>
      <c r="B1766" t="str">
        <f>IF('تعديل الجرد'!C266="","","تعديل جرد")</f>
        <v/>
      </c>
      <c r="C1766" t="str">
        <f>IF('تعديل الجرد'!C266="","",IF('تعديل الجرد'!G266="","-",'تعديل الجرد'!G266))</f>
        <v/>
      </c>
      <c r="D1766" t="str">
        <f>IF('تعديل الجرد'!C266="","",'تعديل الجرد'!C266)</f>
        <v/>
      </c>
      <c r="E1766" s="24" t="str">
        <f>IF('تعديل الجرد'!C266="","",'تعديل الجرد'!F266)</f>
        <v/>
      </c>
      <c r="F1766" t="str">
        <f>IF('تعديل الجرد'!C266="","",IF('تعديل الجرد'!H266="","",'تعديل الجرد'!H266))</f>
        <v/>
      </c>
      <c r="G1766" t="str">
        <f>IF($B1766&lt;&gt;"",SUMPRODUCT(($B$2:$B1766&lt;&gt;"")*1),"")</f>
        <v/>
      </c>
    </row>
    <row r="1767" spans="1:7">
      <c r="A1767" s="23" t="str">
        <f>IF('تعديل الجرد'!C267="","",'تعديل الجرد'!B267)</f>
        <v/>
      </c>
      <c r="B1767" t="str">
        <f>IF('تعديل الجرد'!C267="","","تعديل جرد")</f>
        <v/>
      </c>
      <c r="C1767" t="str">
        <f>IF('تعديل الجرد'!C267="","",IF('تعديل الجرد'!G267="","-",'تعديل الجرد'!G267))</f>
        <v/>
      </c>
      <c r="D1767" t="str">
        <f>IF('تعديل الجرد'!C267="","",'تعديل الجرد'!C267)</f>
        <v/>
      </c>
      <c r="E1767" s="24" t="str">
        <f>IF('تعديل الجرد'!C267="","",'تعديل الجرد'!F267)</f>
        <v/>
      </c>
      <c r="F1767" t="str">
        <f>IF('تعديل الجرد'!C267="","",IF('تعديل الجرد'!H267="","",'تعديل الجرد'!H267))</f>
        <v/>
      </c>
      <c r="G1767" t="str">
        <f>IF($B1767&lt;&gt;"",SUMPRODUCT(($B$2:$B1767&lt;&gt;"")*1),"")</f>
        <v/>
      </c>
    </row>
    <row r="1768" spans="1:7">
      <c r="A1768" s="23" t="str">
        <f>IF('تعديل الجرد'!C268="","",'تعديل الجرد'!B268)</f>
        <v/>
      </c>
      <c r="B1768" t="str">
        <f>IF('تعديل الجرد'!C268="","","تعديل جرد")</f>
        <v/>
      </c>
      <c r="C1768" t="str">
        <f>IF('تعديل الجرد'!C268="","",IF('تعديل الجرد'!G268="","-",'تعديل الجرد'!G268))</f>
        <v/>
      </c>
      <c r="D1768" t="str">
        <f>IF('تعديل الجرد'!C268="","",'تعديل الجرد'!C268)</f>
        <v/>
      </c>
      <c r="E1768" s="24" t="str">
        <f>IF('تعديل الجرد'!C268="","",'تعديل الجرد'!F268)</f>
        <v/>
      </c>
      <c r="F1768" t="str">
        <f>IF('تعديل الجرد'!C268="","",IF('تعديل الجرد'!H268="","",'تعديل الجرد'!H268))</f>
        <v/>
      </c>
      <c r="G1768" t="str">
        <f>IF($B1768&lt;&gt;"",SUMPRODUCT(($B$2:$B1768&lt;&gt;"")*1),"")</f>
        <v/>
      </c>
    </row>
    <row r="1769" spans="1:7">
      <c r="A1769" s="23" t="str">
        <f>IF('تعديل الجرد'!C269="","",'تعديل الجرد'!B269)</f>
        <v/>
      </c>
      <c r="B1769" t="str">
        <f>IF('تعديل الجرد'!C269="","","تعديل جرد")</f>
        <v/>
      </c>
      <c r="C1769" t="str">
        <f>IF('تعديل الجرد'!C269="","",IF('تعديل الجرد'!G269="","-",'تعديل الجرد'!G269))</f>
        <v/>
      </c>
      <c r="D1769" t="str">
        <f>IF('تعديل الجرد'!C269="","",'تعديل الجرد'!C269)</f>
        <v/>
      </c>
      <c r="E1769" s="24" t="str">
        <f>IF('تعديل الجرد'!C269="","",'تعديل الجرد'!F269)</f>
        <v/>
      </c>
      <c r="F1769" t="str">
        <f>IF('تعديل الجرد'!C269="","",IF('تعديل الجرد'!H269="","",'تعديل الجرد'!H269))</f>
        <v/>
      </c>
      <c r="G1769" t="str">
        <f>IF($B1769&lt;&gt;"",SUMPRODUCT(($B$2:$B1769&lt;&gt;"")*1),"")</f>
        <v/>
      </c>
    </row>
    <row r="1770" spans="1:7">
      <c r="A1770" s="23" t="str">
        <f>IF('تعديل الجرد'!C270="","",'تعديل الجرد'!B270)</f>
        <v/>
      </c>
      <c r="B1770" t="str">
        <f>IF('تعديل الجرد'!C270="","","تعديل جرد")</f>
        <v/>
      </c>
      <c r="C1770" t="str">
        <f>IF('تعديل الجرد'!C270="","",IF('تعديل الجرد'!G270="","-",'تعديل الجرد'!G270))</f>
        <v/>
      </c>
      <c r="D1770" t="str">
        <f>IF('تعديل الجرد'!C270="","",'تعديل الجرد'!C270)</f>
        <v/>
      </c>
      <c r="E1770" s="24" t="str">
        <f>IF('تعديل الجرد'!C270="","",'تعديل الجرد'!F270)</f>
        <v/>
      </c>
      <c r="F1770" t="str">
        <f>IF('تعديل الجرد'!C270="","",IF('تعديل الجرد'!H270="","",'تعديل الجرد'!H270))</f>
        <v/>
      </c>
      <c r="G1770" t="str">
        <f>IF($B1770&lt;&gt;"",SUMPRODUCT(($B$2:$B1770&lt;&gt;"")*1),"")</f>
        <v/>
      </c>
    </row>
    <row r="1771" spans="1:7">
      <c r="A1771" s="23" t="str">
        <f>IF('تعديل الجرد'!C271="","",'تعديل الجرد'!B271)</f>
        <v/>
      </c>
      <c r="B1771" t="str">
        <f>IF('تعديل الجرد'!C271="","","تعديل جرد")</f>
        <v/>
      </c>
      <c r="C1771" t="str">
        <f>IF('تعديل الجرد'!C271="","",IF('تعديل الجرد'!G271="","-",'تعديل الجرد'!G271))</f>
        <v/>
      </c>
      <c r="D1771" t="str">
        <f>IF('تعديل الجرد'!C271="","",'تعديل الجرد'!C271)</f>
        <v/>
      </c>
      <c r="E1771" s="24" t="str">
        <f>IF('تعديل الجرد'!C271="","",'تعديل الجرد'!F271)</f>
        <v/>
      </c>
      <c r="F1771" t="str">
        <f>IF('تعديل الجرد'!C271="","",IF('تعديل الجرد'!H271="","",'تعديل الجرد'!H271))</f>
        <v/>
      </c>
      <c r="G1771" t="str">
        <f>IF($B1771&lt;&gt;"",SUMPRODUCT(($B$2:$B1771&lt;&gt;"")*1),"")</f>
        <v/>
      </c>
    </row>
    <row r="1772" spans="1:7">
      <c r="A1772" s="23" t="str">
        <f>IF('تعديل الجرد'!C272="","",'تعديل الجرد'!B272)</f>
        <v/>
      </c>
      <c r="B1772" t="str">
        <f>IF('تعديل الجرد'!C272="","","تعديل جرد")</f>
        <v/>
      </c>
      <c r="C1772" t="str">
        <f>IF('تعديل الجرد'!C272="","",IF('تعديل الجرد'!G272="","-",'تعديل الجرد'!G272))</f>
        <v/>
      </c>
      <c r="D1772" t="str">
        <f>IF('تعديل الجرد'!C272="","",'تعديل الجرد'!C272)</f>
        <v/>
      </c>
      <c r="E1772" s="24" t="str">
        <f>IF('تعديل الجرد'!C272="","",'تعديل الجرد'!F272)</f>
        <v/>
      </c>
      <c r="F1772" t="str">
        <f>IF('تعديل الجرد'!C272="","",IF('تعديل الجرد'!H272="","",'تعديل الجرد'!H272))</f>
        <v/>
      </c>
      <c r="G1772" t="str">
        <f>IF($B1772&lt;&gt;"",SUMPRODUCT(($B$2:$B1772&lt;&gt;"")*1),"")</f>
        <v/>
      </c>
    </row>
    <row r="1773" spans="1:7">
      <c r="A1773" s="23" t="str">
        <f>IF('تعديل الجرد'!C273="","",'تعديل الجرد'!B273)</f>
        <v/>
      </c>
      <c r="B1773" t="str">
        <f>IF('تعديل الجرد'!C273="","","تعديل جرد")</f>
        <v/>
      </c>
      <c r="C1773" t="str">
        <f>IF('تعديل الجرد'!C273="","",IF('تعديل الجرد'!G273="","-",'تعديل الجرد'!G273))</f>
        <v/>
      </c>
      <c r="D1773" t="str">
        <f>IF('تعديل الجرد'!C273="","",'تعديل الجرد'!C273)</f>
        <v/>
      </c>
      <c r="E1773" s="24" t="str">
        <f>IF('تعديل الجرد'!C273="","",'تعديل الجرد'!F273)</f>
        <v/>
      </c>
      <c r="F1773" t="str">
        <f>IF('تعديل الجرد'!C273="","",IF('تعديل الجرد'!H273="","",'تعديل الجرد'!H273))</f>
        <v/>
      </c>
      <c r="G1773" t="str">
        <f>IF($B1773&lt;&gt;"",SUMPRODUCT(($B$2:$B1773&lt;&gt;"")*1),"")</f>
        <v/>
      </c>
    </row>
    <row r="1774" spans="1:7">
      <c r="A1774" s="23" t="str">
        <f>IF('تعديل الجرد'!C274="","",'تعديل الجرد'!B274)</f>
        <v/>
      </c>
      <c r="B1774" t="str">
        <f>IF('تعديل الجرد'!C274="","","تعديل جرد")</f>
        <v/>
      </c>
      <c r="C1774" t="str">
        <f>IF('تعديل الجرد'!C274="","",IF('تعديل الجرد'!G274="","-",'تعديل الجرد'!G274))</f>
        <v/>
      </c>
      <c r="D1774" t="str">
        <f>IF('تعديل الجرد'!C274="","",'تعديل الجرد'!C274)</f>
        <v/>
      </c>
      <c r="E1774" s="24" t="str">
        <f>IF('تعديل الجرد'!C274="","",'تعديل الجرد'!F274)</f>
        <v/>
      </c>
      <c r="F1774" t="str">
        <f>IF('تعديل الجرد'!C274="","",IF('تعديل الجرد'!H274="","",'تعديل الجرد'!H274))</f>
        <v/>
      </c>
      <c r="G1774" t="str">
        <f>IF($B1774&lt;&gt;"",SUMPRODUCT(($B$2:$B1774&lt;&gt;"")*1),"")</f>
        <v/>
      </c>
    </row>
    <row r="1775" spans="1:7">
      <c r="A1775" s="23" t="str">
        <f>IF('تعديل الجرد'!C275="","",'تعديل الجرد'!B275)</f>
        <v/>
      </c>
      <c r="B1775" t="str">
        <f>IF('تعديل الجرد'!C275="","","تعديل جرد")</f>
        <v/>
      </c>
      <c r="C1775" t="str">
        <f>IF('تعديل الجرد'!C275="","",IF('تعديل الجرد'!G275="","-",'تعديل الجرد'!G275))</f>
        <v/>
      </c>
      <c r="D1775" t="str">
        <f>IF('تعديل الجرد'!C275="","",'تعديل الجرد'!C275)</f>
        <v/>
      </c>
      <c r="E1775" s="24" t="str">
        <f>IF('تعديل الجرد'!C275="","",'تعديل الجرد'!F275)</f>
        <v/>
      </c>
      <c r="F1775" t="str">
        <f>IF('تعديل الجرد'!C275="","",IF('تعديل الجرد'!H275="","",'تعديل الجرد'!H275))</f>
        <v/>
      </c>
      <c r="G1775" t="str">
        <f>IF($B1775&lt;&gt;"",SUMPRODUCT(($B$2:$B1775&lt;&gt;"")*1),"")</f>
        <v/>
      </c>
    </row>
    <row r="1776" spans="1:7">
      <c r="A1776" s="23" t="str">
        <f>IF('تعديل الجرد'!C276="","",'تعديل الجرد'!B276)</f>
        <v/>
      </c>
      <c r="B1776" t="str">
        <f>IF('تعديل الجرد'!C276="","","تعديل جرد")</f>
        <v/>
      </c>
      <c r="C1776" t="str">
        <f>IF('تعديل الجرد'!C276="","",IF('تعديل الجرد'!G276="","-",'تعديل الجرد'!G276))</f>
        <v/>
      </c>
      <c r="D1776" t="str">
        <f>IF('تعديل الجرد'!C276="","",'تعديل الجرد'!C276)</f>
        <v/>
      </c>
      <c r="E1776" s="24" t="str">
        <f>IF('تعديل الجرد'!C276="","",'تعديل الجرد'!F276)</f>
        <v/>
      </c>
      <c r="F1776" t="str">
        <f>IF('تعديل الجرد'!C276="","",IF('تعديل الجرد'!H276="","",'تعديل الجرد'!H276))</f>
        <v/>
      </c>
      <c r="G1776" t="str">
        <f>IF($B1776&lt;&gt;"",SUMPRODUCT(($B$2:$B1776&lt;&gt;"")*1),"")</f>
        <v/>
      </c>
    </row>
    <row r="1777" spans="1:7">
      <c r="A1777" s="23" t="str">
        <f>IF('تعديل الجرد'!C277="","",'تعديل الجرد'!B277)</f>
        <v/>
      </c>
      <c r="B1777" t="str">
        <f>IF('تعديل الجرد'!C277="","","تعديل جرد")</f>
        <v/>
      </c>
      <c r="C1777" t="str">
        <f>IF('تعديل الجرد'!C277="","",IF('تعديل الجرد'!G277="","-",'تعديل الجرد'!G277))</f>
        <v/>
      </c>
      <c r="D1777" t="str">
        <f>IF('تعديل الجرد'!C277="","",'تعديل الجرد'!C277)</f>
        <v/>
      </c>
      <c r="E1777" s="24" t="str">
        <f>IF('تعديل الجرد'!C277="","",'تعديل الجرد'!F277)</f>
        <v/>
      </c>
      <c r="F1777" t="str">
        <f>IF('تعديل الجرد'!C277="","",IF('تعديل الجرد'!H277="","",'تعديل الجرد'!H277))</f>
        <v/>
      </c>
      <c r="G1777" t="str">
        <f>IF($B1777&lt;&gt;"",SUMPRODUCT(($B$2:$B1777&lt;&gt;"")*1),"")</f>
        <v/>
      </c>
    </row>
    <row r="1778" spans="1:7">
      <c r="A1778" s="23" t="str">
        <f>IF('تعديل الجرد'!C278="","",'تعديل الجرد'!B278)</f>
        <v/>
      </c>
      <c r="B1778" t="str">
        <f>IF('تعديل الجرد'!C278="","","تعديل جرد")</f>
        <v/>
      </c>
      <c r="C1778" t="str">
        <f>IF('تعديل الجرد'!C278="","",IF('تعديل الجرد'!G278="","-",'تعديل الجرد'!G278))</f>
        <v/>
      </c>
      <c r="D1778" t="str">
        <f>IF('تعديل الجرد'!C278="","",'تعديل الجرد'!C278)</f>
        <v/>
      </c>
      <c r="E1778" s="24" t="str">
        <f>IF('تعديل الجرد'!C278="","",'تعديل الجرد'!F278)</f>
        <v/>
      </c>
      <c r="F1778" t="str">
        <f>IF('تعديل الجرد'!C278="","",IF('تعديل الجرد'!H278="","",'تعديل الجرد'!H278))</f>
        <v/>
      </c>
      <c r="G1778" t="str">
        <f>IF($B1778&lt;&gt;"",SUMPRODUCT(($B$2:$B1778&lt;&gt;"")*1),"")</f>
        <v/>
      </c>
    </row>
    <row r="1779" spans="1:7">
      <c r="A1779" s="23" t="str">
        <f>IF('تعديل الجرد'!C279="","",'تعديل الجرد'!B279)</f>
        <v/>
      </c>
      <c r="B1779" t="str">
        <f>IF('تعديل الجرد'!C279="","","تعديل جرد")</f>
        <v/>
      </c>
      <c r="C1779" t="str">
        <f>IF('تعديل الجرد'!C279="","",IF('تعديل الجرد'!G279="","-",'تعديل الجرد'!G279))</f>
        <v/>
      </c>
      <c r="D1779" t="str">
        <f>IF('تعديل الجرد'!C279="","",'تعديل الجرد'!C279)</f>
        <v/>
      </c>
      <c r="E1779" s="24" t="str">
        <f>IF('تعديل الجرد'!C279="","",'تعديل الجرد'!F279)</f>
        <v/>
      </c>
      <c r="F1779" t="str">
        <f>IF('تعديل الجرد'!C279="","",IF('تعديل الجرد'!H279="","",'تعديل الجرد'!H279))</f>
        <v/>
      </c>
      <c r="G1779" t="str">
        <f>IF($B1779&lt;&gt;"",SUMPRODUCT(($B$2:$B1779&lt;&gt;"")*1),"")</f>
        <v/>
      </c>
    </row>
    <row r="1780" spans="1:7">
      <c r="A1780" s="23" t="str">
        <f>IF('تعديل الجرد'!C280="","",'تعديل الجرد'!B280)</f>
        <v/>
      </c>
      <c r="B1780" t="str">
        <f>IF('تعديل الجرد'!C280="","","تعديل جرد")</f>
        <v/>
      </c>
      <c r="C1780" t="str">
        <f>IF('تعديل الجرد'!C280="","",IF('تعديل الجرد'!G280="","-",'تعديل الجرد'!G280))</f>
        <v/>
      </c>
      <c r="D1780" t="str">
        <f>IF('تعديل الجرد'!C280="","",'تعديل الجرد'!C280)</f>
        <v/>
      </c>
      <c r="E1780" s="24" t="str">
        <f>IF('تعديل الجرد'!C280="","",'تعديل الجرد'!F280)</f>
        <v/>
      </c>
      <c r="F1780" t="str">
        <f>IF('تعديل الجرد'!C280="","",IF('تعديل الجرد'!H280="","",'تعديل الجرد'!H280))</f>
        <v/>
      </c>
      <c r="G1780" t="str">
        <f>IF($B1780&lt;&gt;"",SUMPRODUCT(($B$2:$B1780&lt;&gt;"")*1),"")</f>
        <v/>
      </c>
    </row>
    <row r="1781" spans="1:7">
      <c r="A1781" s="23" t="str">
        <f>IF('تعديل الجرد'!C281="","",'تعديل الجرد'!B281)</f>
        <v/>
      </c>
      <c r="B1781" t="str">
        <f>IF('تعديل الجرد'!C281="","","تعديل جرد")</f>
        <v/>
      </c>
      <c r="C1781" t="str">
        <f>IF('تعديل الجرد'!C281="","",IF('تعديل الجرد'!G281="","-",'تعديل الجرد'!G281))</f>
        <v/>
      </c>
      <c r="D1781" t="str">
        <f>IF('تعديل الجرد'!C281="","",'تعديل الجرد'!C281)</f>
        <v/>
      </c>
      <c r="E1781" s="24" t="str">
        <f>IF('تعديل الجرد'!C281="","",'تعديل الجرد'!F281)</f>
        <v/>
      </c>
      <c r="F1781" t="str">
        <f>IF('تعديل الجرد'!C281="","",IF('تعديل الجرد'!H281="","",'تعديل الجرد'!H281))</f>
        <v/>
      </c>
      <c r="G1781" t="str">
        <f>IF($B1781&lt;&gt;"",SUMPRODUCT(($B$2:$B1781&lt;&gt;"")*1),"")</f>
        <v/>
      </c>
    </row>
    <row r="1782" spans="1:7">
      <c r="A1782" s="23" t="str">
        <f>IF('تعديل الجرد'!C282="","",'تعديل الجرد'!B282)</f>
        <v/>
      </c>
      <c r="B1782" t="str">
        <f>IF('تعديل الجرد'!C282="","","تعديل جرد")</f>
        <v/>
      </c>
      <c r="C1782" t="str">
        <f>IF('تعديل الجرد'!C282="","",IF('تعديل الجرد'!G282="","-",'تعديل الجرد'!G282))</f>
        <v/>
      </c>
      <c r="D1782" t="str">
        <f>IF('تعديل الجرد'!C282="","",'تعديل الجرد'!C282)</f>
        <v/>
      </c>
      <c r="E1782" s="24" t="str">
        <f>IF('تعديل الجرد'!C282="","",'تعديل الجرد'!F282)</f>
        <v/>
      </c>
      <c r="F1782" t="str">
        <f>IF('تعديل الجرد'!C282="","",IF('تعديل الجرد'!H282="","",'تعديل الجرد'!H282))</f>
        <v/>
      </c>
      <c r="G1782" t="str">
        <f>IF($B1782&lt;&gt;"",SUMPRODUCT(($B$2:$B1782&lt;&gt;"")*1),"")</f>
        <v/>
      </c>
    </row>
    <row r="1783" spans="1:7">
      <c r="A1783" s="23" t="str">
        <f>IF('تعديل الجرد'!C283="","",'تعديل الجرد'!B283)</f>
        <v/>
      </c>
      <c r="B1783" t="str">
        <f>IF('تعديل الجرد'!C283="","","تعديل جرد")</f>
        <v/>
      </c>
      <c r="C1783" t="str">
        <f>IF('تعديل الجرد'!C283="","",IF('تعديل الجرد'!G283="","-",'تعديل الجرد'!G283))</f>
        <v/>
      </c>
      <c r="D1783" t="str">
        <f>IF('تعديل الجرد'!C283="","",'تعديل الجرد'!C283)</f>
        <v/>
      </c>
      <c r="E1783" s="24" t="str">
        <f>IF('تعديل الجرد'!C283="","",'تعديل الجرد'!F283)</f>
        <v/>
      </c>
      <c r="F1783" t="str">
        <f>IF('تعديل الجرد'!C283="","",IF('تعديل الجرد'!H283="","",'تعديل الجرد'!H283))</f>
        <v/>
      </c>
      <c r="G1783" t="str">
        <f>IF($B1783&lt;&gt;"",SUMPRODUCT(($B$2:$B1783&lt;&gt;"")*1),"")</f>
        <v/>
      </c>
    </row>
    <row r="1784" spans="1:7">
      <c r="A1784" s="23" t="str">
        <f>IF('تعديل الجرد'!C284="","",'تعديل الجرد'!B284)</f>
        <v/>
      </c>
      <c r="B1784" t="str">
        <f>IF('تعديل الجرد'!C284="","","تعديل جرد")</f>
        <v/>
      </c>
      <c r="C1784" t="str">
        <f>IF('تعديل الجرد'!C284="","",IF('تعديل الجرد'!G284="","-",'تعديل الجرد'!G284))</f>
        <v/>
      </c>
      <c r="D1784" t="str">
        <f>IF('تعديل الجرد'!C284="","",'تعديل الجرد'!C284)</f>
        <v/>
      </c>
      <c r="E1784" s="24" t="str">
        <f>IF('تعديل الجرد'!C284="","",'تعديل الجرد'!F284)</f>
        <v/>
      </c>
      <c r="F1784" t="str">
        <f>IF('تعديل الجرد'!C284="","",IF('تعديل الجرد'!H284="","",'تعديل الجرد'!H284))</f>
        <v/>
      </c>
      <c r="G1784" t="str">
        <f>IF($B1784&lt;&gt;"",SUMPRODUCT(($B$2:$B1784&lt;&gt;"")*1),"")</f>
        <v/>
      </c>
    </row>
    <row r="1785" spans="1:7">
      <c r="A1785" s="23" t="str">
        <f>IF('تعديل الجرد'!C285="","",'تعديل الجرد'!B285)</f>
        <v/>
      </c>
      <c r="B1785" t="str">
        <f>IF('تعديل الجرد'!C285="","","تعديل جرد")</f>
        <v/>
      </c>
      <c r="C1785" t="str">
        <f>IF('تعديل الجرد'!C285="","",IF('تعديل الجرد'!G285="","-",'تعديل الجرد'!G285))</f>
        <v/>
      </c>
      <c r="D1785" t="str">
        <f>IF('تعديل الجرد'!C285="","",'تعديل الجرد'!C285)</f>
        <v/>
      </c>
      <c r="E1785" s="24" t="str">
        <f>IF('تعديل الجرد'!C285="","",'تعديل الجرد'!F285)</f>
        <v/>
      </c>
      <c r="F1785" t="str">
        <f>IF('تعديل الجرد'!C285="","",IF('تعديل الجرد'!H285="","",'تعديل الجرد'!H285))</f>
        <v/>
      </c>
      <c r="G1785" t="str">
        <f>IF($B1785&lt;&gt;"",SUMPRODUCT(($B$2:$B1785&lt;&gt;"")*1),"")</f>
        <v/>
      </c>
    </row>
    <row r="1786" spans="1:7">
      <c r="A1786" s="23" t="str">
        <f>IF('تعديل الجرد'!C286="","",'تعديل الجرد'!B286)</f>
        <v/>
      </c>
      <c r="B1786" t="str">
        <f>IF('تعديل الجرد'!C286="","","تعديل جرد")</f>
        <v/>
      </c>
      <c r="C1786" t="str">
        <f>IF('تعديل الجرد'!C286="","",IF('تعديل الجرد'!G286="","-",'تعديل الجرد'!G286))</f>
        <v/>
      </c>
      <c r="D1786" t="str">
        <f>IF('تعديل الجرد'!C286="","",'تعديل الجرد'!C286)</f>
        <v/>
      </c>
      <c r="E1786" s="24" t="str">
        <f>IF('تعديل الجرد'!C286="","",'تعديل الجرد'!F286)</f>
        <v/>
      </c>
      <c r="F1786" t="str">
        <f>IF('تعديل الجرد'!C286="","",IF('تعديل الجرد'!H286="","",'تعديل الجرد'!H286))</f>
        <v/>
      </c>
      <c r="G1786" t="str">
        <f>IF($B1786&lt;&gt;"",SUMPRODUCT(($B$2:$B1786&lt;&gt;"")*1),"")</f>
        <v/>
      </c>
    </row>
    <row r="1787" spans="1:7">
      <c r="A1787" s="23" t="str">
        <f>IF('تعديل الجرد'!C287="","",'تعديل الجرد'!B287)</f>
        <v/>
      </c>
      <c r="B1787" t="str">
        <f>IF('تعديل الجرد'!C287="","","تعديل جرد")</f>
        <v/>
      </c>
      <c r="C1787" t="str">
        <f>IF('تعديل الجرد'!C287="","",IF('تعديل الجرد'!G287="","-",'تعديل الجرد'!G287))</f>
        <v/>
      </c>
      <c r="D1787" t="str">
        <f>IF('تعديل الجرد'!C287="","",'تعديل الجرد'!C287)</f>
        <v/>
      </c>
      <c r="E1787" s="24" t="str">
        <f>IF('تعديل الجرد'!C287="","",'تعديل الجرد'!F287)</f>
        <v/>
      </c>
      <c r="F1787" t="str">
        <f>IF('تعديل الجرد'!C287="","",IF('تعديل الجرد'!H287="","",'تعديل الجرد'!H287))</f>
        <v/>
      </c>
      <c r="G1787" t="str">
        <f>IF($B1787&lt;&gt;"",SUMPRODUCT(($B$2:$B1787&lt;&gt;"")*1),"")</f>
        <v/>
      </c>
    </row>
    <row r="1788" spans="1:7">
      <c r="A1788" s="23" t="str">
        <f>IF('تعديل الجرد'!C288="","",'تعديل الجرد'!B288)</f>
        <v/>
      </c>
      <c r="B1788" t="str">
        <f>IF('تعديل الجرد'!C288="","","تعديل جرد")</f>
        <v/>
      </c>
      <c r="C1788" t="str">
        <f>IF('تعديل الجرد'!C288="","",IF('تعديل الجرد'!G288="","-",'تعديل الجرد'!G288))</f>
        <v/>
      </c>
      <c r="D1788" t="str">
        <f>IF('تعديل الجرد'!C288="","",'تعديل الجرد'!C288)</f>
        <v/>
      </c>
      <c r="E1788" s="24" t="str">
        <f>IF('تعديل الجرد'!C288="","",'تعديل الجرد'!F288)</f>
        <v/>
      </c>
      <c r="F1788" t="str">
        <f>IF('تعديل الجرد'!C288="","",IF('تعديل الجرد'!H288="","",'تعديل الجرد'!H288))</f>
        <v/>
      </c>
      <c r="G1788" t="str">
        <f>IF($B1788&lt;&gt;"",SUMPRODUCT(($B$2:$B1788&lt;&gt;"")*1),"")</f>
        <v/>
      </c>
    </row>
    <row r="1789" spans="1:7">
      <c r="A1789" s="23" t="str">
        <f>IF('تعديل الجرد'!C289="","",'تعديل الجرد'!B289)</f>
        <v/>
      </c>
      <c r="B1789" t="str">
        <f>IF('تعديل الجرد'!C289="","","تعديل جرد")</f>
        <v/>
      </c>
      <c r="C1789" t="str">
        <f>IF('تعديل الجرد'!C289="","",IF('تعديل الجرد'!G289="","-",'تعديل الجرد'!G289))</f>
        <v/>
      </c>
      <c r="D1789" t="str">
        <f>IF('تعديل الجرد'!C289="","",'تعديل الجرد'!C289)</f>
        <v/>
      </c>
      <c r="E1789" s="24" t="str">
        <f>IF('تعديل الجرد'!C289="","",'تعديل الجرد'!F289)</f>
        <v/>
      </c>
      <c r="F1789" t="str">
        <f>IF('تعديل الجرد'!C289="","",IF('تعديل الجرد'!H289="","",'تعديل الجرد'!H289))</f>
        <v/>
      </c>
      <c r="G1789" t="str">
        <f>IF($B1789&lt;&gt;"",SUMPRODUCT(($B$2:$B1789&lt;&gt;"")*1),"")</f>
        <v/>
      </c>
    </row>
    <row r="1790" spans="1:7">
      <c r="A1790" s="23" t="str">
        <f>IF('تعديل الجرد'!C290="","",'تعديل الجرد'!B290)</f>
        <v/>
      </c>
      <c r="B1790" t="str">
        <f>IF('تعديل الجرد'!C290="","","تعديل جرد")</f>
        <v/>
      </c>
      <c r="C1790" t="str">
        <f>IF('تعديل الجرد'!C290="","",IF('تعديل الجرد'!G290="","-",'تعديل الجرد'!G290))</f>
        <v/>
      </c>
      <c r="D1790" t="str">
        <f>IF('تعديل الجرد'!C290="","",'تعديل الجرد'!C290)</f>
        <v/>
      </c>
      <c r="E1790" s="24" t="str">
        <f>IF('تعديل الجرد'!C290="","",'تعديل الجرد'!F290)</f>
        <v/>
      </c>
      <c r="F1790" t="str">
        <f>IF('تعديل الجرد'!C290="","",IF('تعديل الجرد'!H290="","",'تعديل الجرد'!H290))</f>
        <v/>
      </c>
      <c r="G1790" t="str">
        <f>IF($B1790&lt;&gt;"",SUMPRODUCT(($B$2:$B1790&lt;&gt;"")*1),"")</f>
        <v/>
      </c>
    </row>
    <row r="1791" spans="1:7">
      <c r="A1791" s="23" t="str">
        <f>IF('تعديل الجرد'!C291="","",'تعديل الجرد'!B291)</f>
        <v/>
      </c>
      <c r="B1791" t="str">
        <f>IF('تعديل الجرد'!C291="","","تعديل جرد")</f>
        <v/>
      </c>
      <c r="C1791" t="str">
        <f>IF('تعديل الجرد'!C291="","",IF('تعديل الجرد'!G291="","-",'تعديل الجرد'!G291))</f>
        <v/>
      </c>
      <c r="D1791" t="str">
        <f>IF('تعديل الجرد'!C291="","",'تعديل الجرد'!C291)</f>
        <v/>
      </c>
      <c r="E1791" s="24" t="str">
        <f>IF('تعديل الجرد'!C291="","",'تعديل الجرد'!F291)</f>
        <v/>
      </c>
      <c r="F1791" t="str">
        <f>IF('تعديل الجرد'!C291="","",IF('تعديل الجرد'!H291="","",'تعديل الجرد'!H291))</f>
        <v/>
      </c>
      <c r="G1791" t="str">
        <f>IF($B1791&lt;&gt;"",SUMPRODUCT(($B$2:$B1791&lt;&gt;"")*1),"")</f>
        <v/>
      </c>
    </row>
    <row r="1792" spans="1:7">
      <c r="A1792" s="23" t="str">
        <f>IF('تعديل الجرد'!C292="","",'تعديل الجرد'!B292)</f>
        <v/>
      </c>
      <c r="B1792" t="str">
        <f>IF('تعديل الجرد'!C292="","","تعديل جرد")</f>
        <v/>
      </c>
      <c r="C1792" t="str">
        <f>IF('تعديل الجرد'!C292="","",IF('تعديل الجرد'!G292="","-",'تعديل الجرد'!G292))</f>
        <v/>
      </c>
      <c r="D1792" t="str">
        <f>IF('تعديل الجرد'!C292="","",'تعديل الجرد'!C292)</f>
        <v/>
      </c>
      <c r="E1792" s="24" t="str">
        <f>IF('تعديل الجرد'!C292="","",'تعديل الجرد'!F292)</f>
        <v/>
      </c>
      <c r="F1792" t="str">
        <f>IF('تعديل الجرد'!C292="","",IF('تعديل الجرد'!H292="","",'تعديل الجرد'!H292))</f>
        <v/>
      </c>
      <c r="G1792" t="str">
        <f>IF($B1792&lt;&gt;"",SUMPRODUCT(($B$2:$B1792&lt;&gt;"")*1),"")</f>
        <v/>
      </c>
    </row>
    <row r="1793" spans="1:7">
      <c r="A1793" s="23" t="str">
        <f>IF('تعديل الجرد'!C293="","",'تعديل الجرد'!B293)</f>
        <v/>
      </c>
      <c r="B1793" t="str">
        <f>IF('تعديل الجرد'!C293="","","تعديل جرد")</f>
        <v/>
      </c>
      <c r="C1793" t="str">
        <f>IF('تعديل الجرد'!C293="","",IF('تعديل الجرد'!G293="","-",'تعديل الجرد'!G293))</f>
        <v/>
      </c>
      <c r="D1793" t="str">
        <f>IF('تعديل الجرد'!C293="","",'تعديل الجرد'!C293)</f>
        <v/>
      </c>
      <c r="E1793" s="24" t="str">
        <f>IF('تعديل الجرد'!C293="","",'تعديل الجرد'!F293)</f>
        <v/>
      </c>
      <c r="F1793" t="str">
        <f>IF('تعديل الجرد'!C293="","",IF('تعديل الجرد'!H293="","",'تعديل الجرد'!H293))</f>
        <v/>
      </c>
      <c r="G1793" t="str">
        <f>IF($B1793&lt;&gt;"",SUMPRODUCT(($B$2:$B1793&lt;&gt;"")*1),"")</f>
        <v/>
      </c>
    </row>
    <row r="1794" spans="1:7">
      <c r="A1794" s="23" t="str">
        <f>IF('تعديل الجرد'!C294="","",'تعديل الجرد'!B294)</f>
        <v/>
      </c>
      <c r="B1794" t="str">
        <f>IF('تعديل الجرد'!C294="","","تعديل جرد")</f>
        <v/>
      </c>
      <c r="C1794" t="str">
        <f>IF('تعديل الجرد'!C294="","",IF('تعديل الجرد'!G294="","-",'تعديل الجرد'!G294))</f>
        <v/>
      </c>
      <c r="D1794" t="str">
        <f>IF('تعديل الجرد'!C294="","",'تعديل الجرد'!C294)</f>
        <v/>
      </c>
      <c r="E1794" s="24" t="str">
        <f>IF('تعديل الجرد'!C294="","",'تعديل الجرد'!F294)</f>
        <v/>
      </c>
      <c r="F1794" t="str">
        <f>IF('تعديل الجرد'!C294="","",IF('تعديل الجرد'!H294="","",'تعديل الجرد'!H294))</f>
        <v/>
      </c>
      <c r="G1794" t="str">
        <f>IF($B1794&lt;&gt;"",SUMPRODUCT(($B$2:$B1794&lt;&gt;"")*1),"")</f>
        <v/>
      </c>
    </row>
    <row r="1795" spans="1:7">
      <c r="A1795" s="23" t="str">
        <f>IF('تعديل الجرد'!C295="","",'تعديل الجرد'!B295)</f>
        <v/>
      </c>
      <c r="B1795" t="str">
        <f>IF('تعديل الجرد'!C295="","","تعديل جرد")</f>
        <v/>
      </c>
      <c r="C1795" t="str">
        <f>IF('تعديل الجرد'!C295="","",IF('تعديل الجرد'!G295="","-",'تعديل الجرد'!G295))</f>
        <v/>
      </c>
      <c r="D1795" t="str">
        <f>IF('تعديل الجرد'!C295="","",'تعديل الجرد'!C295)</f>
        <v/>
      </c>
      <c r="E1795" s="24" t="str">
        <f>IF('تعديل الجرد'!C295="","",'تعديل الجرد'!F295)</f>
        <v/>
      </c>
      <c r="F1795" t="str">
        <f>IF('تعديل الجرد'!C295="","",IF('تعديل الجرد'!H295="","",'تعديل الجرد'!H295))</f>
        <v/>
      </c>
      <c r="G1795" t="str">
        <f>IF($B1795&lt;&gt;"",SUMPRODUCT(($B$2:$B1795&lt;&gt;"")*1),"")</f>
        <v/>
      </c>
    </row>
    <row r="1796" spans="1:7">
      <c r="A1796" s="23" t="str">
        <f>IF('تعديل الجرد'!C296="","",'تعديل الجرد'!B296)</f>
        <v/>
      </c>
      <c r="B1796" t="str">
        <f>IF('تعديل الجرد'!C296="","","تعديل جرد")</f>
        <v/>
      </c>
      <c r="C1796" t="str">
        <f>IF('تعديل الجرد'!C296="","",IF('تعديل الجرد'!G296="","-",'تعديل الجرد'!G296))</f>
        <v/>
      </c>
      <c r="D1796" t="str">
        <f>IF('تعديل الجرد'!C296="","",'تعديل الجرد'!C296)</f>
        <v/>
      </c>
      <c r="E1796" s="24" t="str">
        <f>IF('تعديل الجرد'!C296="","",'تعديل الجرد'!F296)</f>
        <v/>
      </c>
      <c r="F1796" t="str">
        <f>IF('تعديل الجرد'!C296="","",IF('تعديل الجرد'!H296="","",'تعديل الجرد'!H296))</f>
        <v/>
      </c>
      <c r="G1796" t="str">
        <f>IF($B1796&lt;&gt;"",SUMPRODUCT(($B$2:$B1796&lt;&gt;"")*1),"")</f>
        <v/>
      </c>
    </row>
    <row r="1797" spans="1:7">
      <c r="A1797" s="23" t="str">
        <f>IF('تعديل الجرد'!C297="","",'تعديل الجرد'!B297)</f>
        <v/>
      </c>
      <c r="B1797" t="str">
        <f>IF('تعديل الجرد'!C297="","","تعديل جرد")</f>
        <v/>
      </c>
      <c r="C1797" t="str">
        <f>IF('تعديل الجرد'!C297="","",IF('تعديل الجرد'!G297="","-",'تعديل الجرد'!G297))</f>
        <v/>
      </c>
      <c r="D1797" t="str">
        <f>IF('تعديل الجرد'!C297="","",'تعديل الجرد'!C297)</f>
        <v/>
      </c>
      <c r="E1797" s="24" t="str">
        <f>IF('تعديل الجرد'!C297="","",'تعديل الجرد'!F297)</f>
        <v/>
      </c>
      <c r="F1797" t="str">
        <f>IF('تعديل الجرد'!C297="","",IF('تعديل الجرد'!H297="","",'تعديل الجرد'!H297))</f>
        <v/>
      </c>
      <c r="G1797" t="str">
        <f>IF($B1797&lt;&gt;"",SUMPRODUCT(($B$2:$B1797&lt;&gt;"")*1),"")</f>
        <v/>
      </c>
    </row>
    <row r="1798" spans="1:7">
      <c r="A1798" s="23" t="str">
        <f>IF('تعديل الجرد'!C298="","",'تعديل الجرد'!B298)</f>
        <v/>
      </c>
      <c r="B1798" t="str">
        <f>IF('تعديل الجرد'!C298="","","تعديل جرد")</f>
        <v/>
      </c>
      <c r="C1798" t="str">
        <f>IF('تعديل الجرد'!C298="","",IF('تعديل الجرد'!G298="","-",'تعديل الجرد'!G298))</f>
        <v/>
      </c>
      <c r="D1798" t="str">
        <f>IF('تعديل الجرد'!C298="","",'تعديل الجرد'!C298)</f>
        <v/>
      </c>
      <c r="E1798" s="24" t="str">
        <f>IF('تعديل الجرد'!C298="","",'تعديل الجرد'!F298)</f>
        <v/>
      </c>
      <c r="F1798" t="str">
        <f>IF('تعديل الجرد'!C298="","",IF('تعديل الجرد'!H298="","",'تعديل الجرد'!H298))</f>
        <v/>
      </c>
      <c r="G1798" t="str">
        <f>IF($B1798&lt;&gt;"",SUMPRODUCT(($B$2:$B1798&lt;&gt;"")*1),"")</f>
        <v/>
      </c>
    </row>
    <row r="1799" spans="1:7">
      <c r="A1799" s="23" t="str">
        <f>IF('تعديل الجرد'!C299="","",'تعديل الجرد'!B299)</f>
        <v/>
      </c>
      <c r="B1799" t="str">
        <f>IF('تعديل الجرد'!C299="","","تعديل جرد")</f>
        <v/>
      </c>
      <c r="C1799" t="str">
        <f>IF('تعديل الجرد'!C299="","",IF('تعديل الجرد'!G299="","-",'تعديل الجرد'!G299))</f>
        <v/>
      </c>
      <c r="D1799" t="str">
        <f>IF('تعديل الجرد'!C299="","",'تعديل الجرد'!C299)</f>
        <v/>
      </c>
      <c r="E1799" s="24" t="str">
        <f>IF('تعديل الجرد'!C299="","",'تعديل الجرد'!F299)</f>
        <v/>
      </c>
      <c r="F1799" t="str">
        <f>IF('تعديل الجرد'!C299="","",IF('تعديل الجرد'!H299="","",'تعديل الجرد'!H299))</f>
        <v/>
      </c>
      <c r="G1799" t="str">
        <f>IF($B1799&lt;&gt;"",SUMPRODUCT(($B$2:$B1799&lt;&gt;"")*1),"")</f>
        <v/>
      </c>
    </row>
    <row r="1800" spans="1:7">
      <c r="A1800" s="23" t="str">
        <f>IF('تعديل الجرد'!C300="","",'تعديل الجرد'!B300)</f>
        <v/>
      </c>
      <c r="B1800" t="str">
        <f>IF('تعديل الجرد'!C300="","","تعديل جرد")</f>
        <v/>
      </c>
      <c r="C1800" t="str">
        <f>IF('تعديل الجرد'!C300="","",IF('تعديل الجرد'!G300="","-",'تعديل الجرد'!G300))</f>
        <v/>
      </c>
      <c r="D1800" t="str">
        <f>IF('تعديل الجرد'!C300="","",'تعديل الجرد'!C300)</f>
        <v/>
      </c>
      <c r="E1800" s="24" t="str">
        <f>IF('تعديل الجرد'!C300="","",'تعديل الجرد'!F300)</f>
        <v/>
      </c>
      <c r="F1800" t="str">
        <f>IF('تعديل الجرد'!C300="","",IF('تعديل الجرد'!H300="","",'تعديل الجرد'!H300))</f>
        <v/>
      </c>
      <c r="G1800" t="str">
        <f>IF($B1800&lt;&gt;"",SUMPRODUCT(($B$2:$B1800&lt;&gt;"")*1),"")</f>
        <v/>
      </c>
    </row>
    <row r="1801" spans="1:7">
      <c r="A1801" s="23" t="str">
        <f>IF('تعديل الجرد'!C301="","",'تعديل الجرد'!B301)</f>
        <v/>
      </c>
      <c r="B1801" t="str">
        <f>IF('تعديل الجرد'!C301="","","تعديل جرد")</f>
        <v/>
      </c>
      <c r="C1801" t="str">
        <f>IF('تعديل الجرد'!C301="","",IF('تعديل الجرد'!G301="","-",'تعديل الجرد'!G301))</f>
        <v/>
      </c>
      <c r="D1801" t="str">
        <f>IF('تعديل الجرد'!C301="","",'تعديل الجرد'!C301)</f>
        <v/>
      </c>
      <c r="E1801" s="24" t="str">
        <f>IF('تعديل الجرد'!C301="","",'تعديل الجرد'!F301)</f>
        <v/>
      </c>
      <c r="F1801" t="str">
        <f>IF('تعديل الجرد'!C301="","",IF('تعديل الجرد'!H301="","",'تعديل الجرد'!H301))</f>
        <v/>
      </c>
      <c r="G1801" t="str">
        <f>IF($B1801&lt;&gt;"",SUMPRODUCT(($B$2:$B1801&lt;&gt;"")*1),"")</f>
        <v/>
      </c>
    </row>
    <row r="1802" spans="1:7">
      <c r="A1802" s="23" t="str">
        <f>IF('تعديل الجرد'!C302="","",'تعديل الجرد'!B302)</f>
        <v/>
      </c>
      <c r="B1802" t="str">
        <f>IF('تعديل الجرد'!C302="","","تعديل جرد")</f>
        <v/>
      </c>
      <c r="C1802" t="str">
        <f>IF('تعديل الجرد'!C302="","",IF('تعديل الجرد'!G302="","-",'تعديل الجرد'!G302))</f>
        <v/>
      </c>
      <c r="D1802" t="str">
        <f>IF('تعديل الجرد'!C302="","",'تعديل الجرد'!C302)</f>
        <v/>
      </c>
      <c r="E1802" s="24" t="str">
        <f>IF('تعديل الجرد'!C302="","",'تعديل الجرد'!F302)</f>
        <v/>
      </c>
      <c r="F1802" t="str">
        <f>IF('تعديل الجرد'!C302="","",IF('تعديل الجرد'!H302="","",'تعديل الجرد'!H302))</f>
        <v/>
      </c>
      <c r="G1802" t="str">
        <f>IF($B1802&lt;&gt;"",SUMPRODUCT(($B$2:$B1802&lt;&gt;"")*1),"")</f>
        <v/>
      </c>
    </row>
    <row r="1803" spans="1:7">
      <c r="A1803" s="23" t="str">
        <f>IF('تعديل الجرد'!C303="","",'تعديل الجرد'!B303)</f>
        <v/>
      </c>
      <c r="B1803" t="str">
        <f>IF('تعديل الجرد'!C303="","","تعديل جرد")</f>
        <v/>
      </c>
      <c r="C1803" t="str">
        <f>IF('تعديل الجرد'!C303="","",IF('تعديل الجرد'!G303="","-",'تعديل الجرد'!G303))</f>
        <v/>
      </c>
      <c r="D1803" t="str">
        <f>IF('تعديل الجرد'!C303="","",'تعديل الجرد'!C303)</f>
        <v/>
      </c>
      <c r="E1803" s="24" t="str">
        <f>IF('تعديل الجرد'!C303="","",'تعديل الجرد'!F303)</f>
        <v/>
      </c>
      <c r="F1803" t="str">
        <f>IF('تعديل الجرد'!C303="","",IF('تعديل الجرد'!H303="","",'تعديل الجرد'!H303))</f>
        <v/>
      </c>
      <c r="G1803" t="str">
        <f>IF($B1803&lt;&gt;"",SUMPRODUCT(($B$2:$B1803&lt;&gt;"")*1),"")</f>
        <v/>
      </c>
    </row>
    <row r="1804" spans="1:7">
      <c r="A1804" s="23" t="str">
        <f>IF('تعديل الجرد'!C304="","",'تعديل الجرد'!B304)</f>
        <v/>
      </c>
      <c r="B1804" t="str">
        <f>IF('تعديل الجرد'!C304="","","تعديل جرد")</f>
        <v/>
      </c>
      <c r="C1804" t="str">
        <f>IF('تعديل الجرد'!C304="","",IF('تعديل الجرد'!G304="","-",'تعديل الجرد'!G304))</f>
        <v/>
      </c>
      <c r="D1804" t="str">
        <f>IF('تعديل الجرد'!C304="","",'تعديل الجرد'!C304)</f>
        <v/>
      </c>
      <c r="E1804" s="24" t="str">
        <f>IF('تعديل الجرد'!C304="","",'تعديل الجرد'!F304)</f>
        <v/>
      </c>
      <c r="F1804" t="str">
        <f>IF('تعديل الجرد'!C304="","",IF('تعديل الجرد'!H304="","",'تعديل الجرد'!H304))</f>
        <v/>
      </c>
      <c r="G1804" t="str">
        <f>IF($B1804&lt;&gt;"",SUMPRODUCT(($B$2:$B1804&lt;&gt;"")*1),"")</f>
        <v/>
      </c>
    </row>
    <row r="1805" spans="1:7">
      <c r="A1805" s="23" t="str">
        <f>IF('تعديل الجرد'!C305="","",'تعديل الجرد'!B305)</f>
        <v/>
      </c>
      <c r="B1805" t="str">
        <f>IF('تعديل الجرد'!C305="","","تعديل جرد")</f>
        <v/>
      </c>
      <c r="C1805" t="str">
        <f>IF('تعديل الجرد'!C305="","",IF('تعديل الجرد'!G305="","-",'تعديل الجرد'!G305))</f>
        <v/>
      </c>
      <c r="D1805" t="str">
        <f>IF('تعديل الجرد'!C305="","",'تعديل الجرد'!C305)</f>
        <v/>
      </c>
      <c r="E1805" s="24" t="str">
        <f>IF('تعديل الجرد'!C305="","",'تعديل الجرد'!F305)</f>
        <v/>
      </c>
      <c r="F1805" t="str">
        <f>IF('تعديل الجرد'!C305="","",IF('تعديل الجرد'!H305="","",'تعديل الجرد'!H305))</f>
        <v/>
      </c>
      <c r="G1805" t="str">
        <f>IF($B1805&lt;&gt;"",SUMPRODUCT(($B$2:$B1805&lt;&gt;"")*1),"")</f>
        <v/>
      </c>
    </row>
    <row r="1806" spans="1:7">
      <c r="A1806" s="23" t="str">
        <f>IF('تعديل الجرد'!C306="","",'تعديل الجرد'!B306)</f>
        <v/>
      </c>
      <c r="B1806" t="str">
        <f>IF('تعديل الجرد'!C306="","","تعديل جرد")</f>
        <v/>
      </c>
      <c r="C1806" t="str">
        <f>IF('تعديل الجرد'!C306="","",IF('تعديل الجرد'!G306="","-",'تعديل الجرد'!G306))</f>
        <v/>
      </c>
      <c r="D1806" t="str">
        <f>IF('تعديل الجرد'!C306="","",'تعديل الجرد'!C306)</f>
        <v/>
      </c>
      <c r="E1806" s="24" t="str">
        <f>IF('تعديل الجرد'!C306="","",'تعديل الجرد'!F306)</f>
        <v/>
      </c>
      <c r="F1806" t="str">
        <f>IF('تعديل الجرد'!C306="","",IF('تعديل الجرد'!H306="","",'تعديل الجرد'!H306))</f>
        <v/>
      </c>
      <c r="G1806" t="str">
        <f>IF($B1806&lt;&gt;"",SUMPRODUCT(($B$2:$B1806&lt;&gt;"")*1),"")</f>
        <v/>
      </c>
    </row>
    <row r="1807" spans="1:7">
      <c r="A1807" s="23" t="str">
        <f>IF('تعديل الجرد'!C307="","",'تعديل الجرد'!B307)</f>
        <v/>
      </c>
      <c r="B1807" t="str">
        <f>IF('تعديل الجرد'!C307="","","تعديل جرد")</f>
        <v/>
      </c>
      <c r="C1807" t="str">
        <f>IF('تعديل الجرد'!C307="","",IF('تعديل الجرد'!G307="","-",'تعديل الجرد'!G307))</f>
        <v/>
      </c>
      <c r="D1807" t="str">
        <f>IF('تعديل الجرد'!C307="","",'تعديل الجرد'!C307)</f>
        <v/>
      </c>
      <c r="E1807" s="24" t="str">
        <f>IF('تعديل الجرد'!C307="","",'تعديل الجرد'!F307)</f>
        <v/>
      </c>
      <c r="F1807" t="str">
        <f>IF('تعديل الجرد'!C307="","",IF('تعديل الجرد'!H307="","",'تعديل الجرد'!H307))</f>
        <v/>
      </c>
      <c r="G1807" t="str">
        <f>IF($B1807&lt;&gt;"",SUMPRODUCT(($B$2:$B1807&lt;&gt;"")*1),"")</f>
        <v/>
      </c>
    </row>
    <row r="1808" spans="1:7">
      <c r="A1808" s="23" t="str">
        <f>IF('تعديل الجرد'!C308="","",'تعديل الجرد'!B308)</f>
        <v/>
      </c>
      <c r="B1808" t="str">
        <f>IF('تعديل الجرد'!C308="","","تعديل جرد")</f>
        <v/>
      </c>
      <c r="C1808" t="str">
        <f>IF('تعديل الجرد'!C308="","",IF('تعديل الجرد'!G308="","-",'تعديل الجرد'!G308))</f>
        <v/>
      </c>
      <c r="D1808" t="str">
        <f>IF('تعديل الجرد'!C308="","",'تعديل الجرد'!C308)</f>
        <v/>
      </c>
      <c r="E1808" s="24" t="str">
        <f>IF('تعديل الجرد'!C308="","",'تعديل الجرد'!F308)</f>
        <v/>
      </c>
      <c r="F1808" t="str">
        <f>IF('تعديل الجرد'!C308="","",IF('تعديل الجرد'!H308="","",'تعديل الجرد'!H308))</f>
        <v/>
      </c>
      <c r="G1808" t="str">
        <f>IF($B1808&lt;&gt;"",SUMPRODUCT(($B$2:$B1808&lt;&gt;"")*1),"")</f>
        <v/>
      </c>
    </row>
    <row r="1809" spans="1:7">
      <c r="A1809" s="23" t="str">
        <f>IF('تعديل الجرد'!C309="","",'تعديل الجرد'!B309)</f>
        <v/>
      </c>
      <c r="B1809" t="str">
        <f>IF('تعديل الجرد'!C309="","","تعديل جرد")</f>
        <v/>
      </c>
      <c r="C1809" t="str">
        <f>IF('تعديل الجرد'!C309="","",IF('تعديل الجرد'!G309="","-",'تعديل الجرد'!G309))</f>
        <v/>
      </c>
      <c r="D1809" t="str">
        <f>IF('تعديل الجرد'!C309="","",'تعديل الجرد'!C309)</f>
        <v/>
      </c>
      <c r="E1809" s="24" t="str">
        <f>IF('تعديل الجرد'!C309="","",'تعديل الجرد'!F309)</f>
        <v/>
      </c>
      <c r="F1809" t="str">
        <f>IF('تعديل الجرد'!C309="","",IF('تعديل الجرد'!H309="","",'تعديل الجرد'!H309))</f>
        <v/>
      </c>
      <c r="G1809" t="str">
        <f>IF($B1809&lt;&gt;"",SUMPRODUCT(($B$2:$B1809&lt;&gt;"")*1),"")</f>
        <v/>
      </c>
    </row>
    <row r="1810" spans="1:7">
      <c r="A1810" s="23" t="str">
        <f>IF('تعديل الجرد'!C310="","",'تعديل الجرد'!B310)</f>
        <v/>
      </c>
      <c r="B1810" t="str">
        <f>IF('تعديل الجرد'!C310="","","تعديل جرد")</f>
        <v/>
      </c>
      <c r="C1810" t="str">
        <f>IF('تعديل الجرد'!C310="","",IF('تعديل الجرد'!G310="","-",'تعديل الجرد'!G310))</f>
        <v/>
      </c>
      <c r="D1810" t="str">
        <f>IF('تعديل الجرد'!C310="","",'تعديل الجرد'!C310)</f>
        <v/>
      </c>
      <c r="E1810" s="24" t="str">
        <f>IF('تعديل الجرد'!C310="","",'تعديل الجرد'!F310)</f>
        <v/>
      </c>
      <c r="F1810" t="str">
        <f>IF('تعديل الجرد'!C310="","",IF('تعديل الجرد'!H310="","",'تعديل الجرد'!H310))</f>
        <v/>
      </c>
      <c r="G1810" t="str">
        <f>IF($B1810&lt;&gt;"",SUMPRODUCT(($B$2:$B1810&lt;&gt;"")*1),"")</f>
        <v/>
      </c>
    </row>
    <row r="1811" spans="1:7">
      <c r="A1811" s="23" t="str">
        <f>IF('تعديل الجرد'!C311="","",'تعديل الجرد'!B311)</f>
        <v/>
      </c>
      <c r="B1811" t="str">
        <f>IF('تعديل الجرد'!C311="","","تعديل جرد")</f>
        <v/>
      </c>
      <c r="C1811" t="str">
        <f>IF('تعديل الجرد'!C311="","",IF('تعديل الجرد'!G311="","-",'تعديل الجرد'!G311))</f>
        <v/>
      </c>
      <c r="D1811" t="str">
        <f>IF('تعديل الجرد'!C311="","",'تعديل الجرد'!C311)</f>
        <v/>
      </c>
      <c r="E1811" s="24" t="str">
        <f>IF('تعديل الجرد'!C311="","",'تعديل الجرد'!F311)</f>
        <v/>
      </c>
      <c r="F1811" t="str">
        <f>IF('تعديل الجرد'!C311="","",IF('تعديل الجرد'!H311="","",'تعديل الجرد'!H311))</f>
        <v/>
      </c>
      <c r="G1811" t="str">
        <f>IF($B1811&lt;&gt;"",SUMPRODUCT(($B$2:$B1811&lt;&gt;"")*1),"")</f>
        <v/>
      </c>
    </row>
    <row r="1812" spans="1:7">
      <c r="A1812" s="23" t="str">
        <f>IF('تعديل الجرد'!C312="","",'تعديل الجرد'!B312)</f>
        <v/>
      </c>
      <c r="B1812" t="str">
        <f>IF('تعديل الجرد'!C312="","","تعديل جرد")</f>
        <v/>
      </c>
      <c r="C1812" t="str">
        <f>IF('تعديل الجرد'!C312="","",IF('تعديل الجرد'!G312="","-",'تعديل الجرد'!G312))</f>
        <v/>
      </c>
      <c r="D1812" t="str">
        <f>IF('تعديل الجرد'!C312="","",'تعديل الجرد'!C312)</f>
        <v/>
      </c>
      <c r="E1812" s="24" t="str">
        <f>IF('تعديل الجرد'!C312="","",'تعديل الجرد'!F312)</f>
        <v/>
      </c>
      <c r="F1812" t="str">
        <f>IF('تعديل الجرد'!C312="","",IF('تعديل الجرد'!H312="","",'تعديل الجرد'!H312))</f>
        <v/>
      </c>
      <c r="G1812" t="str">
        <f>IF($B1812&lt;&gt;"",SUMPRODUCT(($B$2:$B1812&lt;&gt;"")*1),"")</f>
        <v/>
      </c>
    </row>
    <row r="1813" spans="1:7">
      <c r="A1813" s="23" t="str">
        <f>IF('تعديل الجرد'!C313="","",'تعديل الجرد'!B313)</f>
        <v/>
      </c>
      <c r="B1813" t="str">
        <f>IF('تعديل الجرد'!C313="","","تعديل جرد")</f>
        <v/>
      </c>
      <c r="C1813" t="str">
        <f>IF('تعديل الجرد'!C313="","",IF('تعديل الجرد'!G313="","-",'تعديل الجرد'!G313))</f>
        <v/>
      </c>
      <c r="D1813" t="str">
        <f>IF('تعديل الجرد'!C313="","",'تعديل الجرد'!C313)</f>
        <v/>
      </c>
      <c r="E1813" s="24" t="str">
        <f>IF('تعديل الجرد'!C313="","",'تعديل الجرد'!F313)</f>
        <v/>
      </c>
      <c r="F1813" t="str">
        <f>IF('تعديل الجرد'!C313="","",IF('تعديل الجرد'!H313="","",'تعديل الجرد'!H313))</f>
        <v/>
      </c>
      <c r="G1813" t="str">
        <f>IF($B1813&lt;&gt;"",SUMPRODUCT(($B$2:$B1813&lt;&gt;"")*1),"")</f>
        <v/>
      </c>
    </row>
    <row r="1814" spans="1:7">
      <c r="A1814" s="23" t="str">
        <f>IF('تعديل الجرد'!C314="","",'تعديل الجرد'!B314)</f>
        <v/>
      </c>
      <c r="B1814" t="str">
        <f>IF('تعديل الجرد'!C314="","","تعديل جرد")</f>
        <v/>
      </c>
      <c r="C1814" t="str">
        <f>IF('تعديل الجرد'!C314="","",IF('تعديل الجرد'!G314="","-",'تعديل الجرد'!G314))</f>
        <v/>
      </c>
      <c r="D1814" t="str">
        <f>IF('تعديل الجرد'!C314="","",'تعديل الجرد'!C314)</f>
        <v/>
      </c>
      <c r="E1814" s="24" t="str">
        <f>IF('تعديل الجرد'!C314="","",'تعديل الجرد'!F314)</f>
        <v/>
      </c>
      <c r="F1814" t="str">
        <f>IF('تعديل الجرد'!C314="","",IF('تعديل الجرد'!H314="","",'تعديل الجرد'!H314))</f>
        <v/>
      </c>
      <c r="G1814" t="str">
        <f>IF($B1814&lt;&gt;"",SUMPRODUCT(($B$2:$B1814&lt;&gt;"")*1),"")</f>
        <v/>
      </c>
    </row>
    <row r="1815" spans="1:7">
      <c r="A1815" s="23" t="str">
        <f>IF('تعديل الجرد'!C315="","",'تعديل الجرد'!B315)</f>
        <v/>
      </c>
      <c r="B1815" t="str">
        <f>IF('تعديل الجرد'!C315="","","تعديل جرد")</f>
        <v/>
      </c>
      <c r="C1815" t="str">
        <f>IF('تعديل الجرد'!C315="","",IF('تعديل الجرد'!G315="","-",'تعديل الجرد'!G315))</f>
        <v/>
      </c>
      <c r="D1815" t="str">
        <f>IF('تعديل الجرد'!C315="","",'تعديل الجرد'!C315)</f>
        <v/>
      </c>
      <c r="E1815" s="24" t="str">
        <f>IF('تعديل الجرد'!C315="","",'تعديل الجرد'!F315)</f>
        <v/>
      </c>
      <c r="F1815" t="str">
        <f>IF('تعديل الجرد'!C315="","",IF('تعديل الجرد'!H315="","",'تعديل الجرد'!H315))</f>
        <v/>
      </c>
      <c r="G1815" t="str">
        <f>IF($B1815&lt;&gt;"",SUMPRODUCT(($B$2:$B1815&lt;&gt;"")*1),"")</f>
        <v/>
      </c>
    </row>
    <row r="1816" spans="1:7">
      <c r="A1816" s="23" t="str">
        <f>IF('تعديل الجرد'!C316="","",'تعديل الجرد'!B316)</f>
        <v/>
      </c>
      <c r="B1816" t="str">
        <f>IF('تعديل الجرد'!C316="","","تعديل جرد")</f>
        <v/>
      </c>
      <c r="C1816" t="str">
        <f>IF('تعديل الجرد'!C316="","",IF('تعديل الجرد'!G316="","-",'تعديل الجرد'!G316))</f>
        <v/>
      </c>
      <c r="D1816" t="str">
        <f>IF('تعديل الجرد'!C316="","",'تعديل الجرد'!C316)</f>
        <v/>
      </c>
      <c r="E1816" s="24" t="str">
        <f>IF('تعديل الجرد'!C316="","",'تعديل الجرد'!F316)</f>
        <v/>
      </c>
      <c r="F1816" t="str">
        <f>IF('تعديل الجرد'!C316="","",IF('تعديل الجرد'!H316="","",'تعديل الجرد'!H316))</f>
        <v/>
      </c>
      <c r="G1816" t="str">
        <f>IF($B1816&lt;&gt;"",SUMPRODUCT(($B$2:$B1816&lt;&gt;"")*1),"")</f>
        <v/>
      </c>
    </row>
    <row r="1817" spans="1:7">
      <c r="A1817" s="23" t="str">
        <f>IF('تعديل الجرد'!C317="","",'تعديل الجرد'!B317)</f>
        <v/>
      </c>
      <c r="B1817" t="str">
        <f>IF('تعديل الجرد'!C317="","","تعديل جرد")</f>
        <v/>
      </c>
      <c r="C1817" t="str">
        <f>IF('تعديل الجرد'!C317="","",IF('تعديل الجرد'!G317="","-",'تعديل الجرد'!G317))</f>
        <v/>
      </c>
      <c r="D1817" t="str">
        <f>IF('تعديل الجرد'!C317="","",'تعديل الجرد'!C317)</f>
        <v/>
      </c>
      <c r="E1817" s="24" t="str">
        <f>IF('تعديل الجرد'!C317="","",'تعديل الجرد'!F317)</f>
        <v/>
      </c>
      <c r="F1817" t="str">
        <f>IF('تعديل الجرد'!C317="","",IF('تعديل الجرد'!H317="","",'تعديل الجرد'!H317))</f>
        <v/>
      </c>
      <c r="G1817" t="str">
        <f>IF($B1817&lt;&gt;"",SUMPRODUCT(($B$2:$B1817&lt;&gt;"")*1),"")</f>
        <v/>
      </c>
    </row>
    <row r="1818" spans="1:7">
      <c r="A1818" s="23" t="str">
        <f>IF('تعديل الجرد'!C318="","",'تعديل الجرد'!B318)</f>
        <v/>
      </c>
      <c r="B1818" t="str">
        <f>IF('تعديل الجرد'!C318="","","تعديل جرد")</f>
        <v/>
      </c>
      <c r="C1818" t="str">
        <f>IF('تعديل الجرد'!C318="","",IF('تعديل الجرد'!G318="","-",'تعديل الجرد'!G318))</f>
        <v/>
      </c>
      <c r="D1818" t="str">
        <f>IF('تعديل الجرد'!C318="","",'تعديل الجرد'!C318)</f>
        <v/>
      </c>
      <c r="E1818" s="24" t="str">
        <f>IF('تعديل الجرد'!C318="","",'تعديل الجرد'!F318)</f>
        <v/>
      </c>
      <c r="F1818" t="str">
        <f>IF('تعديل الجرد'!C318="","",IF('تعديل الجرد'!H318="","",'تعديل الجرد'!H318))</f>
        <v/>
      </c>
      <c r="G1818" t="str">
        <f>IF($B1818&lt;&gt;"",SUMPRODUCT(($B$2:$B1818&lt;&gt;"")*1),"")</f>
        <v/>
      </c>
    </row>
    <row r="1819" spans="1:7">
      <c r="A1819" s="23" t="str">
        <f>IF('تعديل الجرد'!C319="","",'تعديل الجرد'!B319)</f>
        <v/>
      </c>
      <c r="B1819" t="str">
        <f>IF('تعديل الجرد'!C319="","","تعديل جرد")</f>
        <v/>
      </c>
      <c r="C1819" t="str">
        <f>IF('تعديل الجرد'!C319="","",IF('تعديل الجرد'!G319="","-",'تعديل الجرد'!G319))</f>
        <v/>
      </c>
      <c r="D1819" t="str">
        <f>IF('تعديل الجرد'!C319="","",'تعديل الجرد'!C319)</f>
        <v/>
      </c>
      <c r="E1819" s="24" t="str">
        <f>IF('تعديل الجرد'!C319="","",'تعديل الجرد'!F319)</f>
        <v/>
      </c>
      <c r="F1819" t="str">
        <f>IF('تعديل الجرد'!C319="","",IF('تعديل الجرد'!H319="","",'تعديل الجرد'!H319))</f>
        <v/>
      </c>
      <c r="G1819" t="str">
        <f>IF($B1819&lt;&gt;"",SUMPRODUCT(($B$2:$B1819&lt;&gt;"")*1),"")</f>
        <v/>
      </c>
    </row>
    <row r="1820" spans="1:7">
      <c r="A1820" s="23" t="str">
        <f>IF('تعديل الجرد'!C320="","",'تعديل الجرد'!B320)</f>
        <v/>
      </c>
      <c r="B1820" t="str">
        <f>IF('تعديل الجرد'!C320="","","تعديل جرد")</f>
        <v/>
      </c>
      <c r="C1820" t="str">
        <f>IF('تعديل الجرد'!C320="","",IF('تعديل الجرد'!G320="","-",'تعديل الجرد'!G320))</f>
        <v/>
      </c>
      <c r="D1820" t="str">
        <f>IF('تعديل الجرد'!C320="","",'تعديل الجرد'!C320)</f>
        <v/>
      </c>
      <c r="E1820" s="24" t="str">
        <f>IF('تعديل الجرد'!C320="","",'تعديل الجرد'!F320)</f>
        <v/>
      </c>
      <c r="F1820" t="str">
        <f>IF('تعديل الجرد'!C320="","",IF('تعديل الجرد'!H320="","",'تعديل الجرد'!H320))</f>
        <v/>
      </c>
      <c r="G1820" t="str">
        <f>IF($B1820&lt;&gt;"",SUMPRODUCT(($B$2:$B1820&lt;&gt;"")*1),"")</f>
        <v/>
      </c>
    </row>
    <row r="1821" spans="1:7">
      <c r="A1821" s="23" t="str">
        <f>IF('تعديل الجرد'!C321="","",'تعديل الجرد'!B321)</f>
        <v/>
      </c>
      <c r="B1821" t="str">
        <f>IF('تعديل الجرد'!C321="","","تعديل جرد")</f>
        <v/>
      </c>
      <c r="C1821" t="str">
        <f>IF('تعديل الجرد'!C321="","",IF('تعديل الجرد'!G321="","-",'تعديل الجرد'!G321))</f>
        <v/>
      </c>
      <c r="D1821" t="str">
        <f>IF('تعديل الجرد'!C321="","",'تعديل الجرد'!C321)</f>
        <v/>
      </c>
      <c r="E1821" s="24" t="str">
        <f>IF('تعديل الجرد'!C321="","",'تعديل الجرد'!F321)</f>
        <v/>
      </c>
      <c r="F1821" t="str">
        <f>IF('تعديل الجرد'!C321="","",IF('تعديل الجرد'!H321="","",'تعديل الجرد'!H321))</f>
        <v/>
      </c>
      <c r="G1821" t="str">
        <f>IF($B1821&lt;&gt;"",SUMPRODUCT(($B$2:$B1821&lt;&gt;"")*1),"")</f>
        <v/>
      </c>
    </row>
    <row r="1822" spans="1:7">
      <c r="A1822" s="23" t="str">
        <f>IF('تعديل الجرد'!C322="","",'تعديل الجرد'!B322)</f>
        <v/>
      </c>
      <c r="B1822" t="str">
        <f>IF('تعديل الجرد'!C322="","","تعديل جرد")</f>
        <v/>
      </c>
      <c r="C1822" t="str">
        <f>IF('تعديل الجرد'!C322="","",IF('تعديل الجرد'!G322="","-",'تعديل الجرد'!G322))</f>
        <v/>
      </c>
      <c r="D1822" t="str">
        <f>IF('تعديل الجرد'!C322="","",'تعديل الجرد'!C322)</f>
        <v/>
      </c>
      <c r="E1822" s="24" t="str">
        <f>IF('تعديل الجرد'!C322="","",'تعديل الجرد'!F322)</f>
        <v/>
      </c>
      <c r="F1822" t="str">
        <f>IF('تعديل الجرد'!C322="","",IF('تعديل الجرد'!H322="","",'تعديل الجرد'!H322))</f>
        <v/>
      </c>
      <c r="G1822" t="str">
        <f>IF($B1822&lt;&gt;"",SUMPRODUCT(($B$2:$B1822&lt;&gt;"")*1),"")</f>
        <v/>
      </c>
    </row>
    <row r="1823" spans="1:7">
      <c r="A1823" s="23" t="str">
        <f>IF('تعديل الجرد'!C323="","",'تعديل الجرد'!B323)</f>
        <v/>
      </c>
      <c r="B1823" t="str">
        <f>IF('تعديل الجرد'!C323="","","تعديل جرد")</f>
        <v/>
      </c>
      <c r="C1823" t="str">
        <f>IF('تعديل الجرد'!C323="","",IF('تعديل الجرد'!G323="","-",'تعديل الجرد'!G323))</f>
        <v/>
      </c>
      <c r="D1823" t="str">
        <f>IF('تعديل الجرد'!C323="","",'تعديل الجرد'!C323)</f>
        <v/>
      </c>
      <c r="E1823" s="24" t="str">
        <f>IF('تعديل الجرد'!C323="","",'تعديل الجرد'!F323)</f>
        <v/>
      </c>
      <c r="F1823" t="str">
        <f>IF('تعديل الجرد'!C323="","",IF('تعديل الجرد'!H323="","",'تعديل الجرد'!H323))</f>
        <v/>
      </c>
      <c r="G1823" t="str">
        <f>IF($B1823&lt;&gt;"",SUMPRODUCT(($B$2:$B1823&lt;&gt;"")*1),"")</f>
        <v/>
      </c>
    </row>
    <row r="1824" spans="1:7">
      <c r="A1824" s="23" t="str">
        <f>IF('تعديل الجرد'!C324="","",'تعديل الجرد'!B324)</f>
        <v/>
      </c>
      <c r="B1824" t="str">
        <f>IF('تعديل الجرد'!C324="","","تعديل جرد")</f>
        <v/>
      </c>
      <c r="C1824" t="str">
        <f>IF('تعديل الجرد'!C324="","",IF('تعديل الجرد'!G324="","-",'تعديل الجرد'!G324))</f>
        <v/>
      </c>
      <c r="D1824" t="str">
        <f>IF('تعديل الجرد'!C324="","",'تعديل الجرد'!C324)</f>
        <v/>
      </c>
      <c r="E1824" s="24" t="str">
        <f>IF('تعديل الجرد'!C324="","",'تعديل الجرد'!F324)</f>
        <v/>
      </c>
      <c r="F1824" t="str">
        <f>IF('تعديل الجرد'!C324="","",IF('تعديل الجرد'!H324="","",'تعديل الجرد'!H324))</f>
        <v/>
      </c>
      <c r="G1824" t="str">
        <f>IF($B1824&lt;&gt;"",SUMPRODUCT(($B$2:$B1824&lt;&gt;"")*1),"")</f>
        <v/>
      </c>
    </row>
    <row r="1825" spans="1:7">
      <c r="A1825" s="23" t="str">
        <f>IF('تعديل الجرد'!C325="","",'تعديل الجرد'!B325)</f>
        <v/>
      </c>
      <c r="B1825" t="str">
        <f>IF('تعديل الجرد'!C325="","","تعديل جرد")</f>
        <v/>
      </c>
      <c r="C1825" t="str">
        <f>IF('تعديل الجرد'!C325="","",IF('تعديل الجرد'!G325="","-",'تعديل الجرد'!G325))</f>
        <v/>
      </c>
      <c r="D1825" t="str">
        <f>IF('تعديل الجرد'!C325="","",'تعديل الجرد'!C325)</f>
        <v/>
      </c>
      <c r="E1825" s="24" t="str">
        <f>IF('تعديل الجرد'!C325="","",'تعديل الجرد'!F325)</f>
        <v/>
      </c>
      <c r="F1825" t="str">
        <f>IF('تعديل الجرد'!C325="","",IF('تعديل الجرد'!H325="","",'تعديل الجرد'!H325))</f>
        <v/>
      </c>
      <c r="G1825" t="str">
        <f>IF($B1825&lt;&gt;"",SUMPRODUCT(($B$2:$B1825&lt;&gt;"")*1),"")</f>
        <v/>
      </c>
    </row>
    <row r="1826" spans="1:7">
      <c r="A1826" s="23" t="str">
        <f>IF('تعديل الجرد'!C326="","",'تعديل الجرد'!B326)</f>
        <v/>
      </c>
      <c r="B1826" t="str">
        <f>IF('تعديل الجرد'!C326="","","تعديل جرد")</f>
        <v/>
      </c>
      <c r="C1826" t="str">
        <f>IF('تعديل الجرد'!C326="","",IF('تعديل الجرد'!G326="","-",'تعديل الجرد'!G326))</f>
        <v/>
      </c>
      <c r="D1826" t="str">
        <f>IF('تعديل الجرد'!C326="","",'تعديل الجرد'!C326)</f>
        <v/>
      </c>
      <c r="E1826" s="24" t="str">
        <f>IF('تعديل الجرد'!C326="","",'تعديل الجرد'!F326)</f>
        <v/>
      </c>
      <c r="F1826" t="str">
        <f>IF('تعديل الجرد'!C326="","",IF('تعديل الجرد'!H326="","",'تعديل الجرد'!H326))</f>
        <v/>
      </c>
      <c r="G1826" t="str">
        <f>IF($B1826&lt;&gt;"",SUMPRODUCT(($B$2:$B1826&lt;&gt;"")*1),"")</f>
        <v/>
      </c>
    </row>
    <row r="1827" spans="1:7">
      <c r="A1827" s="23" t="str">
        <f>IF('تعديل الجرد'!C327="","",'تعديل الجرد'!B327)</f>
        <v/>
      </c>
      <c r="B1827" t="str">
        <f>IF('تعديل الجرد'!C327="","","تعديل جرد")</f>
        <v/>
      </c>
      <c r="C1827" t="str">
        <f>IF('تعديل الجرد'!C327="","",IF('تعديل الجرد'!G327="","-",'تعديل الجرد'!G327))</f>
        <v/>
      </c>
      <c r="D1827" t="str">
        <f>IF('تعديل الجرد'!C327="","",'تعديل الجرد'!C327)</f>
        <v/>
      </c>
      <c r="E1827" s="24" t="str">
        <f>IF('تعديل الجرد'!C327="","",'تعديل الجرد'!F327)</f>
        <v/>
      </c>
      <c r="F1827" t="str">
        <f>IF('تعديل الجرد'!C327="","",IF('تعديل الجرد'!H327="","",'تعديل الجرد'!H327))</f>
        <v/>
      </c>
      <c r="G1827" t="str">
        <f>IF($B1827&lt;&gt;"",SUMPRODUCT(($B$2:$B1827&lt;&gt;"")*1),"")</f>
        <v/>
      </c>
    </row>
    <row r="1828" spans="1:7">
      <c r="A1828" s="23" t="str">
        <f>IF('تعديل الجرد'!C328="","",'تعديل الجرد'!B328)</f>
        <v/>
      </c>
      <c r="B1828" t="str">
        <f>IF('تعديل الجرد'!C328="","","تعديل جرد")</f>
        <v/>
      </c>
      <c r="C1828" t="str">
        <f>IF('تعديل الجرد'!C328="","",IF('تعديل الجرد'!G328="","-",'تعديل الجرد'!G328))</f>
        <v/>
      </c>
      <c r="D1828" t="str">
        <f>IF('تعديل الجرد'!C328="","",'تعديل الجرد'!C328)</f>
        <v/>
      </c>
      <c r="E1828" s="24" t="str">
        <f>IF('تعديل الجرد'!C328="","",'تعديل الجرد'!F328)</f>
        <v/>
      </c>
      <c r="F1828" t="str">
        <f>IF('تعديل الجرد'!C328="","",IF('تعديل الجرد'!H328="","",'تعديل الجرد'!H328))</f>
        <v/>
      </c>
      <c r="G1828" t="str">
        <f>IF($B1828&lt;&gt;"",SUMPRODUCT(($B$2:$B1828&lt;&gt;"")*1),"")</f>
        <v/>
      </c>
    </row>
    <row r="1829" spans="1:7">
      <c r="A1829" s="23" t="str">
        <f>IF('تعديل الجرد'!C329="","",'تعديل الجرد'!B329)</f>
        <v/>
      </c>
      <c r="B1829" t="str">
        <f>IF('تعديل الجرد'!C329="","","تعديل جرد")</f>
        <v/>
      </c>
      <c r="C1829" t="str">
        <f>IF('تعديل الجرد'!C329="","",IF('تعديل الجرد'!G329="","-",'تعديل الجرد'!G329))</f>
        <v/>
      </c>
      <c r="D1829" t="str">
        <f>IF('تعديل الجرد'!C329="","",'تعديل الجرد'!C329)</f>
        <v/>
      </c>
      <c r="E1829" s="24" t="str">
        <f>IF('تعديل الجرد'!C329="","",'تعديل الجرد'!F329)</f>
        <v/>
      </c>
      <c r="F1829" t="str">
        <f>IF('تعديل الجرد'!C329="","",IF('تعديل الجرد'!H329="","",'تعديل الجرد'!H329))</f>
        <v/>
      </c>
      <c r="G1829" t="str">
        <f>IF($B1829&lt;&gt;"",SUMPRODUCT(($B$2:$B1829&lt;&gt;"")*1),"")</f>
        <v/>
      </c>
    </row>
    <row r="1830" spans="1:7">
      <c r="A1830" s="23" t="str">
        <f>IF('تعديل الجرد'!C330="","",'تعديل الجرد'!B330)</f>
        <v/>
      </c>
      <c r="B1830" t="str">
        <f>IF('تعديل الجرد'!C330="","","تعديل جرد")</f>
        <v/>
      </c>
      <c r="C1830" t="str">
        <f>IF('تعديل الجرد'!C330="","",IF('تعديل الجرد'!G330="","-",'تعديل الجرد'!G330))</f>
        <v/>
      </c>
      <c r="D1830" t="str">
        <f>IF('تعديل الجرد'!C330="","",'تعديل الجرد'!C330)</f>
        <v/>
      </c>
      <c r="E1830" s="24" t="str">
        <f>IF('تعديل الجرد'!C330="","",'تعديل الجرد'!F330)</f>
        <v/>
      </c>
      <c r="F1830" t="str">
        <f>IF('تعديل الجرد'!C330="","",IF('تعديل الجرد'!H330="","",'تعديل الجرد'!H330))</f>
        <v/>
      </c>
      <c r="G1830" t="str">
        <f>IF($B1830&lt;&gt;"",SUMPRODUCT(($B$2:$B1830&lt;&gt;"")*1),"")</f>
        <v/>
      </c>
    </row>
    <row r="1831" spans="1:7">
      <c r="A1831" s="23" t="str">
        <f>IF('تعديل الجرد'!C331="","",'تعديل الجرد'!B331)</f>
        <v/>
      </c>
      <c r="B1831" t="str">
        <f>IF('تعديل الجرد'!C331="","","تعديل جرد")</f>
        <v/>
      </c>
      <c r="C1831" t="str">
        <f>IF('تعديل الجرد'!C331="","",IF('تعديل الجرد'!G331="","-",'تعديل الجرد'!G331))</f>
        <v/>
      </c>
      <c r="D1831" t="str">
        <f>IF('تعديل الجرد'!C331="","",'تعديل الجرد'!C331)</f>
        <v/>
      </c>
      <c r="E1831" s="24" t="str">
        <f>IF('تعديل الجرد'!C331="","",'تعديل الجرد'!F331)</f>
        <v/>
      </c>
      <c r="F1831" t="str">
        <f>IF('تعديل الجرد'!C331="","",IF('تعديل الجرد'!H331="","",'تعديل الجرد'!H331))</f>
        <v/>
      </c>
      <c r="G1831" t="str">
        <f>IF($B1831&lt;&gt;"",SUMPRODUCT(($B$2:$B1831&lt;&gt;"")*1),"")</f>
        <v/>
      </c>
    </row>
    <row r="1832" spans="1:7">
      <c r="A1832" s="23" t="str">
        <f>IF('تعديل الجرد'!C332="","",'تعديل الجرد'!B332)</f>
        <v/>
      </c>
      <c r="B1832" t="str">
        <f>IF('تعديل الجرد'!C332="","","تعديل جرد")</f>
        <v/>
      </c>
      <c r="C1832" t="str">
        <f>IF('تعديل الجرد'!C332="","",IF('تعديل الجرد'!G332="","-",'تعديل الجرد'!G332))</f>
        <v/>
      </c>
      <c r="D1832" t="str">
        <f>IF('تعديل الجرد'!C332="","",'تعديل الجرد'!C332)</f>
        <v/>
      </c>
      <c r="E1832" s="24" t="str">
        <f>IF('تعديل الجرد'!C332="","",'تعديل الجرد'!F332)</f>
        <v/>
      </c>
      <c r="F1832" t="str">
        <f>IF('تعديل الجرد'!C332="","",IF('تعديل الجرد'!H332="","",'تعديل الجرد'!H332))</f>
        <v/>
      </c>
      <c r="G1832" t="str">
        <f>IF($B1832&lt;&gt;"",SUMPRODUCT(($B$2:$B1832&lt;&gt;"")*1),"")</f>
        <v/>
      </c>
    </row>
    <row r="1833" spans="1:7">
      <c r="A1833" s="23" t="str">
        <f>IF('تعديل الجرد'!C333="","",'تعديل الجرد'!B333)</f>
        <v/>
      </c>
      <c r="B1833" t="str">
        <f>IF('تعديل الجرد'!C333="","","تعديل جرد")</f>
        <v/>
      </c>
      <c r="C1833" t="str">
        <f>IF('تعديل الجرد'!C333="","",IF('تعديل الجرد'!G333="","-",'تعديل الجرد'!G333))</f>
        <v/>
      </c>
      <c r="D1833" t="str">
        <f>IF('تعديل الجرد'!C333="","",'تعديل الجرد'!C333)</f>
        <v/>
      </c>
      <c r="E1833" s="24" t="str">
        <f>IF('تعديل الجرد'!C333="","",'تعديل الجرد'!F333)</f>
        <v/>
      </c>
      <c r="F1833" t="str">
        <f>IF('تعديل الجرد'!C333="","",IF('تعديل الجرد'!H333="","",'تعديل الجرد'!H333))</f>
        <v/>
      </c>
      <c r="G1833" t="str">
        <f>IF($B1833&lt;&gt;"",SUMPRODUCT(($B$2:$B1833&lt;&gt;"")*1),"")</f>
        <v/>
      </c>
    </row>
    <row r="1834" spans="1:7">
      <c r="A1834" s="23" t="str">
        <f>IF('تعديل الجرد'!C334="","",'تعديل الجرد'!B334)</f>
        <v/>
      </c>
      <c r="B1834" t="str">
        <f>IF('تعديل الجرد'!C334="","","تعديل جرد")</f>
        <v/>
      </c>
      <c r="C1834" t="str">
        <f>IF('تعديل الجرد'!C334="","",IF('تعديل الجرد'!G334="","-",'تعديل الجرد'!G334))</f>
        <v/>
      </c>
      <c r="D1834" t="str">
        <f>IF('تعديل الجرد'!C334="","",'تعديل الجرد'!C334)</f>
        <v/>
      </c>
      <c r="E1834" s="24" t="str">
        <f>IF('تعديل الجرد'!C334="","",'تعديل الجرد'!F334)</f>
        <v/>
      </c>
      <c r="F1834" t="str">
        <f>IF('تعديل الجرد'!C334="","",IF('تعديل الجرد'!H334="","",'تعديل الجرد'!H334))</f>
        <v/>
      </c>
      <c r="G1834" t="str">
        <f>IF($B1834&lt;&gt;"",SUMPRODUCT(($B$2:$B1834&lt;&gt;"")*1),"")</f>
        <v/>
      </c>
    </row>
    <row r="1835" spans="1:7">
      <c r="A1835" s="23" t="str">
        <f>IF('تعديل الجرد'!C335="","",'تعديل الجرد'!B335)</f>
        <v/>
      </c>
      <c r="B1835" t="str">
        <f>IF('تعديل الجرد'!C335="","","تعديل جرد")</f>
        <v/>
      </c>
      <c r="C1835" t="str">
        <f>IF('تعديل الجرد'!C335="","",IF('تعديل الجرد'!G335="","-",'تعديل الجرد'!G335))</f>
        <v/>
      </c>
      <c r="D1835" t="str">
        <f>IF('تعديل الجرد'!C335="","",'تعديل الجرد'!C335)</f>
        <v/>
      </c>
      <c r="E1835" s="24" t="str">
        <f>IF('تعديل الجرد'!C335="","",'تعديل الجرد'!F335)</f>
        <v/>
      </c>
      <c r="F1835" t="str">
        <f>IF('تعديل الجرد'!C335="","",IF('تعديل الجرد'!H335="","",'تعديل الجرد'!H335))</f>
        <v/>
      </c>
      <c r="G1835" t="str">
        <f>IF($B1835&lt;&gt;"",SUMPRODUCT(($B$2:$B1835&lt;&gt;"")*1),"")</f>
        <v/>
      </c>
    </row>
    <row r="1836" spans="1:7">
      <c r="A1836" s="23" t="str">
        <f>IF('تعديل الجرد'!C336="","",'تعديل الجرد'!B336)</f>
        <v/>
      </c>
      <c r="B1836" t="str">
        <f>IF('تعديل الجرد'!C336="","","تعديل جرد")</f>
        <v/>
      </c>
      <c r="C1836" t="str">
        <f>IF('تعديل الجرد'!C336="","",IF('تعديل الجرد'!G336="","-",'تعديل الجرد'!G336))</f>
        <v/>
      </c>
      <c r="D1836" t="str">
        <f>IF('تعديل الجرد'!C336="","",'تعديل الجرد'!C336)</f>
        <v/>
      </c>
      <c r="E1836" s="24" t="str">
        <f>IF('تعديل الجرد'!C336="","",'تعديل الجرد'!F336)</f>
        <v/>
      </c>
      <c r="F1836" t="str">
        <f>IF('تعديل الجرد'!C336="","",IF('تعديل الجرد'!H336="","",'تعديل الجرد'!H336))</f>
        <v/>
      </c>
      <c r="G1836" t="str">
        <f>IF($B1836&lt;&gt;"",SUMPRODUCT(($B$2:$B1836&lt;&gt;"")*1),"")</f>
        <v/>
      </c>
    </row>
    <row r="1837" spans="1:7">
      <c r="A1837" s="23" t="str">
        <f>IF('تعديل الجرد'!C337="","",'تعديل الجرد'!B337)</f>
        <v/>
      </c>
      <c r="B1837" t="str">
        <f>IF('تعديل الجرد'!C337="","","تعديل جرد")</f>
        <v/>
      </c>
      <c r="C1837" t="str">
        <f>IF('تعديل الجرد'!C337="","",IF('تعديل الجرد'!G337="","-",'تعديل الجرد'!G337))</f>
        <v/>
      </c>
      <c r="D1837" t="str">
        <f>IF('تعديل الجرد'!C337="","",'تعديل الجرد'!C337)</f>
        <v/>
      </c>
      <c r="E1837" s="24" t="str">
        <f>IF('تعديل الجرد'!C337="","",'تعديل الجرد'!F337)</f>
        <v/>
      </c>
      <c r="F1837" t="str">
        <f>IF('تعديل الجرد'!C337="","",IF('تعديل الجرد'!H337="","",'تعديل الجرد'!H337))</f>
        <v/>
      </c>
      <c r="G1837" t="str">
        <f>IF($B1837&lt;&gt;"",SUMPRODUCT(($B$2:$B1837&lt;&gt;"")*1),"")</f>
        <v/>
      </c>
    </row>
    <row r="1838" spans="1:7">
      <c r="A1838" s="23" t="str">
        <f>IF('تعديل الجرد'!C338="","",'تعديل الجرد'!B338)</f>
        <v/>
      </c>
      <c r="B1838" t="str">
        <f>IF('تعديل الجرد'!C338="","","تعديل جرد")</f>
        <v/>
      </c>
      <c r="C1838" t="str">
        <f>IF('تعديل الجرد'!C338="","",IF('تعديل الجرد'!G338="","-",'تعديل الجرد'!G338))</f>
        <v/>
      </c>
      <c r="D1838" t="str">
        <f>IF('تعديل الجرد'!C338="","",'تعديل الجرد'!C338)</f>
        <v/>
      </c>
      <c r="E1838" s="24" t="str">
        <f>IF('تعديل الجرد'!C338="","",'تعديل الجرد'!F338)</f>
        <v/>
      </c>
      <c r="F1838" t="str">
        <f>IF('تعديل الجرد'!C338="","",IF('تعديل الجرد'!H338="","",'تعديل الجرد'!H338))</f>
        <v/>
      </c>
      <c r="G1838" t="str">
        <f>IF($B1838&lt;&gt;"",SUMPRODUCT(($B$2:$B1838&lt;&gt;"")*1),"")</f>
        <v/>
      </c>
    </row>
    <row r="1839" spans="1:7">
      <c r="A1839" s="23" t="str">
        <f>IF('تعديل الجرد'!C339="","",'تعديل الجرد'!B339)</f>
        <v/>
      </c>
      <c r="B1839" t="str">
        <f>IF('تعديل الجرد'!C339="","","تعديل جرد")</f>
        <v/>
      </c>
      <c r="C1839" t="str">
        <f>IF('تعديل الجرد'!C339="","",IF('تعديل الجرد'!G339="","-",'تعديل الجرد'!G339))</f>
        <v/>
      </c>
      <c r="D1839" t="str">
        <f>IF('تعديل الجرد'!C339="","",'تعديل الجرد'!C339)</f>
        <v/>
      </c>
      <c r="E1839" s="24" t="str">
        <f>IF('تعديل الجرد'!C339="","",'تعديل الجرد'!F339)</f>
        <v/>
      </c>
      <c r="F1839" t="str">
        <f>IF('تعديل الجرد'!C339="","",IF('تعديل الجرد'!H339="","",'تعديل الجرد'!H339))</f>
        <v/>
      </c>
      <c r="G1839" t="str">
        <f>IF($B1839&lt;&gt;"",SUMPRODUCT(($B$2:$B1839&lt;&gt;"")*1),"")</f>
        <v/>
      </c>
    </row>
    <row r="1840" spans="1:7">
      <c r="A1840" s="23" t="str">
        <f>IF('تعديل الجرد'!C340="","",'تعديل الجرد'!B340)</f>
        <v/>
      </c>
      <c r="B1840" t="str">
        <f>IF('تعديل الجرد'!C340="","","تعديل جرد")</f>
        <v/>
      </c>
      <c r="C1840" t="str">
        <f>IF('تعديل الجرد'!C340="","",IF('تعديل الجرد'!G340="","-",'تعديل الجرد'!G340))</f>
        <v/>
      </c>
      <c r="D1840" t="str">
        <f>IF('تعديل الجرد'!C340="","",'تعديل الجرد'!C340)</f>
        <v/>
      </c>
      <c r="E1840" s="24" t="str">
        <f>IF('تعديل الجرد'!C340="","",'تعديل الجرد'!F340)</f>
        <v/>
      </c>
      <c r="F1840" t="str">
        <f>IF('تعديل الجرد'!C340="","",IF('تعديل الجرد'!H340="","",'تعديل الجرد'!H340))</f>
        <v/>
      </c>
      <c r="G1840" t="str">
        <f>IF($B1840&lt;&gt;"",SUMPRODUCT(($B$2:$B1840&lt;&gt;"")*1),"")</f>
        <v/>
      </c>
    </row>
    <row r="1841" spans="1:7">
      <c r="A1841" s="23" t="str">
        <f>IF('تعديل الجرد'!C341="","",'تعديل الجرد'!B341)</f>
        <v/>
      </c>
      <c r="B1841" t="str">
        <f>IF('تعديل الجرد'!C341="","","تعديل جرد")</f>
        <v/>
      </c>
      <c r="C1841" t="str">
        <f>IF('تعديل الجرد'!C341="","",IF('تعديل الجرد'!G341="","-",'تعديل الجرد'!G341))</f>
        <v/>
      </c>
      <c r="D1841" t="str">
        <f>IF('تعديل الجرد'!C341="","",'تعديل الجرد'!C341)</f>
        <v/>
      </c>
      <c r="E1841" s="24" t="str">
        <f>IF('تعديل الجرد'!C341="","",'تعديل الجرد'!F341)</f>
        <v/>
      </c>
      <c r="F1841" t="str">
        <f>IF('تعديل الجرد'!C341="","",IF('تعديل الجرد'!H341="","",'تعديل الجرد'!H341))</f>
        <v/>
      </c>
      <c r="G1841" t="str">
        <f>IF($B1841&lt;&gt;"",SUMPRODUCT(($B$2:$B1841&lt;&gt;"")*1),"")</f>
        <v/>
      </c>
    </row>
    <row r="1842" spans="1:7">
      <c r="A1842" s="23" t="str">
        <f>IF('تعديل الجرد'!C342="","",'تعديل الجرد'!B342)</f>
        <v/>
      </c>
      <c r="B1842" t="str">
        <f>IF('تعديل الجرد'!C342="","","تعديل جرد")</f>
        <v/>
      </c>
      <c r="C1842" t="str">
        <f>IF('تعديل الجرد'!C342="","",IF('تعديل الجرد'!G342="","-",'تعديل الجرد'!G342))</f>
        <v/>
      </c>
      <c r="D1842" t="str">
        <f>IF('تعديل الجرد'!C342="","",'تعديل الجرد'!C342)</f>
        <v/>
      </c>
      <c r="E1842" s="24" t="str">
        <f>IF('تعديل الجرد'!C342="","",'تعديل الجرد'!F342)</f>
        <v/>
      </c>
      <c r="F1842" t="str">
        <f>IF('تعديل الجرد'!C342="","",IF('تعديل الجرد'!H342="","",'تعديل الجرد'!H342))</f>
        <v/>
      </c>
      <c r="G1842" t="str">
        <f>IF($B1842&lt;&gt;"",SUMPRODUCT(($B$2:$B1842&lt;&gt;"")*1),"")</f>
        <v/>
      </c>
    </row>
    <row r="1843" spans="1:7">
      <c r="A1843" s="23" t="str">
        <f>IF('تعديل الجرد'!C343="","",'تعديل الجرد'!B343)</f>
        <v/>
      </c>
      <c r="B1843" t="str">
        <f>IF('تعديل الجرد'!C343="","","تعديل جرد")</f>
        <v/>
      </c>
      <c r="C1843" t="str">
        <f>IF('تعديل الجرد'!C343="","",IF('تعديل الجرد'!G343="","-",'تعديل الجرد'!G343))</f>
        <v/>
      </c>
      <c r="D1843" t="str">
        <f>IF('تعديل الجرد'!C343="","",'تعديل الجرد'!C343)</f>
        <v/>
      </c>
      <c r="E1843" s="24" t="str">
        <f>IF('تعديل الجرد'!C343="","",'تعديل الجرد'!F343)</f>
        <v/>
      </c>
      <c r="F1843" t="str">
        <f>IF('تعديل الجرد'!C343="","",IF('تعديل الجرد'!H343="","",'تعديل الجرد'!H343))</f>
        <v/>
      </c>
      <c r="G1843" t="str">
        <f>IF($B1843&lt;&gt;"",SUMPRODUCT(($B$2:$B1843&lt;&gt;"")*1),"")</f>
        <v/>
      </c>
    </row>
    <row r="1844" spans="1:7">
      <c r="A1844" s="23" t="str">
        <f>IF('تعديل الجرد'!C344="","",'تعديل الجرد'!B344)</f>
        <v/>
      </c>
      <c r="B1844" t="str">
        <f>IF('تعديل الجرد'!C344="","","تعديل جرد")</f>
        <v/>
      </c>
      <c r="C1844" t="str">
        <f>IF('تعديل الجرد'!C344="","",IF('تعديل الجرد'!G344="","-",'تعديل الجرد'!G344))</f>
        <v/>
      </c>
      <c r="D1844" t="str">
        <f>IF('تعديل الجرد'!C344="","",'تعديل الجرد'!C344)</f>
        <v/>
      </c>
      <c r="E1844" s="24" t="str">
        <f>IF('تعديل الجرد'!C344="","",'تعديل الجرد'!F344)</f>
        <v/>
      </c>
      <c r="F1844" t="str">
        <f>IF('تعديل الجرد'!C344="","",IF('تعديل الجرد'!H344="","",'تعديل الجرد'!H344))</f>
        <v/>
      </c>
      <c r="G1844" t="str">
        <f>IF($B1844&lt;&gt;"",SUMPRODUCT(($B$2:$B1844&lt;&gt;"")*1),"")</f>
        <v/>
      </c>
    </row>
    <row r="1845" spans="1:7">
      <c r="A1845" s="23" t="str">
        <f>IF('تعديل الجرد'!C345="","",'تعديل الجرد'!B345)</f>
        <v/>
      </c>
      <c r="B1845" t="str">
        <f>IF('تعديل الجرد'!C345="","","تعديل جرد")</f>
        <v/>
      </c>
      <c r="C1845" t="str">
        <f>IF('تعديل الجرد'!C345="","",IF('تعديل الجرد'!G345="","-",'تعديل الجرد'!G345))</f>
        <v/>
      </c>
      <c r="D1845" t="str">
        <f>IF('تعديل الجرد'!C345="","",'تعديل الجرد'!C345)</f>
        <v/>
      </c>
      <c r="E1845" s="24" t="str">
        <f>IF('تعديل الجرد'!C345="","",'تعديل الجرد'!F345)</f>
        <v/>
      </c>
      <c r="F1845" t="str">
        <f>IF('تعديل الجرد'!C345="","",IF('تعديل الجرد'!H345="","",'تعديل الجرد'!H345))</f>
        <v/>
      </c>
      <c r="G1845" t="str">
        <f>IF($B1845&lt;&gt;"",SUMPRODUCT(($B$2:$B1845&lt;&gt;"")*1),"")</f>
        <v/>
      </c>
    </row>
    <row r="1846" spans="1:7">
      <c r="A1846" s="23" t="str">
        <f>IF('تعديل الجرد'!C346="","",'تعديل الجرد'!B346)</f>
        <v/>
      </c>
      <c r="B1846" t="str">
        <f>IF('تعديل الجرد'!C346="","","تعديل جرد")</f>
        <v/>
      </c>
      <c r="C1846" t="str">
        <f>IF('تعديل الجرد'!C346="","",IF('تعديل الجرد'!G346="","-",'تعديل الجرد'!G346))</f>
        <v/>
      </c>
      <c r="D1846" t="str">
        <f>IF('تعديل الجرد'!C346="","",'تعديل الجرد'!C346)</f>
        <v/>
      </c>
      <c r="E1846" s="24" t="str">
        <f>IF('تعديل الجرد'!C346="","",'تعديل الجرد'!F346)</f>
        <v/>
      </c>
      <c r="F1846" t="str">
        <f>IF('تعديل الجرد'!C346="","",IF('تعديل الجرد'!H346="","",'تعديل الجرد'!H346))</f>
        <v/>
      </c>
      <c r="G1846" t="str">
        <f>IF($B1846&lt;&gt;"",SUMPRODUCT(($B$2:$B1846&lt;&gt;"")*1),"")</f>
        <v/>
      </c>
    </row>
    <row r="1847" spans="1:7">
      <c r="A1847" s="23" t="str">
        <f>IF('تعديل الجرد'!C347="","",'تعديل الجرد'!B347)</f>
        <v/>
      </c>
      <c r="B1847" t="str">
        <f>IF('تعديل الجرد'!C347="","","تعديل جرد")</f>
        <v/>
      </c>
      <c r="C1847" t="str">
        <f>IF('تعديل الجرد'!C347="","",IF('تعديل الجرد'!G347="","-",'تعديل الجرد'!G347))</f>
        <v/>
      </c>
      <c r="D1847" t="str">
        <f>IF('تعديل الجرد'!C347="","",'تعديل الجرد'!C347)</f>
        <v/>
      </c>
      <c r="E1847" s="24" t="str">
        <f>IF('تعديل الجرد'!C347="","",'تعديل الجرد'!F347)</f>
        <v/>
      </c>
      <c r="F1847" t="str">
        <f>IF('تعديل الجرد'!C347="","",IF('تعديل الجرد'!H347="","",'تعديل الجرد'!H347))</f>
        <v/>
      </c>
      <c r="G1847" t="str">
        <f>IF($B1847&lt;&gt;"",SUMPRODUCT(($B$2:$B1847&lt;&gt;"")*1),"")</f>
        <v/>
      </c>
    </row>
    <row r="1848" spans="1:7">
      <c r="A1848" s="23" t="str">
        <f>IF('تعديل الجرد'!C348="","",'تعديل الجرد'!B348)</f>
        <v/>
      </c>
      <c r="B1848" t="str">
        <f>IF('تعديل الجرد'!C348="","","تعديل جرد")</f>
        <v/>
      </c>
      <c r="C1848" t="str">
        <f>IF('تعديل الجرد'!C348="","",IF('تعديل الجرد'!G348="","-",'تعديل الجرد'!G348))</f>
        <v/>
      </c>
      <c r="D1848" t="str">
        <f>IF('تعديل الجرد'!C348="","",'تعديل الجرد'!C348)</f>
        <v/>
      </c>
      <c r="E1848" s="24" t="str">
        <f>IF('تعديل الجرد'!C348="","",'تعديل الجرد'!F348)</f>
        <v/>
      </c>
      <c r="F1848" t="str">
        <f>IF('تعديل الجرد'!C348="","",IF('تعديل الجرد'!H348="","",'تعديل الجرد'!H348))</f>
        <v/>
      </c>
      <c r="G1848" t="str">
        <f>IF($B1848&lt;&gt;"",SUMPRODUCT(($B$2:$B1848&lt;&gt;"")*1),"")</f>
        <v/>
      </c>
    </row>
    <row r="1849" spans="1:7">
      <c r="A1849" s="23" t="str">
        <f>IF('تعديل الجرد'!C349="","",'تعديل الجرد'!B349)</f>
        <v/>
      </c>
      <c r="B1849" t="str">
        <f>IF('تعديل الجرد'!C349="","","تعديل جرد")</f>
        <v/>
      </c>
      <c r="C1849" t="str">
        <f>IF('تعديل الجرد'!C349="","",IF('تعديل الجرد'!G349="","-",'تعديل الجرد'!G349))</f>
        <v/>
      </c>
      <c r="D1849" t="str">
        <f>IF('تعديل الجرد'!C349="","",'تعديل الجرد'!C349)</f>
        <v/>
      </c>
      <c r="E1849" s="24" t="str">
        <f>IF('تعديل الجرد'!C349="","",'تعديل الجرد'!F349)</f>
        <v/>
      </c>
      <c r="F1849" t="str">
        <f>IF('تعديل الجرد'!C349="","",IF('تعديل الجرد'!H349="","",'تعديل الجرد'!H349))</f>
        <v/>
      </c>
      <c r="G1849" t="str">
        <f>IF($B1849&lt;&gt;"",SUMPRODUCT(($B$2:$B1849&lt;&gt;"")*1),"")</f>
        <v/>
      </c>
    </row>
    <row r="1850" spans="1:7">
      <c r="A1850" s="23" t="str">
        <f>IF('تعديل الجرد'!C350="","",'تعديل الجرد'!B350)</f>
        <v/>
      </c>
      <c r="B1850" t="str">
        <f>IF('تعديل الجرد'!C350="","","تعديل جرد")</f>
        <v/>
      </c>
      <c r="C1850" t="str">
        <f>IF('تعديل الجرد'!C350="","",IF('تعديل الجرد'!G350="","-",'تعديل الجرد'!G350))</f>
        <v/>
      </c>
      <c r="D1850" t="str">
        <f>IF('تعديل الجرد'!C350="","",'تعديل الجرد'!C350)</f>
        <v/>
      </c>
      <c r="E1850" s="24" t="str">
        <f>IF('تعديل الجرد'!C350="","",'تعديل الجرد'!F350)</f>
        <v/>
      </c>
      <c r="F1850" t="str">
        <f>IF('تعديل الجرد'!C350="","",IF('تعديل الجرد'!H350="","",'تعديل الجرد'!H350))</f>
        <v/>
      </c>
      <c r="G1850" t="str">
        <f>IF($B1850&lt;&gt;"",SUMPRODUCT(($B$2:$B1850&lt;&gt;"")*1),"")</f>
        <v/>
      </c>
    </row>
    <row r="1851" spans="1:7">
      <c r="A1851" s="23" t="str">
        <f>IF('تعديل الجرد'!C351="","",'تعديل الجرد'!B351)</f>
        <v/>
      </c>
      <c r="B1851" t="str">
        <f>IF('تعديل الجرد'!C351="","","تعديل جرد")</f>
        <v/>
      </c>
      <c r="C1851" t="str">
        <f>IF('تعديل الجرد'!C351="","",IF('تعديل الجرد'!G351="","-",'تعديل الجرد'!G351))</f>
        <v/>
      </c>
      <c r="D1851" t="str">
        <f>IF('تعديل الجرد'!C351="","",'تعديل الجرد'!C351)</f>
        <v/>
      </c>
      <c r="E1851" s="24" t="str">
        <f>IF('تعديل الجرد'!C351="","",'تعديل الجرد'!F351)</f>
        <v/>
      </c>
      <c r="F1851" t="str">
        <f>IF('تعديل الجرد'!C351="","",IF('تعديل الجرد'!H351="","",'تعديل الجرد'!H351))</f>
        <v/>
      </c>
      <c r="G1851" t="str">
        <f>IF($B1851&lt;&gt;"",SUMPRODUCT(($B$2:$B1851&lt;&gt;"")*1),"")</f>
        <v/>
      </c>
    </row>
    <row r="1852" spans="1:7">
      <c r="A1852" s="23" t="str">
        <f>IF('تعديل الجرد'!C352="","",'تعديل الجرد'!B352)</f>
        <v/>
      </c>
      <c r="B1852" t="str">
        <f>IF('تعديل الجرد'!C352="","","تعديل جرد")</f>
        <v/>
      </c>
      <c r="C1852" t="str">
        <f>IF('تعديل الجرد'!C352="","",IF('تعديل الجرد'!G352="","-",'تعديل الجرد'!G352))</f>
        <v/>
      </c>
      <c r="D1852" t="str">
        <f>IF('تعديل الجرد'!C352="","",'تعديل الجرد'!C352)</f>
        <v/>
      </c>
      <c r="E1852" s="24" t="str">
        <f>IF('تعديل الجرد'!C352="","",'تعديل الجرد'!F352)</f>
        <v/>
      </c>
      <c r="F1852" t="str">
        <f>IF('تعديل الجرد'!C352="","",IF('تعديل الجرد'!H352="","",'تعديل الجرد'!H352))</f>
        <v/>
      </c>
      <c r="G1852" t="str">
        <f>IF($B1852&lt;&gt;"",SUMPRODUCT(($B$2:$B1852&lt;&gt;"")*1),"")</f>
        <v/>
      </c>
    </row>
    <row r="1853" spans="1:7">
      <c r="A1853" s="23" t="str">
        <f>IF('تعديل الجرد'!C353="","",'تعديل الجرد'!B353)</f>
        <v/>
      </c>
      <c r="B1853" t="str">
        <f>IF('تعديل الجرد'!C353="","","تعديل جرد")</f>
        <v/>
      </c>
      <c r="C1853" t="str">
        <f>IF('تعديل الجرد'!C353="","",IF('تعديل الجرد'!G353="","-",'تعديل الجرد'!G353))</f>
        <v/>
      </c>
      <c r="D1853" t="str">
        <f>IF('تعديل الجرد'!C353="","",'تعديل الجرد'!C353)</f>
        <v/>
      </c>
      <c r="E1853" s="24" t="str">
        <f>IF('تعديل الجرد'!C353="","",'تعديل الجرد'!F353)</f>
        <v/>
      </c>
      <c r="F1853" t="str">
        <f>IF('تعديل الجرد'!C353="","",IF('تعديل الجرد'!H353="","",'تعديل الجرد'!H353))</f>
        <v/>
      </c>
      <c r="G1853" t="str">
        <f>IF($B1853&lt;&gt;"",SUMPRODUCT(($B$2:$B1853&lt;&gt;"")*1),"")</f>
        <v/>
      </c>
    </row>
    <row r="1854" spans="1:7">
      <c r="A1854" s="23" t="str">
        <f>IF('تعديل الجرد'!C354="","",'تعديل الجرد'!B354)</f>
        <v/>
      </c>
      <c r="B1854" t="str">
        <f>IF('تعديل الجرد'!C354="","","تعديل جرد")</f>
        <v/>
      </c>
      <c r="C1854" t="str">
        <f>IF('تعديل الجرد'!C354="","",IF('تعديل الجرد'!G354="","-",'تعديل الجرد'!G354))</f>
        <v/>
      </c>
      <c r="D1854" t="str">
        <f>IF('تعديل الجرد'!C354="","",'تعديل الجرد'!C354)</f>
        <v/>
      </c>
      <c r="E1854" s="24" t="str">
        <f>IF('تعديل الجرد'!C354="","",'تعديل الجرد'!F354)</f>
        <v/>
      </c>
      <c r="F1854" t="str">
        <f>IF('تعديل الجرد'!C354="","",IF('تعديل الجرد'!H354="","",'تعديل الجرد'!H354))</f>
        <v/>
      </c>
      <c r="G1854" t="str">
        <f>IF($B1854&lt;&gt;"",SUMPRODUCT(($B$2:$B1854&lt;&gt;"")*1),"")</f>
        <v/>
      </c>
    </row>
    <row r="1855" spans="1:7">
      <c r="A1855" s="23" t="str">
        <f>IF('تعديل الجرد'!C355="","",'تعديل الجرد'!B355)</f>
        <v/>
      </c>
      <c r="B1855" t="str">
        <f>IF('تعديل الجرد'!C355="","","تعديل جرد")</f>
        <v/>
      </c>
      <c r="C1855" t="str">
        <f>IF('تعديل الجرد'!C355="","",IF('تعديل الجرد'!G355="","-",'تعديل الجرد'!G355))</f>
        <v/>
      </c>
      <c r="D1855" t="str">
        <f>IF('تعديل الجرد'!C355="","",'تعديل الجرد'!C355)</f>
        <v/>
      </c>
      <c r="E1855" s="24" t="str">
        <f>IF('تعديل الجرد'!C355="","",'تعديل الجرد'!F355)</f>
        <v/>
      </c>
      <c r="F1855" t="str">
        <f>IF('تعديل الجرد'!C355="","",IF('تعديل الجرد'!H355="","",'تعديل الجرد'!H355))</f>
        <v/>
      </c>
      <c r="G1855" t="str">
        <f>IF($B1855&lt;&gt;"",SUMPRODUCT(($B$2:$B1855&lt;&gt;"")*1),"")</f>
        <v/>
      </c>
    </row>
    <row r="1856" spans="1:7">
      <c r="A1856" s="23" t="str">
        <f>IF('تعديل الجرد'!C356="","",'تعديل الجرد'!B356)</f>
        <v/>
      </c>
      <c r="B1856" t="str">
        <f>IF('تعديل الجرد'!C356="","","تعديل جرد")</f>
        <v/>
      </c>
      <c r="C1856" t="str">
        <f>IF('تعديل الجرد'!C356="","",IF('تعديل الجرد'!G356="","-",'تعديل الجرد'!G356))</f>
        <v/>
      </c>
      <c r="D1856" t="str">
        <f>IF('تعديل الجرد'!C356="","",'تعديل الجرد'!C356)</f>
        <v/>
      </c>
      <c r="E1856" s="24" t="str">
        <f>IF('تعديل الجرد'!C356="","",'تعديل الجرد'!F356)</f>
        <v/>
      </c>
      <c r="F1856" t="str">
        <f>IF('تعديل الجرد'!C356="","",IF('تعديل الجرد'!H356="","",'تعديل الجرد'!H356))</f>
        <v/>
      </c>
      <c r="G1856" t="str">
        <f>IF($B1856&lt;&gt;"",SUMPRODUCT(($B$2:$B1856&lt;&gt;"")*1),"")</f>
        <v/>
      </c>
    </row>
    <row r="1857" spans="1:7">
      <c r="A1857" s="23" t="str">
        <f>IF('تعديل الجرد'!C357="","",'تعديل الجرد'!B357)</f>
        <v/>
      </c>
      <c r="B1857" t="str">
        <f>IF('تعديل الجرد'!C357="","","تعديل جرد")</f>
        <v/>
      </c>
      <c r="C1857" t="str">
        <f>IF('تعديل الجرد'!C357="","",IF('تعديل الجرد'!G357="","-",'تعديل الجرد'!G357))</f>
        <v/>
      </c>
      <c r="D1857" t="str">
        <f>IF('تعديل الجرد'!C357="","",'تعديل الجرد'!C357)</f>
        <v/>
      </c>
      <c r="E1857" s="24" t="str">
        <f>IF('تعديل الجرد'!C357="","",'تعديل الجرد'!F357)</f>
        <v/>
      </c>
      <c r="F1857" t="str">
        <f>IF('تعديل الجرد'!C357="","",IF('تعديل الجرد'!H357="","",'تعديل الجرد'!H357))</f>
        <v/>
      </c>
      <c r="G1857" t="str">
        <f>IF($B1857&lt;&gt;"",SUMPRODUCT(($B$2:$B1857&lt;&gt;"")*1),"")</f>
        <v/>
      </c>
    </row>
    <row r="1858" spans="1:7">
      <c r="A1858" s="23" t="str">
        <f>IF('تعديل الجرد'!C358="","",'تعديل الجرد'!B358)</f>
        <v/>
      </c>
      <c r="B1858" t="str">
        <f>IF('تعديل الجرد'!C358="","","تعديل جرد")</f>
        <v/>
      </c>
      <c r="C1858" t="str">
        <f>IF('تعديل الجرد'!C358="","",IF('تعديل الجرد'!G358="","-",'تعديل الجرد'!G358))</f>
        <v/>
      </c>
      <c r="D1858" t="str">
        <f>IF('تعديل الجرد'!C358="","",'تعديل الجرد'!C358)</f>
        <v/>
      </c>
      <c r="E1858" s="24" t="str">
        <f>IF('تعديل الجرد'!C358="","",'تعديل الجرد'!F358)</f>
        <v/>
      </c>
      <c r="F1858" t="str">
        <f>IF('تعديل الجرد'!C358="","",IF('تعديل الجرد'!H358="","",'تعديل الجرد'!H358))</f>
        <v/>
      </c>
      <c r="G1858" t="str">
        <f>IF($B1858&lt;&gt;"",SUMPRODUCT(($B$2:$B1858&lt;&gt;"")*1),"")</f>
        <v/>
      </c>
    </row>
    <row r="1859" spans="1:7">
      <c r="A1859" s="23" t="str">
        <f>IF('تعديل الجرد'!C359="","",'تعديل الجرد'!B359)</f>
        <v/>
      </c>
      <c r="B1859" t="str">
        <f>IF('تعديل الجرد'!C359="","","تعديل جرد")</f>
        <v/>
      </c>
      <c r="C1859" t="str">
        <f>IF('تعديل الجرد'!C359="","",IF('تعديل الجرد'!G359="","-",'تعديل الجرد'!G359))</f>
        <v/>
      </c>
      <c r="D1859" t="str">
        <f>IF('تعديل الجرد'!C359="","",'تعديل الجرد'!C359)</f>
        <v/>
      </c>
      <c r="E1859" s="24" t="str">
        <f>IF('تعديل الجرد'!C359="","",'تعديل الجرد'!F359)</f>
        <v/>
      </c>
      <c r="F1859" t="str">
        <f>IF('تعديل الجرد'!C359="","",IF('تعديل الجرد'!H359="","",'تعديل الجرد'!H359))</f>
        <v/>
      </c>
      <c r="G1859" t="str">
        <f>IF($B1859&lt;&gt;"",SUMPRODUCT(($B$2:$B1859&lt;&gt;"")*1),"")</f>
        <v/>
      </c>
    </row>
    <row r="1860" spans="1:7">
      <c r="A1860" s="23" t="str">
        <f>IF('تعديل الجرد'!C360="","",'تعديل الجرد'!B360)</f>
        <v/>
      </c>
      <c r="B1860" t="str">
        <f>IF('تعديل الجرد'!C360="","","تعديل جرد")</f>
        <v/>
      </c>
      <c r="C1860" t="str">
        <f>IF('تعديل الجرد'!C360="","",IF('تعديل الجرد'!G360="","-",'تعديل الجرد'!G360))</f>
        <v/>
      </c>
      <c r="D1860" t="str">
        <f>IF('تعديل الجرد'!C360="","",'تعديل الجرد'!C360)</f>
        <v/>
      </c>
      <c r="E1860" s="24" t="str">
        <f>IF('تعديل الجرد'!C360="","",'تعديل الجرد'!F360)</f>
        <v/>
      </c>
      <c r="F1860" t="str">
        <f>IF('تعديل الجرد'!C360="","",IF('تعديل الجرد'!H360="","",'تعديل الجرد'!H360))</f>
        <v/>
      </c>
      <c r="G1860" t="str">
        <f>IF($B1860&lt;&gt;"",SUMPRODUCT(($B$2:$B1860&lt;&gt;"")*1),"")</f>
        <v/>
      </c>
    </row>
    <row r="1861" spans="1:7">
      <c r="A1861" s="23" t="str">
        <f>IF('تعديل الجرد'!C361="","",'تعديل الجرد'!B361)</f>
        <v/>
      </c>
      <c r="B1861" t="str">
        <f>IF('تعديل الجرد'!C361="","","تعديل جرد")</f>
        <v/>
      </c>
      <c r="C1861" t="str">
        <f>IF('تعديل الجرد'!C361="","",IF('تعديل الجرد'!G361="","-",'تعديل الجرد'!G361))</f>
        <v/>
      </c>
      <c r="D1861" t="str">
        <f>IF('تعديل الجرد'!C361="","",'تعديل الجرد'!C361)</f>
        <v/>
      </c>
      <c r="E1861" s="24" t="str">
        <f>IF('تعديل الجرد'!C361="","",'تعديل الجرد'!F361)</f>
        <v/>
      </c>
      <c r="F1861" t="str">
        <f>IF('تعديل الجرد'!C361="","",IF('تعديل الجرد'!H361="","",'تعديل الجرد'!H361))</f>
        <v/>
      </c>
      <c r="G1861" t="str">
        <f>IF($B1861&lt;&gt;"",SUMPRODUCT(($B$2:$B1861&lt;&gt;"")*1),"")</f>
        <v/>
      </c>
    </row>
    <row r="1862" spans="1:7">
      <c r="A1862" s="23" t="str">
        <f>IF('تعديل الجرد'!C362="","",'تعديل الجرد'!B362)</f>
        <v/>
      </c>
      <c r="B1862" t="str">
        <f>IF('تعديل الجرد'!C362="","","تعديل جرد")</f>
        <v/>
      </c>
      <c r="C1862" t="str">
        <f>IF('تعديل الجرد'!C362="","",IF('تعديل الجرد'!G362="","-",'تعديل الجرد'!G362))</f>
        <v/>
      </c>
      <c r="D1862" t="str">
        <f>IF('تعديل الجرد'!C362="","",'تعديل الجرد'!C362)</f>
        <v/>
      </c>
      <c r="E1862" s="24" t="str">
        <f>IF('تعديل الجرد'!C362="","",'تعديل الجرد'!F362)</f>
        <v/>
      </c>
      <c r="F1862" t="str">
        <f>IF('تعديل الجرد'!C362="","",IF('تعديل الجرد'!H362="","",'تعديل الجرد'!H362))</f>
        <v/>
      </c>
      <c r="G1862" t="str">
        <f>IF($B1862&lt;&gt;"",SUMPRODUCT(($B$2:$B1862&lt;&gt;"")*1),"")</f>
        <v/>
      </c>
    </row>
    <row r="1863" spans="1:7">
      <c r="A1863" s="23" t="str">
        <f>IF('تعديل الجرد'!C363="","",'تعديل الجرد'!B363)</f>
        <v/>
      </c>
      <c r="B1863" t="str">
        <f>IF('تعديل الجرد'!C363="","","تعديل جرد")</f>
        <v/>
      </c>
      <c r="C1863" t="str">
        <f>IF('تعديل الجرد'!C363="","",IF('تعديل الجرد'!G363="","-",'تعديل الجرد'!G363))</f>
        <v/>
      </c>
      <c r="D1863" t="str">
        <f>IF('تعديل الجرد'!C363="","",'تعديل الجرد'!C363)</f>
        <v/>
      </c>
      <c r="E1863" s="24" t="str">
        <f>IF('تعديل الجرد'!C363="","",'تعديل الجرد'!F363)</f>
        <v/>
      </c>
      <c r="F1863" t="str">
        <f>IF('تعديل الجرد'!C363="","",IF('تعديل الجرد'!H363="","",'تعديل الجرد'!H363))</f>
        <v/>
      </c>
      <c r="G1863" t="str">
        <f>IF($B1863&lt;&gt;"",SUMPRODUCT(($B$2:$B1863&lt;&gt;"")*1),"")</f>
        <v/>
      </c>
    </row>
    <row r="1864" spans="1:7">
      <c r="A1864" s="23" t="str">
        <f>IF('تعديل الجرد'!C364="","",'تعديل الجرد'!B364)</f>
        <v/>
      </c>
      <c r="B1864" t="str">
        <f>IF('تعديل الجرد'!C364="","","تعديل جرد")</f>
        <v/>
      </c>
      <c r="C1864" t="str">
        <f>IF('تعديل الجرد'!C364="","",IF('تعديل الجرد'!G364="","-",'تعديل الجرد'!G364))</f>
        <v/>
      </c>
      <c r="D1864" t="str">
        <f>IF('تعديل الجرد'!C364="","",'تعديل الجرد'!C364)</f>
        <v/>
      </c>
      <c r="E1864" s="24" t="str">
        <f>IF('تعديل الجرد'!C364="","",'تعديل الجرد'!F364)</f>
        <v/>
      </c>
      <c r="F1864" t="str">
        <f>IF('تعديل الجرد'!C364="","",IF('تعديل الجرد'!H364="","",'تعديل الجرد'!H364))</f>
        <v/>
      </c>
      <c r="G1864" t="str">
        <f>IF($B1864&lt;&gt;"",SUMPRODUCT(($B$2:$B1864&lt;&gt;"")*1),"")</f>
        <v/>
      </c>
    </row>
    <row r="1865" spans="1:7">
      <c r="A1865" s="23" t="str">
        <f>IF('تعديل الجرد'!C365="","",'تعديل الجرد'!B365)</f>
        <v/>
      </c>
      <c r="B1865" t="str">
        <f>IF('تعديل الجرد'!C365="","","تعديل جرد")</f>
        <v/>
      </c>
      <c r="C1865" t="str">
        <f>IF('تعديل الجرد'!C365="","",IF('تعديل الجرد'!G365="","-",'تعديل الجرد'!G365))</f>
        <v/>
      </c>
      <c r="D1865" t="str">
        <f>IF('تعديل الجرد'!C365="","",'تعديل الجرد'!C365)</f>
        <v/>
      </c>
      <c r="E1865" s="24" t="str">
        <f>IF('تعديل الجرد'!C365="","",'تعديل الجرد'!F365)</f>
        <v/>
      </c>
      <c r="F1865" t="str">
        <f>IF('تعديل الجرد'!C365="","",IF('تعديل الجرد'!H365="","",'تعديل الجرد'!H365))</f>
        <v/>
      </c>
      <c r="G1865" t="str">
        <f>IF($B1865&lt;&gt;"",SUMPRODUCT(($B$2:$B1865&lt;&gt;"")*1),"")</f>
        <v/>
      </c>
    </row>
    <row r="1866" spans="1:7">
      <c r="A1866" s="23" t="str">
        <f>IF('تعديل الجرد'!C366="","",'تعديل الجرد'!B366)</f>
        <v/>
      </c>
      <c r="B1866" t="str">
        <f>IF('تعديل الجرد'!C366="","","تعديل جرد")</f>
        <v/>
      </c>
      <c r="C1866" t="str">
        <f>IF('تعديل الجرد'!C366="","",IF('تعديل الجرد'!G366="","-",'تعديل الجرد'!G366))</f>
        <v/>
      </c>
      <c r="D1866" t="str">
        <f>IF('تعديل الجرد'!C366="","",'تعديل الجرد'!C366)</f>
        <v/>
      </c>
      <c r="E1866" s="24" t="str">
        <f>IF('تعديل الجرد'!C366="","",'تعديل الجرد'!F366)</f>
        <v/>
      </c>
      <c r="F1866" t="str">
        <f>IF('تعديل الجرد'!C366="","",IF('تعديل الجرد'!H366="","",'تعديل الجرد'!H366))</f>
        <v/>
      </c>
      <c r="G1866" t="str">
        <f>IF($B1866&lt;&gt;"",SUMPRODUCT(($B$2:$B1866&lt;&gt;"")*1),"")</f>
        <v/>
      </c>
    </row>
    <row r="1867" spans="1:7">
      <c r="A1867" s="23" t="str">
        <f>IF('تعديل الجرد'!C367="","",'تعديل الجرد'!B367)</f>
        <v/>
      </c>
      <c r="B1867" t="str">
        <f>IF('تعديل الجرد'!C367="","","تعديل جرد")</f>
        <v/>
      </c>
      <c r="C1867" t="str">
        <f>IF('تعديل الجرد'!C367="","",IF('تعديل الجرد'!G367="","-",'تعديل الجرد'!G367))</f>
        <v/>
      </c>
      <c r="D1867" t="str">
        <f>IF('تعديل الجرد'!C367="","",'تعديل الجرد'!C367)</f>
        <v/>
      </c>
      <c r="E1867" s="24" t="str">
        <f>IF('تعديل الجرد'!C367="","",'تعديل الجرد'!F367)</f>
        <v/>
      </c>
      <c r="F1867" t="str">
        <f>IF('تعديل الجرد'!C367="","",IF('تعديل الجرد'!H367="","",'تعديل الجرد'!H367))</f>
        <v/>
      </c>
      <c r="G1867" t="str">
        <f>IF($B1867&lt;&gt;"",SUMPRODUCT(($B$2:$B1867&lt;&gt;"")*1),"")</f>
        <v/>
      </c>
    </row>
    <row r="1868" spans="1:7">
      <c r="A1868" s="23" t="str">
        <f>IF('تعديل الجرد'!C368="","",'تعديل الجرد'!B368)</f>
        <v/>
      </c>
      <c r="B1868" t="str">
        <f>IF('تعديل الجرد'!C368="","","تعديل جرد")</f>
        <v/>
      </c>
      <c r="C1868" t="str">
        <f>IF('تعديل الجرد'!C368="","",IF('تعديل الجرد'!G368="","-",'تعديل الجرد'!G368))</f>
        <v/>
      </c>
      <c r="D1868" t="str">
        <f>IF('تعديل الجرد'!C368="","",'تعديل الجرد'!C368)</f>
        <v/>
      </c>
      <c r="E1868" s="24" t="str">
        <f>IF('تعديل الجرد'!C368="","",'تعديل الجرد'!F368)</f>
        <v/>
      </c>
      <c r="F1868" t="str">
        <f>IF('تعديل الجرد'!C368="","",IF('تعديل الجرد'!H368="","",'تعديل الجرد'!H368))</f>
        <v/>
      </c>
      <c r="G1868" t="str">
        <f>IF($B1868&lt;&gt;"",SUMPRODUCT(($B$2:$B1868&lt;&gt;"")*1),"")</f>
        <v/>
      </c>
    </row>
    <row r="1869" spans="1:7">
      <c r="A1869" s="23" t="str">
        <f>IF('تعديل الجرد'!C369="","",'تعديل الجرد'!B369)</f>
        <v/>
      </c>
      <c r="B1869" t="str">
        <f>IF('تعديل الجرد'!C369="","","تعديل جرد")</f>
        <v/>
      </c>
      <c r="C1869" t="str">
        <f>IF('تعديل الجرد'!C369="","",IF('تعديل الجرد'!G369="","-",'تعديل الجرد'!G369))</f>
        <v/>
      </c>
      <c r="D1869" t="str">
        <f>IF('تعديل الجرد'!C369="","",'تعديل الجرد'!C369)</f>
        <v/>
      </c>
      <c r="E1869" s="24" t="str">
        <f>IF('تعديل الجرد'!C369="","",'تعديل الجرد'!F369)</f>
        <v/>
      </c>
      <c r="F1869" t="str">
        <f>IF('تعديل الجرد'!C369="","",IF('تعديل الجرد'!H369="","",'تعديل الجرد'!H369))</f>
        <v/>
      </c>
      <c r="G1869" t="str">
        <f>IF($B1869&lt;&gt;"",SUMPRODUCT(($B$2:$B1869&lt;&gt;"")*1),"")</f>
        <v/>
      </c>
    </row>
    <row r="1870" spans="1:7">
      <c r="A1870" s="23" t="str">
        <f>IF('تعديل الجرد'!C370="","",'تعديل الجرد'!B370)</f>
        <v/>
      </c>
      <c r="B1870" t="str">
        <f>IF('تعديل الجرد'!C370="","","تعديل جرد")</f>
        <v/>
      </c>
      <c r="C1870" t="str">
        <f>IF('تعديل الجرد'!C370="","",IF('تعديل الجرد'!G370="","-",'تعديل الجرد'!G370))</f>
        <v/>
      </c>
      <c r="D1870" t="str">
        <f>IF('تعديل الجرد'!C370="","",'تعديل الجرد'!C370)</f>
        <v/>
      </c>
      <c r="E1870" s="24" t="str">
        <f>IF('تعديل الجرد'!C370="","",'تعديل الجرد'!F370)</f>
        <v/>
      </c>
      <c r="F1870" t="str">
        <f>IF('تعديل الجرد'!C370="","",IF('تعديل الجرد'!H370="","",'تعديل الجرد'!H370))</f>
        <v/>
      </c>
      <c r="G1870" t="str">
        <f>IF($B1870&lt;&gt;"",SUMPRODUCT(($B$2:$B1870&lt;&gt;"")*1),"")</f>
        <v/>
      </c>
    </row>
    <row r="1871" spans="1:7">
      <c r="A1871" s="23" t="str">
        <f>IF('تعديل الجرد'!C371="","",'تعديل الجرد'!B371)</f>
        <v/>
      </c>
      <c r="B1871" t="str">
        <f>IF('تعديل الجرد'!C371="","","تعديل جرد")</f>
        <v/>
      </c>
      <c r="C1871" t="str">
        <f>IF('تعديل الجرد'!C371="","",IF('تعديل الجرد'!G371="","-",'تعديل الجرد'!G371))</f>
        <v/>
      </c>
      <c r="D1871" t="str">
        <f>IF('تعديل الجرد'!C371="","",'تعديل الجرد'!C371)</f>
        <v/>
      </c>
      <c r="E1871" s="24" t="str">
        <f>IF('تعديل الجرد'!C371="","",'تعديل الجرد'!F371)</f>
        <v/>
      </c>
      <c r="F1871" t="str">
        <f>IF('تعديل الجرد'!C371="","",IF('تعديل الجرد'!H371="","",'تعديل الجرد'!H371))</f>
        <v/>
      </c>
      <c r="G1871" t="str">
        <f>IF($B1871&lt;&gt;"",SUMPRODUCT(($B$2:$B1871&lt;&gt;"")*1),"")</f>
        <v/>
      </c>
    </row>
    <row r="1872" spans="1:7">
      <c r="A1872" s="23" t="str">
        <f>IF('تعديل الجرد'!C372="","",'تعديل الجرد'!B372)</f>
        <v/>
      </c>
      <c r="B1872" t="str">
        <f>IF('تعديل الجرد'!C372="","","تعديل جرد")</f>
        <v/>
      </c>
      <c r="C1872" t="str">
        <f>IF('تعديل الجرد'!C372="","",IF('تعديل الجرد'!G372="","-",'تعديل الجرد'!G372))</f>
        <v/>
      </c>
      <c r="D1872" t="str">
        <f>IF('تعديل الجرد'!C372="","",'تعديل الجرد'!C372)</f>
        <v/>
      </c>
      <c r="E1872" s="24" t="str">
        <f>IF('تعديل الجرد'!C372="","",'تعديل الجرد'!F372)</f>
        <v/>
      </c>
      <c r="F1872" t="str">
        <f>IF('تعديل الجرد'!C372="","",IF('تعديل الجرد'!H372="","",'تعديل الجرد'!H372))</f>
        <v/>
      </c>
      <c r="G1872" t="str">
        <f>IF($B1872&lt;&gt;"",SUMPRODUCT(($B$2:$B1872&lt;&gt;"")*1),"")</f>
        <v/>
      </c>
    </row>
    <row r="1873" spans="1:7">
      <c r="A1873" s="23" t="str">
        <f>IF('تعديل الجرد'!C373="","",'تعديل الجرد'!B373)</f>
        <v/>
      </c>
      <c r="B1873" t="str">
        <f>IF('تعديل الجرد'!C373="","","تعديل جرد")</f>
        <v/>
      </c>
      <c r="C1873" t="str">
        <f>IF('تعديل الجرد'!C373="","",IF('تعديل الجرد'!G373="","-",'تعديل الجرد'!G373))</f>
        <v/>
      </c>
      <c r="D1873" t="str">
        <f>IF('تعديل الجرد'!C373="","",'تعديل الجرد'!C373)</f>
        <v/>
      </c>
      <c r="E1873" s="24" t="str">
        <f>IF('تعديل الجرد'!C373="","",'تعديل الجرد'!F373)</f>
        <v/>
      </c>
      <c r="F1873" t="str">
        <f>IF('تعديل الجرد'!C373="","",IF('تعديل الجرد'!H373="","",'تعديل الجرد'!H373))</f>
        <v/>
      </c>
      <c r="G1873" t="str">
        <f>IF($B1873&lt;&gt;"",SUMPRODUCT(($B$2:$B1873&lt;&gt;"")*1),"")</f>
        <v/>
      </c>
    </row>
    <row r="1874" spans="1:7">
      <c r="A1874" s="23" t="str">
        <f>IF('تعديل الجرد'!C374="","",'تعديل الجرد'!B374)</f>
        <v/>
      </c>
      <c r="B1874" t="str">
        <f>IF('تعديل الجرد'!C374="","","تعديل جرد")</f>
        <v/>
      </c>
      <c r="C1874" t="str">
        <f>IF('تعديل الجرد'!C374="","",IF('تعديل الجرد'!G374="","-",'تعديل الجرد'!G374))</f>
        <v/>
      </c>
      <c r="D1874" t="str">
        <f>IF('تعديل الجرد'!C374="","",'تعديل الجرد'!C374)</f>
        <v/>
      </c>
      <c r="E1874" s="24" t="str">
        <f>IF('تعديل الجرد'!C374="","",'تعديل الجرد'!F374)</f>
        <v/>
      </c>
      <c r="F1874" t="str">
        <f>IF('تعديل الجرد'!C374="","",IF('تعديل الجرد'!H374="","",'تعديل الجرد'!H374))</f>
        <v/>
      </c>
      <c r="G1874" t="str">
        <f>IF($B1874&lt;&gt;"",SUMPRODUCT(($B$2:$B1874&lt;&gt;"")*1),"")</f>
        <v/>
      </c>
    </row>
    <row r="1875" spans="1:7">
      <c r="A1875" s="23" t="str">
        <f>IF('تعديل الجرد'!C375="","",'تعديل الجرد'!B375)</f>
        <v/>
      </c>
      <c r="B1875" t="str">
        <f>IF('تعديل الجرد'!C375="","","تعديل جرد")</f>
        <v/>
      </c>
      <c r="C1875" t="str">
        <f>IF('تعديل الجرد'!C375="","",IF('تعديل الجرد'!G375="","-",'تعديل الجرد'!G375))</f>
        <v/>
      </c>
      <c r="D1875" t="str">
        <f>IF('تعديل الجرد'!C375="","",'تعديل الجرد'!C375)</f>
        <v/>
      </c>
      <c r="E1875" s="24" t="str">
        <f>IF('تعديل الجرد'!C375="","",'تعديل الجرد'!F375)</f>
        <v/>
      </c>
      <c r="F1875" t="str">
        <f>IF('تعديل الجرد'!C375="","",IF('تعديل الجرد'!H375="","",'تعديل الجرد'!H375))</f>
        <v/>
      </c>
      <c r="G1875" t="str">
        <f>IF($B1875&lt;&gt;"",SUMPRODUCT(($B$2:$B1875&lt;&gt;"")*1),"")</f>
        <v/>
      </c>
    </row>
    <row r="1876" spans="1:7">
      <c r="A1876" s="23" t="str">
        <f>IF('تعديل الجرد'!C376="","",'تعديل الجرد'!B376)</f>
        <v/>
      </c>
      <c r="B1876" t="str">
        <f>IF('تعديل الجرد'!C376="","","تعديل جرد")</f>
        <v/>
      </c>
      <c r="C1876" t="str">
        <f>IF('تعديل الجرد'!C376="","",IF('تعديل الجرد'!G376="","-",'تعديل الجرد'!G376))</f>
        <v/>
      </c>
      <c r="D1876" t="str">
        <f>IF('تعديل الجرد'!C376="","",'تعديل الجرد'!C376)</f>
        <v/>
      </c>
      <c r="E1876" s="24" t="str">
        <f>IF('تعديل الجرد'!C376="","",'تعديل الجرد'!F376)</f>
        <v/>
      </c>
      <c r="F1876" t="str">
        <f>IF('تعديل الجرد'!C376="","",IF('تعديل الجرد'!H376="","",'تعديل الجرد'!H376))</f>
        <v/>
      </c>
      <c r="G1876" t="str">
        <f>IF($B1876&lt;&gt;"",SUMPRODUCT(($B$2:$B1876&lt;&gt;"")*1),"")</f>
        <v/>
      </c>
    </row>
    <row r="1877" spans="1:7">
      <c r="A1877" s="23" t="str">
        <f>IF('تعديل الجرد'!C377="","",'تعديل الجرد'!B377)</f>
        <v/>
      </c>
      <c r="B1877" t="str">
        <f>IF('تعديل الجرد'!C377="","","تعديل جرد")</f>
        <v/>
      </c>
      <c r="C1877" t="str">
        <f>IF('تعديل الجرد'!C377="","",IF('تعديل الجرد'!G377="","-",'تعديل الجرد'!G377))</f>
        <v/>
      </c>
      <c r="D1877" t="str">
        <f>IF('تعديل الجرد'!C377="","",'تعديل الجرد'!C377)</f>
        <v/>
      </c>
      <c r="E1877" s="24" t="str">
        <f>IF('تعديل الجرد'!C377="","",'تعديل الجرد'!F377)</f>
        <v/>
      </c>
      <c r="F1877" t="str">
        <f>IF('تعديل الجرد'!C377="","",IF('تعديل الجرد'!H377="","",'تعديل الجرد'!H377))</f>
        <v/>
      </c>
      <c r="G1877" t="str">
        <f>IF($B1877&lt;&gt;"",SUMPRODUCT(($B$2:$B1877&lt;&gt;"")*1),"")</f>
        <v/>
      </c>
    </row>
    <row r="1878" spans="1:7">
      <c r="A1878" s="23" t="str">
        <f>IF('تعديل الجرد'!C378="","",'تعديل الجرد'!B378)</f>
        <v/>
      </c>
      <c r="B1878" t="str">
        <f>IF('تعديل الجرد'!C378="","","تعديل جرد")</f>
        <v/>
      </c>
      <c r="C1878" t="str">
        <f>IF('تعديل الجرد'!C378="","",IF('تعديل الجرد'!G378="","-",'تعديل الجرد'!G378))</f>
        <v/>
      </c>
      <c r="D1878" t="str">
        <f>IF('تعديل الجرد'!C378="","",'تعديل الجرد'!C378)</f>
        <v/>
      </c>
      <c r="E1878" s="24" t="str">
        <f>IF('تعديل الجرد'!C378="","",'تعديل الجرد'!F378)</f>
        <v/>
      </c>
      <c r="F1878" t="str">
        <f>IF('تعديل الجرد'!C378="","",IF('تعديل الجرد'!H378="","",'تعديل الجرد'!H378))</f>
        <v/>
      </c>
      <c r="G1878" t="str">
        <f>IF($B1878&lt;&gt;"",SUMPRODUCT(($B$2:$B1878&lt;&gt;"")*1),"")</f>
        <v/>
      </c>
    </row>
    <row r="1879" spans="1:7">
      <c r="A1879" s="23" t="str">
        <f>IF('تعديل الجرد'!C379="","",'تعديل الجرد'!B379)</f>
        <v/>
      </c>
      <c r="B1879" t="str">
        <f>IF('تعديل الجرد'!C379="","","تعديل جرد")</f>
        <v/>
      </c>
      <c r="C1879" t="str">
        <f>IF('تعديل الجرد'!C379="","",IF('تعديل الجرد'!G379="","-",'تعديل الجرد'!G379))</f>
        <v/>
      </c>
      <c r="D1879" t="str">
        <f>IF('تعديل الجرد'!C379="","",'تعديل الجرد'!C379)</f>
        <v/>
      </c>
      <c r="E1879" s="24" t="str">
        <f>IF('تعديل الجرد'!C379="","",'تعديل الجرد'!F379)</f>
        <v/>
      </c>
      <c r="F1879" t="str">
        <f>IF('تعديل الجرد'!C379="","",IF('تعديل الجرد'!H379="","",'تعديل الجرد'!H379))</f>
        <v/>
      </c>
      <c r="G1879" t="str">
        <f>IF($B1879&lt;&gt;"",SUMPRODUCT(($B$2:$B1879&lt;&gt;"")*1),"")</f>
        <v/>
      </c>
    </row>
    <row r="1880" spans="1:7">
      <c r="A1880" s="23" t="str">
        <f>IF('تعديل الجرد'!C380="","",'تعديل الجرد'!B380)</f>
        <v/>
      </c>
      <c r="B1880" t="str">
        <f>IF('تعديل الجرد'!C380="","","تعديل جرد")</f>
        <v/>
      </c>
      <c r="C1880" t="str">
        <f>IF('تعديل الجرد'!C380="","",IF('تعديل الجرد'!G380="","-",'تعديل الجرد'!G380))</f>
        <v/>
      </c>
      <c r="D1880" t="str">
        <f>IF('تعديل الجرد'!C380="","",'تعديل الجرد'!C380)</f>
        <v/>
      </c>
      <c r="E1880" s="24" t="str">
        <f>IF('تعديل الجرد'!C380="","",'تعديل الجرد'!F380)</f>
        <v/>
      </c>
      <c r="F1880" t="str">
        <f>IF('تعديل الجرد'!C380="","",IF('تعديل الجرد'!H380="","",'تعديل الجرد'!H380))</f>
        <v/>
      </c>
      <c r="G1880" t="str">
        <f>IF($B1880&lt;&gt;"",SUMPRODUCT(($B$2:$B1880&lt;&gt;"")*1),"")</f>
        <v/>
      </c>
    </row>
    <row r="1881" spans="1:7">
      <c r="A1881" s="23" t="str">
        <f>IF('تعديل الجرد'!C381="","",'تعديل الجرد'!B381)</f>
        <v/>
      </c>
      <c r="B1881" t="str">
        <f>IF('تعديل الجرد'!C381="","","تعديل جرد")</f>
        <v/>
      </c>
      <c r="C1881" t="str">
        <f>IF('تعديل الجرد'!C381="","",IF('تعديل الجرد'!G381="","-",'تعديل الجرد'!G381))</f>
        <v/>
      </c>
      <c r="D1881" t="str">
        <f>IF('تعديل الجرد'!C381="","",'تعديل الجرد'!C381)</f>
        <v/>
      </c>
      <c r="E1881" s="24" t="str">
        <f>IF('تعديل الجرد'!C381="","",'تعديل الجرد'!F381)</f>
        <v/>
      </c>
      <c r="F1881" t="str">
        <f>IF('تعديل الجرد'!C381="","",IF('تعديل الجرد'!H381="","",'تعديل الجرد'!H381))</f>
        <v/>
      </c>
      <c r="G1881" t="str">
        <f>IF($B1881&lt;&gt;"",SUMPRODUCT(($B$2:$B1881&lt;&gt;"")*1),"")</f>
        <v/>
      </c>
    </row>
    <row r="1882" spans="1:7">
      <c r="A1882" s="23" t="str">
        <f>IF('تعديل الجرد'!C382="","",'تعديل الجرد'!B382)</f>
        <v/>
      </c>
      <c r="B1882" t="str">
        <f>IF('تعديل الجرد'!C382="","","تعديل جرد")</f>
        <v/>
      </c>
      <c r="C1882" t="str">
        <f>IF('تعديل الجرد'!C382="","",IF('تعديل الجرد'!G382="","-",'تعديل الجرد'!G382))</f>
        <v/>
      </c>
      <c r="D1882" t="str">
        <f>IF('تعديل الجرد'!C382="","",'تعديل الجرد'!C382)</f>
        <v/>
      </c>
      <c r="E1882" s="24" t="str">
        <f>IF('تعديل الجرد'!C382="","",'تعديل الجرد'!F382)</f>
        <v/>
      </c>
      <c r="F1882" t="str">
        <f>IF('تعديل الجرد'!C382="","",IF('تعديل الجرد'!H382="","",'تعديل الجرد'!H382))</f>
        <v/>
      </c>
      <c r="G1882" t="str">
        <f>IF($B1882&lt;&gt;"",SUMPRODUCT(($B$2:$B1882&lt;&gt;"")*1),"")</f>
        <v/>
      </c>
    </row>
    <row r="1883" spans="1:7">
      <c r="A1883" s="23" t="str">
        <f>IF('تعديل الجرد'!C383="","",'تعديل الجرد'!B383)</f>
        <v/>
      </c>
      <c r="B1883" t="str">
        <f>IF('تعديل الجرد'!C383="","","تعديل جرد")</f>
        <v/>
      </c>
      <c r="C1883" t="str">
        <f>IF('تعديل الجرد'!C383="","",IF('تعديل الجرد'!G383="","-",'تعديل الجرد'!G383))</f>
        <v/>
      </c>
      <c r="D1883" t="str">
        <f>IF('تعديل الجرد'!C383="","",'تعديل الجرد'!C383)</f>
        <v/>
      </c>
      <c r="E1883" s="24" t="str">
        <f>IF('تعديل الجرد'!C383="","",'تعديل الجرد'!F383)</f>
        <v/>
      </c>
      <c r="F1883" t="str">
        <f>IF('تعديل الجرد'!C383="","",IF('تعديل الجرد'!H383="","",'تعديل الجرد'!H383))</f>
        <v/>
      </c>
      <c r="G1883" t="str">
        <f>IF($B1883&lt;&gt;"",SUMPRODUCT(($B$2:$B1883&lt;&gt;"")*1),"")</f>
        <v/>
      </c>
    </row>
    <row r="1884" spans="1:7">
      <c r="A1884" s="23" t="str">
        <f>IF('تعديل الجرد'!C384="","",'تعديل الجرد'!B384)</f>
        <v/>
      </c>
      <c r="B1884" t="str">
        <f>IF('تعديل الجرد'!C384="","","تعديل جرد")</f>
        <v/>
      </c>
      <c r="C1884" t="str">
        <f>IF('تعديل الجرد'!C384="","",IF('تعديل الجرد'!G384="","-",'تعديل الجرد'!G384))</f>
        <v/>
      </c>
      <c r="D1884" t="str">
        <f>IF('تعديل الجرد'!C384="","",'تعديل الجرد'!C384)</f>
        <v/>
      </c>
      <c r="E1884" s="24" t="str">
        <f>IF('تعديل الجرد'!C384="","",'تعديل الجرد'!F384)</f>
        <v/>
      </c>
      <c r="F1884" t="str">
        <f>IF('تعديل الجرد'!C384="","",IF('تعديل الجرد'!H384="","",'تعديل الجرد'!H384))</f>
        <v/>
      </c>
      <c r="G1884" t="str">
        <f>IF($B1884&lt;&gt;"",SUMPRODUCT(($B$2:$B1884&lt;&gt;"")*1),"")</f>
        <v/>
      </c>
    </row>
    <row r="1885" spans="1:7">
      <c r="A1885" s="23" t="str">
        <f>IF('تعديل الجرد'!C385="","",'تعديل الجرد'!B385)</f>
        <v/>
      </c>
      <c r="B1885" t="str">
        <f>IF('تعديل الجرد'!C385="","","تعديل جرد")</f>
        <v/>
      </c>
      <c r="C1885" t="str">
        <f>IF('تعديل الجرد'!C385="","",IF('تعديل الجرد'!G385="","-",'تعديل الجرد'!G385))</f>
        <v/>
      </c>
      <c r="D1885" t="str">
        <f>IF('تعديل الجرد'!C385="","",'تعديل الجرد'!C385)</f>
        <v/>
      </c>
      <c r="E1885" s="24" t="str">
        <f>IF('تعديل الجرد'!C385="","",'تعديل الجرد'!F385)</f>
        <v/>
      </c>
      <c r="F1885" t="str">
        <f>IF('تعديل الجرد'!C385="","",IF('تعديل الجرد'!H385="","",'تعديل الجرد'!H385))</f>
        <v/>
      </c>
      <c r="G1885" t="str">
        <f>IF($B1885&lt;&gt;"",SUMPRODUCT(($B$2:$B1885&lt;&gt;"")*1),"")</f>
        <v/>
      </c>
    </row>
    <row r="1886" spans="1:7">
      <c r="A1886" s="23" t="str">
        <f>IF('تعديل الجرد'!C386="","",'تعديل الجرد'!B386)</f>
        <v/>
      </c>
      <c r="B1886" t="str">
        <f>IF('تعديل الجرد'!C386="","","تعديل جرد")</f>
        <v/>
      </c>
      <c r="C1886" t="str">
        <f>IF('تعديل الجرد'!C386="","",IF('تعديل الجرد'!G386="","-",'تعديل الجرد'!G386))</f>
        <v/>
      </c>
      <c r="D1886" t="str">
        <f>IF('تعديل الجرد'!C386="","",'تعديل الجرد'!C386)</f>
        <v/>
      </c>
      <c r="E1886" s="24" t="str">
        <f>IF('تعديل الجرد'!C386="","",'تعديل الجرد'!F386)</f>
        <v/>
      </c>
      <c r="F1886" t="str">
        <f>IF('تعديل الجرد'!C386="","",IF('تعديل الجرد'!H386="","",'تعديل الجرد'!H386))</f>
        <v/>
      </c>
      <c r="G1886" t="str">
        <f>IF($B1886&lt;&gt;"",SUMPRODUCT(($B$2:$B1886&lt;&gt;"")*1),"")</f>
        <v/>
      </c>
    </row>
    <row r="1887" spans="1:7">
      <c r="A1887" s="23" t="str">
        <f>IF('تعديل الجرد'!C387="","",'تعديل الجرد'!B387)</f>
        <v/>
      </c>
      <c r="B1887" t="str">
        <f>IF('تعديل الجرد'!C387="","","تعديل جرد")</f>
        <v/>
      </c>
      <c r="C1887" t="str">
        <f>IF('تعديل الجرد'!C387="","",IF('تعديل الجرد'!G387="","-",'تعديل الجرد'!G387))</f>
        <v/>
      </c>
      <c r="D1887" t="str">
        <f>IF('تعديل الجرد'!C387="","",'تعديل الجرد'!C387)</f>
        <v/>
      </c>
      <c r="E1887" s="24" t="str">
        <f>IF('تعديل الجرد'!C387="","",'تعديل الجرد'!F387)</f>
        <v/>
      </c>
      <c r="F1887" t="str">
        <f>IF('تعديل الجرد'!C387="","",IF('تعديل الجرد'!H387="","",'تعديل الجرد'!H387))</f>
        <v/>
      </c>
      <c r="G1887" t="str">
        <f>IF($B1887&lt;&gt;"",SUMPRODUCT(($B$2:$B1887&lt;&gt;"")*1),"")</f>
        <v/>
      </c>
    </row>
    <row r="1888" spans="1:7">
      <c r="A1888" s="23" t="str">
        <f>IF('تعديل الجرد'!C388="","",'تعديل الجرد'!B388)</f>
        <v/>
      </c>
      <c r="B1888" t="str">
        <f>IF('تعديل الجرد'!C388="","","تعديل جرد")</f>
        <v/>
      </c>
      <c r="C1888" t="str">
        <f>IF('تعديل الجرد'!C388="","",IF('تعديل الجرد'!G388="","-",'تعديل الجرد'!G388))</f>
        <v/>
      </c>
      <c r="D1888" t="str">
        <f>IF('تعديل الجرد'!C388="","",'تعديل الجرد'!C388)</f>
        <v/>
      </c>
      <c r="E1888" s="24" t="str">
        <f>IF('تعديل الجرد'!C388="","",'تعديل الجرد'!F388)</f>
        <v/>
      </c>
      <c r="F1888" t="str">
        <f>IF('تعديل الجرد'!C388="","",IF('تعديل الجرد'!H388="","",'تعديل الجرد'!H388))</f>
        <v/>
      </c>
      <c r="G1888" t="str">
        <f>IF($B1888&lt;&gt;"",SUMPRODUCT(($B$2:$B1888&lt;&gt;"")*1),"")</f>
        <v/>
      </c>
    </row>
    <row r="1889" spans="1:7">
      <c r="A1889" s="23" t="str">
        <f>IF('تعديل الجرد'!C389="","",'تعديل الجرد'!B389)</f>
        <v/>
      </c>
      <c r="B1889" t="str">
        <f>IF('تعديل الجرد'!C389="","","تعديل جرد")</f>
        <v/>
      </c>
      <c r="C1889" t="str">
        <f>IF('تعديل الجرد'!C389="","",IF('تعديل الجرد'!G389="","-",'تعديل الجرد'!G389))</f>
        <v/>
      </c>
      <c r="D1889" t="str">
        <f>IF('تعديل الجرد'!C389="","",'تعديل الجرد'!C389)</f>
        <v/>
      </c>
      <c r="E1889" s="24" t="str">
        <f>IF('تعديل الجرد'!C389="","",'تعديل الجرد'!F389)</f>
        <v/>
      </c>
      <c r="F1889" t="str">
        <f>IF('تعديل الجرد'!C389="","",IF('تعديل الجرد'!H389="","",'تعديل الجرد'!H389))</f>
        <v/>
      </c>
      <c r="G1889" t="str">
        <f>IF($B1889&lt;&gt;"",SUMPRODUCT(($B$2:$B1889&lt;&gt;"")*1),"")</f>
        <v/>
      </c>
    </row>
    <row r="1890" spans="1:7">
      <c r="A1890" s="23" t="str">
        <f>IF('تعديل الجرد'!C390="","",'تعديل الجرد'!B390)</f>
        <v/>
      </c>
      <c r="B1890" t="str">
        <f>IF('تعديل الجرد'!C390="","","تعديل جرد")</f>
        <v/>
      </c>
      <c r="C1890" t="str">
        <f>IF('تعديل الجرد'!C390="","",IF('تعديل الجرد'!G390="","-",'تعديل الجرد'!G390))</f>
        <v/>
      </c>
      <c r="D1890" t="str">
        <f>IF('تعديل الجرد'!C390="","",'تعديل الجرد'!C390)</f>
        <v/>
      </c>
      <c r="E1890" s="24" t="str">
        <f>IF('تعديل الجرد'!C390="","",'تعديل الجرد'!F390)</f>
        <v/>
      </c>
      <c r="F1890" t="str">
        <f>IF('تعديل الجرد'!C390="","",IF('تعديل الجرد'!H390="","",'تعديل الجرد'!H390))</f>
        <v/>
      </c>
      <c r="G1890" t="str">
        <f>IF($B1890&lt;&gt;"",SUMPRODUCT(($B$2:$B1890&lt;&gt;"")*1),"")</f>
        <v/>
      </c>
    </row>
    <row r="1891" spans="1:7">
      <c r="A1891" s="23" t="str">
        <f>IF('تعديل الجرد'!C391="","",'تعديل الجرد'!B391)</f>
        <v/>
      </c>
      <c r="B1891" t="str">
        <f>IF('تعديل الجرد'!C391="","","تعديل جرد")</f>
        <v/>
      </c>
      <c r="C1891" t="str">
        <f>IF('تعديل الجرد'!C391="","",IF('تعديل الجرد'!G391="","-",'تعديل الجرد'!G391))</f>
        <v/>
      </c>
      <c r="D1891" t="str">
        <f>IF('تعديل الجرد'!C391="","",'تعديل الجرد'!C391)</f>
        <v/>
      </c>
      <c r="E1891" s="24" t="str">
        <f>IF('تعديل الجرد'!C391="","",'تعديل الجرد'!F391)</f>
        <v/>
      </c>
      <c r="F1891" t="str">
        <f>IF('تعديل الجرد'!C391="","",IF('تعديل الجرد'!H391="","",'تعديل الجرد'!H391))</f>
        <v/>
      </c>
      <c r="G1891" t="str">
        <f>IF($B1891&lt;&gt;"",SUMPRODUCT(($B$2:$B1891&lt;&gt;"")*1),"")</f>
        <v/>
      </c>
    </row>
    <row r="1892" spans="1:7">
      <c r="A1892" s="23" t="str">
        <f>IF('تعديل الجرد'!C392="","",'تعديل الجرد'!B392)</f>
        <v/>
      </c>
      <c r="B1892" t="str">
        <f>IF('تعديل الجرد'!C392="","","تعديل جرد")</f>
        <v/>
      </c>
      <c r="C1892" t="str">
        <f>IF('تعديل الجرد'!C392="","",IF('تعديل الجرد'!G392="","-",'تعديل الجرد'!G392))</f>
        <v/>
      </c>
      <c r="D1892" t="str">
        <f>IF('تعديل الجرد'!C392="","",'تعديل الجرد'!C392)</f>
        <v/>
      </c>
      <c r="E1892" s="24" t="str">
        <f>IF('تعديل الجرد'!C392="","",'تعديل الجرد'!F392)</f>
        <v/>
      </c>
      <c r="F1892" t="str">
        <f>IF('تعديل الجرد'!C392="","",IF('تعديل الجرد'!H392="","",'تعديل الجرد'!H392))</f>
        <v/>
      </c>
      <c r="G1892" t="str">
        <f>IF($B1892&lt;&gt;"",SUMPRODUCT(($B$2:$B1892&lt;&gt;"")*1),"")</f>
        <v/>
      </c>
    </row>
    <row r="1893" spans="1:7">
      <c r="A1893" s="23" t="str">
        <f>IF('تعديل الجرد'!C393="","",'تعديل الجرد'!B393)</f>
        <v/>
      </c>
      <c r="B1893" t="str">
        <f>IF('تعديل الجرد'!C393="","","تعديل جرد")</f>
        <v/>
      </c>
      <c r="C1893" t="str">
        <f>IF('تعديل الجرد'!C393="","",IF('تعديل الجرد'!G393="","-",'تعديل الجرد'!G393))</f>
        <v/>
      </c>
      <c r="D1893" t="str">
        <f>IF('تعديل الجرد'!C393="","",'تعديل الجرد'!C393)</f>
        <v/>
      </c>
      <c r="E1893" s="24" t="str">
        <f>IF('تعديل الجرد'!C393="","",'تعديل الجرد'!F393)</f>
        <v/>
      </c>
      <c r="F1893" t="str">
        <f>IF('تعديل الجرد'!C393="","",IF('تعديل الجرد'!H393="","",'تعديل الجرد'!H393))</f>
        <v/>
      </c>
      <c r="G1893" t="str">
        <f>IF($B1893&lt;&gt;"",SUMPRODUCT(($B$2:$B1893&lt;&gt;"")*1),"")</f>
        <v/>
      </c>
    </row>
    <row r="1894" spans="1:7">
      <c r="A1894" s="23" t="str">
        <f>IF('تعديل الجرد'!C394="","",'تعديل الجرد'!B394)</f>
        <v/>
      </c>
      <c r="B1894" t="str">
        <f>IF('تعديل الجرد'!C394="","","تعديل جرد")</f>
        <v/>
      </c>
      <c r="C1894" t="str">
        <f>IF('تعديل الجرد'!C394="","",IF('تعديل الجرد'!G394="","-",'تعديل الجرد'!G394))</f>
        <v/>
      </c>
      <c r="D1894" t="str">
        <f>IF('تعديل الجرد'!C394="","",'تعديل الجرد'!C394)</f>
        <v/>
      </c>
      <c r="E1894" s="24" t="str">
        <f>IF('تعديل الجرد'!C394="","",'تعديل الجرد'!F394)</f>
        <v/>
      </c>
      <c r="F1894" t="str">
        <f>IF('تعديل الجرد'!C394="","",IF('تعديل الجرد'!H394="","",'تعديل الجرد'!H394))</f>
        <v/>
      </c>
      <c r="G1894" t="str">
        <f>IF($B1894&lt;&gt;"",SUMPRODUCT(($B$2:$B1894&lt;&gt;"")*1),"")</f>
        <v/>
      </c>
    </row>
    <row r="1895" spans="1:7">
      <c r="A1895" s="23" t="str">
        <f>IF('تعديل الجرد'!C395="","",'تعديل الجرد'!B395)</f>
        <v/>
      </c>
      <c r="B1895" t="str">
        <f>IF('تعديل الجرد'!C395="","","تعديل جرد")</f>
        <v/>
      </c>
      <c r="C1895" t="str">
        <f>IF('تعديل الجرد'!C395="","",IF('تعديل الجرد'!G395="","-",'تعديل الجرد'!G395))</f>
        <v/>
      </c>
      <c r="D1895" t="str">
        <f>IF('تعديل الجرد'!C395="","",'تعديل الجرد'!C395)</f>
        <v/>
      </c>
      <c r="E1895" s="24" t="str">
        <f>IF('تعديل الجرد'!C395="","",'تعديل الجرد'!F395)</f>
        <v/>
      </c>
      <c r="F1895" t="str">
        <f>IF('تعديل الجرد'!C395="","",IF('تعديل الجرد'!H395="","",'تعديل الجرد'!H395))</f>
        <v/>
      </c>
      <c r="G1895" t="str">
        <f>IF($B1895&lt;&gt;"",SUMPRODUCT(($B$2:$B1895&lt;&gt;"")*1),"")</f>
        <v/>
      </c>
    </row>
    <row r="1896" spans="1:7">
      <c r="A1896" s="23" t="str">
        <f>IF('تعديل الجرد'!C396="","",'تعديل الجرد'!B396)</f>
        <v/>
      </c>
      <c r="B1896" t="str">
        <f>IF('تعديل الجرد'!C396="","","تعديل جرد")</f>
        <v/>
      </c>
      <c r="C1896" t="str">
        <f>IF('تعديل الجرد'!C396="","",IF('تعديل الجرد'!G396="","-",'تعديل الجرد'!G396))</f>
        <v/>
      </c>
      <c r="D1896" t="str">
        <f>IF('تعديل الجرد'!C396="","",'تعديل الجرد'!C396)</f>
        <v/>
      </c>
      <c r="E1896" s="24" t="str">
        <f>IF('تعديل الجرد'!C396="","",'تعديل الجرد'!F396)</f>
        <v/>
      </c>
      <c r="F1896" t="str">
        <f>IF('تعديل الجرد'!C396="","",IF('تعديل الجرد'!H396="","",'تعديل الجرد'!H396))</f>
        <v/>
      </c>
      <c r="G1896" t="str">
        <f>IF($B1896&lt;&gt;"",SUMPRODUCT(($B$2:$B1896&lt;&gt;"")*1),"")</f>
        <v/>
      </c>
    </row>
    <row r="1897" spans="1:7">
      <c r="A1897" s="23" t="str">
        <f>IF('تعديل الجرد'!C397="","",'تعديل الجرد'!B397)</f>
        <v/>
      </c>
      <c r="B1897" t="str">
        <f>IF('تعديل الجرد'!C397="","","تعديل جرد")</f>
        <v/>
      </c>
      <c r="C1897" t="str">
        <f>IF('تعديل الجرد'!C397="","",IF('تعديل الجرد'!G397="","-",'تعديل الجرد'!G397))</f>
        <v/>
      </c>
      <c r="D1897" t="str">
        <f>IF('تعديل الجرد'!C397="","",'تعديل الجرد'!C397)</f>
        <v/>
      </c>
      <c r="E1897" s="24" t="str">
        <f>IF('تعديل الجرد'!C397="","",'تعديل الجرد'!F397)</f>
        <v/>
      </c>
      <c r="F1897" t="str">
        <f>IF('تعديل الجرد'!C397="","",IF('تعديل الجرد'!H397="","",'تعديل الجرد'!H397))</f>
        <v/>
      </c>
      <c r="G1897" t="str">
        <f>IF($B1897&lt;&gt;"",SUMPRODUCT(($B$2:$B1897&lt;&gt;"")*1),"")</f>
        <v/>
      </c>
    </row>
    <row r="1898" spans="1:7">
      <c r="A1898" s="23" t="str">
        <f>IF('تعديل الجرد'!C398="","",'تعديل الجرد'!B398)</f>
        <v/>
      </c>
      <c r="B1898" t="str">
        <f>IF('تعديل الجرد'!C398="","","تعديل جرد")</f>
        <v/>
      </c>
      <c r="C1898" t="str">
        <f>IF('تعديل الجرد'!C398="","",IF('تعديل الجرد'!G398="","-",'تعديل الجرد'!G398))</f>
        <v/>
      </c>
      <c r="D1898" t="str">
        <f>IF('تعديل الجرد'!C398="","",'تعديل الجرد'!C398)</f>
        <v/>
      </c>
      <c r="E1898" s="24" t="str">
        <f>IF('تعديل الجرد'!C398="","",'تعديل الجرد'!F398)</f>
        <v/>
      </c>
      <c r="F1898" t="str">
        <f>IF('تعديل الجرد'!C398="","",IF('تعديل الجرد'!H398="","",'تعديل الجرد'!H398))</f>
        <v/>
      </c>
      <c r="G1898" t="str">
        <f>IF($B1898&lt;&gt;"",SUMPRODUCT(($B$2:$B1898&lt;&gt;"")*1),"")</f>
        <v/>
      </c>
    </row>
    <row r="1899" spans="1:7">
      <c r="A1899" s="23" t="str">
        <f>IF('تعديل الجرد'!C399="","",'تعديل الجرد'!B399)</f>
        <v/>
      </c>
      <c r="B1899" t="str">
        <f>IF('تعديل الجرد'!C399="","","تعديل جرد")</f>
        <v/>
      </c>
      <c r="C1899" t="str">
        <f>IF('تعديل الجرد'!C399="","",IF('تعديل الجرد'!G399="","-",'تعديل الجرد'!G399))</f>
        <v/>
      </c>
      <c r="D1899" t="str">
        <f>IF('تعديل الجرد'!C399="","",'تعديل الجرد'!C399)</f>
        <v/>
      </c>
      <c r="E1899" s="24" t="str">
        <f>IF('تعديل الجرد'!C399="","",'تعديل الجرد'!F399)</f>
        <v/>
      </c>
      <c r="F1899" t="str">
        <f>IF('تعديل الجرد'!C399="","",IF('تعديل الجرد'!H399="","",'تعديل الجرد'!H399))</f>
        <v/>
      </c>
      <c r="G1899" t="str">
        <f>IF($B1899&lt;&gt;"",SUMPRODUCT(($B$2:$B1899&lt;&gt;"")*1),"")</f>
        <v/>
      </c>
    </row>
    <row r="1900" spans="1:7">
      <c r="A1900" s="23" t="str">
        <f>IF('تعديل الجرد'!C400="","",'تعديل الجرد'!B400)</f>
        <v/>
      </c>
      <c r="B1900" t="str">
        <f>IF('تعديل الجرد'!C400="","","تعديل جرد")</f>
        <v/>
      </c>
      <c r="C1900" t="str">
        <f>IF('تعديل الجرد'!C400="","",IF('تعديل الجرد'!G400="","-",'تعديل الجرد'!G400))</f>
        <v/>
      </c>
      <c r="D1900" t="str">
        <f>IF('تعديل الجرد'!C400="","",'تعديل الجرد'!C400)</f>
        <v/>
      </c>
      <c r="E1900" s="24" t="str">
        <f>IF('تعديل الجرد'!C400="","",'تعديل الجرد'!F400)</f>
        <v/>
      </c>
      <c r="F1900" t="str">
        <f>IF('تعديل الجرد'!C400="","",IF('تعديل الجرد'!H400="","",'تعديل الجرد'!H400))</f>
        <v/>
      </c>
      <c r="G1900" t="str">
        <f>IF($B1900&lt;&gt;"",SUMPRODUCT(($B$2:$B1900&lt;&gt;"")*1),"")</f>
        <v/>
      </c>
    </row>
    <row r="1901" spans="1:7">
      <c r="A1901" s="23" t="str">
        <f>IF('تعديل الجرد'!C401="","",'تعديل الجرد'!B401)</f>
        <v/>
      </c>
      <c r="B1901" t="str">
        <f>IF('تعديل الجرد'!C401="","","تعديل جرد")</f>
        <v/>
      </c>
      <c r="C1901" t="str">
        <f>IF('تعديل الجرد'!C401="","",IF('تعديل الجرد'!G401="","-",'تعديل الجرد'!G401))</f>
        <v/>
      </c>
      <c r="D1901" t="str">
        <f>IF('تعديل الجرد'!C401="","",'تعديل الجرد'!C401)</f>
        <v/>
      </c>
      <c r="E1901" s="24" t="str">
        <f>IF('تعديل الجرد'!C401="","",'تعديل الجرد'!F401)</f>
        <v/>
      </c>
      <c r="F1901" t="str">
        <f>IF('تعديل الجرد'!C401="","",IF('تعديل الجرد'!H401="","",'تعديل الجرد'!H401))</f>
        <v/>
      </c>
      <c r="G1901" t="str">
        <f>IF($B1901&lt;&gt;"",SUMPRODUCT(($B$2:$B1901&lt;&gt;"")*1),"")</f>
        <v/>
      </c>
    </row>
    <row r="1902" spans="1:7">
      <c r="A1902" s="23" t="str">
        <f>IF('تعديل الجرد'!C402="","",'تعديل الجرد'!B402)</f>
        <v/>
      </c>
      <c r="B1902" t="str">
        <f>IF('تعديل الجرد'!C402="","","تعديل جرد")</f>
        <v/>
      </c>
      <c r="C1902" t="str">
        <f>IF('تعديل الجرد'!C402="","",IF('تعديل الجرد'!G402="","-",'تعديل الجرد'!G402))</f>
        <v/>
      </c>
      <c r="D1902" t="str">
        <f>IF('تعديل الجرد'!C402="","",'تعديل الجرد'!C402)</f>
        <v/>
      </c>
      <c r="E1902" s="24" t="str">
        <f>IF('تعديل الجرد'!C402="","",'تعديل الجرد'!F402)</f>
        <v/>
      </c>
      <c r="F1902" t="str">
        <f>IF('تعديل الجرد'!C402="","",IF('تعديل الجرد'!H402="","",'تعديل الجرد'!H402))</f>
        <v/>
      </c>
      <c r="G1902" t="str">
        <f>IF($B1902&lt;&gt;"",SUMPRODUCT(($B$2:$B1902&lt;&gt;"")*1),"")</f>
        <v/>
      </c>
    </row>
    <row r="1903" spans="1:7">
      <c r="A1903" s="23" t="str">
        <f>IF('تعديل الجرد'!C403="","",'تعديل الجرد'!B403)</f>
        <v/>
      </c>
      <c r="B1903" t="str">
        <f>IF('تعديل الجرد'!C403="","","تعديل جرد")</f>
        <v/>
      </c>
      <c r="C1903" t="str">
        <f>IF('تعديل الجرد'!C403="","",IF('تعديل الجرد'!G403="","-",'تعديل الجرد'!G403))</f>
        <v/>
      </c>
      <c r="D1903" t="str">
        <f>IF('تعديل الجرد'!C403="","",'تعديل الجرد'!C403)</f>
        <v/>
      </c>
      <c r="E1903" s="24" t="str">
        <f>IF('تعديل الجرد'!C403="","",'تعديل الجرد'!F403)</f>
        <v/>
      </c>
      <c r="F1903" t="str">
        <f>IF('تعديل الجرد'!C403="","",IF('تعديل الجرد'!H403="","",'تعديل الجرد'!H403))</f>
        <v/>
      </c>
      <c r="G1903" t="str">
        <f>IF($B1903&lt;&gt;"",SUMPRODUCT(($B$2:$B1903&lt;&gt;"")*1),"")</f>
        <v/>
      </c>
    </row>
    <row r="1904" spans="1:7">
      <c r="A1904" s="23" t="str">
        <f>IF('تعديل الجرد'!C404="","",'تعديل الجرد'!B404)</f>
        <v/>
      </c>
      <c r="B1904" t="str">
        <f>IF('تعديل الجرد'!C404="","","تعديل جرد")</f>
        <v/>
      </c>
      <c r="C1904" t="str">
        <f>IF('تعديل الجرد'!C404="","",IF('تعديل الجرد'!G404="","-",'تعديل الجرد'!G404))</f>
        <v/>
      </c>
      <c r="D1904" t="str">
        <f>IF('تعديل الجرد'!C404="","",'تعديل الجرد'!C404)</f>
        <v/>
      </c>
      <c r="E1904" s="24" t="str">
        <f>IF('تعديل الجرد'!C404="","",'تعديل الجرد'!F404)</f>
        <v/>
      </c>
      <c r="F1904" t="str">
        <f>IF('تعديل الجرد'!C404="","",IF('تعديل الجرد'!H404="","",'تعديل الجرد'!H404))</f>
        <v/>
      </c>
      <c r="G1904" t="str">
        <f>IF($B1904&lt;&gt;"",SUMPRODUCT(($B$2:$B1904&lt;&gt;"")*1),"")</f>
        <v/>
      </c>
    </row>
    <row r="1905" spans="1:7">
      <c r="A1905" s="23" t="str">
        <f>IF('تعديل الجرد'!C405="","",'تعديل الجرد'!B405)</f>
        <v/>
      </c>
      <c r="B1905" t="str">
        <f>IF('تعديل الجرد'!C405="","","تعديل جرد")</f>
        <v/>
      </c>
      <c r="C1905" t="str">
        <f>IF('تعديل الجرد'!C405="","",IF('تعديل الجرد'!G405="","-",'تعديل الجرد'!G405))</f>
        <v/>
      </c>
      <c r="D1905" t="str">
        <f>IF('تعديل الجرد'!C405="","",'تعديل الجرد'!C405)</f>
        <v/>
      </c>
      <c r="E1905" s="24" t="str">
        <f>IF('تعديل الجرد'!C405="","",'تعديل الجرد'!F405)</f>
        <v/>
      </c>
      <c r="F1905" t="str">
        <f>IF('تعديل الجرد'!C405="","",IF('تعديل الجرد'!H405="","",'تعديل الجرد'!H405))</f>
        <v/>
      </c>
      <c r="G1905" t="str">
        <f>IF($B1905&lt;&gt;"",SUMPRODUCT(($B$2:$B1905&lt;&gt;"")*1),"")</f>
        <v/>
      </c>
    </row>
    <row r="1906" spans="1:7">
      <c r="A1906" s="23" t="str">
        <f>IF('تعديل الجرد'!C406="","",'تعديل الجرد'!B406)</f>
        <v/>
      </c>
      <c r="B1906" t="str">
        <f>IF('تعديل الجرد'!C406="","","تعديل جرد")</f>
        <v/>
      </c>
      <c r="C1906" t="str">
        <f>IF('تعديل الجرد'!C406="","",IF('تعديل الجرد'!G406="","-",'تعديل الجرد'!G406))</f>
        <v/>
      </c>
      <c r="D1906" t="str">
        <f>IF('تعديل الجرد'!C406="","",'تعديل الجرد'!C406)</f>
        <v/>
      </c>
      <c r="E1906" s="24" t="str">
        <f>IF('تعديل الجرد'!C406="","",'تعديل الجرد'!F406)</f>
        <v/>
      </c>
      <c r="F1906" t="str">
        <f>IF('تعديل الجرد'!C406="","",IF('تعديل الجرد'!H406="","",'تعديل الجرد'!H406))</f>
        <v/>
      </c>
      <c r="G1906" t="str">
        <f>IF($B1906&lt;&gt;"",SUMPRODUCT(($B$2:$B1906&lt;&gt;"")*1),"")</f>
        <v/>
      </c>
    </row>
    <row r="1907" spans="1:7">
      <c r="A1907" s="23" t="str">
        <f>IF('تعديل الجرد'!C407="","",'تعديل الجرد'!B407)</f>
        <v/>
      </c>
      <c r="B1907" t="str">
        <f>IF('تعديل الجرد'!C407="","","تعديل جرد")</f>
        <v/>
      </c>
      <c r="C1907" t="str">
        <f>IF('تعديل الجرد'!C407="","",IF('تعديل الجرد'!G407="","-",'تعديل الجرد'!G407))</f>
        <v/>
      </c>
      <c r="D1907" t="str">
        <f>IF('تعديل الجرد'!C407="","",'تعديل الجرد'!C407)</f>
        <v/>
      </c>
      <c r="E1907" s="24" t="str">
        <f>IF('تعديل الجرد'!C407="","",'تعديل الجرد'!F407)</f>
        <v/>
      </c>
      <c r="F1907" t="str">
        <f>IF('تعديل الجرد'!C407="","",IF('تعديل الجرد'!H407="","",'تعديل الجرد'!H407))</f>
        <v/>
      </c>
      <c r="G1907" t="str">
        <f>IF($B1907&lt;&gt;"",SUMPRODUCT(($B$2:$B1907&lt;&gt;"")*1),"")</f>
        <v/>
      </c>
    </row>
    <row r="1908" spans="1:7">
      <c r="A1908" s="23" t="str">
        <f>IF('تعديل الجرد'!C408="","",'تعديل الجرد'!B408)</f>
        <v/>
      </c>
      <c r="B1908" t="str">
        <f>IF('تعديل الجرد'!C408="","","تعديل جرد")</f>
        <v/>
      </c>
      <c r="C1908" t="str">
        <f>IF('تعديل الجرد'!C408="","",IF('تعديل الجرد'!G408="","-",'تعديل الجرد'!G408))</f>
        <v/>
      </c>
      <c r="D1908" t="str">
        <f>IF('تعديل الجرد'!C408="","",'تعديل الجرد'!C408)</f>
        <v/>
      </c>
      <c r="E1908" s="24" t="str">
        <f>IF('تعديل الجرد'!C408="","",'تعديل الجرد'!F408)</f>
        <v/>
      </c>
      <c r="F1908" t="str">
        <f>IF('تعديل الجرد'!C408="","",IF('تعديل الجرد'!H408="","",'تعديل الجرد'!H408))</f>
        <v/>
      </c>
      <c r="G1908" t="str">
        <f>IF($B1908&lt;&gt;"",SUMPRODUCT(($B$2:$B1908&lt;&gt;"")*1),"")</f>
        <v/>
      </c>
    </row>
    <row r="1909" spans="1:7">
      <c r="A1909" s="23" t="str">
        <f>IF('تعديل الجرد'!C409="","",'تعديل الجرد'!B409)</f>
        <v/>
      </c>
      <c r="B1909" t="str">
        <f>IF('تعديل الجرد'!C409="","","تعديل جرد")</f>
        <v/>
      </c>
      <c r="C1909" t="str">
        <f>IF('تعديل الجرد'!C409="","",IF('تعديل الجرد'!G409="","-",'تعديل الجرد'!G409))</f>
        <v/>
      </c>
      <c r="D1909" t="str">
        <f>IF('تعديل الجرد'!C409="","",'تعديل الجرد'!C409)</f>
        <v/>
      </c>
      <c r="E1909" s="24" t="str">
        <f>IF('تعديل الجرد'!C409="","",'تعديل الجرد'!F409)</f>
        <v/>
      </c>
      <c r="F1909" t="str">
        <f>IF('تعديل الجرد'!C409="","",IF('تعديل الجرد'!H409="","",'تعديل الجرد'!H409))</f>
        <v/>
      </c>
      <c r="G1909" t="str">
        <f>IF($B1909&lt;&gt;"",SUMPRODUCT(($B$2:$B1909&lt;&gt;"")*1),"")</f>
        <v/>
      </c>
    </row>
    <row r="1910" spans="1:7">
      <c r="A1910" s="23" t="str">
        <f>IF('تعديل الجرد'!C410="","",'تعديل الجرد'!B410)</f>
        <v/>
      </c>
      <c r="B1910" t="str">
        <f>IF('تعديل الجرد'!C410="","","تعديل جرد")</f>
        <v/>
      </c>
      <c r="C1910" t="str">
        <f>IF('تعديل الجرد'!C410="","",IF('تعديل الجرد'!G410="","-",'تعديل الجرد'!G410))</f>
        <v/>
      </c>
      <c r="D1910" t="str">
        <f>IF('تعديل الجرد'!C410="","",'تعديل الجرد'!C410)</f>
        <v/>
      </c>
      <c r="E1910" s="24" t="str">
        <f>IF('تعديل الجرد'!C410="","",'تعديل الجرد'!F410)</f>
        <v/>
      </c>
      <c r="F1910" t="str">
        <f>IF('تعديل الجرد'!C410="","",IF('تعديل الجرد'!H410="","",'تعديل الجرد'!H410))</f>
        <v/>
      </c>
      <c r="G1910" t="str">
        <f>IF($B1910&lt;&gt;"",SUMPRODUCT(($B$2:$B1910&lt;&gt;"")*1),"")</f>
        <v/>
      </c>
    </row>
    <row r="1911" spans="1:7">
      <c r="A1911" s="23" t="str">
        <f>IF('تعديل الجرد'!C411="","",'تعديل الجرد'!B411)</f>
        <v/>
      </c>
      <c r="B1911" t="str">
        <f>IF('تعديل الجرد'!C411="","","تعديل جرد")</f>
        <v/>
      </c>
      <c r="C1911" t="str">
        <f>IF('تعديل الجرد'!C411="","",IF('تعديل الجرد'!G411="","-",'تعديل الجرد'!G411))</f>
        <v/>
      </c>
      <c r="D1911" t="str">
        <f>IF('تعديل الجرد'!C411="","",'تعديل الجرد'!C411)</f>
        <v/>
      </c>
      <c r="E1911" s="24" t="str">
        <f>IF('تعديل الجرد'!C411="","",'تعديل الجرد'!F411)</f>
        <v/>
      </c>
      <c r="F1911" t="str">
        <f>IF('تعديل الجرد'!C411="","",IF('تعديل الجرد'!H411="","",'تعديل الجرد'!H411))</f>
        <v/>
      </c>
      <c r="G1911" t="str">
        <f>IF($B1911&lt;&gt;"",SUMPRODUCT(($B$2:$B1911&lt;&gt;"")*1),"")</f>
        <v/>
      </c>
    </row>
    <row r="1912" spans="1:7">
      <c r="A1912" s="23" t="str">
        <f>IF('تعديل الجرد'!C412="","",'تعديل الجرد'!B412)</f>
        <v/>
      </c>
      <c r="B1912" t="str">
        <f>IF('تعديل الجرد'!C412="","","تعديل جرد")</f>
        <v/>
      </c>
      <c r="C1912" t="str">
        <f>IF('تعديل الجرد'!C412="","",IF('تعديل الجرد'!G412="","-",'تعديل الجرد'!G412))</f>
        <v/>
      </c>
      <c r="D1912" t="str">
        <f>IF('تعديل الجرد'!C412="","",'تعديل الجرد'!C412)</f>
        <v/>
      </c>
      <c r="E1912" s="24" t="str">
        <f>IF('تعديل الجرد'!C412="","",'تعديل الجرد'!F412)</f>
        <v/>
      </c>
      <c r="F1912" t="str">
        <f>IF('تعديل الجرد'!C412="","",IF('تعديل الجرد'!H412="","",'تعديل الجرد'!H412))</f>
        <v/>
      </c>
      <c r="G1912" t="str">
        <f>IF($B1912&lt;&gt;"",SUMPRODUCT(($B$2:$B1912&lt;&gt;"")*1),"")</f>
        <v/>
      </c>
    </row>
    <row r="1913" spans="1:7">
      <c r="A1913" s="23" t="str">
        <f>IF('تعديل الجرد'!C413="","",'تعديل الجرد'!B413)</f>
        <v/>
      </c>
      <c r="B1913" t="str">
        <f>IF('تعديل الجرد'!C413="","","تعديل جرد")</f>
        <v/>
      </c>
      <c r="C1913" t="str">
        <f>IF('تعديل الجرد'!C413="","",IF('تعديل الجرد'!G413="","-",'تعديل الجرد'!G413))</f>
        <v/>
      </c>
      <c r="D1913" t="str">
        <f>IF('تعديل الجرد'!C413="","",'تعديل الجرد'!C413)</f>
        <v/>
      </c>
      <c r="E1913" s="24" t="str">
        <f>IF('تعديل الجرد'!C413="","",'تعديل الجرد'!F413)</f>
        <v/>
      </c>
      <c r="F1913" t="str">
        <f>IF('تعديل الجرد'!C413="","",IF('تعديل الجرد'!H413="","",'تعديل الجرد'!H413))</f>
        <v/>
      </c>
      <c r="G1913" t="str">
        <f>IF($B1913&lt;&gt;"",SUMPRODUCT(($B$2:$B1913&lt;&gt;"")*1),"")</f>
        <v/>
      </c>
    </row>
    <row r="1914" spans="1:7">
      <c r="A1914" s="23" t="str">
        <f>IF('تعديل الجرد'!C414="","",'تعديل الجرد'!B414)</f>
        <v/>
      </c>
      <c r="B1914" t="str">
        <f>IF('تعديل الجرد'!C414="","","تعديل جرد")</f>
        <v/>
      </c>
      <c r="C1914" t="str">
        <f>IF('تعديل الجرد'!C414="","",IF('تعديل الجرد'!G414="","-",'تعديل الجرد'!G414))</f>
        <v/>
      </c>
      <c r="D1914" t="str">
        <f>IF('تعديل الجرد'!C414="","",'تعديل الجرد'!C414)</f>
        <v/>
      </c>
      <c r="E1914" s="24" t="str">
        <f>IF('تعديل الجرد'!C414="","",'تعديل الجرد'!F414)</f>
        <v/>
      </c>
      <c r="F1914" t="str">
        <f>IF('تعديل الجرد'!C414="","",IF('تعديل الجرد'!H414="","",'تعديل الجرد'!H414))</f>
        <v/>
      </c>
      <c r="G1914" t="str">
        <f>IF($B1914&lt;&gt;"",SUMPRODUCT(($B$2:$B1914&lt;&gt;"")*1),"")</f>
        <v/>
      </c>
    </row>
    <row r="1915" spans="1:7">
      <c r="A1915" s="23" t="str">
        <f>IF('تعديل الجرد'!C415="","",'تعديل الجرد'!B415)</f>
        <v/>
      </c>
      <c r="B1915" t="str">
        <f>IF('تعديل الجرد'!C415="","","تعديل جرد")</f>
        <v/>
      </c>
      <c r="C1915" t="str">
        <f>IF('تعديل الجرد'!C415="","",IF('تعديل الجرد'!G415="","-",'تعديل الجرد'!G415))</f>
        <v/>
      </c>
      <c r="D1915" t="str">
        <f>IF('تعديل الجرد'!C415="","",'تعديل الجرد'!C415)</f>
        <v/>
      </c>
      <c r="E1915" s="24" t="str">
        <f>IF('تعديل الجرد'!C415="","",'تعديل الجرد'!F415)</f>
        <v/>
      </c>
      <c r="F1915" t="str">
        <f>IF('تعديل الجرد'!C415="","",IF('تعديل الجرد'!H415="","",'تعديل الجرد'!H415))</f>
        <v/>
      </c>
      <c r="G1915" t="str">
        <f>IF($B1915&lt;&gt;"",SUMPRODUCT(($B$2:$B1915&lt;&gt;"")*1),"")</f>
        <v/>
      </c>
    </row>
    <row r="1916" spans="1:7">
      <c r="A1916" s="23" t="str">
        <f>IF('تعديل الجرد'!C416="","",'تعديل الجرد'!B416)</f>
        <v/>
      </c>
      <c r="B1916" t="str">
        <f>IF('تعديل الجرد'!C416="","","تعديل جرد")</f>
        <v/>
      </c>
      <c r="C1916" t="str">
        <f>IF('تعديل الجرد'!C416="","",IF('تعديل الجرد'!G416="","-",'تعديل الجرد'!G416))</f>
        <v/>
      </c>
      <c r="D1916" t="str">
        <f>IF('تعديل الجرد'!C416="","",'تعديل الجرد'!C416)</f>
        <v/>
      </c>
      <c r="E1916" s="24" t="str">
        <f>IF('تعديل الجرد'!C416="","",'تعديل الجرد'!F416)</f>
        <v/>
      </c>
      <c r="F1916" t="str">
        <f>IF('تعديل الجرد'!C416="","",IF('تعديل الجرد'!H416="","",'تعديل الجرد'!H416))</f>
        <v/>
      </c>
      <c r="G1916" t="str">
        <f>IF($B1916&lt;&gt;"",SUMPRODUCT(($B$2:$B1916&lt;&gt;"")*1),"")</f>
        <v/>
      </c>
    </row>
    <row r="1917" spans="1:7">
      <c r="A1917" s="23" t="str">
        <f>IF('تعديل الجرد'!C417="","",'تعديل الجرد'!B417)</f>
        <v/>
      </c>
      <c r="B1917" t="str">
        <f>IF('تعديل الجرد'!C417="","","تعديل جرد")</f>
        <v/>
      </c>
      <c r="C1917" t="str">
        <f>IF('تعديل الجرد'!C417="","",IF('تعديل الجرد'!G417="","-",'تعديل الجرد'!G417))</f>
        <v/>
      </c>
      <c r="D1917" t="str">
        <f>IF('تعديل الجرد'!C417="","",'تعديل الجرد'!C417)</f>
        <v/>
      </c>
      <c r="E1917" s="24" t="str">
        <f>IF('تعديل الجرد'!C417="","",'تعديل الجرد'!F417)</f>
        <v/>
      </c>
      <c r="F1917" t="str">
        <f>IF('تعديل الجرد'!C417="","",IF('تعديل الجرد'!H417="","",'تعديل الجرد'!H417))</f>
        <v/>
      </c>
      <c r="G1917" t="str">
        <f>IF($B1917&lt;&gt;"",SUMPRODUCT(($B$2:$B1917&lt;&gt;"")*1),"")</f>
        <v/>
      </c>
    </row>
    <row r="1918" spans="1:7">
      <c r="A1918" s="23" t="str">
        <f>IF('تعديل الجرد'!C418="","",'تعديل الجرد'!B418)</f>
        <v/>
      </c>
      <c r="B1918" t="str">
        <f>IF('تعديل الجرد'!C418="","","تعديل جرد")</f>
        <v/>
      </c>
      <c r="C1918" t="str">
        <f>IF('تعديل الجرد'!C418="","",IF('تعديل الجرد'!G418="","-",'تعديل الجرد'!G418))</f>
        <v/>
      </c>
      <c r="D1918" t="str">
        <f>IF('تعديل الجرد'!C418="","",'تعديل الجرد'!C418)</f>
        <v/>
      </c>
      <c r="E1918" s="24" t="str">
        <f>IF('تعديل الجرد'!C418="","",'تعديل الجرد'!F418)</f>
        <v/>
      </c>
      <c r="F1918" t="str">
        <f>IF('تعديل الجرد'!C418="","",IF('تعديل الجرد'!H418="","",'تعديل الجرد'!H418))</f>
        <v/>
      </c>
      <c r="G1918" t="str">
        <f>IF($B1918&lt;&gt;"",SUMPRODUCT(($B$2:$B1918&lt;&gt;"")*1),"")</f>
        <v/>
      </c>
    </row>
    <row r="1919" spans="1:7">
      <c r="A1919" s="23" t="str">
        <f>IF('تعديل الجرد'!C419="","",'تعديل الجرد'!B419)</f>
        <v/>
      </c>
      <c r="B1919" t="str">
        <f>IF('تعديل الجرد'!C419="","","تعديل جرد")</f>
        <v/>
      </c>
      <c r="C1919" t="str">
        <f>IF('تعديل الجرد'!C419="","",IF('تعديل الجرد'!G419="","-",'تعديل الجرد'!G419))</f>
        <v/>
      </c>
      <c r="D1919" t="str">
        <f>IF('تعديل الجرد'!C419="","",'تعديل الجرد'!C419)</f>
        <v/>
      </c>
      <c r="E1919" s="24" t="str">
        <f>IF('تعديل الجرد'!C419="","",'تعديل الجرد'!F419)</f>
        <v/>
      </c>
      <c r="F1919" t="str">
        <f>IF('تعديل الجرد'!C419="","",IF('تعديل الجرد'!H419="","",'تعديل الجرد'!H419))</f>
        <v/>
      </c>
      <c r="G1919" t="str">
        <f>IF($B1919&lt;&gt;"",SUMPRODUCT(($B$2:$B1919&lt;&gt;"")*1),"")</f>
        <v/>
      </c>
    </row>
    <row r="1920" spans="1:7">
      <c r="A1920" s="23" t="str">
        <f>IF('تعديل الجرد'!C420="","",'تعديل الجرد'!B420)</f>
        <v/>
      </c>
      <c r="B1920" t="str">
        <f>IF('تعديل الجرد'!C420="","","تعديل جرد")</f>
        <v/>
      </c>
      <c r="C1920" t="str">
        <f>IF('تعديل الجرد'!C420="","",IF('تعديل الجرد'!G420="","-",'تعديل الجرد'!G420))</f>
        <v/>
      </c>
      <c r="D1920" t="str">
        <f>IF('تعديل الجرد'!C420="","",'تعديل الجرد'!C420)</f>
        <v/>
      </c>
      <c r="E1920" s="24" t="str">
        <f>IF('تعديل الجرد'!C420="","",'تعديل الجرد'!F420)</f>
        <v/>
      </c>
      <c r="F1920" t="str">
        <f>IF('تعديل الجرد'!C420="","",IF('تعديل الجرد'!H420="","",'تعديل الجرد'!H420))</f>
        <v/>
      </c>
      <c r="G1920" t="str">
        <f>IF($B1920&lt;&gt;"",SUMPRODUCT(($B$2:$B1920&lt;&gt;"")*1),"")</f>
        <v/>
      </c>
    </row>
    <row r="1921" spans="1:7">
      <c r="A1921" s="23" t="str">
        <f>IF('تعديل الجرد'!C421="","",'تعديل الجرد'!B421)</f>
        <v/>
      </c>
      <c r="B1921" t="str">
        <f>IF('تعديل الجرد'!C421="","","تعديل جرد")</f>
        <v/>
      </c>
      <c r="C1921" t="str">
        <f>IF('تعديل الجرد'!C421="","",IF('تعديل الجرد'!G421="","-",'تعديل الجرد'!G421))</f>
        <v/>
      </c>
      <c r="D1921" t="str">
        <f>IF('تعديل الجرد'!C421="","",'تعديل الجرد'!C421)</f>
        <v/>
      </c>
      <c r="E1921" s="24" t="str">
        <f>IF('تعديل الجرد'!C421="","",'تعديل الجرد'!F421)</f>
        <v/>
      </c>
      <c r="F1921" t="str">
        <f>IF('تعديل الجرد'!C421="","",IF('تعديل الجرد'!H421="","",'تعديل الجرد'!H421))</f>
        <v/>
      </c>
      <c r="G1921" t="str">
        <f>IF($B1921&lt;&gt;"",SUMPRODUCT(($B$2:$B1921&lt;&gt;"")*1),"")</f>
        <v/>
      </c>
    </row>
    <row r="1922" spans="1:7">
      <c r="A1922" s="23" t="str">
        <f>IF('تعديل الجرد'!C422="","",'تعديل الجرد'!B422)</f>
        <v/>
      </c>
      <c r="B1922" t="str">
        <f>IF('تعديل الجرد'!C422="","","تعديل جرد")</f>
        <v/>
      </c>
      <c r="C1922" t="str">
        <f>IF('تعديل الجرد'!C422="","",IF('تعديل الجرد'!G422="","-",'تعديل الجرد'!G422))</f>
        <v/>
      </c>
      <c r="D1922" t="str">
        <f>IF('تعديل الجرد'!C422="","",'تعديل الجرد'!C422)</f>
        <v/>
      </c>
      <c r="E1922" s="24" t="str">
        <f>IF('تعديل الجرد'!C422="","",'تعديل الجرد'!F422)</f>
        <v/>
      </c>
      <c r="F1922" t="str">
        <f>IF('تعديل الجرد'!C422="","",IF('تعديل الجرد'!H422="","",'تعديل الجرد'!H422))</f>
        <v/>
      </c>
      <c r="G1922" t="str">
        <f>IF($B1922&lt;&gt;"",SUMPRODUCT(($B$2:$B1922&lt;&gt;"")*1),"")</f>
        <v/>
      </c>
    </row>
    <row r="1923" spans="1:7">
      <c r="A1923" s="23" t="str">
        <f>IF('تعديل الجرد'!C423="","",'تعديل الجرد'!B423)</f>
        <v/>
      </c>
      <c r="B1923" t="str">
        <f>IF('تعديل الجرد'!C423="","","تعديل جرد")</f>
        <v/>
      </c>
      <c r="C1923" t="str">
        <f>IF('تعديل الجرد'!C423="","",IF('تعديل الجرد'!G423="","-",'تعديل الجرد'!G423))</f>
        <v/>
      </c>
      <c r="D1923" t="str">
        <f>IF('تعديل الجرد'!C423="","",'تعديل الجرد'!C423)</f>
        <v/>
      </c>
      <c r="E1923" s="24" t="str">
        <f>IF('تعديل الجرد'!C423="","",'تعديل الجرد'!F423)</f>
        <v/>
      </c>
      <c r="F1923" t="str">
        <f>IF('تعديل الجرد'!C423="","",IF('تعديل الجرد'!H423="","",'تعديل الجرد'!H423))</f>
        <v/>
      </c>
      <c r="G1923" t="str">
        <f>IF($B1923&lt;&gt;"",SUMPRODUCT(($B$2:$B1923&lt;&gt;"")*1),"")</f>
        <v/>
      </c>
    </row>
    <row r="1924" spans="1:7">
      <c r="A1924" s="23" t="str">
        <f>IF('تعديل الجرد'!C424="","",'تعديل الجرد'!B424)</f>
        <v/>
      </c>
      <c r="B1924" t="str">
        <f>IF('تعديل الجرد'!C424="","","تعديل جرد")</f>
        <v/>
      </c>
      <c r="C1924" t="str">
        <f>IF('تعديل الجرد'!C424="","",IF('تعديل الجرد'!G424="","-",'تعديل الجرد'!G424))</f>
        <v/>
      </c>
      <c r="D1924" t="str">
        <f>IF('تعديل الجرد'!C424="","",'تعديل الجرد'!C424)</f>
        <v/>
      </c>
      <c r="E1924" s="24" t="str">
        <f>IF('تعديل الجرد'!C424="","",'تعديل الجرد'!F424)</f>
        <v/>
      </c>
      <c r="F1924" t="str">
        <f>IF('تعديل الجرد'!C424="","",IF('تعديل الجرد'!H424="","",'تعديل الجرد'!H424))</f>
        <v/>
      </c>
      <c r="G1924" t="str">
        <f>IF($B1924&lt;&gt;"",SUMPRODUCT(($B$2:$B1924&lt;&gt;"")*1),"")</f>
        <v/>
      </c>
    </row>
    <row r="1925" spans="1:7">
      <c r="A1925" s="23" t="str">
        <f>IF('تعديل الجرد'!C425="","",'تعديل الجرد'!B425)</f>
        <v/>
      </c>
      <c r="B1925" t="str">
        <f>IF('تعديل الجرد'!C425="","","تعديل جرد")</f>
        <v/>
      </c>
      <c r="C1925" t="str">
        <f>IF('تعديل الجرد'!C425="","",IF('تعديل الجرد'!G425="","-",'تعديل الجرد'!G425))</f>
        <v/>
      </c>
      <c r="D1925" t="str">
        <f>IF('تعديل الجرد'!C425="","",'تعديل الجرد'!C425)</f>
        <v/>
      </c>
      <c r="E1925" s="24" t="str">
        <f>IF('تعديل الجرد'!C425="","",'تعديل الجرد'!F425)</f>
        <v/>
      </c>
      <c r="F1925" t="str">
        <f>IF('تعديل الجرد'!C425="","",IF('تعديل الجرد'!H425="","",'تعديل الجرد'!H425))</f>
        <v/>
      </c>
      <c r="G1925" t="str">
        <f>IF($B1925&lt;&gt;"",SUMPRODUCT(($B$2:$B1925&lt;&gt;"")*1),"")</f>
        <v/>
      </c>
    </row>
    <row r="1926" spans="1:7">
      <c r="A1926" s="23" t="str">
        <f>IF('تعديل الجرد'!C426="","",'تعديل الجرد'!B426)</f>
        <v/>
      </c>
      <c r="B1926" t="str">
        <f>IF('تعديل الجرد'!C426="","","تعديل جرد")</f>
        <v/>
      </c>
      <c r="C1926" t="str">
        <f>IF('تعديل الجرد'!C426="","",IF('تعديل الجرد'!G426="","-",'تعديل الجرد'!G426))</f>
        <v/>
      </c>
      <c r="D1926" t="str">
        <f>IF('تعديل الجرد'!C426="","",'تعديل الجرد'!C426)</f>
        <v/>
      </c>
      <c r="E1926" s="24" t="str">
        <f>IF('تعديل الجرد'!C426="","",'تعديل الجرد'!F426)</f>
        <v/>
      </c>
      <c r="F1926" t="str">
        <f>IF('تعديل الجرد'!C426="","",IF('تعديل الجرد'!H426="","",'تعديل الجرد'!H426))</f>
        <v/>
      </c>
      <c r="G1926" t="str">
        <f>IF($B1926&lt;&gt;"",SUMPRODUCT(($B$2:$B1926&lt;&gt;"")*1),"")</f>
        <v/>
      </c>
    </row>
    <row r="1927" spans="1:7">
      <c r="A1927" s="23" t="str">
        <f>IF('تعديل الجرد'!C427="","",'تعديل الجرد'!B427)</f>
        <v/>
      </c>
      <c r="B1927" t="str">
        <f>IF('تعديل الجرد'!C427="","","تعديل جرد")</f>
        <v/>
      </c>
      <c r="C1927" t="str">
        <f>IF('تعديل الجرد'!C427="","",IF('تعديل الجرد'!G427="","-",'تعديل الجرد'!G427))</f>
        <v/>
      </c>
      <c r="D1927" t="str">
        <f>IF('تعديل الجرد'!C427="","",'تعديل الجرد'!C427)</f>
        <v/>
      </c>
      <c r="E1927" s="24" t="str">
        <f>IF('تعديل الجرد'!C427="","",'تعديل الجرد'!F427)</f>
        <v/>
      </c>
      <c r="F1927" t="str">
        <f>IF('تعديل الجرد'!C427="","",IF('تعديل الجرد'!H427="","",'تعديل الجرد'!H427))</f>
        <v/>
      </c>
      <c r="G1927" t="str">
        <f>IF($B1927&lt;&gt;"",SUMPRODUCT(($B$2:$B1927&lt;&gt;"")*1),"")</f>
        <v/>
      </c>
    </row>
    <row r="1928" spans="1:7">
      <c r="A1928" s="23" t="str">
        <f>IF('تعديل الجرد'!C428="","",'تعديل الجرد'!B428)</f>
        <v/>
      </c>
      <c r="B1928" t="str">
        <f>IF('تعديل الجرد'!C428="","","تعديل جرد")</f>
        <v/>
      </c>
      <c r="C1928" t="str">
        <f>IF('تعديل الجرد'!C428="","",IF('تعديل الجرد'!G428="","-",'تعديل الجرد'!G428))</f>
        <v/>
      </c>
      <c r="D1928" t="str">
        <f>IF('تعديل الجرد'!C428="","",'تعديل الجرد'!C428)</f>
        <v/>
      </c>
      <c r="E1928" s="24" t="str">
        <f>IF('تعديل الجرد'!C428="","",'تعديل الجرد'!F428)</f>
        <v/>
      </c>
      <c r="F1928" t="str">
        <f>IF('تعديل الجرد'!C428="","",IF('تعديل الجرد'!H428="","",'تعديل الجرد'!H428))</f>
        <v/>
      </c>
      <c r="G1928" t="str">
        <f>IF($B1928&lt;&gt;"",SUMPRODUCT(($B$2:$B1928&lt;&gt;"")*1),"")</f>
        <v/>
      </c>
    </row>
    <row r="1929" spans="1:7">
      <c r="A1929" s="23" t="str">
        <f>IF('تعديل الجرد'!C429="","",'تعديل الجرد'!B429)</f>
        <v/>
      </c>
      <c r="B1929" t="str">
        <f>IF('تعديل الجرد'!C429="","","تعديل جرد")</f>
        <v/>
      </c>
      <c r="C1929" t="str">
        <f>IF('تعديل الجرد'!C429="","",IF('تعديل الجرد'!G429="","-",'تعديل الجرد'!G429))</f>
        <v/>
      </c>
      <c r="D1929" t="str">
        <f>IF('تعديل الجرد'!C429="","",'تعديل الجرد'!C429)</f>
        <v/>
      </c>
      <c r="E1929" s="24" t="str">
        <f>IF('تعديل الجرد'!C429="","",'تعديل الجرد'!F429)</f>
        <v/>
      </c>
      <c r="F1929" t="str">
        <f>IF('تعديل الجرد'!C429="","",IF('تعديل الجرد'!H429="","",'تعديل الجرد'!H429))</f>
        <v/>
      </c>
      <c r="G1929" t="str">
        <f>IF($B1929&lt;&gt;"",SUMPRODUCT(($B$2:$B1929&lt;&gt;"")*1),"")</f>
        <v/>
      </c>
    </row>
    <row r="1930" spans="1:7">
      <c r="A1930" s="23" t="str">
        <f>IF('تعديل الجرد'!C430="","",'تعديل الجرد'!B430)</f>
        <v/>
      </c>
      <c r="B1930" t="str">
        <f>IF('تعديل الجرد'!C430="","","تعديل جرد")</f>
        <v/>
      </c>
      <c r="C1930" t="str">
        <f>IF('تعديل الجرد'!C430="","",IF('تعديل الجرد'!G430="","-",'تعديل الجرد'!G430))</f>
        <v/>
      </c>
      <c r="D1930" t="str">
        <f>IF('تعديل الجرد'!C430="","",'تعديل الجرد'!C430)</f>
        <v/>
      </c>
      <c r="E1930" s="24" t="str">
        <f>IF('تعديل الجرد'!C430="","",'تعديل الجرد'!F430)</f>
        <v/>
      </c>
      <c r="F1930" t="str">
        <f>IF('تعديل الجرد'!C430="","",IF('تعديل الجرد'!H430="","",'تعديل الجرد'!H430))</f>
        <v/>
      </c>
      <c r="G1930" t="str">
        <f>IF($B1930&lt;&gt;"",SUMPRODUCT(($B$2:$B1930&lt;&gt;"")*1),"")</f>
        <v/>
      </c>
    </row>
    <row r="1931" spans="1:7">
      <c r="A1931" s="23" t="str">
        <f>IF('تعديل الجرد'!C431="","",'تعديل الجرد'!B431)</f>
        <v/>
      </c>
      <c r="B1931" t="str">
        <f>IF('تعديل الجرد'!C431="","","تعديل جرد")</f>
        <v/>
      </c>
      <c r="C1931" t="str">
        <f>IF('تعديل الجرد'!C431="","",IF('تعديل الجرد'!G431="","-",'تعديل الجرد'!G431))</f>
        <v/>
      </c>
      <c r="D1931" t="str">
        <f>IF('تعديل الجرد'!C431="","",'تعديل الجرد'!C431)</f>
        <v/>
      </c>
      <c r="E1931" s="24" t="str">
        <f>IF('تعديل الجرد'!C431="","",'تعديل الجرد'!F431)</f>
        <v/>
      </c>
      <c r="F1931" t="str">
        <f>IF('تعديل الجرد'!C431="","",IF('تعديل الجرد'!H431="","",'تعديل الجرد'!H431))</f>
        <v/>
      </c>
      <c r="G1931" t="str">
        <f>IF($B1931&lt;&gt;"",SUMPRODUCT(($B$2:$B1931&lt;&gt;"")*1),"")</f>
        <v/>
      </c>
    </row>
    <row r="1932" spans="1:7">
      <c r="A1932" s="23" t="str">
        <f>IF('تعديل الجرد'!C432="","",'تعديل الجرد'!B432)</f>
        <v/>
      </c>
      <c r="B1932" t="str">
        <f>IF('تعديل الجرد'!C432="","","تعديل جرد")</f>
        <v/>
      </c>
      <c r="C1932" t="str">
        <f>IF('تعديل الجرد'!C432="","",IF('تعديل الجرد'!G432="","-",'تعديل الجرد'!G432))</f>
        <v/>
      </c>
      <c r="D1932" t="str">
        <f>IF('تعديل الجرد'!C432="","",'تعديل الجرد'!C432)</f>
        <v/>
      </c>
      <c r="E1932" s="24" t="str">
        <f>IF('تعديل الجرد'!C432="","",'تعديل الجرد'!F432)</f>
        <v/>
      </c>
      <c r="F1932" t="str">
        <f>IF('تعديل الجرد'!C432="","",IF('تعديل الجرد'!H432="","",'تعديل الجرد'!H432))</f>
        <v/>
      </c>
      <c r="G1932" t="str">
        <f>IF($B1932&lt;&gt;"",SUMPRODUCT(($B$2:$B1932&lt;&gt;"")*1),"")</f>
        <v/>
      </c>
    </row>
    <row r="1933" spans="1:7">
      <c r="A1933" s="23" t="str">
        <f>IF('تعديل الجرد'!C433="","",'تعديل الجرد'!B433)</f>
        <v/>
      </c>
      <c r="B1933" t="str">
        <f>IF('تعديل الجرد'!C433="","","تعديل جرد")</f>
        <v/>
      </c>
      <c r="C1933" t="str">
        <f>IF('تعديل الجرد'!C433="","",IF('تعديل الجرد'!G433="","-",'تعديل الجرد'!G433))</f>
        <v/>
      </c>
      <c r="D1933" t="str">
        <f>IF('تعديل الجرد'!C433="","",'تعديل الجرد'!C433)</f>
        <v/>
      </c>
      <c r="E1933" s="24" t="str">
        <f>IF('تعديل الجرد'!C433="","",'تعديل الجرد'!F433)</f>
        <v/>
      </c>
      <c r="F1933" t="str">
        <f>IF('تعديل الجرد'!C433="","",IF('تعديل الجرد'!H433="","",'تعديل الجرد'!H433))</f>
        <v/>
      </c>
      <c r="G1933" t="str">
        <f>IF($B1933&lt;&gt;"",SUMPRODUCT(($B$2:$B1933&lt;&gt;"")*1),"")</f>
        <v/>
      </c>
    </row>
    <row r="1934" spans="1:7">
      <c r="A1934" s="23" t="str">
        <f>IF('تعديل الجرد'!C434="","",'تعديل الجرد'!B434)</f>
        <v/>
      </c>
      <c r="B1934" t="str">
        <f>IF('تعديل الجرد'!C434="","","تعديل جرد")</f>
        <v/>
      </c>
      <c r="C1934" t="str">
        <f>IF('تعديل الجرد'!C434="","",IF('تعديل الجرد'!G434="","-",'تعديل الجرد'!G434))</f>
        <v/>
      </c>
      <c r="D1934" t="str">
        <f>IF('تعديل الجرد'!C434="","",'تعديل الجرد'!C434)</f>
        <v/>
      </c>
      <c r="E1934" s="24" t="str">
        <f>IF('تعديل الجرد'!C434="","",'تعديل الجرد'!F434)</f>
        <v/>
      </c>
      <c r="F1934" t="str">
        <f>IF('تعديل الجرد'!C434="","",IF('تعديل الجرد'!H434="","",'تعديل الجرد'!H434))</f>
        <v/>
      </c>
      <c r="G1934" t="str">
        <f>IF($B1934&lt;&gt;"",SUMPRODUCT(($B$2:$B1934&lt;&gt;"")*1),"")</f>
        <v/>
      </c>
    </row>
    <row r="1935" spans="1:7">
      <c r="A1935" s="23" t="str">
        <f>IF('تعديل الجرد'!C435="","",'تعديل الجرد'!B435)</f>
        <v/>
      </c>
      <c r="B1935" t="str">
        <f>IF('تعديل الجرد'!C435="","","تعديل جرد")</f>
        <v/>
      </c>
      <c r="C1935" t="str">
        <f>IF('تعديل الجرد'!C435="","",IF('تعديل الجرد'!G435="","-",'تعديل الجرد'!G435))</f>
        <v/>
      </c>
      <c r="D1935" t="str">
        <f>IF('تعديل الجرد'!C435="","",'تعديل الجرد'!C435)</f>
        <v/>
      </c>
      <c r="E1935" s="24" t="str">
        <f>IF('تعديل الجرد'!C435="","",'تعديل الجرد'!F435)</f>
        <v/>
      </c>
      <c r="F1935" t="str">
        <f>IF('تعديل الجرد'!C435="","",IF('تعديل الجرد'!H435="","",'تعديل الجرد'!H435))</f>
        <v/>
      </c>
      <c r="G1935" t="str">
        <f>IF($B1935&lt;&gt;"",SUMPRODUCT(($B$2:$B1935&lt;&gt;"")*1),"")</f>
        <v/>
      </c>
    </row>
    <row r="1936" spans="1:7">
      <c r="A1936" s="23" t="str">
        <f>IF('تعديل الجرد'!C436="","",'تعديل الجرد'!B436)</f>
        <v/>
      </c>
      <c r="B1936" t="str">
        <f>IF('تعديل الجرد'!C436="","","تعديل جرد")</f>
        <v/>
      </c>
      <c r="C1936" t="str">
        <f>IF('تعديل الجرد'!C436="","",IF('تعديل الجرد'!G436="","-",'تعديل الجرد'!G436))</f>
        <v/>
      </c>
      <c r="D1936" t="str">
        <f>IF('تعديل الجرد'!C436="","",'تعديل الجرد'!C436)</f>
        <v/>
      </c>
      <c r="E1936" s="24" t="str">
        <f>IF('تعديل الجرد'!C436="","",'تعديل الجرد'!F436)</f>
        <v/>
      </c>
      <c r="F1936" t="str">
        <f>IF('تعديل الجرد'!C436="","",IF('تعديل الجرد'!H436="","",'تعديل الجرد'!H436))</f>
        <v/>
      </c>
      <c r="G1936" t="str">
        <f>IF($B1936&lt;&gt;"",SUMPRODUCT(($B$2:$B1936&lt;&gt;"")*1),"")</f>
        <v/>
      </c>
    </row>
    <row r="1937" spans="1:7">
      <c r="A1937" s="23" t="str">
        <f>IF('تعديل الجرد'!C437="","",'تعديل الجرد'!B437)</f>
        <v/>
      </c>
      <c r="B1937" t="str">
        <f>IF('تعديل الجرد'!C437="","","تعديل جرد")</f>
        <v/>
      </c>
      <c r="C1937" t="str">
        <f>IF('تعديل الجرد'!C437="","",IF('تعديل الجرد'!G437="","-",'تعديل الجرد'!G437))</f>
        <v/>
      </c>
      <c r="D1937" t="str">
        <f>IF('تعديل الجرد'!C437="","",'تعديل الجرد'!C437)</f>
        <v/>
      </c>
      <c r="E1937" s="24" t="str">
        <f>IF('تعديل الجرد'!C437="","",'تعديل الجرد'!F437)</f>
        <v/>
      </c>
      <c r="F1937" t="str">
        <f>IF('تعديل الجرد'!C437="","",IF('تعديل الجرد'!H437="","",'تعديل الجرد'!H437))</f>
        <v/>
      </c>
      <c r="G1937" t="str">
        <f>IF($B1937&lt;&gt;"",SUMPRODUCT(($B$2:$B1937&lt;&gt;"")*1),"")</f>
        <v/>
      </c>
    </row>
    <row r="1938" spans="1:7">
      <c r="A1938" s="23" t="str">
        <f>IF('تعديل الجرد'!C438="","",'تعديل الجرد'!B438)</f>
        <v/>
      </c>
      <c r="B1938" t="str">
        <f>IF('تعديل الجرد'!C438="","","تعديل جرد")</f>
        <v/>
      </c>
      <c r="C1938" t="str">
        <f>IF('تعديل الجرد'!C438="","",IF('تعديل الجرد'!G438="","-",'تعديل الجرد'!G438))</f>
        <v/>
      </c>
      <c r="D1938" t="str">
        <f>IF('تعديل الجرد'!C438="","",'تعديل الجرد'!C438)</f>
        <v/>
      </c>
      <c r="E1938" s="24" t="str">
        <f>IF('تعديل الجرد'!C438="","",'تعديل الجرد'!F438)</f>
        <v/>
      </c>
      <c r="F1938" t="str">
        <f>IF('تعديل الجرد'!C438="","",IF('تعديل الجرد'!H438="","",'تعديل الجرد'!H438))</f>
        <v/>
      </c>
      <c r="G1938" t="str">
        <f>IF($B1938&lt;&gt;"",SUMPRODUCT(($B$2:$B1938&lt;&gt;"")*1),"")</f>
        <v/>
      </c>
    </row>
    <row r="1939" spans="1:7">
      <c r="A1939" s="23" t="str">
        <f>IF('تعديل الجرد'!C439="","",'تعديل الجرد'!B439)</f>
        <v/>
      </c>
      <c r="B1939" t="str">
        <f>IF('تعديل الجرد'!C439="","","تعديل جرد")</f>
        <v/>
      </c>
      <c r="C1939" t="str">
        <f>IF('تعديل الجرد'!C439="","",IF('تعديل الجرد'!G439="","-",'تعديل الجرد'!G439))</f>
        <v/>
      </c>
      <c r="D1939" t="str">
        <f>IF('تعديل الجرد'!C439="","",'تعديل الجرد'!C439)</f>
        <v/>
      </c>
      <c r="E1939" s="24" t="str">
        <f>IF('تعديل الجرد'!C439="","",'تعديل الجرد'!F439)</f>
        <v/>
      </c>
      <c r="F1939" t="str">
        <f>IF('تعديل الجرد'!C439="","",IF('تعديل الجرد'!H439="","",'تعديل الجرد'!H439))</f>
        <v/>
      </c>
      <c r="G1939" t="str">
        <f>IF($B1939&lt;&gt;"",SUMPRODUCT(($B$2:$B1939&lt;&gt;"")*1),"")</f>
        <v/>
      </c>
    </row>
    <row r="1940" spans="1:7">
      <c r="A1940" s="23" t="str">
        <f>IF('تعديل الجرد'!C440="","",'تعديل الجرد'!B440)</f>
        <v/>
      </c>
      <c r="B1940" t="str">
        <f>IF('تعديل الجرد'!C440="","","تعديل جرد")</f>
        <v/>
      </c>
      <c r="C1940" t="str">
        <f>IF('تعديل الجرد'!C440="","",IF('تعديل الجرد'!G440="","-",'تعديل الجرد'!G440))</f>
        <v/>
      </c>
      <c r="D1940" t="str">
        <f>IF('تعديل الجرد'!C440="","",'تعديل الجرد'!C440)</f>
        <v/>
      </c>
      <c r="E1940" s="24" t="str">
        <f>IF('تعديل الجرد'!C440="","",'تعديل الجرد'!F440)</f>
        <v/>
      </c>
      <c r="F1940" t="str">
        <f>IF('تعديل الجرد'!C440="","",IF('تعديل الجرد'!H440="","",'تعديل الجرد'!H440))</f>
        <v/>
      </c>
      <c r="G1940" t="str">
        <f>IF($B1940&lt;&gt;"",SUMPRODUCT(($B$2:$B1940&lt;&gt;"")*1),"")</f>
        <v/>
      </c>
    </row>
    <row r="1941" spans="1:7">
      <c r="A1941" s="23" t="str">
        <f>IF('تعديل الجرد'!C441="","",'تعديل الجرد'!B441)</f>
        <v/>
      </c>
      <c r="B1941" t="str">
        <f>IF('تعديل الجرد'!C441="","","تعديل جرد")</f>
        <v/>
      </c>
      <c r="C1941" t="str">
        <f>IF('تعديل الجرد'!C441="","",IF('تعديل الجرد'!G441="","-",'تعديل الجرد'!G441))</f>
        <v/>
      </c>
      <c r="D1941" t="str">
        <f>IF('تعديل الجرد'!C441="","",'تعديل الجرد'!C441)</f>
        <v/>
      </c>
      <c r="E1941" s="24" t="str">
        <f>IF('تعديل الجرد'!C441="","",'تعديل الجرد'!F441)</f>
        <v/>
      </c>
      <c r="F1941" t="str">
        <f>IF('تعديل الجرد'!C441="","",IF('تعديل الجرد'!H441="","",'تعديل الجرد'!H441))</f>
        <v/>
      </c>
      <c r="G1941" t="str">
        <f>IF($B1941&lt;&gt;"",SUMPRODUCT(($B$2:$B1941&lt;&gt;"")*1),"")</f>
        <v/>
      </c>
    </row>
    <row r="1942" spans="1:7">
      <c r="A1942" s="23" t="str">
        <f>IF('تعديل الجرد'!C442="","",'تعديل الجرد'!B442)</f>
        <v/>
      </c>
      <c r="B1942" t="str">
        <f>IF('تعديل الجرد'!C442="","","تعديل جرد")</f>
        <v/>
      </c>
      <c r="C1942" t="str">
        <f>IF('تعديل الجرد'!C442="","",IF('تعديل الجرد'!G442="","-",'تعديل الجرد'!G442))</f>
        <v/>
      </c>
      <c r="D1942" t="str">
        <f>IF('تعديل الجرد'!C442="","",'تعديل الجرد'!C442)</f>
        <v/>
      </c>
      <c r="E1942" s="24" t="str">
        <f>IF('تعديل الجرد'!C442="","",'تعديل الجرد'!F442)</f>
        <v/>
      </c>
      <c r="F1942" t="str">
        <f>IF('تعديل الجرد'!C442="","",IF('تعديل الجرد'!H442="","",'تعديل الجرد'!H442))</f>
        <v/>
      </c>
      <c r="G1942" t="str">
        <f>IF($B1942&lt;&gt;"",SUMPRODUCT(($B$2:$B1942&lt;&gt;"")*1),"")</f>
        <v/>
      </c>
    </row>
    <row r="1943" spans="1:7">
      <c r="A1943" s="23" t="str">
        <f>IF('تعديل الجرد'!C443="","",'تعديل الجرد'!B443)</f>
        <v/>
      </c>
      <c r="B1943" t="str">
        <f>IF('تعديل الجرد'!C443="","","تعديل جرد")</f>
        <v/>
      </c>
      <c r="C1943" t="str">
        <f>IF('تعديل الجرد'!C443="","",IF('تعديل الجرد'!G443="","-",'تعديل الجرد'!G443))</f>
        <v/>
      </c>
      <c r="D1943" t="str">
        <f>IF('تعديل الجرد'!C443="","",'تعديل الجرد'!C443)</f>
        <v/>
      </c>
      <c r="E1943" s="24" t="str">
        <f>IF('تعديل الجرد'!C443="","",'تعديل الجرد'!F443)</f>
        <v/>
      </c>
      <c r="F1943" t="str">
        <f>IF('تعديل الجرد'!C443="","",IF('تعديل الجرد'!H443="","",'تعديل الجرد'!H443))</f>
        <v/>
      </c>
      <c r="G1943" t="str">
        <f>IF($B1943&lt;&gt;"",SUMPRODUCT(($B$2:$B1943&lt;&gt;"")*1),"")</f>
        <v/>
      </c>
    </row>
    <row r="1944" spans="1:7">
      <c r="A1944" s="23" t="str">
        <f>IF('تعديل الجرد'!C444="","",'تعديل الجرد'!B444)</f>
        <v/>
      </c>
      <c r="B1944" t="str">
        <f>IF('تعديل الجرد'!C444="","","تعديل جرد")</f>
        <v/>
      </c>
      <c r="C1944" t="str">
        <f>IF('تعديل الجرد'!C444="","",IF('تعديل الجرد'!G444="","-",'تعديل الجرد'!G444))</f>
        <v/>
      </c>
      <c r="D1944" t="str">
        <f>IF('تعديل الجرد'!C444="","",'تعديل الجرد'!C444)</f>
        <v/>
      </c>
      <c r="E1944" s="24" t="str">
        <f>IF('تعديل الجرد'!C444="","",'تعديل الجرد'!F444)</f>
        <v/>
      </c>
      <c r="F1944" t="str">
        <f>IF('تعديل الجرد'!C444="","",IF('تعديل الجرد'!H444="","",'تعديل الجرد'!H444))</f>
        <v/>
      </c>
      <c r="G1944" t="str">
        <f>IF($B1944&lt;&gt;"",SUMPRODUCT(($B$2:$B1944&lt;&gt;"")*1),"")</f>
        <v/>
      </c>
    </row>
    <row r="1945" spans="1:7">
      <c r="A1945" s="23" t="str">
        <f>IF('تعديل الجرد'!C445="","",'تعديل الجرد'!B445)</f>
        <v/>
      </c>
      <c r="B1945" t="str">
        <f>IF('تعديل الجرد'!C445="","","تعديل جرد")</f>
        <v/>
      </c>
      <c r="C1945" t="str">
        <f>IF('تعديل الجرد'!C445="","",IF('تعديل الجرد'!G445="","-",'تعديل الجرد'!G445))</f>
        <v/>
      </c>
      <c r="D1945" t="str">
        <f>IF('تعديل الجرد'!C445="","",'تعديل الجرد'!C445)</f>
        <v/>
      </c>
      <c r="E1945" s="24" t="str">
        <f>IF('تعديل الجرد'!C445="","",'تعديل الجرد'!F445)</f>
        <v/>
      </c>
      <c r="F1945" t="str">
        <f>IF('تعديل الجرد'!C445="","",IF('تعديل الجرد'!H445="","",'تعديل الجرد'!H445))</f>
        <v/>
      </c>
      <c r="G1945" t="str">
        <f>IF($B1945&lt;&gt;"",SUMPRODUCT(($B$2:$B1945&lt;&gt;"")*1),"")</f>
        <v/>
      </c>
    </row>
    <row r="1946" spans="1:7">
      <c r="A1946" s="23" t="str">
        <f>IF('تعديل الجرد'!C446="","",'تعديل الجرد'!B446)</f>
        <v/>
      </c>
      <c r="B1946" t="str">
        <f>IF('تعديل الجرد'!C446="","","تعديل جرد")</f>
        <v/>
      </c>
      <c r="C1946" t="str">
        <f>IF('تعديل الجرد'!C446="","",IF('تعديل الجرد'!G446="","-",'تعديل الجرد'!G446))</f>
        <v/>
      </c>
      <c r="D1946" t="str">
        <f>IF('تعديل الجرد'!C446="","",'تعديل الجرد'!C446)</f>
        <v/>
      </c>
      <c r="E1946" s="24" t="str">
        <f>IF('تعديل الجرد'!C446="","",'تعديل الجرد'!F446)</f>
        <v/>
      </c>
      <c r="F1946" t="str">
        <f>IF('تعديل الجرد'!C446="","",IF('تعديل الجرد'!H446="","",'تعديل الجرد'!H446))</f>
        <v/>
      </c>
      <c r="G1946" t="str">
        <f>IF($B1946&lt;&gt;"",SUMPRODUCT(($B$2:$B1946&lt;&gt;"")*1),"")</f>
        <v/>
      </c>
    </row>
    <row r="1947" spans="1:7">
      <c r="A1947" s="23" t="str">
        <f>IF('تعديل الجرد'!C447="","",'تعديل الجرد'!B447)</f>
        <v/>
      </c>
      <c r="B1947" t="str">
        <f>IF('تعديل الجرد'!C447="","","تعديل جرد")</f>
        <v/>
      </c>
      <c r="C1947" t="str">
        <f>IF('تعديل الجرد'!C447="","",IF('تعديل الجرد'!G447="","-",'تعديل الجرد'!G447))</f>
        <v/>
      </c>
      <c r="D1947" t="str">
        <f>IF('تعديل الجرد'!C447="","",'تعديل الجرد'!C447)</f>
        <v/>
      </c>
      <c r="E1947" s="24" t="str">
        <f>IF('تعديل الجرد'!C447="","",'تعديل الجرد'!F447)</f>
        <v/>
      </c>
      <c r="F1947" t="str">
        <f>IF('تعديل الجرد'!C447="","",IF('تعديل الجرد'!H447="","",'تعديل الجرد'!H447))</f>
        <v/>
      </c>
      <c r="G1947" t="str">
        <f>IF($B1947&lt;&gt;"",SUMPRODUCT(($B$2:$B1947&lt;&gt;"")*1),"")</f>
        <v/>
      </c>
    </row>
    <row r="1948" spans="1:7">
      <c r="A1948" s="23" t="str">
        <f>IF('تعديل الجرد'!C448="","",'تعديل الجرد'!B448)</f>
        <v/>
      </c>
      <c r="B1948" t="str">
        <f>IF('تعديل الجرد'!C448="","","تعديل جرد")</f>
        <v/>
      </c>
      <c r="C1948" t="str">
        <f>IF('تعديل الجرد'!C448="","",IF('تعديل الجرد'!G448="","-",'تعديل الجرد'!G448))</f>
        <v/>
      </c>
      <c r="D1948" t="str">
        <f>IF('تعديل الجرد'!C448="","",'تعديل الجرد'!C448)</f>
        <v/>
      </c>
      <c r="E1948" s="24" t="str">
        <f>IF('تعديل الجرد'!C448="","",'تعديل الجرد'!F448)</f>
        <v/>
      </c>
      <c r="F1948" t="str">
        <f>IF('تعديل الجرد'!C448="","",IF('تعديل الجرد'!H448="","",'تعديل الجرد'!H448))</f>
        <v/>
      </c>
      <c r="G1948" t="str">
        <f>IF($B1948&lt;&gt;"",SUMPRODUCT(($B$2:$B1948&lt;&gt;"")*1),"")</f>
        <v/>
      </c>
    </row>
    <row r="1949" spans="1:7">
      <c r="A1949" s="23" t="str">
        <f>IF('تعديل الجرد'!C449="","",'تعديل الجرد'!B449)</f>
        <v/>
      </c>
      <c r="B1949" t="str">
        <f>IF('تعديل الجرد'!C449="","","تعديل جرد")</f>
        <v/>
      </c>
      <c r="C1949" t="str">
        <f>IF('تعديل الجرد'!C449="","",IF('تعديل الجرد'!G449="","-",'تعديل الجرد'!G449))</f>
        <v/>
      </c>
      <c r="D1949" t="str">
        <f>IF('تعديل الجرد'!C449="","",'تعديل الجرد'!C449)</f>
        <v/>
      </c>
      <c r="E1949" s="24" t="str">
        <f>IF('تعديل الجرد'!C449="","",'تعديل الجرد'!F449)</f>
        <v/>
      </c>
      <c r="F1949" t="str">
        <f>IF('تعديل الجرد'!C449="","",IF('تعديل الجرد'!H449="","",'تعديل الجرد'!H449))</f>
        <v/>
      </c>
      <c r="G1949" t="str">
        <f>IF($B1949&lt;&gt;"",SUMPRODUCT(($B$2:$B1949&lt;&gt;"")*1),"")</f>
        <v/>
      </c>
    </row>
    <row r="1950" spans="1:7">
      <c r="A1950" s="23" t="str">
        <f>IF('تعديل الجرد'!C450="","",'تعديل الجرد'!B450)</f>
        <v/>
      </c>
      <c r="B1950" t="str">
        <f>IF('تعديل الجرد'!C450="","","تعديل جرد")</f>
        <v/>
      </c>
      <c r="C1950" t="str">
        <f>IF('تعديل الجرد'!C450="","",IF('تعديل الجرد'!G450="","-",'تعديل الجرد'!G450))</f>
        <v/>
      </c>
      <c r="D1950" t="str">
        <f>IF('تعديل الجرد'!C450="","",'تعديل الجرد'!C450)</f>
        <v/>
      </c>
      <c r="E1950" s="24" t="str">
        <f>IF('تعديل الجرد'!C450="","",'تعديل الجرد'!F450)</f>
        <v/>
      </c>
      <c r="F1950" t="str">
        <f>IF('تعديل الجرد'!C450="","",IF('تعديل الجرد'!H450="","",'تعديل الجرد'!H450))</f>
        <v/>
      </c>
      <c r="G1950" t="str">
        <f>IF($B1950&lt;&gt;"",SUMPRODUCT(($B$2:$B1950&lt;&gt;"")*1),"")</f>
        <v/>
      </c>
    </row>
    <row r="1951" spans="1:7">
      <c r="A1951" s="23" t="str">
        <f>IF('تعديل الجرد'!C451="","",'تعديل الجرد'!B451)</f>
        <v/>
      </c>
      <c r="B1951" t="str">
        <f>IF('تعديل الجرد'!C451="","","تعديل جرد")</f>
        <v/>
      </c>
      <c r="C1951" t="str">
        <f>IF('تعديل الجرد'!C451="","",IF('تعديل الجرد'!G451="","-",'تعديل الجرد'!G451))</f>
        <v/>
      </c>
      <c r="D1951" t="str">
        <f>IF('تعديل الجرد'!C451="","",'تعديل الجرد'!C451)</f>
        <v/>
      </c>
      <c r="E1951" s="24" t="str">
        <f>IF('تعديل الجرد'!C451="","",'تعديل الجرد'!F451)</f>
        <v/>
      </c>
      <c r="F1951" t="str">
        <f>IF('تعديل الجرد'!C451="","",IF('تعديل الجرد'!H451="","",'تعديل الجرد'!H451))</f>
        <v/>
      </c>
      <c r="G1951" t="str">
        <f>IF($B1951&lt;&gt;"",SUMPRODUCT(($B$2:$B1951&lt;&gt;"")*1),"")</f>
        <v/>
      </c>
    </row>
    <row r="1952" spans="1:7">
      <c r="A1952" s="23" t="str">
        <f>IF('تعديل الجرد'!C452="","",'تعديل الجرد'!B452)</f>
        <v/>
      </c>
      <c r="B1952" t="str">
        <f>IF('تعديل الجرد'!C452="","","تعديل جرد")</f>
        <v/>
      </c>
      <c r="C1952" t="str">
        <f>IF('تعديل الجرد'!C452="","",IF('تعديل الجرد'!G452="","-",'تعديل الجرد'!G452))</f>
        <v/>
      </c>
      <c r="D1952" t="str">
        <f>IF('تعديل الجرد'!C452="","",'تعديل الجرد'!C452)</f>
        <v/>
      </c>
      <c r="E1952" s="24" t="str">
        <f>IF('تعديل الجرد'!C452="","",'تعديل الجرد'!F452)</f>
        <v/>
      </c>
      <c r="F1952" t="str">
        <f>IF('تعديل الجرد'!C452="","",IF('تعديل الجرد'!H452="","",'تعديل الجرد'!H452))</f>
        <v/>
      </c>
      <c r="G1952" t="str">
        <f>IF($B1952&lt;&gt;"",SUMPRODUCT(($B$2:$B1952&lt;&gt;"")*1),"")</f>
        <v/>
      </c>
    </row>
    <row r="1953" spans="1:7">
      <c r="A1953" s="23" t="str">
        <f>IF('تعديل الجرد'!C453="","",'تعديل الجرد'!B453)</f>
        <v/>
      </c>
      <c r="B1953" t="str">
        <f>IF('تعديل الجرد'!C453="","","تعديل جرد")</f>
        <v/>
      </c>
      <c r="C1953" t="str">
        <f>IF('تعديل الجرد'!C453="","",IF('تعديل الجرد'!G453="","-",'تعديل الجرد'!G453))</f>
        <v/>
      </c>
      <c r="D1953" t="str">
        <f>IF('تعديل الجرد'!C453="","",'تعديل الجرد'!C453)</f>
        <v/>
      </c>
      <c r="E1953" s="24" t="str">
        <f>IF('تعديل الجرد'!C453="","",'تعديل الجرد'!F453)</f>
        <v/>
      </c>
      <c r="F1953" t="str">
        <f>IF('تعديل الجرد'!C453="","",IF('تعديل الجرد'!H453="","",'تعديل الجرد'!H453))</f>
        <v/>
      </c>
      <c r="G1953" t="str">
        <f>IF($B1953&lt;&gt;"",SUMPRODUCT(($B$2:$B1953&lt;&gt;"")*1),"")</f>
        <v/>
      </c>
    </row>
    <row r="1954" spans="1:7">
      <c r="A1954" s="23" t="str">
        <f>IF('تعديل الجرد'!C454="","",'تعديل الجرد'!B454)</f>
        <v/>
      </c>
      <c r="B1954" t="str">
        <f>IF('تعديل الجرد'!C454="","","تعديل جرد")</f>
        <v/>
      </c>
      <c r="C1954" t="str">
        <f>IF('تعديل الجرد'!C454="","",IF('تعديل الجرد'!G454="","-",'تعديل الجرد'!G454))</f>
        <v/>
      </c>
      <c r="D1954" t="str">
        <f>IF('تعديل الجرد'!C454="","",'تعديل الجرد'!C454)</f>
        <v/>
      </c>
      <c r="E1954" s="24" t="str">
        <f>IF('تعديل الجرد'!C454="","",'تعديل الجرد'!F454)</f>
        <v/>
      </c>
      <c r="F1954" t="str">
        <f>IF('تعديل الجرد'!C454="","",IF('تعديل الجرد'!H454="","",'تعديل الجرد'!H454))</f>
        <v/>
      </c>
      <c r="G1954" t="str">
        <f>IF($B1954&lt;&gt;"",SUMPRODUCT(($B$2:$B1954&lt;&gt;"")*1),"")</f>
        <v/>
      </c>
    </row>
    <row r="1955" spans="1:7">
      <c r="A1955" s="23" t="str">
        <f>IF('تعديل الجرد'!C455="","",'تعديل الجرد'!B455)</f>
        <v/>
      </c>
      <c r="B1955" t="str">
        <f>IF('تعديل الجرد'!C455="","","تعديل جرد")</f>
        <v/>
      </c>
      <c r="C1955" t="str">
        <f>IF('تعديل الجرد'!C455="","",IF('تعديل الجرد'!G455="","-",'تعديل الجرد'!G455))</f>
        <v/>
      </c>
      <c r="D1955" t="str">
        <f>IF('تعديل الجرد'!C455="","",'تعديل الجرد'!C455)</f>
        <v/>
      </c>
      <c r="E1955" s="24" t="str">
        <f>IF('تعديل الجرد'!C455="","",'تعديل الجرد'!F455)</f>
        <v/>
      </c>
      <c r="F1955" t="str">
        <f>IF('تعديل الجرد'!C455="","",IF('تعديل الجرد'!H455="","",'تعديل الجرد'!H455))</f>
        <v/>
      </c>
      <c r="G1955" t="str">
        <f>IF($B1955&lt;&gt;"",SUMPRODUCT(($B$2:$B1955&lt;&gt;"")*1),"")</f>
        <v/>
      </c>
    </row>
    <row r="1956" spans="1:7">
      <c r="A1956" s="23" t="str">
        <f>IF('تعديل الجرد'!C456="","",'تعديل الجرد'!B456)</f>
        <v/>
      </c>
      <c r="B1956" t="str">
        <f>IF('تعديل الجرد'!C456="","","تعديل جرد")</f>
        <v/>
      </c>
      <c r="C1956" t="str">
        <f>IF('تعديل الجرد'!C456="","",IF('تعديل الجرد'!G456="","-",'تعديل الجرد'!G456))</f>
        <v/>
      </c>
      <c r="D1956" t="str">
        <f>IF('تعديل الجرد'!C456="","",'تعديل الجرد'!C456)</f>
        <v/>
      </c>
      <c r="E1956" s="24" t="str">
        <f>IF('تعديل الجرد'!C456="","",'تعديل الجرد'!F456)</f>
        <v/>
      </c>
      <c r="F1956" t="str">
        <f>IF('تعديل الجرد'!C456="","",IF('تعديل الجرد'!H456="","",'تعديل الجرد'!H456))</f>
        <v/>
      </c>
      <c r="G1956" t="str">
        <f>IF($B1956&lt;&gt;"",SUMPRODUCT(($B$2:$B1956&lt;&gt;"")*1),"")</f>
        <v/>
      </c>
    </row>
    <row r="1957" spans="1:7">
      <c r="A1957" s="23" t="str">
        <f>IF('تعديل الجرد'!C457="","",'تعديل الجرد'!B457)</f>
        <v/>
      </c>
      <c r="B1957" t="str">
        <f>IF('تعديل الجرد'!C457="","","تعديل جرد")</f>
        <v/>
      </c>
      <c r="C1957" t="str">
        <f>IF('تعديل الجرد'!C457="","",IF('تعديل الجرد'!G457="","-",'تعديل الجرد'!G457))</f>
        <v/>
      </c>
      <c r="D1957" t="str">
        <f>IF('تعديل الجرد'!C457="","",'تعديل الجرد'!C457)</f>
        <v/>
      </c>
      <c r="E1957" s="24" t="str">
        <f>IF('تعديل الجرد'!C457="","",'تعديل الجرد'!F457)</f>
        <v/>
      </c>
      <c r="F1957" t="str">
        <f>IF('تعديل الجرد'!C457="","",IF('تعديل الجرد'!H457="","",'تعديل الجرد'!H457))</f>
        <v/>
      </c>
      <c r="G1957" t="str">
        <f>IF($B1957&lt;&gt;"",SUMPRODUCT(($B$2:$B1957&lt;&gt;"")*1),"")</f>
        <v/>
      </c>
    </row>
    <row r="1958" spans="1:7">
      <c r="A1958" s="23" t="str">
        <f>IF('تعديل الجرد'!C458="","",'تعديل الجرد'!B458)</f>
        <v/>
      </c>
      <c r="B1958" t="str">
        <f>IF('تعديل الجرد'!C458="","","تعديل جرد")</f>
        <v/>
      </c>
      <c r="C1958" t="str">
        <f>IF('تعديل الجرد'!C458="","",IF('تعديل الجرد'!G458="","-",'تعديل الجرد'!G458))</f>
        <v/>
      </c>
      <c r="D1958" t="str">
        <f>IF('تعديل الجرد'!C458="","",'تعديل الجرد'!C458)</f>
        <v/>
      </c>
      <c r="E1958" s="24" t="str">
        <f>IF('تعديل الجرد'!C458="","",'تعديل الجرد'!F458)</f>
        <v/>
      </c>
      <c r="F1958" t="str">
        <f>IF('تعديل الجرد'!C458="","",IF('تعديل الجرد'!H458="","",'تعديل الجرد'!H458))</f>
        <v/>
      </c>
      <c r="G1958" t="str">
        <f>IF($B1958&lt;&gt;"",SUMPRODUCT(($B$2:$B1958&lt;&gt;"")*1),"")</f>
        <v/>
      </c>
    </row>
    <row r="1959" spans="1:7">
      <c r="A1959" s="23" t="str">
        <f>IF('تعديل الجرد'!C459="","",'تعديل الجرد'!B459)</f>
        <v/>
      </c>
      <c r="B1959" t="str">
        <f>IF('تعديل الجرد'!C459="","","تعديل جرد")</f>
        <v/>
      </c>
      <c r="C1959" t="str">
        <f>IF('تعديل الجرد'!C459="","",IF('تعديل الجرد'!G459="","-",'تعديل الجرد'!G459))</f>
        <v/>
      </c>
      <c r="D1959" t="str">
        <f>IF('تعديل الجرد'!C459="","",'تعديل الجرد'!C459)</f>
        <v/>
      </c>
      <c r="E1959" s="24" t="str">
        <f>IF('تعديل الجرد'!C459="","",'تعديل الجرد'!F459)</f>
        <v/>
      </c>
      <c r="F1959" t="str">
        <f>IF('تعديل الجرد'!C459="","",IF('تعديل الجرد'!H459="","",'تعديل الجرد'!H459))</f>
        <v/>
      </c>
      <c r="G1959" t="str">
        <f>IF($B1959&lt;&gt;"",SUMPRODUCT(($B$2:$B1959&lt;&gt;"")*1),"")</f>
        <v/>
      </c>
    </row>
    <row r="1960" spans="1:7">
      <c r="A1960" s="23" t="str">
        <f>IF('تعديل الجرد'!C460="","",'تعديل الجرد'!B460)</f>
        <v/>
      </c>
      <c r="B1960" t="str">
        <f>IF('تعديل الجرد'!C460="","","تعديل جرد")</f>
        <v/>
      </c>
      <c r="C1960" t="str">
        <f>IF('تعديل الجرد'!C460="","",IF('تعديل الجرد'!G460="","-",'تعديل الجرد'!G460))</f>
        <v/>
      </c>
      <c r="D1960" t="str">
        <f>IF('تعديل الجرد'!C460="","",'تعديل الجرد'!C460)</f>
        <v/>
      </c>
      <c r="E1960" s="24" t="str">
        <f>IF('تعديل الجرد'!C460="","",'تعديل الجرد'!F460)</f>
        <v/>
      </c>
      <c r="F1960" t="str">
        <f>IF('تعديل الجرد'!C460="","",IF('تعديل الجرد'!H460="","",'تعديل الجرد'!H460))</f>
        <v/>
      </c>
      <c r="G1960" t="str">
        <f>IF($B1960&lt;&gt;"",SUMPRODUCT(($B$2:$B1960&lt;&gt;"")*1),"")</f>
        <v/>
      </c>
    </row>
    <row r="1961" spans="1:7">
      <c r="A1961" s="23" t="str">
        <f>IF('تعديل الجرد'!C461="","",'تعديل الجرد'!B461)</f>
        <v/>
      </c>
      <c r="B1961" t="str">
        <f>IF('تعديل الجرد'!C461="","","تعديل جرد")</f>
        <v/>
      </c>
      <c r="C1961" t="str">
        <f>IF('تعديل الجرد'!C461="","",IF('تعديل الجرد'!G461="","-",'تعديل الجرد'!G461))</f>
        <v/>
      </c>
      <c r="D1961" t="str">
        <f>IF('تعديل الجرد'!C461="","",'تعديل الجرد'!C461)</f>
        <v/>
      </c>
      <c r="E1961" s="24" t="str">
        <f>IF('تعديل الجرد'!C461="","",'تعديل الجرد'!F461)</f>
        <v/>
      </c>
      <c r="F1961" t="str">
        <f>IF('تعديل الجرد'!C461="","",IF('تعديل الجرد'!H461="","",'تعديل الجرد'!H461))</f>
        <v/>
      </c>
      <c r="G1961" t="str">
        <f>IF($B1961&lt;&gt;"",SUMPRODUCT(($B$2:$B1961&lt;&gt;"")*1),"")</f>
        <v/>
      </c>
    </row>
    <row r="1962" spans="1:7">
      <c r="A1962" s="23" t="str">
        <f>IF('تعديل الجرد'!C462="","",'تعديل الجرد'!B462)</f>
        <v/>
      </c>
      <c r="B1962" t="str">
        <f>IF('تعديل الجرد'!C462="","","تعديل جرد")</f>
        <v/>
      </c>
      <c r="C1962" t="str">
        <f>IF('تعديل الجرد'!C462="","",IF('تعديل الجرد'!G462="","-",'تعديل الجرد'!G462))</f>
        <v/>
      </c>
      <c r="D1962" t="str">
        <f>IF('تعديل الجرد'!C462="","",'تعديل الجرد'!C462)</f>
        <v/>
      </c>
      <c r="E1962" s="24" t="str">
        <f>IF('تعديل الجرد'!C462="","",'تعديل الجرد'!F462)</f>
        <v/>
      </c>
      <c r="F1962" t="str">
        <f>IF('تعديل الجرد'!C462="","",IF('تعديل الجرد'!H462="","",'تعديل الجرد'!H462))</f>
        <v/>
      </c>
      <c r="G1962" t="str">
        <f>IF($B1962&lt;&gt;"",SUMPRODUCT(($B$2:$B1962&lt;&gt;"")*1),"")</f>
        <v/>
      </c>
    </row>
    <row r="1963" spans="1:7">
      <c r="A1963" s="23" t="str">
        <f>IF('تعديل الجرد'!C463="","",'تعديل الجرد'!B463)</f>
        <v/>
      </c>
      <c r="B1963" t="str">
        <f>IF('تعديل الجرد'!C463="","","تعديل جرد")</f>
        <v/>
      </c>
      <c r="C1963" t="str">
        <f>IF('تعديل الجرد'!C463="","",IF('تعديل الجرد'!G463="","-",'تعديل الجرد'!G463))</f>
        <v/>
      </c>
      <c r="D1963" t="str">
        <f>IF('تعديل الجرد'!C463="","",'تعديل الجرد'!C463)</f>
        <v/>
      </c>
      <c r="E1963" s="24" t="str">
        <f>IF('تعديل الجرد'!C463="","",'تعديل الجرد'!F463)</f>
        <v/>
      </c>
      <c r="F1963" t="str">
        <f>IF('تعديل الجرد'!C463="","",IF('تعديل الجرد'!H463="","",'تعديل الجرد'!H463))</f>
        <v/>
      </c>
      <c r="G1963" t="str">
        <f>IF($B1963&lt;&gt;"",SUMPRODUCT(($B$2:$B1963&lt;&gt;"")*1),"")</f>
        <v/>
      </c>
    </row>
    <row r="1964" spans="1:7">
      <c r="A1964" s="23" t="str">
        <f>IF('تعديل الجرد'!C464="","",'تعديل الجرد'!B464)</f>
        <v/>
      </c>
      <c r="B1964" t="str">
        <f>IF('تعديل الجرد'!C464="","","تعديل جرد")</f>
        <v/>
      </c>
      <c r="C1964" t="str">
        <f>IF('تعديل الجرد'!C464="","",IF('تعديل الجرد'!G464="","-",'تعديل الجرد'!G464))</f>
        <v/>
      </c>
      <c r="D1964" t="str">
        <f>IF('تعديل الجرد'!C464="","",'تعديل الجرد'!C464)</f>
        <v/>
      </c>
      <c r="E1964" s="24" t="str">
        <f>IF('تعديل الجرد'!C464="","",'تعديل الجرد'!F464)</f>
        <v/>
      </c>
      <c r="F1964" t="str">
        <f>IF('تعديل الجرد'!C464="","",IF('تعديل الجرد'!H464="","",'تعديل الجرد'!H464))</f>
        <v/>
      </c>
      <c r="G1964" t="str">
        <f>IF($B1964&lt;&gt;"",SUMPRODUCT(($B$2:$B1964&lt;&gt;"")*1),"")</f>
        <v/>
      </c>
    </row>
    <row r="1965" spans="1:7">
      <c r="A1965" s="23" t="str">
        <f>IF('تعديل الجرد'!C465="","",'تعديل الجرد'!B465)</f>
        <v/>
      </c>
      <c r="B1965" t="str">
        <f>IF('تعديل الجرد'!C465="","","تعديل جرد")</f>
        <v/>
      </c>
      <c r="C1965" t="str">
        <f>IF('تعديل الجرد'!C465="","",IF('تعديل الجرد'!G465="","-",'تعديل الجرد'!G465))</f>
        <v/>
      </c>
      <c r="D1965" t="str">
        <f>IF('تعديل الجرد'!C465="","",'تعديل الجرد'!C465)</f>
        <v/>
      </c>
      <c r="E1965" s="24" t="str">
        <f>IF('تعديل الجرد'!C465="","",'تعديل الجرد'!F465)</f>
        <v/>
      </c>
      <c r="F1965" t="str">
        <f>IF('تعديل الجرد'!C465="","",IF('تعديل الجرد'!H465="","",'تعديل الجرد'!H465))</f>
        <v/>
      </c>
      <c r="G1965" t="str">
        <f>IF($B1965&lt;&gt;"",SUMPRODUCT(($B$2:$B1965&lt;&gt;"")*1),"")</f>
        <v/>
      </c>
    </row>
    <row r="1966" spans="1:7">
      <c r="A1966" s="23" t="str">
        <f>IF('تعديل الجرد'!C466="","",'تعديل الجرد'!B466)</f>
        <v/>
      </c>
      <c r="B1966" t="str">
        <f>IF('تعديل الجرد'!C466="","","تعديل جرد")</f>
        <v/>
      </c>
      <c r="C1966" t="str">
        <f>IF('تعديل الجرد'!C466="","",IF('تعديل الجرد'!G466="","-",'تعديل الجرد'!G466))</f>
        <v/>
      </c>
      <c r="D1966" t="str">
        <f>IF('تعديل الجرد'!C466="","",'تعديل الجرد'!C466)</f>
        <v/>
      </c>
      <c r="E1966" s="24" t="str">
        <f>IF('تعديل الجرد'!C466="","",'تعديل الجرد'!F466)</f>
        <v/>
      </c>
      <c r="F1966" t="str">
        <f>IF('تعديل الجرد'!C466="","",IF('تعديل الجرد'!H466="","",'تعديل الجرد'!H466))</f>
        <v/>
      </c>
      <c r="G1966" t="str">
        <f>IF($B1966&lt;&gt;"",SUMPRODUCT(($B$2:$B1966&lt;&gt;"")*1),"")</f>
        <v/>
      </c>
    </row>
    <row r="1967" spans="1:7">
      <c r="A1967" s="23" t="str">
        <f>IF('تعديل الجرد'!C467="","",'تعديل الجرد'!B467)</f>
        <v/>
      </c>
      <c r="B1967" t="str">
        <f>IF('تعديل الجرد'!C467="","","تعديل جرد")</f>
        <v/>
      </c>
      <c r="C1967" t="str">
        <f>IF('تعديل الجرد'!C467="","",IF('تعديل الجرد'!G467="","-",'تعديل الجرد'!G467))</f>
        <v/>
      </c>
      <c r="D1967" t="str">
        <f>IF('تعديل الجرد'!C467="","",'تعديل الجرد'!C467)</f>
        <v/>
      </c>
      <c r="E1967" s="24" t="str">
        <f>IF('تعديل الجرد'!C467="","",'تعديل الجرد'!F467)</f>
        <v/>
      </c>
      <c r="F1967" t="str">
        <f>IF('تعديل الجرد'!C467="","",IF('تعديل الجرد'!H467="","",'تعديل الجرد'!H467))</f>
        <v/>
      </c>
      <c r="G1967" t="str">
        <f>IF($B1967&lt;&gt;"",SUMPRODUCT(($B$2:$B1967&lt;&gt;"")*1),"")</f>
        <v/>
      </c>
    </row>
    <row r="1968" spans="1:7">
      <c r="A1968" s="23" t="str">
        <f>IF('تعديل الجرد'!C468="","",'تعديل الجرد'!B468)</f>
        <v/>
      </c>
      <c r="B1968" t="str">
        <f>IF('تعديل الجرد'!C468="","","تعديل جرد")</f>
        <v/>
      </c>
      <c r="C1968" t="str">
        <f>IF('تعديل الجرد'!C468="","",IF('تعديل الجرد'!G468="","-",'تعديل الجرد'!G468))</f>
        <v/>
      </c>
      <c r="D1968" t="str">
        <f>IF('تعديل الجرد'!C468="","",'تعديل الجرد'!C468)</f>
        <v/>
      </c>
      <c r="E1968" s="24" t="str">
        <f>IF('تعديل الجرد'!C468="","",'تعديل الجرد'!F468)</f>
        <v/>
      </c>
      <c r="F1968" t="str">
        <f>IF('تعديل الجرد'!C468="","",IF('تعديل الجرد'!H468="","",'تعديل الجرد'!H468))</f>
        <v/>
      </c>
      <c r="G1968" t="str">
        <f>IF($B1968&lt;&gt;"",SUMPRODUCT(($B$2:$B1968&lt;&gt;"")*1),"")</f>
        <v/>
      </c>
    </row>
    <row r="1969" spans="1:7">
      <c r="A1969" s="23" t="str">
        <f>IF('تعديل الجرد'!C469="","",'تعديل الجرد'!B469)</f>
        <v/>
      </c>
      <c r="B1969" t="str">
        <f>IF('تعديل الجرد'!C469="","","تعديل جرد")</f>
        <v/>
      </c>
      <c r="C1969" t="str">
        <f>IF('تعديل الجرد'!C469="","",IF('تعديل الجرد'!G469="","-",'تعديل الجرد'!G469))</f>
        <v/>
      </c>
      <c r="D1969" t="str">
        <f>IF('تعديل الجرد'!C469="","",'تعديل الجرد'!C469)</f>
        <v/>
      </c>
      <c r="E1969" s="24" t="str">
        <f>IF('تعديل الجرد'!C469="","",'تعديل الجرد'!F469)</f>
        <v/>
      </c>
      <c r="F1969" t="str">
        <f>IF('تعديل الجرد'!C469="","",IF('تعديل الجرد'!H469="","",'تعديل الجرد'!H469))</f>
        <v/>
      </c>
      <c r="G1969" t="str">
        <f>IF($B1969&lt;&gt;"",SUMPRODUCT(($B$2:$B1969&lt;&gt;"")*1),"")</f>
        <v/>
      </c>
    </row>
    <row r="1970" spans="1:7">
      <c r="A1970" s="23" t="str">
        <f>IF('تعديل الجرد'!C470="","",'تعديل الجرد'!B470)</f>
        <v/>
      </c>
      <c r="B1970" t="str">
        <f>IF('تعديل الجرد'!C470="","","تعديل جرد")</f>
        <v/>
      </c>
      <c r="C1970" t="str">
        <f>IF('تعديل الجرد'!C470="","",IF('تعديل الجرد'!G470="","-",'تعديل الجرد'!G470))</f>
        <v/>
      </c>
      <c r="D1970" t="str">
        <f>IF('تعديل الجرد'!C470="","",'تعديل الجرد'!C470)</f>
        <v/>
      </c>
      <c r="E1970" s="24" t="str">
        <f>IF('تعديل الجرد'!C470="","",'تعديل الجرد'!F470)</f>
        <v/>
      </c>
      <c r="F1970" t="str">
        <f>IF('تعديل الجرد'!C470="","",IF('تعديل الجرد'!H470="","",'تعديل الجرد'!H470))</f>
        <v/>
      </c>
      <c r="G1970" t="str">
        <f>IF($B1970&lt;&gt;"",SUMPRODUCT(($B$2:$B1970&lt;&gt;"")*1),"")</f>
        <v/>
      </c>
    </row>
    <row r="1971" spans="1:7">
      <c r="A1971" s="23" t="str">
        <f>IF('تعديل الجرد'!C471="","",'تعديل الجرد'!B471)</f>
        <v/>
      </c>
      <c r="B1971" t="str">
        <f>IF('تعديل الجرد'!C471="","","تعديل جرد")</f>
        <v/>
      </c>
      <c r="C1971" t="str">
        <f>IF('تعديل الجرد'!C471="","",IF('تعديل الجرد'!G471="","-",'تعديل الجرد'!G471))</f>
        <v/>
      </c>
      <c r="D1971" t="str">
        <f>IF('تعديل الجرد'!C471="","",'تعديل الجرد'!C471)</f>
        <v/>
      </c>
      <c r="E1971" s="24" t="str">
        <f>IF('تعديل الجرد'!C471="","",'تعديل الجرد'!F471)</f>
        <v/>
      </c>
      <c r="F1971" t="str">
        <f>IF('تعديل الجرد'!C471="","",IF('تعديل الجرد'!H471="","",'تعديل الجرد'!H471))</f>
        <v/>
      </c>
      <c r="G1971" t="str">
        <f>IF($B1971&lt;&gt;"",SUMPRODUCT(($B$2:$B1971&lt;&gt;"")*1),"")</f>
        <v/>
      </c>
    </row>
    <row r="1972" spans="1:7">
      <c r="A1972" s="23" t="str">
        <f>IF('تعديل الجرد'!C472="","",'تعديل الجرد'!B472)</f>
        <v/>
      </c>
      <c r="B1972" t="str">
        <f>IF('تعديل الجرد'!C472="","","تعديل جرد")</f>
        <v/>
      </c>
      <c r="C1972" t="str">
        <f>IF('تعديل الجرد'!C472="","",IF('تعديل الجرد'!G472="","-",'تعديل الجرد'!G472))</f>
        <v/>
      </c>
      <c r="D1972" t="str">
        <f>IF('تعديل الجرد'!C472="","",'تعديل الجرد'!C472)</f>
        <v/>
      </c>
      <c r="E1972" s="24" t="str">
        <f>IF('تعديل الجرد'!C472="","",'تعديل الجرد'!F472)</f>
        <v/>
      </c>
      <c r="F1972" t="str">
        <f>IF('تعديل الجرد'!C472="","",IF('تعديل الجرد'!H472="","",'تعديل الجرد'!H472))</f>
        <v/>
      </c>
      <c r="G1972" t="str">
        <f>IF($B1972&lt;&gt;"",SUMPRODUCT(($B$2:$B1972&lt;&gt;"")*1),"")</f>
        <v/>
      </c>
    </row>
    <row r="1973" spans="1:7">
      <c r="A1973" s="23" t="str">
        <f>IF('تعديل الجرد'!C473="","",'تعديل الجرد'!B473)</f>
        <v/>
      </c>
      <c r="B1973" t="str">
        <f>IF('تعديل الجرد'!C473="","","تعديل جرد")</f>
        <v/>
      </c>
      <c r="C1973" t="str">
        <f>IF('تعديل الجرد'!C473="","",IF('تعديل الجرد'!G473="","-",'تعديل الجرد'!G473))</f>
        <v/>
      </c>
      <c r="D1973" t="str">
        <f>IF('تعديل الجرد'!C473="","",'تعديل الجرد'!C473)</f>
        <v/>
      </c>
      <c r="E1973" s="24" t="str">
        <f>IF('تعديل الجرد'!C473="","",'تعديل الجرد'!F473)</f>
        <v/>
      </c>
      <c r="F1973" t="str">
        <f>IF('تعديل الجرد'!C473="","",IF('تعديل الجرد'!H473="","",'تعديل الجرد'!H473))</f>
        <v/>
      </c>
      <c r="G1973" t="str">
        <f>IF($B1973&lt;&gt;"",SUMPRODUCT(($B$2:$B1973&lt;&gt;"")*1),"")</f>
        <v/>
      </c>
    </row>
    <row r="1974" spans="1:7">
      <c r="A1974" s="23" t="str">
        <f>IF('تعديل الجرد'!C474="","",'تعديل الجرد'!B474)</f>
        <v/>
      </c>
      <c r="B1974" t="str">
        <f>IF('تعديل الجرد'!C474="","","تعديل جرد")</f>
        <v/>
      </c>
      <c r="C1974" t="str">
        <f>IF('تعديل الجرد'!C474="","",IF('تعديل الجرد'!G474="","-",'تعديل الجرد'!G474))</f>
        <v/>
      </c>
      <c r="D1974" t="str">
        <f>IF('تعديل الجرد'!C474="","",'تعديل الجرد'!C474)</f>
        <v/>
      </c>
      <c r="E1974" s="24" t="str">
        <f>IF('تعديل الجرد'!C474="","",'تعديل الجرد'!F474)</f>
        <v/>
      </c>
      <c r="F1974" t="str">
        <f>IF('تعديل الجرد'!C474="","",IF('تعديل الجرد'!H474="","",'تعديل الجرد'!H474))</f>
        <v/>
      </c>
      <c r="G1974" t="str">
        <f>IF($B1974&lt;&gt;"",SUMPRODUCT(($B$2:$B1974&lt;&gt;"")*1),"")</f>
        <v/>
      </c>
    </row>
    <row r="1975" spans="1:7">
      <c r="A1975" s="23" t="str">
        <f>IF('تعديل الجرد'!C475="","",'تعديل الجرد'!B475)</f>
        <v/>
      </c>
      <c r="B1975" t="str">
        <f>IF('تعديل الجرد'!C475="","","تعديل جرد")</f>
        <v/>
      </c>
      <c r="C1975" t="str">
        <f>IF('تعديل الجرد'!C475="","",IF('تعديل الجرد'!G475="","-",'تعديل الجرد'!G475))</f>
        <v/>
      </c>
      <c r="D1975" t="str">
        <f>IF('تعديل الجرد'!C475="","",'تعديل الجرد'!C475)</f>
        <v/>
      </c>
      <c r="E1975" s="24" t="str">
        <f>IF('تعديل الجرد'!C475="","",'تعديل الجرد'!F475)</f>
        <v/>
      </c>
      <c r="F1975" t="str">
        <f>IF('تعديل الجرد'!C475="","",IF('تعديل الجرد'!H475="","",'تعديل الجرد'!H475))</f>
        <v/>
      </c>
      <c r="G1975" t="str">
        <f>IF($B1975&lt;&gt;"",SUMPRODUCT(($B$2:$B1975&lt;&gt;"")*1),"")</f>
        <v/>
      </c>
    </row>
    <row r="1976" spans="1:7">
      <c r="A1976" s="23" t="str">
        <f>IF('تعديل الجرد'!C476="","",'تعديل الجرد'!B476)</f>
        <v/>
      </c>
      <c r="B1976" t="str">
        <f>IF('تعديل الجرد'!C476="","","تعديل جرد")</f>
        <v/>
      </c>
      <c r="C1976" t="str">
        <f>IF('تعديل الجرد'!C476="","",IF('تعديل الجرد'!G476="","-",'تعديل الجرد'!G476))</f>
        <v/>
      </c>
      <c r="D1976" t="str">
        <f>IF('تعديل الجرد'!C476="","",'تعديل الجرد'!C476)</f>
        <v/>
      </c>
      <c r="E1976" s="24" t="str">
        <f>IF('تعديل الجرد'!C476="","",'تعديل الجرد'!F476)</f>
        <v/>
      </c>
      <c r="F1976" t="str">
        <f>IF('تعديل الجرد'!C476="","",IF('تعديل الجرد'!H476="","",'تعديل الجرد'!H476))</f>
        <v/>
      </c>
      <c r="G1976" t="str">
        <f>IF($B1976&lt;&gt;"",SUMPRODUCT(($B$2:$B1976&lt;&gt;"")*1),"")</f>
        <v/>
      </c>
    </row>
    <row r="1977" spans="1:7">
      <c r="A1977" s="23" t="str">
        <f>IF('تعديل الجرد'!C477="","",'تعديل الجرد'!B477)</f>
        <v/>
      </c>
      <c r="B1977" t="str">
        <f>IF('تعديل الجرد'!C477="","","تعديل جرد")</f>
        <v/>
      </c>
      <c r="C1977" t="str">
        <f>IF('تعديل الجرد'!C477="","",IF('تعديل الجرد'!G477="","-",'تعديل الجرد'!G477))</f>
        <v/>
      </c>
      <c r="D1977" t="str">
        <f>IF('تعديل الجرد'!C477="","",'تعديل الجرد'!C477)</f>
        <v/>
      </c>
      <c r="E1977" s="24" t="str">
        <f>IF('تعديل الجرد'!C477="","",'تعديل الجرد'!F477)</f>
        <v/>
      </c>
      <c r="F1977" t="str">
        <f>IF('تعديل الجرد'!C477="","",IF('تعديل الجرد'!H477="","",'تعديل الجرد'!H477))</f>
        <v/>
      </c>
      <c r="G1977" t="str">
        <f>IF($B1977&lt;&gt;"",SUMPRODUCT(($B$2:$B1977&lt;&gt;"")*1),"")</f>
        <v/>
      </c>
    </row>
    <row r="1978" spans="1:7">
      <c r="A1978" s="23" t="str">
        <f>IF('تعديل الجرد'!C478="","",'تعديل الجرد'!B478)</f>
        <v/>
      </c>
      <c r="B1978" t="str">
        <f>IF('تعديل الجرد'!C478="","","تعديل جرد")</f>
        <v/>
      </c>
      <c r="C1978" t="str">
        <f>IF('تعديل الجرد'!C478="","",IF('تعديل الجرد'!G478="","-",'تعديل الجرد'!G478))</f>
        <v/>
      </c>
      <c r="D1978" t="str">
        <f>IF('تعديل الجرد'!C478="","",'تعديل الجرد'!C478)</f>
        <v/>
      </c>
      <c r="E1978" s="24" t="str">
        <f>IF('تعديل الجرد'!C478="","",'تعديل الجرد'!F478)</f>
        <v/>
      </c>
      <c r="F1978" t="str">
        <f>IF('تعديل الجرد'!C478="","",IF('تعديل الجرد'!H478="","",'تعديل الجرد'!H478))</f>
        <v/>
      </c>
      <c r="G1978" t="str">
        <f>IF($B1978&lt;&gt;"",SUMPRODUCT(($B$2:$B1978&lt;&gt;"")*1),"")</f>
        <v/>
      </c>
    </row>
    <row r="1979" spans="1:7">
      <c r="A1979" s="23" t="str">
        <f>IF('تعديل الجرد'!C479="","",'تعديل الجرد'!B479)</f>
        <v/>
      </c>
      <c r="B1979" t="str">
        <f>IF('تعديل الجرد'!C479="","","تعديل جرد")</f>
        <v/>
      </c>
      <c r="C1979" t="str">
        <f>IF('تعديل الجرد'!C479="","",IF('تعديل الجرد'!G479="","-",'تعديل الجرد'!G479))</f>
        <v/>
      </c>
      <c r="D1979" t="str">
        <f>IF('تعديل الجرد'!C479="","",'تعديل الجرد'!C479)</f>
        <v/>
      </c>
      <c r="E1979" s="24" t="str">
        <f>IF('تعديل الجرد'!C479="","",'تعديل الجرد'!F479)</f>
        <v/>
      </c>
      <c r="F1979" t="str">
        <f>IF('تعديل الجرد'!C479="","",IF('تعديل الجرد'!H479="","",'تعديل الجرد'!H479))</f>
        <v/>
      </c>
      <c r="G1979" t="str">
        <f>IF($B1979&lt;&gt;"",SUMPRODUCT(($B$2:$B1979&lt;&gt;"")*1),"")</f>
        <v/>
      </c>
    </row>
    <row r="1980" spans="1:7">
      <c r="A1980" s="23" t="str">
        <f>IF('تعديل الجرد'!C480="","",'تعديل الجرد'!B480)</f>
        <v/>
      </c>
      <c r="B1980" t="str">
        <f>IF('تعديل الجرد'!C480="","","تعديل جرد")</f>
        <v/>
      </c>
      <c r="C1980" t="str">
        <f>IF('تعديل الجرد'!C480="","",IF('تعديل الجرد'!G480="","-",'تعديل الجرد'!G480))</f>
        <v/>
      </c>
      <c r="D1980" t="str">
        <f>IF('تعديل الجرد'!C480="","",'تعديل الجرد'!C480)</f>
        <v/>
      </c>
      <c r="E1980" s="24" t="str">
        <f>IF('تعديل الجرد'!C480="","",'تعديل الجرد'!F480)</f>
        <v/>
      </c>
      <c r="F1980" t="str">
        <f>IF('تعديل الجرد'!C480="","",IF('تعديل الجرد'!H480="","",'تعديل الجرد'!H480))</f>
        <v/>
      </c>
      <c r="G1980" t="str">
        <f>IF($B1980&lt;&gt;"",SUMPRODUCT(($B$2:$B1980&lt;&gt;"")*1),"")</f>
        <v/>
      </c>
    </row>
    <row r="1981" spans="1:7">
      <c r="A1981" s="23" t="str">
        <f>IF('تعديل الجرد'!C481="","",'تعديل الجرد'!B481)</f>
        <v/>
      </c>
      <c r="B1981" t="str">
        <f>IF('تعديل الجرد'!C481="","","تعديل جرد")</f>
        <v/>
      </c>
      <c r="C1981" t="str">
        <f>IF('تعديل الجرد'!C481="","",IF('تعديل الجرد'!G481="","-",'تعديل الجرد'!G481))</f>
        <v/>
      </c>
      <c r="D1981" t="str">
        <f>IF('تعديل الجرد'!C481="","",'تعديل الجرد'!C481)</f>
        <v/>
      </c>
      <c r="E1981" s="24" t="str">
        <f>IF('تعديل الجرد'!C481="","",'تعديل الجرد'!F481)</f>
        <v/>
      </c>
      <c r="F1981" t="str">
        <f>IF('تعديل الجرد'!C481="","",IF('تعديل الجرد'!H481="","",'تعديل الجرد'!H481))</f>
        <v/>
      </c>
      <c r="G1981" t="str">
        <f>IF($B1981&lt;&gt;"",SUMPRODUCT(($B$2:$B1981&lt;&gt;"")*1),"")</f>
        <v/>
      </c>
    </row>
    <row r="1982" spans="1:7">
      <c r="A1982" s="23" t="str">
        <f>IF('تعديل الجرد'!C482="","",'تعديل الجرد'!B482)</f>
        <v/>
      </c>
      <c r="B1982" t="str">
        <f>IF('تعديل الجرد'!C482="","","تعديل جرد")</f>
        <v/>
      </c>
      <c r="C1982" t="str">
        <f>IF('تعديل الجرد'!C482="","",IF('تعديل الجرد'!G482="","-",'تعديل الجرد'!G482))</f>
        <v/>
      </c>
      <c r="D1982" t="str">
        <f>IF('تعديل الجرد'!C482="","",'تعديل الجرد'!C482)</f>
        <v/>
      </c>
      <c r="E1982" s="24" t="str">
        <f>IF('تعديل الجرد'!C482="","",'تعديل الجرد'!F482)</f>
        <v/>
      </c>
      <c r="F1982" t="str">
        <f>IF('تعديل الجرد'!C482="","",IF('تعديل الجرد'!H482="","",'تعديل الجرد'!H482))</f>
        <v/>
      </c>
      <c r="G1982" t="str">
        <f>IF($B1982&lt;&gt;"",SUMPRODUCT(($B$2:$B1982&lt;&gt;"")*1),"")</f>
        <v/>
      </c>
    </row>
    <row r="1983" spans="1:7">
      <c r="A1983" s="23" t="str">
        <f>IF('تعديل الجرد'!C483="","",'تعديل الجرد'!B483)</f>
        <v/>
      </c>
      <c r="B1983" t="str">
        <f>IF('تعديل الجرد'!C483="","","تعديل جرد")</f>
        <v/>
      </c>
      <c r="C1983" t="str">
        <f>IF('تعديل الجرد'!C483="","",IF('تعديل الجرد'!G483="","-",'تعديل الجرد'!G483))</f>
        <v/>
      </c>
      <c r="D1983" t="str">
        <f>IF('تعديل الجرد'!C483="","",'تعديل الجرد'!C483)</f>
        <v/>
      </c>
      <c r="E1983" s="24" t="str">
        <f>IF('تعديل الجرد'!C483="","",'تعديل الجرد'!F483)</f>
        <v/>
      </c>
      <c r="F1983" t="str">
        <f>IF('تعديل الجرد'!C483="","",IF('تعديل الجرد'!H483="","",'تعديل الجرد'!H483))</f>
        <v/>
      </c>
      <c r="G1983" t="str">
        <f>IF($B1983&lt;&gt;"",SUMPRODUCT(($B$2:$B1983&lt;&gt;"")*1),"")</f>
        <v/>
      </c>
    </row>
    <row r="1984" spans="1:7">
      <c r="A1984" s="23" t="str">
        <f>IF('تعديل الجرد'!C484="","",'تعديل الجرد'!B484)</f>
        <v/>
      </c>
      <c r="B1984" t="str">
        <f>IF('تعديل الجرد'!C484="","","تعديل جرد")</f>
        <v/>
      </c>
      <c r="C1984" t="str">
        <f>IF('تعديل الجرد'!C484="","",IF('تعديل الجرد'!G484="","-",'تعديل الجرد'!G484))</f>
        <v/>
      </c>
      <c r="D1984" t="str">
        <f>IF('تعديل الجرد'!C484="","",'تعديل الجرد'!C484)</f>
        <v/>
      </c>
      <c r="E1984" s="24" t="str">
        <f>IF('تعديل الجرد'!C484="","",'تعديل الجرد'!F484)</f>
        <v/>
      </c>
      <c r="F1984" t="str">
        <f>IF('تعديل الجرد'!C484="","",IF('تعديل الجرد'!H484="","",'تعديل الجرد'!H484))</f>
        <v/>
      </c>
      <c r="G1984" t="str">
        <f>IF($B1984&lt;&gt;"",SUMPRODUCT(($B$2:$B1984&lt;&gt;"")*1),"")</f>
        <v/>
      </c>
    </row>
    <row r="1985" spans="1:7">
      <c r="A1985" s="23" t="str">
        <f>IF('تعديل الجرد'!C485="","",'تعديل الجرد'!B485)</f>
        <v/>
      </c>
      <c r="B1985" t="str">
        <f>IF('تعديل الجرد'!C485="","","تعديل جرد")</f>
        <v/>
      </c>
      <c r="C1985" t="str">
        <f>IF('تعديل الجرد'!C485="","",IF('تعديل الجرد'!G485="","-",'تعديل الجرد'!G485))</f>
        <v/>
      </c>
      <c r="D1985" t="str">
        <f>IF('تعديل الجرد'!C485="","",'تعديل الجرد'!C485)</f>
        <v/>
      </c>
      <c r="E1985" s="24" t="str">
        <f>IF('تعديل الجرد'!C485="","",'تعديل الجرد'!F485)</f>
        <v/>
      </c>
      <c r="F1985" t="str">
        <f>IF('تعديل الجرد'!C485="","",IF('تعديل الجرد'!H485="","",'تعديل الجرد'!H485))</f>
        <v/>
      </c>
      <c r="G1985" t="str">
        <f>IF($B1985&lt;&gt;"",SUMPRODUCT(($B$2:$B1985&lt;&gt;"")*1),"")</f>
        <v/>
      </c>
    </row>
    <row r="1986" spans="1:7">
      <c r="A1986" s="23" t="str">
        <f>IF('تعديل الجرد'!C486="","",'تعديل الجرد'!B486)</f>
        <v/>
      </c>
      <c r="B1986" t="str">
        <f>IF('تعديل الجرد'!C486="","","تعديل جرد")</f>
        <v/>
      </c>
      <c r="C1986" t="str">
        <f>IF('تعديل الجرد'!C486="","",IF('تعديل الجرد'!G486="","-",'تعديل الجرد'!G486))</f>
        <v/>
      </c>
      <c r="D1986" t="str">
        <f>IF('تعديل الجرد'!C486="","",'تعديل الجرد'!C486)</f>
        <v/>
      </c>
      <c r="E1986" s="24" t="str">
        <f>IF('تعديل الجرد'!C486="","",'تعديل الجرد'!F486)</f>
        <v/>
      </c>
      <c r="F1986" t="str">
        <f>IF('تعديل الجرد'!C486="","",IF('تعديل الجرد'!H486="","",'تعديل الجرد'!H486))</f>
        <v/>
      </c>
      <c r="G1986" t="str">
        <f>IF($B1986&lt;&gt;"",SUMPRODUCT(($B$2:$B1986&lt;&gt;"")*1),"")</f>
        <v/>
      </c>
    </row>
    <row r="1987" spans="1:7">
      <c r="A1987" s="23" t="str">
        <f>IF('تعديل الجرد'!C487="","",'تعديل الجرد'!B487)</f>
        <v/>
      </c>
      <c r="B1987" t="str">
        <f>IF('تعديل الجرد'!C487="","","تعديل جرد")</f>
        <v/>
      </c>
      <c r="C1987" t="str">
        <f>IF('تعديل الجرد'!C487="","",IF('تعديل الجرد'!G487="","-",'تعديل الجرد'!G487))</f>
        <v/>
      </c>
      <c r="D1987" t="str">
        <f>IF('تعديل الجرد'!C487="","",'تعديل الجرد'!C487)</f>
        <v/>
      </c>
      <c r="E1987" s="24" t="str">
        <f>IF('تعديل الجرد'!C487="","",'تعديل الجرد'!F487)</f>
        <v/>
      </c>
      <c r="F1987" t="str">
        <f>IF('تعديل الجرد'!C487="","",IF('تعديل الجرد'!H487="","",'تعديل الجرد'!H487))</f>
        <v/>
      </c>
      <c r="G1987" t="str">
        <f>IF($B1987&lt;&gt;"",SUMPRODUCT(($B$2:$B1987&lt;&gt;"")*1),"")</f>
        <v/>
      </c>
    </row>
    <row r="1988" spans="1:7">
      <c r="A1988" s="23" t="str">
        <f>IF('تعديل الجرد'!C488="","",'تعديل الجرد'!B488)</f>
        <v/>
      </c>
      <c r="B1988" t="str">
        <f>IF('تعديل الجرد'!C488="","","تعديل جرد")</f>
        <v/>
      </c>
      <c r="C1988" t="str">
        <f>IF('تعديل الجرد'!C488="","",IF('تعديل الجرد'!G488="","-",'تعديل الجرد'!G488))</f>
        <v/>
      </c>
      <c r="D1988" t="str">
        <f>IF('تعديل الجرد'!C488="","",'تعديل الجرد'!C488)</f>
        <v/>
      </c>
      <c r="E1988" s="24" t="str">
        <f>IF('تعديل الجرد'!C488="","",'تعديل الجرد'!F488)</f>
        <v/>
      </c>
      <c r="F1988" t="str">
        <f>IF('تعديل الجرد'!C488="","",IF('تعديل الجرد'!H488="","",'تعديل الجرد'!H488))</f>
        <v/>
      </c>
      <c r="G1988" t="str">
        <f>IF($B1988&lt;&gt;"",SUMPRODUCT(($B$2:$B1988&lt;&gt;"")*1),"")</f>
        <v/>
      </c>
    </row>
    <row r="1989" spans="1:7">
      <c r="A1989" s="23" t="str">
        <f>IF('تعديل الجرد'!C489="","",'تعديل الجرد'!B489)</f>
        <v/>
      </c>
      <c r="B1989" t="str">
        <f>IF('تعديل الجرد'!C489="","","تعديل جرد")</f>
        <v/>
      </c>
      <c r="C1989" t="str">
        <f>IF('تعديل الجرد'!C489="","",IF('تعديل الجرد'!G489="","-",'تعديل الجرد'!G489))</f>
        <v/>
      </c>
      <c r="D1989" t="str">
        <f>IF('تعديل الجرد'!C489="","",'تعديل الجرد'!C489)</f>
        <v/>
      </c>
      <c r="E1989" s="24" t="str">
        <f>IF('تعديل الجرد'!C489="","",'تعديل الجرد'!F489)</f>
        <v/>
      </c>
      <c r="F1989" t="str">
        <f>IF('تعديل الجرد'!C489="","",IF('تعديل الجرد'!H489="","",'تعديل الجرد'!H489))</f>
        <v/>
      </c>
      <c r="G1989" t="str">
        <f>IF($B1989&lt;&gt;"",SUMPRODUCT(($B$2:$B1989&lt;&gt;"")*1),"")</f>
        <v/>
      </c>
    </row>
    <row r="1990" spans="1:7">
      <c r="A1990" s="23" t="str">
        <f>IF('تعديل الجرد'!C490="","",'تعديل الجرد'!B490)</f>
        <v/>
      </c>
      <c r="B1990" t="str">
        <f>IF('تعديل الجرد'!C490="","","تعديل جرد")</f>
        <v/>
      </c>
      <c r="C1990" t="str">
        <f>IF('تعديل الجرد'!C490="","",IF('تعديل الجرد'!G490="","-",'تعديل الجرد'!G490))</f>
        <v/>
      </c>
      <c r="D1990" t="str">
        <f>IF('تعديل الجرد'!C490="","",'تعديل الجرد'!C490)</f>
        <v/>
      </c>
      <c r="E1990" s="24" t="str">
        <f>IF('تعديل الجرد'!C490="","",'تعديل الجرد'!F490)</f>
        <v/>
      </c>
      <c r="F1990" t="str">
        <f>IF('تعديل الجرد'!C490="","",IF('تعديل الجرد'!H490="","",'تعديل الجرد'!H490))</f>
        <v/>
      </c>
      <c r="G1990" t="str">
        <f>IF($B1990&lt;&gt;"",SUMPRODUCT(($B$2:$B1990&lt;&gt;"")*1),"")</f>
        <v/>
      </c>
    </row>
    <row r="1991" spans="1:7">
      <c r="A1991" s="23" t="str">
        <f>IF('تعديل الجرد'!C491="","",'تعديل الجرد'!B491)</f>
        <v/>
      </c>
      <c r="B1991" t="str">
        <f>IF('تعديل الجرد'!C491="","","تعديل جرد")</f>
        <v/>
      </c>
      <c r="C1991" t="str">
        <f>IF('تعديل الجرد'!C491="","",IF('تعديل الجرد'!G491="","-",'تعديل الجرد'!G491))</f>
        <v/>
      </c>
      <c r="D1991" t="str">
        <f>IF('تعديل الجرد'!C491="","",'تعديل الجرد'!C491)</f>
        <v/>
      </c>
      <c r="E1991" s="24" t="str">
        <f>IF('تعديل الجرد'!C491="","",'تعديل الجرد'!F491)</f>
        <v/>
      </c>
      <c r="F1991" t="str">
        <f>IF('تعديل الجرد'!C491="","",IF('تعديل الجرد'!H491="","",'تعديل الجرد'!H491))</f>
        <v/>
      </c>
      <c r="G1991" t="str">
        <f>IF($B1991&lt;&gt;"",SUMPRODUCT(($B$2:$B1991&lt;&gt;"")*1),"")</f>
        <v/>
      </c>
    </row>
    <row r="1992" spans="1:7">
      <c r="A1992" s="23" t="str">
        <f>IF('تعديل الجرد'!C492="","",'تعديل الجرد'!B492)</f>
        <v/>
      </c>
      <c r="B1992" t="str">
        <f>IF('تعديل الجرد'!C492="","","تعديل جرد")</f>
        <v/>
      </c>
      <c r="C1992" t="str">
        <f>IF('تعديل الجرد'!C492="","",IF('تعديل الجرد'!G492="","-",'تعديل الجرد'!G492))</f>
        <v/>
      </c>
      <c r="D1992" t="str">
        <f>IF('تعديل الجرد'!C492="","",'تعديل الجرد'!C492)</f>
        <v/>
      </c>
      <c r="E1992" s="24" t="str">
        <f>IF('تعديل الجرد'!C492="","",'تعديل الجرد'!F492)</f>
        <v/>
      </c>
      <c r="F1992" t="str">
        <f>IF('تعديل الجرد'!C492="","",IF('تعديل الجرد'!H492="","",'تعديل الجرد'!H492))</f>
        <v/>
      </c>
      <c r="G1992" t="str">
        <f>IF($B1992&lt;&gt;"",SUMPRODUCT(($B$2:$B1992&lt;&gt;"")*1),"")</f>
        <v/>
      </c>
    </row>
    <row r="1993" spans="1:7">
      <c r="A1993" s="23" t="str">
        <f>IF('تعديل الجرد'!C493="","",'تعديل الجرد'!B493)</f>
        <v/>
      </c>
      <c r="B1993" t="str">
        <f>IF('تعديل الجرد'!C493="","","تعديل جرد")</f>
        <v/>
      </c>
      <c r="C1993" t="str">
        <f>IF('تعديل الجرد'!C493="","",IF('تعديل الجرد'!G493="","-",'تعديل الجرد'!G493))</f>
        <v/>
      </c>
      <c r="D1993" t="str">
        <f>IF('تعديل الجرد'!C493="","",'تعديل الجرد'!C493)</f>
        <v/>
      </c>
      <c r="E1993" s="24" t="str">
        <f>IF('تعديل الجرد'!C493="","",'تعديل الجرد'!F493)</f>
        <v/>
      </c>
      <c r="F1993" t="str">
        <f>IF('تعديل الجرد'!C493="","",IF('تعديل الجرد'!H493="","",'تعديل الجرد'!H493))</f>
        <v/>
      </c>
      <c r="G1993" t="str">
        <f>IF($B1993&lt;&gt;"",SUMPRODUCT(($B$2:$B1993&lt;&gt;"")*1),"")</f>
        <v/>
      </c>
    </row>
    <row r="1994" spans="1:7">
      <c r="A1994" s="23" t="str">
        <f>IF('تعديل الجرد'!C494="","",'تعديل الجرد'!B494)</f>
        <v/>
      </c>
      <c r="B1994" t="str">
        <f>IF('تعديل الجرد'!C494="","","تعديل جرد")</f>
        <v/>
      </c>
      <c r="C1994" t="str">
        <f>IF('تعديل الجرد'!C494="","",IF('تعديل الجرد'!G494="","-",'تعديل الجرد'!G494))</f>
        <v/>
      </c>
      <c r="D1994" t="str">
        <f>IF('تعديل الجرد'!C494="","",'تعديل الجرد'!C494)</f>
        <v/>
      </c>
      <c r="E1994" s="24" t="str">
        <f>IF('تعديل الجرد'!C494="","",'تعديل الجرد'!F494)</f>
        <v/>
      </c>
      <c r="F1994" t="str">
        <f>IF('تعديل الجرد'!C494="","",IF('تعديل الجرد'!H494="","",'تعديل الجرد'!H494))</f>
        <v/>
      </c>
      <c r="G1994" t="str">
        <f>IF($B1994&lt;&gt;"",SUMPRODUCT(($B$2:$B1994&lt;&gt;"")*1),"")</f>
        <v/>
      </c>
    </row>
    <row r="1995" spans="1:7">
      <c r="A1995" s="23" t="str">
        <f>IF('تعديل الجرد'!C495="","",'تعديل الجرد'!B495)</f>
        <v/>
      </c>
      <c r="B1995" t="str">
        <f>IF('تعديل الجرد'!C495="","","تعديل جرد")</f>
        <v/>
      </c>
      <c r="C1995" t="str">
        <f>IF('تعديل الجرد'!C495="","",IF('تعديل الجرد'!G495="","-",'تعديل الجرد'!G495))</f>
        <v/>
      </c>
      <c r="D1995" t="str">
        <f>IF('تعديل الجرد'!C495="","",'تعديل الجرد'!C495)</f>
        <v/>
      </c>
      <c r="E1995" s="24" t="str">
        <f>IF('تعديل الجرد'!C495="","",'تعديل الجرد'!F495)</f>
        <v/>
      </c>
      <c r="F1995" t="str">
        <f>IF('تعديل الجرد'!C495="","",IF('تعديل الجرد'!H495="","",'تعديل الجرد'!H495))</f>
        <v/>
      </c>
      <c r="G1995" t="str">
        <f>IF($B1995&lt;&gt;"",SUMPRODUCT(($B$2:$B1995&lt;&gt;"")*1),"")</f>
        <v/>
      </c>
    </row>
    <row r="1996" spans="1:7">
      <c r="A1996" s="23" t="str">
        <f>IF('تعديل الجرد'!C496="","",'تعديل الجرد'!B496)</f>
        <v/>
      </c>
      <c r="B1996" t="str">
        <f>IF('تعديل الجرد'!C496="","","تعديل جرد")</f>
        <v/>
      </c>
      <c r="C1996" t="str">
        <f>IF('تعديل الجرد'!C496="","",IF('تعديل الجرد'!G496="","-",'تعديل الجرد'!G496))</f>
        <v/>
      </c>
      <c r="D1996" t="str">
        <f>IF('تعديل الجرد'!C496="","",'تعديل الجرد'!C496)</f>
        <v/>
      </c>
      <c r="E1996" s="24" t="str">
        <f>IF('تعديل الجرد'!C496="","",'تعديل الجرد'!F496)</f>
        <v/>
      </c>
      <c r="F1996" t="str">
        <f>IF('تعديل الجرد'!C496="","",IF('تعديل الجرد'!H496="","",'تعديل الجرد'!H496))</f>
        <v/>
      </c>
      <c r="G1996" t="str">
        <f>IF($B1996&lt;&gt;"",SUMPRODUCT(($B$2:$B1996&lt;&gt;"")*1),"")</f>
        <v/>
      </c>
    </row>
    <row r="1997" spans="1:7">
      <c r="A1997" s="23" t="str">
        <f>IF('تعديل الجرد'!C497="","",'تعديل الجرد'!B497)</f>
        <v/>
      </c>
      <c r="B1997" t="str">
        <f>IF('تعديل الجرد'!C497="","","تعديل جرد")</f>
        <v/>
      </c>
      <c r="C1997" t="str">
        <f>IF('تعديل الجرد'!C497="","",IF('تعديل الجرد'!G497="","-",'تعديل الجرد'!G497))</f>
        <v/>
      </c>
      <c r="D1997" t="str">
        <f>IF('تعديل الجرد'!C497="","",'تعديل الجرد'!C497)</f>
        <v/>
      </c>
      <c r="E1997" s="24" t="str">
        <f>IF('تعديل الجرد'!C497="","",'تعديل الجرد'!F497)</f>
        <v/>
      </c>
      <c r="F1997" t="str">
        <f>IF('تعديل الجرد'!C497="","",IF('تعديل الجرد'!H497="","",'تعديل الجرد'!H497))</f>
        <v/>
      </c>
      <c r="G1997" t="str">
        <f>IF($B1997&lt;&gt;"",SUMPRODUCT(($B$2:$B1997&lt;&gt;"")*1),"")</f>
        <v/>
      </c>
    </row>
    <row r="1998" spans="1:7">
      <c r="A1998" s="23" t="str">
        <f>IF('تعديل الجرد'!C498="","",'تعديل الجرد'!B498)</f>
        <v/>
      </c>
      <c r="B1998" t="str">
        <f>IF('تعديل الجرد'!C498="","","تعديل جرد")</f>
        <v/>
      </c>
      <c r="C1998" t="str">
        <f>IF('تعديل الجرد'!C498="","",IF('تعديل الجرد'!G498="","-",'تعديل الجرد'!G498))</f>
        <v/>
      </c>
      <c r="D1998" t="str">
        <f>IF('تعديل الجرد'!C498="","",'تعديل الجرد'!C498)</f>
        <v/>
      </c>
      <c r="E1998" s="24" t="str">
        <f>IF('تعديل الجرد'!C498="","",'تعديل الجرد'!F498)</f>
        <v/>
      </c>
      <c r="F1998" t="str">
        <f>IF('تعديل الجرد'!C498="","",IF('تعديل الجرد'!H498="","",'تعديل الجرد'!H498))</f>
        <v/>
      </c>
      <c r="G1998" t="str">
        <f>IF($B1998&lt;&gt;"",SUMPRODUCT(($B$2:$B1998&lt;&gt;"")*1),"")</f>
        <v/>
      </c>
    </row>
    <row r="1999" spans="1:7">
      <c r="A1999" s="23" t="str">
        <f>IF('تعديل الجرد'!C499="","",'تعديل الجرد'!B499)</f>
        <v/>
      </c>
      <c r="B1999" t="str">
        <f>IF('تعديل الجرد'!C499="","","تعديل جرد")</f>
        <v/>
      </c>
      <c r="C1999" t="str">
        <f>IF('تعديل الجرد'!C499="","",IF('تعديل الجرد'!G499="","-",'تعديل الجرد'!G499))</f>
        <v/>
      </c>
      <c r="D1999" t="str">
        <f>IF('تعديل الجرد'!C499="","",'تعديل الجرد'!C499)</f>
        <v/>
      </c>
      <c r="E1999" s="24" t="str">
        <f>IF('تعديل الجرد'!C499="","",'تعديل الجرد'!F499)</f>
        <v/>
      </c>
      <c r="F1999" t="str">
        <f>IF('تعديل الجرد'!C499="","",IF('تعديل الجرد'!H499="","",'تعديل الجرد'!H499))</f>
        <v/>
      </c>
      <c r="G1999" t="str">
        <f>IF($B1999&lt;&gt;"",SUMPRODUCT(($B$2:$B1999&lt;&gt;"")*1),"")</f>
        <v/>
      </c>
    </row>
    <row r="2000" spans="1:7">
      <c r="A2000" s="23" t="str">
        <f>IF('تعديل الجرد'!C500="","",'تعديل الجرد'!B500)</f>
        <v/>
      </c>
      <c r="B2000" t="str">
        <f>IF('تعديل الجرد'!C500="","","تعديل جرد")</f>
        <v/>
      </c>
      <c r="C2000" t="str">
        <f>IF('تعديل الجرد'!C500="","",IF('تعديل الجرد'!G500="","-",'تعديل الجرد'!G500))</f>
        <v/>
      </c>
      <c r="D2000" t="str">
        <f>IF('تعديل الجرد'!C500="","",'تعديل الجرد'!C500)</f>
        <v/>
      </c>
      <c r="E2000" s="24" t="str">
        <f>IF('تعديل الجرد'!C500="","",'تعديل الجرد'!F500)</f>
        <v/>
      </c>
      <c r="F2000" t="str">
        <f>IF('تعديل الجرد'!C500="","",IF('تعديل الجرد'!H500="","",'تعديل الجرد'!H500))</f>
        <v/>
      </c>
      <c r="G2000" t="str">
        <f>IF($B2000&lt;&gt;"",SUMPRODUCT(($B$2:$B2000&lt;&gt;"")*1),"")</f>
        <v/>
      </c>
    </row>
    <row r="2001" spans="1:7">
      <c r="A2001" s="23" t="str">
        <f>IF('تعديل الجرد'!C501="","",'تعديل الجرد'!B501)</f>
        <v/>
      </c>
      <c r="B2001" t="str">
        <f>IF('تعديل الجرد'!C501="","","تعديل جرد")</f>
        <v/>
      </c>
      <c r="C2001" t="str">
        <f>IF('تعديل الجرد'!C501="","",IF('تعديل الجرد'!G501="","-",'تعديل الجرد'!G501))</f>
        <v/>
      </c>
      <c r="D2001" t="str">
        <f>IF('تعديل الجرد'!C501="","",'تعديل الجرد'!C501)</f>
        <v/>
      </c>
      <c r="E2001" s="24" t="str">
        <f>IF('تعديل الجرد'!C501="","",'تعديل الجرد'!F501)</f>
        <v/>
      </c>
      <c r="F2001" t="str">
        <f>IF('تعديل الجرد'!C501="","",IF('تعديل الجرد'!H501="","",'تعديل الجرد'!H501))</f>
        <v/>
      </c>
      <c r="G2001" t="str">
        <f>IF($B2001&lt;&gt;"",SUMPRODUCT(($B$2:$B2001&lt;&gt;"")*1),"")</f>
        <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12</vt:i4>
      </vt:variant>
    </vt:vector>
  </HeadingPairs>
  <TitlesOfParts>
    <vt:vector size="12" baseType="lpstr">
      <vt:lpstr>لوحة التحكم</vt:lpstr>
      <vt:lpstr>المواد</vt:lpstr>
      <vt:lpstr>الطبخات</vt:lpstr>
      <vt:lpstr>الإدخالات</vt:lpstr>
      <vt:lpstr>سجل الإنتاج</vt:lpstr>
      <vt:lpstr>الصرف المباشر</vt:lpstr>
      <vt:lpstr>تعديل الجرد</vt:lpstr>
      <vt:lpstr>الرصيد الحالي</vt:lpstr>
      <vt:lpstr>سجل الحركات</vt:lpstr>
      <vt:lpstr>التعليمات</vt:lpstr>
      <vt:lpstr>قوائم</vt:lpstr>
      <vt:lpstr>بيانات الحركات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2026-07-16T08:26:55Z</dcterms:created>
  <dcterms:modified xsi:type="dcterms:W3CDTF">2026-07-16T11:55:59Z</dcterms:modified>
</cp:coreProperties>
</file>